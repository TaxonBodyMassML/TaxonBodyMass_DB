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DIR\JX34\2025\2025_11-NOV\9\APSOIL_106605\MMC\"/>
    </mc:Choice>
  </mc:AlternateContent>
  <bookViews>
    <workbookView xWindow="-105" yWindow="-105" windowWidth="19425" windowHeight="11625"/>
  </bookViews>
  <sheets>
    <sheet name="G index" sheetId="16" r:id="rId1"/>
    <sheet name="Order-males" sheetId="15" r:id="rId2"/>
    <sheet name="Order-females" sheetId="14" r:id="rId3"/>
    <sheet name="Suborder-males" sheetId="13" r:id="rId4"/>
    <sheet name="Suborder-females" sheetId="12" r:id="rId5"/>
    <sheet name="Superfamily-males" sheetId="11" r:id="rId6"/>
    <sheet name="Superfamily-females" sheetId="10" r:id="rId7"/>
    <sheet name="Family-males" sheetId="9" r:id="rId8"/>
    <sheet name="Family-females" sheetId="8" r:id="rId9"/>
    <sheet name="Subfamilty-males" sheetId="7" r:id="rId10"/>
    <sheet name="Subfamily-females" sheetId="6" r:id="rId11"/>
    <sheet name="Genera-males" sheetId="3" r:id="rId12"/>
    <sheet name="Genera-females" sheetId="2" r:id="rId13"/>
    <sheet name="Juveniles" sheetId="5" r:id="rId14"/>
    <sheet name="Original" sheetId="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" i="16" l="1"/>
  <c r="P97" i="16" s="1"/>
  <c r="L98" i="16"/>
  <c r="P98" i="16" s="1"/>
  <c r="R98" i="16" s="1"/>
  <c r="L99" i="16"/>
  <c r="L95" i="16"/>
  <c r="L96" i="16"/>
  <c r="L94" i="16"/>
  <c r="L93" i="16"/>
  <c r="L88" i="16"/>
  <c r="L90" i="16"/>
  <c r="P90" i="16" s="1"/>
  <c r="L86" i="16"/>
  <c r="P86" i="16" s="1"/>
  <c r="R86" i="16" s="1"/>
  <c r="L89" i="16"/>
  <c r="L92" i="16"/>
  <c r="L85" i="16"/>
  <c r="L87" i="16"/>
  <c r="Q87" i="16" s="1"/>
  <c r="L91" i="16"/>
  <c r="P91" i="16" s="1"/>
  <c r="S91" i="16" s="1"/>
  <c r="L84" i="16"/>
  <c r="L82" i="16"/>
  <c r="P82" i="16" s="1"/>
  <c r="L83" i="16"/>
  <c r="L81" i="16"/>
  <c r="L80" i="16"/>
  <c r="P80" i="16" s="1"/>
  <c r="L79" i="16"/>
  <c r="P79" i="16" s="1"/>
  <c r="S79" i="16" s="1"/>
  <c r="L78" i="16"/>
  <c r="L77" i="16"/>
  <c r="Q77" i="16" s="1"/>
  <c r="L75" i="16"/>
  <c r="L72" i="16"/>
  <c r="L76" i="16"/>
  <c r="L74" i="16"/>
  <c r="L73" i="16"/>
  <c r="P73" i="16" s="1"/>
  <c r="S73" i="16" s="1"/>
  <c r="L71" i="16"/>
  <c r="Q71" i="16" s="1"/>
  <c r="L68" i="16"/>
  <c r="Q68" i="16" s="1"/>
  <c r="L69" i="16"/>
  <c r="P69" i="16" s="1"/>
  <c r="S69" i="16" s="1"/>
  <c r="L70" i="16"/>
  <c r="L67" i="16"/>
  <c r="L65" i="16"/>
  <c r="L64" i="16"/>
  <c r="Q64" i="16" s="1"/>
  <c r="L66" i="16"/>
  <c r="L63" i="16"/>
  <c r="P63" i="16" s="1"/>
  <c r="L62" i="16"/>
  <c r="L61" i="16"/>
  <c r="L60" i="16"/>
  <c r="L59" i="16"/>
  <c r="L58" i="16"/>
  <c r="L57" i="16"/>
  <c r="L54" i="16"/>
  <c r="L56" i="16"/>
  <c r="L55" i="16"/>
  <c r="L53" i="16"/>
  <c r="L52" i="16"/>
  <c r="Q52" i="16" s="1"/>
  <c r="L51" i="16"/>
  <c r="L50" i="16"/>
  <c r="L49" i="16"/>
  <c r="L48" i="16"/>
  <c r="L47" i="16"/>
  <c r="L46" i="16"/>
  <c r="L45" i="16"/>
  <c r="L44" i="16"/>
  <c r="L42" i="16"/>
  <c r="L43" i="16"/>
  <c r="L41" i="16"/>
  <c r="L40" i="16"/>
  <c r="L39" i="16"/>
  <c r="L38" i="16"/>
  <c r="L37" i="16"/>
  <c r="Q37" i="16" s="1"/>
  <c r="L36" i="16"/>
  <c r="Q36" i="16" s="1"/>
  <c r="L35" i="16"/>
  <c r="L34" i="16"/>
  <c r="P34" i="16" s="1"/>
  <c r="S34" i="16" s="1"/>
  <c r="L32" i="16"/>
  <c r="L33" i="16"/>
  <c r="L29" i="16"/>
  <c r="L31" i="16"/>
  <c r="P31" i="16" s="1"/>
  <c r="L30" i="16"/>
  <c r="L28" i="16"/>
  <c r="Q28" i="16" s="1"/>
  <c r="L27" i="16"/>
  <c r="L26" i="16"/>
  <c r="Q26" i="16" s="1"/>
  <c r="L25" i="16"/>
  <c r="L24" i="16"/>
  <c r="L23" i="16"/>
  <c r="Q23" i="16" s="1"/>
  <c r="L22" i="16"/>
  <c r="P22" i="16" s="1"/>
  <c r="S22" i="16" s="1"/>
  <c r="L21" i="16"/>
  <c r="Q21" i="16" s="1"/>
  <c r="L20" i="16"/>
  <c r="L19" i="16"/>
  <c r="P19" i="16" s="1"/>
  <c r="S19" i="16" s="1"/>
  <c r="L18" i="16"/>
  <c r="Q18" i="16" s="1"/>
  <c r="L17" i="16"/>
  <c r="Q17" i="16" s="1"/>
  <c r="L16" i="16"/>
  <c r="L15" i="16"/>
  <c r="P15" i="16" s="1"/>
  <c r="L14" i="16"/>
  <c r="L13" i="16"/>
  <c r="L12" i="16"/>
  <c r="L11" i="16"/>
  <c r="P11" i="16" s="1"/>
  <c r="S11" i="16" s="1"/>
  <c r="L10" i="16"/>
  <c r="L9" i="16"/>
  <c r="P9" i="16" s="1"/>
  <c r="L8" i="16"/>
  <c r="P8" i="16" s="1"/>
  <c r="L7" i="16"/>
  <c r="L6" i="16"/>
  <c r="L5" i="16"/>
  <c r="Q5" i="16" s="1"/>
  <c r="L4" i="16"/>
  <c r="Q4" i="16" s="1"/>
  <c r="L3" i="16"/>
  <c r="P3" i="16" s="1"/>
  <c r="L2" i="16"/>
  <c r="P2" i="16" s="1"/>
  <c r="S2" i="16" s="1"/>
  <c r="P55" i="16" l="1"/>
  <c r="R55" i="16" s="1"/>
  <c r="Q55" i="16"/>
  <c r="Q22" i="16"/>
  <c r="P13" i="16"/>
  <c r="S13" i="16" s="1"/>
  <c r="Q20" i="16"/>
  <c r="P81" i="16"/>
  <c r="S81" i="16" s="1"/>
  <c r="Q13" i="16"/>
  <c r="Q81" i="16"/>
  <c r="Q88" i="16"/>
  <c r="P4" i="16"/>
  <c r="R4" i="16" s="1"/>
  <c r="P26" i="16"/>
  <c r="R26" i="16" s="1"/>
  <c r="R2" i="16"/>
  <c r="T2" i="16" s="1"/>
  <c r="P37" i="16"/>
  <c r="S37" i="16" s="1"/>
  <c r="R91" i="16"/>
  <c r="T91" i="16" s="1"/>
  <c r="P42" i="16"/>
  <c r="R42" i="16" s="1"/>
  <c r="Q67" i="16"/>
  <c r="S86" i="16"/>
  <c r="T86" i="16" s="1"/>
  <c r="P38" i="16"/>
  <c r="S38" i="16" s="1"/>
  <c r="Q61" i="16"/>
  <c r="P5" i="16"/>
  <c r="S5" i="16" s="1"/>
  <c r="P36" i="16"/>
  <c r="S36" i="16" s="1"/>
  <c r="Q63" i="16"/>
  <c r="Q42" i="16"/>
  <c r="P67" i="16"/>
  <c r="S67" i="16" s="1"/>
  <c r="P68" i="16"/>
  <c r="R68" i="16" s="1"/>
  <c r="R11" i="16"/>
  <c r="T11" i="16" s="1"/>
  <c r="P18" i="16"/>
  <c r="R18" i="16" s="1"/>
  <c r="P88" i="16"/>
  <c r="S88" i="16" s="1"/>
  <c r="Q6" i="16"/>
  <c r="P6" i="16"/>
  <c r="Q32" i="16"/>
  <c r="P32" i="16"/>
  <c r="Q41" i="16"/>
  <c r="Q66" i="16"/>
  <c r="P66" i="16"/>
  <c r="Q44" i="16"/>
  <c r="P44" i="16"/>
  <c r="Q10" i="16"/>
  <c r="P10" i="16"/>
  <c r="R10" i="16" s="1"/>
  <c r="Q62" i="16"/>
  <c r="P62" i="16"/>
  <c r="Q47" i="16"/>
  <c r="P47" i="16"/>
  <c r="Q9" i="16"/>
  <c r="Q34" i="16"/>
  <c r="Q70" i="16"/>
  <c r="Q54" i="16"/>
  <c r="P54" i="16"/>
  <c r="P25" i="16"/>
  <c r="Q25" i="16"/>
  <c r="Q65" i="16"/>
  <c r="Q74" i="16"/>
  <c r="P74" i="16"/>
  <c r="P27" i="16"/>
  <c r="P30" i="16"/>
  <c r="P35" i="16"/>
  <c r="Q35" i="16"/>
  <c r="Q40" i="16"/>
  <c r="P40" i="16"/>
  <c r="P16" i="16"/>
  <c r="S16" i="16" s="1"/>
  <c r="Q27" i="16"/>
  <c r="Q30" i="16"/>
  <c r="Q16" i="16"/>
  <c r="Q56" i="16"/>
  <c r="Q8" i="16"/>
  <c r="Q15" i="16"/>
  <c r="Q19" i="16"/>
  <c r="Q75" i="16"/>
  <c r="P75" i="16"/>
  <c r="R75" i="16" s="1"/>
  <c r="P45" i="16"/>
  <c r="Q45" i="16"/>
  <c r="R22" i="16"/>
  <c r="T22" i="16" s="1"/>
  <c r="Q38" i="16"/>
  <c r="P50" i="16"/>
  <c r="P64" i="16"/>
  <c r="R64" i="16" s="1"/>
  <c r="P84" i="16"/>
  <c r="Q84" i="16"/>
  <c r="P94" i="16"/>
  <c r="Q94" i="16"/>
  <c r="Q50" i="16"/>
  <c r="Q72" i="16"/>
  <c r="P72" i="16"/>
  <c r="S72" i="16" s="1"/>
  <c r="P61" i="16"/>
  <c r="R61" i="16" s="1"/>
  <c r="P89" i="16"/>
  <c r="S89" i="16" s="1"/>
  <c r="Q89" i="16"/>
  <c r="R69" i="16"/>
  <c r="T69" i="16" s="1"/>
  <c r="Q98" i="16"/>
  <c r="S98" i="16"/>
  <c r="T98" i="16" s="1"/>
  <c r="Q96" i="16"/>
  <c r="Q97" i="16"/>
  <c r="P71" i="16"/>
  <c r="S9" i="16"/>
  <c r="R9" i="16"/>
  <c r="Q7" i="16"/>
  <c r="S3" i="16"/>
  <c r="R3" i="16"/>
  <c r="P7" i="16"/>
  <c r="Q29" i="16"/>
  <c r="P29" i="16"/>
  <c r="Q2" i="16"/>
  <c r="S8" i="16"/>
  <c r="R8" i="16"/>
  <c r="P14" i="16"/>
  <c r="Q3" i="16"/>
  <c r="Q14" i="16"/>
  <c r="Q43" i="16"/>
  <c r="P43" i="16"/>
  <c r="S15" i="16"/>
  <c r="R15" i="16"/>
  <c r="P12" i="16"/>
  <c r="P57" i="16"/>
  <c r="Q57" i="16"/>
  <c r="Q11" i="16"/>
  <c r="Q12" i="16"/>
  <c r="Q24" i="16"/>
  <c r="P24" i="16"/>
  <c r="R34" i="16"/>
  <c r="T34" i="16" s="1"/>
  <c r="Q46" i="16"/>
  <c r="P46" i="16"/>
  <c r="S31" i="16"/>
  <c r="R31" i="16"/>
  <c r="Q51" i="16"/>
  <c r="P51" i="16"/>
  <c r="P20" i="16"/>
  <c r="P21" i="16"/>
  <c r="P28" i="16"/>
  <c r="P49" i="16"/>
  <c r="P17" i="16"/>
  <c r="R19" i="16"/>
  <c r="T19" i="16" s="1"/>
  <c r="Q49" i="16"/>
  <c r="S63" i="16"/>
  <c r="R63" i="16"/>
  <c r="P23" i="16"/>
  <c r="Q31" i="16"/>
  <c r="P52" i="16"/>
  <c r="Q33" i="16"/>
  <c r="P33" i="16"/>
  <c r="P41" i="16"/>
  <c r="Q39" i="16"/>
  <c r="P39" i="16"/>
  <c r="Q48" i="16"/>
  <c r="P48" i="16"/>
  <c r="P53" i="16"/>
  <c r="Q53" i="16"/>
  <c r="Q58" i="16"/>
  <c r="P58" i="16"/>
  <c r="P59" i="16"/>
  <c r="Q59" i="16"/>
  <c r="Q60" i="16"/>
  <c r="P60" i="16"/>
  <c r="Q73" i="16"/>
  <c r="R73" i="16"/>
  <c r="T73" i="16" s="1"/>
  <c r="P85" i="16"/>
  <c r="P56" i="16"/>
  <c r="R79" i="16"/>
  <c r="T79" i="16" s="1"/>
  <c r="Q85" i="16"/>
  <c r="P93" i="16"/>
  <c r="Q93" i="16"/>
  <c r="Q95" i="16"/>
  <c r="P95" i="16"/>
  <c r="Q79" i="16"/>
  <c r="P87" i="16"/>
  <c r="P65" i="16"/>
  <c r="Q80" i="16"/>
  <c r="S80" i="16"/>
  <c r="R80" i="16"/>
  <c r="R82" i="16"/>
  <c r="S82" i="16"/>
  <c r="Q82" i="16"/>
  <c r="P77" i="16"/>
  <c r="Q76" i="16"/>
  <c r="P76" i="16"/>
  <c r="R97" i="16"/>
  <c r="S97" i="16"/>
  <c r="P83" i="16"/>
  <c r="P70" i="16"/>
  <c r="Q69" i="16"/>
  <c r="Q83" i="16"/>
  <c r="Q90" i="16"/>
  <c r="Q78" i="16"/>
  <c r="P78" i="16"/>
  <c r="S90" i="16"/>
  <c r="R90" i="16"/>
  <c r="Q99" i="16"/>
  <c r="P99" i="16"/>
  <c r="Q91" i="16"/>
  <c r="P96" i="16"/>
  <c r="Q92" i="16"/>
  <c r="P92" i="16"/>
  <c r="Q86" i="16"/>
  <c r="K154" i="15"/>
  <c r="M154" i="15"/>
  <c r="N154" i="15"/>
  <c r="J154" i="15"/>
  <c r="K409" i="14"/>
  <c r="M409" i="14"/>
  <c r="N409" i="14"/>
  <c r="J409" i="14"/>
  <c r="L153" i="15"/>
  <c r="P153" i="15" s="1"/>
  <c r="L152" i="15"/>
  <c r="P152" i="15" s="1"/>
  <c r="L151" i="15"/>
  <c r="P151" i="15" s="1"/>
  <c r="L150" i="15"/>
  <c r="P150" i="15" s="1"/>
  <c r="L149" i="15"/>
  <c r="P149" i="15" s="1"/>
  <c r="L148" i="15"/>
  <c r="O148" i="15" s="1"/>
  <c r="L147" i="15"/>
  <c r="P147" i="15" s="1"/>
  <c r="L146" i="15"/>
  <c r="P146" i="15" s="1"/>
  <c r="L145" i="15"/>
  <c r="P145" i="15" s="1"/>
  <c r="L144" i="15"/>
  <c r="P144" i="15" s="1"/>
  <c r="L143" i="15"/>
  <c r="P143" i="15" s="1"/>
  <c r="L142" i="15"/>
  <c r="P142" i="15" s="1"/>
  <c r="L141" i="15"/>
  <c r="P141" i="15" s="1"/>
  <c r="L140" i="15"/>
  <c r="O140" i="15" s="1"/>
  <c r="L139" i="15"/>
  <c r="P139" i="15" s="1"/>
  <c r="L138" i="15"/>
  <c r="O138" i="15" s="1"/>
  <c r="L137" i="15"/>
  <c r="P137" i="15" s="1"/>
  <c r="L136" i="15"/>
  <c r="O136" i="15" s="1"/>
  <c r="R136" i="15" s="1"/>
  <c r="L135" i="15"/>
  <c r="P135" i="15" s="1"/>
  <c r="L134" i="15"/>
  <c r="P134" i="15" s="1"/>
  <c r="L133" i="15"/>
  <c r="P133" i="15" s="1"/>
  <c r="L132" i="15"/>
  <c r="P132" i="15" s="1"/>
  <c r="L131" i="15"/>
  <c r="P131" i="15" s="1"/>
  <c r="L130" i="15"/>
  <c r="O130" i="15" s="1"/>
  <c r="L129" i="15"/>
  <c r="P129" i="15" s="1"/>
  <c r="L128" i="15"/>
  <c r="P128" i="15" s="1"/>
  <c r="L127" i="15"/>
  <c r="P127" i="15" s="1"/>
  <c r="L126" i="15"/>
  <c r="P126" i="15" s="1"/>
  <c r="L125" i="15"/>
  <c r="P125" i="15" s="1"/>
  <c r="L124" i="15"/>
  <c r="O124" i="15" s="1"/>
  <c r="R124" i="15" s="1"/>
  <c r="L123" i="15"/>
  <c r="P123" i="15" s="1"/>
  <c r="L122" i="15"/>
  <c r="P122" i="15" s="1"/>
  <c r="L121" i="15"/>
  <c r="P121" i="15" s="1"/>
  <c r="L120" i="15"/>
  <c r="O120" i="15" s="1"/>
  <c r="R120" i="15" s="1"/>
  <c r="L119" i="15"/>
  <c r="P119" i="15" s="1"/>
  <c r="L118" i="15"/>
  <c r="P118" i="15" s="1"/>
  <c r="L117" i="15"/>
  <c r="P117" i="15" s="1"/>
  <c r="L116" i="15"/>
  <c r="O116" i="15" s="1"/>
  <c r="R116" i="15" s="1"/>
  <c r="L115" i="15"/>
  <c r="P115" i="15" s="1"/>
  <c r="L114" i="15"/>
  <c r="P114" i="15" s="1"/>
  <c r="L113" i="15"/>
  <c r="P113" i="15" s="1"/>
  <c r="L112" i="15"/>
  <c r="O112" i="15" s="1"/>
  <c r="R112" i="15" s="1"/>
  <c r="L111" i="15"/>
  <c r="P111" i="15" s="1"/>
  <c r="L110" i="15"/>
  <c r="P110" i="15" s="1"/>
  <c r="L109" i="15"/>
  <c r="P109" i="15" s="1"/>
  <c r="L108" i="15"/>
  <c r="P108" i="15" s="1"/>
  <c r="L107" i="15"/>
  <c r="P107" i="15" s="1"/>
  <c r="L106" i="15"/>
  <c r="O106" i="15" s="1"/>
  <c r="L105" i="15"/>
  <c r="P105" i="15" s="1"/>
  <c r="L104" i="15"/>
  <c r="O104" i="15" s="1"/>
  <c r="R104" i="15" s="1"/>
  <c r="L103" i="15"/>
  <c r="P103" i="15" s="1"/>
  <c r="L102" i="15"/>
  <c r="P102" i="15" s="1"/>
  <c r="L101" i="15"/>
  <c r="P101" i="15" s="1"/>
  <c r="L100" i="15"/>
  <c r="O100" i="15" s="1"/>
  <c r="R100" i="15" s="1"/>
  <c r="L99" i="15"/>
  <c r="P99" i="15" s="1"/>
  <c r="L98" i="15"/>
  <c r="P98" i="15" s="1"/>
  <c r="L97" i="15"/>
  <c r="P97" i="15" s="1"/>
  <c r="L96" i="15"/>
  <c r="O96" i="15" s="1"/>
  <c r="R96" i="15" s="1"/>
  <c r="L95" i="15"/>
  <c r="P95" i="15" s="1"/>
  <c r="L94" i="15"/>
  <c r="P94" i="15" s="1"/>
  <c r="L93" i="15"/>
  <c r="P93" i="15" s="1"/>
  <c r="L92" i="15"/>
  <c r="O92" i="15" s="1"/>
  <c r="R92" i="15" s="1"/>
  <c r="L91" i="15"/>
  <c r="P91" i="15" s="1"/>
  <c r="L90" i="15"/>
  <c r="P90" i="15" s="1"/>
  <c r="L89" i="15"/>
  <c r="O89" i="15" s="1"/>
  <c r="R89" i="15" s="1"/>
  <c r="L88" i="15"/>
  <c r="P88" i="15" s="1"/>
  <c r="L87" i="15"/>
  <c r="P87" i="15" s="1"/>
  <c r="L86" i="15"/>
  <c r="P86" i="15" s="1"/>
  <c r="L85" i="15"/>
  <c r="O85" i="15" s="1"/>
  <c r="R85" i="15" s="1"/>
  <c r="L84" i="15"/>
  <c r="P84" i="15" s="1"/>
  <c r="L83" i="15"/>
  <c r="P83" i="15" s="1"/>
  <c r="L82" i="15"/>
  <c r="P82" i="15" s="1"/>
  <c r="L81" i="15"/>
  <c r="P81" i="15" s="1"/>
  <c r="L80" i="15"/>
  <c r="P80" i="15" s="1"/>
  <c r="L79" i="15"/>
  <c r="P79" i="15" s="1"/>
  <c r="L78" i="15"/>
  <c r="P78" i="15" s="1"/>
  <c r="L77" i="15"/>
  <c r="P77" i="15" s="1"/>
  <c r="L76" i="15"/>
  <c r="P76" i="15" s="1"/>
  <c r="L75" i="15"/>
  <c r="O75" i="15" s="1"/>
  <c r="L74" i="15"/>
  <c r="P74" i="15" s="1"/>
  <c r="L73" i="15"/>
  <c r="O73" i="15" s="1"/>
  <c r="R73" i="15" s="1"/>
  <c r="L72" i="15"/>
  <c r="P72" i="15" s="1"/>
  <c r="L71" i="15"/>
  <c r="P71" i="15" s="1"/>
  <c r="L70" i="15"/>
  <c r="P70" i="15" s="1"/>
  <c r="L69" i="15"/>
  <c r="P69" i="15" s="1"/>
  <c r="L68" i="15"/>
  <c r="P68" i="15" s="1"/>
  <c r="L67" i="15"/>
  <c r="P67" i="15" s="1"/>
  <c r="L66" i="15"/>
  <c r="P66" i="15" s="1"/>
  <c r="P65" i="15"/>
  <c r="L65" i="15"/>
  <c r="O65" i="15" s="1"/>
  <c r="R65" i="15" s="1"/>
  <c r="L64" i="15"/>
  <c r="P64" i="15" s="1"/>
  <c r="L63" i="15"/>
  <c r="P63" i="15" s="1"/>
  <c r="L62" i="15"/>
  <c r="P62" i="15" s="1"/>
  <c r="L61" i="15"/>
  <c r="O61" i="15" s="1"/>
  <c r="R61" i="15" s="1"/>
  <c r="L60" i="15"/>
  <c r="P60" i="15" s="1"/>
  <c r="L59" i="15"/>
  <c r="P59" i="15" s="1"/>
  <c r="L58" i="15"/>
  <c r="P58" i="15" s="1"/>
  <c r="L57" i="15"/>
  <c r="P57" i="15" s="1"/>
  <c r="L56" i="15"/>
  <c r="P56" i="15" s="1"/>
  <c r="L55" i="15"/>
  <c r="P55" i="15" s="1"/>
  <c r="L54" i="15"/>
  <c r="P54" i="15" s="1"/>
  <c r="L53" i="15"/>
  <c r="P53" i="15" s="1"/>
  <c r="L52" i="15"/>
  <c r="P52" i="15" s="1"/>
  <c r="L51" i="15"/>
  <c r="O51" i="15" s="1"/>
  <c r="L50" i="15"/>
  <c r="P50" i="15" s="1"/>
  <c r="L49" i="15"/>
  <c r="O49" i="15" s="1"/>
  <c r="R49" i="15" s="1"/>
  <c r="L48" i="15"/>
  <c r="P48" i="15" s="1"/>
  <c r="L47" i="15"/>
  <c r="P47" i="15" s="1"/>
  <c r="L46" i="15"/>
  <c r="P46" i="15" s="1"/>
  <c r="L45" i="15"/>
  <c r="O45" i="15" s="1"/>
  <c r="R45" i="15" s="1"/>
  <c r="L44" i="15"/>
  <c r="P44" i="15" s="1"/>
  <c r="L43" i="15"/>
  <c r="P43" i="15" s="1"/>
  <c r="L42" i="15"/>
  <c r="P42" i="15" s="1"/>
  <c r="L41" i="15"/>
  <c r="O41" i="15" s="1"/>
  <c r="R41" i="15" s="1"/>
  <c r="L40" i="15"/>
  <c r="P40" i="15" s="1"/>
  <c r="L39" i="15"/>
  <c r="P39" i="15" s="1"/>
  <c r="L38" i="15"/>
  <c r="P38" i="15" s="1"/>
  <c r="L37" i="15"/>
  <c r="P37" i="15" s="1"/>
  <c r="L36" i="15"/>
  <c r="P36" i="15" s="1"/>
  <c r="L35" i="15"/>
  <c r="P35" i="15" s="1"/>
  <c r="L34" i="15"/>
  <c r="P34" i="15" s="1"/>
  <c r="L33" i="15"/>
  <c r="P33" i="15" s="1"/>
  <c r="L32" i="15"/>
  <c r="O32" i="15" s="1"/>
  <c r="L31" i="15"/>
  <c r="P31" i="15" s="1"/>
  <c r="L30" i="15"/>
  <c r="O30" i="15" s="1"/>
  <c r="R30" i="15" s="1"/>
  <c r="L29" i="15"/>
  <c r="P29" i="15" s="1"/>
  <c r="L28" i="15"/>
  <c r="P28" i="15" s="1"/>
  <c r="L27" i="15"/>
  <c r="P27" i="15" s="1"/>
  <c r="L26" i="15"/>
  <c r="O26" i="15" s="1"/>
  <c r="R26" i="15" s="1"/>
  <c r="L25" i="15"/>
  <c r="P25" i="15" s="1"/>
  <c r="L24" i="15"/>
  <c r="P24" i="15" s="1"/>
  <c r="L23" i="15"/>
  <c r="P23" i="15" s="1"/>
  <c r="L22" i="15"/>
  <c r="O22" i="15" s="1"/>
  <c r="R22" i="15" s="1"/>
  <c r="L21" i="15"/>
  <c r="P21" i="15" s="1"/>
  <c r="L20" i="15"/>
  <c r="P20" i="15" s="1"/>
  <c r="L19" i="15"/>
  <c r="P19" i="15" s="1"/>
  <c r="L18" i="15"/>
  <c r="O18" i="15" s="1"/>
  <c r="R18" i="15" s="1"/>
  <c r="L17" i="15"/>
  <c r="P17" i="15" s="1"/>
  <c r="L16" i="15"/>
  <c r="P16" i="15" s="1"/>
  <c r="L15" i="15"/>
  <c r="P15" i="15" s="1"/>
  <c r="L14" i="15"/>
  <c r="P14" i="15" s="1"/>
  <c r="L13" i="15"/>
  <c r="P13" i="15" s="1"/>
  <c r="L12" i="15"/>
  <c r="O12" i="15" s="1"/>
  <c r="L11" i="15"/>
  <c r="P11" i="15" s="1"/>
  <c r="L10" i="15"/>
  <c r="O10" i="15" s="1"/>
  <c r="R10" i="15" s="1"/>
  <c r="L9" i="15"/>
  <c r="P9" i="15" s="1"/>
  <c r="L8" i="15"/>
  <c r="P8" i="15" s="1"/>
  <c r="L7" i="15"/>
  <c r="P7" i="15" s="1"/>
  <c r="L6" i="15"/>
  <c r="O6" i="15" s="1"/>
  <c r="R6" i="15" s="1"/>
  <c r="L5" i="15"/>
  <c r="P5" i="15" s="1"/>
  <c r="L4" i="15"/>
  <c r="P4" i="15" s="1"/>
  <c r="L3" i="15"/>
  <c r="O3" i="15" s="1"/>
  <c r="Q3" i="15" s="1"/>
  <c r="L2" i="15"/>
  <c r="P2" i="15" s="1"/>
  <c r="L408" i="14"/>
  <c r="P408" i="14" s="1"/>
  <c r="L407" i="14"/>
  <c r="P407" i="14" s="1"/>
  <c r="L406" i="14"/>
  <c r="P406" i="14" s="1"/>
  <c r="L405" i="14"/>
  <c r="L404" i="14"/>
  <c r="P404" i="14" s="1"/>
  <c r="L403" i="14"/>
  <c r="P403" i="14" s="1"/>
  <c r="L402" i="14"/>
  <c r="P402" i="14" s="1"/>
  <c r="L401" i="14"/>
  <c r="O401" i="14" s="1"/>
  <c r="L400" i="14"/>
  <c r="P400" i="14" s="1"/>
  <c r="L399" i="14"/>
  <c r="P399" i="14" s="1"/>
  <c r="L398" i="14"/>
  <c r="P398" i="14" s="1"/>
  <c r="L397" i="14"/>
  <c r="L396" i="14"/>
  <c r="P396" i="14" s="1"/>
  <c r="L395" i="14"/>
  <c r="P395" i="14" s="1"/>
  <c r="L394" i="14"/>
  <c r="P394" i="14" s="1"/>
  <c r="L393" i="14"/>
  <c r="O393" i="14" s="1"/>
  <c r="L392" i="14"/>
  <c r="P392" i="14" s="1"/>
  <c r="L391" i="14"/>
  <c r="P391" i="14" s="1"/>
  <c r="L390" i="14"/>
  <c r="P390" i="14" s="1"/>
  <c r="L389" i="14"/>
  <c r="L388" i="14"/>
  <c r="P388" i="14" s="1"/>
  <c r="L387" i="14"/>
  <c r="O387" i="14" s="1"/>
  <c r="L386" i="14"/>
  <c r="P386" i="14" s="1"/>
  <c r="L385" i="14"/>
  <c r="O385" i="14" s="1"/>
  <c r="L384" i="14"/>
  <c r="P384" i="14" s="1"/>
  <c r="L383" i="14"/>
  <c r="O383" i="14" s="1"/>
  <c r="L382" i="14"/>
  <c r="P382" i="14" s="1"/>
  <c r="L381" i="14"/>
  <c r="L380" i="14"/>
  <c r="P380" i="14" s="1"/>
  <c r="L379" i="14"/>
  <c r="P379" i="14" s="1"/>
  <c r="L378" i="14"/>
  <c r="P378" i="14" s="1"/>
  <c r="L377" i="14"/>
  <c r="O377" i="14" s="1"/>
  <c r="L376" i="14"/>
  <c r="P376" i="14" s="1"/>
  <c r="L375" i="14"/>
  <c r="P375" i="14" s="1"/>
  <c r="L374" i="14"/>
  <c r="P374" i="14" s="1"/>
  <c r="L373" i="14"/>
  <c r="L372" i="14"/>
  <c r="P372" i="14" s="1"/>
  <c r="L371" i="14"/>
  <c r="P371" i="14" s="1"/>
  <c r="L370" i="14"/>
  <c r="P370" i="14" s="1"/>
  <c r="L369" i="14"/>
  <c r="O369" i="14" s="1"/>
  <c r="L368" i="14"/>
  <c r="P368" i="14" s="1"/>
  <c r="L367" i="14"/>
  <c r="O367" i="14" s="1"/>
  <c r="Q367" i="14" s="1"/>
  <c r="L366" i="14"/>
  <c r="P366" i="14" s="1"/>
  <c r="L365" i="14"/>
  <c r="P365" i="14" s="1"/>
  <c r="L364" i="14"/>
  <c r="P364" i="14" s="1"/>
  <c r="L363" i="14"/>
  <c r="O363" i="14" s="1"/>
  <c r="L362" i="14"/>
  <c r="P362" i="14" s="1"/>
  <c r="L361" i="14"/>
  <c r="L360" i="14"/>
  <c r="P360" i="14" s="1"/>
  <c r="L359" i="14"/>
  <c r="O359" i="14" s="1"/>
  <c r="L358" i="14"/>
  <c r="P358" i="14" s="1"/>
  <c r="L357" i="14"/>
  <c r="O357" i="14" s="1"/>
  <c r="L356" i="14"/>
  <c r="P356" i="14" s="1"/>
  <c r="L355" i="14"/>
  <c r="P355" i="14" s="1"/>
  <c r="L354" i="14"/>
  <c r="P354" i="14" s="1"/>
  <c r="L353" i="14"/>
  <c r="P353" i="14" s="1"/>
  <c r="L352" i="14"/>
  <c r="P352" i="14" s="1"/>
  <c r="L351" i="14"/>
  <c r="L350" i="14"/>
  <c r="P350" i="14" s="1"/>
  <c r="L349" i="14"/>
  <c r="L348" i="14"/>
  <c r="P348" i="14" s="1"/>
  <c r="L347" i="14"/>
  <c r="P347" i="14" s="1"/>
  <c r="L346" i="14"/>
  <c r="P346" i="14" s="1"/>
  <c r="L345" i="14"/>
  <c r="O345" i="14" s="1"/>
  <c r="L344" i="14"/>
  <c r="P344" i="14" s="1"/>
  <c r="L343" i="14"/>
  <c r="O343" i="14" s="1"/>
  <c r="L342" i="14"/>
  <c r="P342" i="14" s="1"/>
  <c r="L341" i="14"/>
  <c r="L340" i="14"/>
  <c r="P340" i="14" s="1"/>
  <c r="L339" i="14"/>
  <c r="O339" i="14" s="1"/>
  <c r="L338" i="14"/>
  <c r="P338" i="14" s="1"/>
  <c r="L337" i="14"/>
  <c r="L336" i="14"/>
  <c r="P336" i="14" s="1"/>
  <c r="L335" i="14"/>
  <c r="P335" i="14" s="1"/>
  <c r="L334" i="14"/>
  <c r="P334" i="14" s="1"/>
  <c r="P333" i="14"/>
  <c r="L333" i="14"/>
  <c r="O333" i="14" s="1"/>
  <c r="Q333" i="14" s="1"/>
  <c r="L332" i="14"/>
  <c r="P332" i="14" s="1"/>
  <c r="L331" i="14"/>
  <c r="P331" i="14" s="1"/>
  <c r="L330" i="14"/>
  <c r="P330" i="14" s="1"/>
  <c r="L329" i="14"/>
  <c r="O329" i="14" s="1"/>
  <c r="L328" i="14"/>
  <c r="P328" i="14" s="1"/>
  <c r="L327" i="14"/>
  <c r="L326" i="14"/>
  <c r="P326" i="14" s="1"/>
  <c r="L325" i="14"/>
  <c r="L324" i="14"/>
  <c r="P324" i="14" s="1"/>
  <c r="L323" i="14"/>
  <c r="O323" i="14" s="1"/>
  <c r="Q323" i="14" s="1"/>
  <c r="L322" i="14"/>
  <c r="P322" i="14" s="1"/>
  <c r="L321" i="14"/>
  <c r="L320" i="14"/>
  <c r="L319" i="14"/>
  <c r="O319" i="14" s="1"/>
  <c r="Q319" i="14" s="1"/>
  <c r="L318" i="14"/>
  <c r="L317" i="14"/>
  <c r="L316" i="14"/>
  <c r="L315" i="14"/>
  <c r="O315" i="14" s="1"/>
  <c r="L314" i="14"/>
  <c r="O314" i="14" s="1"/>
  <c r="L313" i="14"/>
  <c r="P313" i="14" s="1"/>
  <c r="L312" i="14"/>
  <c r="O312" i="14" s="1"/>
  <c r="Q312" i="14" s="1"/>
  <c r="L311" i="14"/>
  <c r="L310" i="14"/>
  <c r="O310" i="14" s="1"/>
  <c r="Q310" i="14" s="1"/>
  <c r="L309" i="14"/>
  <c r="O309" i="14" s="1"/>
  <c r="L308" i="14"/>
  <c r="O308" i="14" s="1"/>
  <c r="L307" i="14"/>
  <c r="P307" i="14" s="1"/>
  <c r="L306" i="14"/>
  <c r="O306" i="14" s="1"/>
  <c r="Q306" i="14" s="1"/>
  <c r="L305" i="14"/>
  <c r="L304" i="14"/>
  <c r="O304" i="14" s="1"/>
  <c r="Q304" i="14" s="1"/>
  <c r="L303" i="14"/>
  <c r="L302" i="14"/>
  <c r="O302" i="14" s="1"/>
  <c r="L301" i="14"/>
  <c r="P301" i="14" s="1"/>
  <c r="L300" i="14"/>
  <c r="L299" i="14"/>
  <c r="L298" i="14"/>
  <c r="O298" i="14" s="1"/>
  <c r="Q298" i="14" s="1"/>
  <c r="L297" i="14"/>
  <c r="L296" i="14"/>
  <c r="O296" i="14" s="1"/>
  <c r="L295" i="14"/>
  <c r="P295" i="14" s="1"/>
  <c r="L294" i="14"/>
  <c r="L293" i="14"/>
  <c r="L292" i="14"/>
  <c r="O292" i="14" s="1"/>
  <c r="L291" i="14"/>
  <c r="L290" i="14"/>
  <c r="O290" i="14" s="1"/>
  <c r="L289" i="14"/>
  <c r="L288" i="14"/>
  <c r="L287" i="14"/>
  <c r="L286" i="14"/>
  <c r="O286" i="14" s="1"/>
  <c r="Q286" i="14" s="1"/>
  <c r="L285" i="14"/>
  <c r="L284" i="14"/>
  <c r="L283" i="14"/>
  <c r="O283" i="14" s="1"/>
  <c r="Q283" i="14" s="1"/>
  <c r="L282" i="14"/>
  <c r="L281" i="14"/>
  <c r="O281" i="14" s="1"/>
  <c r="L280" i="14"/>
  <c r="L279" i="14"/>
  <c r="P279" i="14" s="1"/>
  <c r="L278" i="14"/>
  <c r="O278" i="14" s="1"/>
  <c r="R278" i="14" s="1"/>
  <c r="L277" i="14"/>
  <c r="R276" i="14"/>
  <c r="Q276" i="14"/>
  <c r="L276" i="14"/>
  <c r="O276" i="14" s="1"/>
  <c r="L275" i="14"/>
  <c r="O275" i="14" s="1"/>
  <c r="L274" i="14"/>
  <c r="L273" i="14"/>
  <c r="P273" i="14" s="1"/>
  <c r="L272" i="14"/>
  <c r="L271" i="14"/>
  <c r="L270" i="14"/>
  <c r="O270" i="14" s="1"/>
  <c r="R270" i="14" s="1"/>
  <c r="L269" i="14"/>
  <c r="P269" i="14" s="1"/>
  <c r="L268" i="14"/>
  <c r="P268" i="14" s="1"/>
  <c r="L267" i="14"/>
  <c r="P267" i="14" s="1"/>
  <c r="L266" i="14"/>
  <c r="L265" i="14"/>
  <c r="P265" i="14" s="1"/>
  <c r="L264" i="14"/>
  <c r="L263" i="14"/>
  <c r="L262" i="14"/>
  <c r="P262" i="14" s="1"/>
  <c r="L261" i="14"/>
  <c r="P261" i="14" s="1"/>
  <c r="L260" i="14"/>
  <c r="O260" i="14" s="1"/>
  <c r="L259" i="14"/>
  <c r="O259" i="14" s="1"/>
  <c r="Q259" i="14" s="1"/>
  <c r="L258" i="14"/>
  <c r="O258" i="14" s="1"/>
  <c r="L257" i="14"/>
  <c r="P257" i="14" s="1"/>
  <c r="L256" i="14"/>
  <c r="P256" i="14" s="1"/>
  <c r="L255" i="14"/>
  <c r="P255" i="14" s="1"/>
  <c r="L254" i="14"/>
  <c r="O254" i="14" s="1"/>
  <c r="Q254" i="14" s="1"/>
  <c r="L253" i="14"/>
  <c r="O253" i="14" s="1"/>
  <c r="L252" i="14"/>
  <c r="L251" i="14"/>
  <c r="L250" i="14"/>
  <c r="L249" i="14"/>
  <c r="L248" i="14"/>
  <c r="P248" i="14" s="1"/>
  <c r="L247" i="14"/>
  <c r="L246" i="14"/>
  <c r="O246" i="14" s="1"/>
  <c r="L245" i="14"/>
  <c r="L244" i="14"/>
  <c r="O244" i="14" s="1"/>
  <c r="L243" i="14"/>
  <c r="O243" i="14" s="1"/>
  <c r="L242" i="14"/>
  <c r="O242" i="14" s="1"/>
  <c r="L241" i="14"/>
  <c r="L240" i="14"/>
  <c r="P240" i="14" s="1"/>
  <c r="L239" i="14"/>
  <c r="P239" i="14" s="1"/>
  <c r="L238" i="14"/>
  <c r="L237" i="14"/>
  <c r="O237" i="14" s="1"/>
  <c r="Q237" i="14" s="1"/>
  <c r="L236" i="14"/>
  <c r="L235" i="14"/>
  <c r="L234" i="14"/>
  <c r="O234" i="14" s="1"/>
  <c r="R234" i="14" s="1"/>
  <c r="L233" i="14"/>
  <c r="P233" i="14" s="1"/>
  <c r="L232" i="14"/>
  <c r="L231" i="14"/>
  <c r="O231" i="14" s="1"/>
  <c r="L230" i="14"/>
  <c r="L229" i="14"/>
  <c r="L228" i="14"/>
  <c r="O228" i="14" s="1"/>
  <c r="R228" i="14" s="1"/>
  <c r="L227" i="14"/>
  <c r="P227" i="14" s="1"/>
  <c r="L226" i="14"/>
  <c r="O226" i="14" s="1"/>
  <c r="R226" i="14" s="1"/>
  <c r="L225" i="14"/>
  <c r="O225" i="14" s="1"/>
  <c r="Q225" i="14" s="1"/>
  <c r="L224" i="14"/>
  <c r="L223" i="14"/>
  <c r="O223" i="14" s="1"/>
  <c r="R223" i="14" s="1"/>
  <c r="L222" i="14"/>
  <c r="O222" i="14" s="1"/>
  <c r="R222" i="14" s="1"/>
  <c r="L221" i="14"/>
  <c r="P221" i="14" s="1"/>
  <c r="L220" i="14"/>
  <c r="O220" i="14" s="1"/>
  <c r="R220" i="14" s="1"/>
  <c r="L219" i="14"/>
  <c r="O219" i="14" s="1"/>
  <c r="Q219" i="14" s="1"/>
  <c r="L218" i="14"/>
  <c r="L217" i="14"/>
  <c r="L216" i="14"/>
  <c r="L215" i="14"/>
  <c r="O215" i="14" s="1"/>
  <c r="L214" i="14"/>
  <c r="L213" i="14"/>
  <c r="P213" i="14" s="1"/>
  <c r="L212" i="14"/>
  <c r="L211" i="14"/>
  <c r="O211" i="14" s="1"/>
  <c r="Q211" i="14" s="1"/>
  <c r="L210" i="14"/>
  <c r="O210" i="14" s="1"/>
  <c r="R210" i="14" s="1"/>
  <c r="L209" i="14"/>
  <c r="P209" i="14" s="1"/>
  <c r="L208" i="14"/>
  <c r="O208" i="14" s="1"/>
  <c r="L207" i="14"/>
  <c r="O207" i="14" s="1"/>
  <c r="L206" i="14"/>
  <c r="L205" i="14"/>
  <c r="O205" i="14" s="1"/>
  <c r="L204" i="14"/>
  <c r="O204" i="14" s="1"/>
  <c r="R204" i="14" s="1"/>
  <c r="L203" i="14"/>
  <c r="O203" i="14" s="1"/>
  <c r="L202" i="14"/>
  <c r="L201" i="14"/>
  <c r="L200" i="14"/>
  <c r="L199" i="14"/>
  <c r="O199" i="14" s="1"/>
  <c r="R199" i="14" s="1"/>
  <c r="L198" i="14"/>
  <c r="L197" i="14"/>
  <c r="O197" i="14" s="1"/>
  <c r="R197" i="14" s="1"/>
  <c r="L196" i="14"/>
  <c r="O196" i="14" s="1"/>
  <c r="R196" i="14" s="1"/>
  <c r="L195" i="14"/>
  <c r="P195" i="14" s="1"/>
  <c r="L194" i="14"/>
  <c r="L193" i="14"/>
  <c r="L192" i="14"/>
  <c r="O192" i="14" s="1"/>
  <c r="R192" i="14" s="1"/>
  <c r="L191" i="14"/>
  <c r="P191" i="14" s="1"/>
  <c r="L190" i="14"/>
  <c r="O190" i="14" s="1"/>
  <c r="L189" i="14"/>
  <c r="P189" i="14" s="1"/>
  <c r="L188" i="14"/>
  <c r="O188" i="14" s="1"/>
  <c r="R188" i="14" s="1"/>
  <c r="L187" i="14"/>
  <c r="P187" i="14" s="1"/>
  <c r="L186" i="14"/>
  <c r="O186" i="14" s="1"/>
  <c r="R186" i="14" s="1"/>
  <c r="L185" i="14"/>
  <c r="O185" i="14" s="1"/>
  <c r="Q185" i="14" s="1"/>
  <c r="L184" i="14"/>
  <c r="L183" i="14"/>
  <c r="O183" i="14" s="1"/>
  <c r="Q183" i="14" s="1"/>
  <c r="L182" i="14"/>
  <c r="O182" i="14" s="1"/>
  <c r="R182" i="14" s="1"/>
  <c r="L181" i="14"/>
  <c r="P181" i="14" s="1"/>
  <c r="L180" i="14"/>
  <c r="O180" i="14" s="1"/>
  <c r="R180" i="14" s="1"/>
  <c r="L179" i="14"/>
  <c r="O179" i="14" s="1"/>
  <c r="L178" i="14"/>
  <c r="O178" i="14" s="1"/>
  <c r="R178" i="14" s="1"/>
  <c r="L177" i="14"/>
  <c r="L176" i="14"/>
  <c r="O176" i="14" s="1"/>
  <c r="R176" i="14" s="1"/>
  <c r="L175" i="14"/>
  <c r="O175" i="14" s="1"/>
  <c r="Q175" i="14" s="1"/>
  <c r="L174" i="14"/>
  <c r="O174" i="14" s="1"/>
  <c r="L173" i="14"/>
  <c r="P173" i="14" s="1"/>
  <c r="L172" i="14"/>
  <c r="L171" i="14"/>
  <c r="O171" i="14" s="1"/>
  <c r="R171" i="14" s="1"/>
  <c r="L170" i="14"/>
  <c r="O170" i="14" s="1"/>
  <c r="R170" i="14" s="1"/>
  <c r="L169" i="14"/>
  <c r="O169" i="14" s="1"/>
  <c r="L168" i="14"/>
  <c r="O168" i="14" s="1"/>
  <c r="Q168" i="14" s="1"/>
  <c r="L167" i="14"/>
  <c r="L166" i="14"/>
  <c r="L165" i="14"/>
  <c r="O165" i="14" s="1"/>
  <c r="Q165" i="14" s="1"/>
  <c r="L164" i="14"/>
  <c r="O164" i="14" s="1"/>
  <c r="R164" i="14" s="1"/>
  <c r="L163" i="14"/>
  <c r="O163" i="14" s="1"/>
  <c r="Q163" i="14" s="1"/>
  <c r="L162" i="14"/>
  <c r="O162" i="14" s="1"/>
  <c r="Q162" i="14" s="1"/>
  <c r="L161" i="14"/>
  <c r="O161" i="14" s="1"/>
  <c r="R161" i="14" s="1"/>
  <c r="L160" i="14"/>
  <c r="L159" i="14"/>
  <c r="P159" i="14" s="1"/>
  <c r="L158" i="14"/>
  <c r="O158" i="14" s="1"/>
  <c r="L157" i="14"/>
  <c r="O157" i="14" s="1"/>
  <c r="Q157" i="14" s="1"/>
  <c r="L156" i="14"/>
  <c r="L155" i="14"/>
  <c r="P155" i="14" s="1"/>
  <c r="L154" i="14"/>
  <c r="O154" i="14" s="1"/>
  <c r="R154" i="14" s="1"/>
  <c r="L153" i="14"/>
  <c r="O153" i="14" s="1"/>
  <c r="R153" i="14" s="1"/>
  <c r="L152" i="14"/>
  <c r="O152" i="14" s="1"/>
  <c r="Q152" i="14" s="1"/>
  <c r="L151" i="14"/>
  <c r="P151" i="14" s="1"/>
  <c r="L150" i="14"/>
  <c r="L149" i="14"/>
  <c r="P149" i="14" s="1"/>
  <c r="L148" i="14"/>
  <c r="O148" i="14" s="1"/>
  <c r="Q148" i="14" s="1"/>
  <c r="L147" i="14"/>
  <c r="O147" i="14" s="1"/>
  <c r="L146" i="14"/>
  <c r="O146" i="14" s="1"/>
  <c r="R146" i="14" s="1"/>
  <c r="L145" i="14"/>
  <c r="P145" i="14" s="1"/>
  <c r="L144" i="14"/>
  <c r="O144" i="14" s="1"/>
  <c r="Q144" i="14" s="1"/>
  <c r="L143" i="14"/>
  <c r="L142" i="14"/>
  <c r="L141" i="14"/>
  <c r="O141" i="14" s="1"/>
  <c r="Q141" i="14" s="1"/>
  <c r="L140" i="14"/>
  <c r="O140" i="14" s="1"/>
  <c r="R140" i="14" s="1"/>
  <c r="L139" i="14"/>
  <c r="O139" i="14" s="1"/>
  <c r="L138" i="14"/>
  <c r="L137" i="14"/>
  <c r="O137" i="14" s="1"/>
  <c r="Q137" i="14" s="1"/>
  <c r="L136" i="14"/>
  <c r="O136" i="14" s="1"/>
  <c r="R136" i="14" s="1"/>
  <c r="L135" i="14"/>
  <c r="O135" i="14" s="1"/>
  <c r="L134" i="14"/>
  <c r="O134" i="14" s="1"/>
  <c r="L133" i="14"/>
  <c r="P133" i="14" s="1"/>
  <c r="L132" i="14"/>
  <c r="L131" i="14"/>
  <c r="P131" i="14" s="1"/>
  <c r="L130" i="14"/>
  <c r="O130" i="14" s="1"/>
  <c r="R130" i="14" s="1"/>
  <c r="L129" i="14"/>
  <c r="O129" i="14" s="1"/>
  <c r="R129" i="14" s="1"/>
  <c r="L128" i="14"/>
  <c r="O128" i="14" s="1"/>
  <c r="Q128" i="14" s="1"/>
  <c r="L127" i="14"/>
  <c r="O127" i="14" s="1"/>
  <c r="L126" i="14"/>
  <c r="L125" i="14"/>
  <c r="O125" i="14" s="1"/>
  <c r="R125" i="14" s="1"/>
  <c r="L124" i="14"/>
  <c r="O124" i="14" s="1"/>
  <c r="R124" i="14" s="1"/>
  <c r="L123" i="14"/>
  <c r="P123" i="14" s="1"/>
  <c r="L122" i="14"/>
  <c r="L121" i="14"/>
  <c r="P121" i="14" s="1"/>
  <c r="L120" i="14"/>
  <c r="L119" i="14"/>
  <c r="L118" i="14"/>
  <c r="P118" i="14" s="1"/>
  <c r="L117" i="14"/>
  <c r="L116" i="14"/>
  <c r="P116" i="14" s="1"/>
  <c r="L115" i="14"/>
  <c r="L114" i="14"/>
  <c r="L113" i="14"/>
  <c r="L112" i="14"/>
  <c r="P112" i="14" s="1"/>
  <c r="L111" i="14"/>
  <c r="L110" i="14"/>
  <c r="P110" i="14" s="1"/>
  <c r="L109" i="14"/>
  <c r="L108" i="14"/>
  <c r="P108" i="14" s="1"/>
  <c r="L107" i="14"/>
  <c r="L106" i="14"/>
  <c r="P106" i="14" s="1"/>
  <c r="L105" i="14"/>
  <c r="L104" i="14"/>
  <c r="L103" i="14"/>
  <c r="L102" i="14"/>
  <c r="P102" i="14" s="1"/>
  <c r="L101" i="14"/>
  <c r="L100" i="14"/>
  <c r="P100" i="14" s="1"/>
  <c r="L99" i="14"/>
  <c r="P99" i="14" s="1"/>
  <c r="L98" i="14"/>
  <c r="O98" i="14" s="1"/>
  <c r="Q98" i="14" s="1"/>
  <c r="L97" i="14"/>
  <c r="L96" i="14"/>
  <c r="O96" i="14" s="1"/>
  <c r="R96" i="14" s="1"/>
  <c r="L95" i="14"/>
  <c r="P95" i="14" s="1"/>
  <c r="L94" i="14"/>
  <c r="O94" i="14" s="1"/>
  <c r="R94" i="14" s="1"/>
  <c r="L93" i="14"/>
  <c r="P93" i="14" s="1"/>
  <c r="L92" i="14"/>
  <c r="O92" i="14" s="1"/>
  <c r="L91" i="14"/>
  <c r="P91" i="14" s="1"/>
  <c r="L90" i="14"/>
  <c r="O90" i="14" s="1"/>
  <c r="L89" i="14"/>
  <c r="P89" i="14" s="1"/>
  <c r="L88" i="14"/>
  <c r="P88" i="14" s="1"/>
  <c r="L87" i="14"/>
  <c r="P87" i="14" s="1"/>
  <c r="L86" i="14"/>
  <c r="P86" i="14" s="1"/>
  <c r="L85" i="14"/>
  <c r="P85" i="14" s="1"/>
  <c r="L84" i="14"/>
  <c r="L83" i="14"/>
  <c r="L82" i="14"/>
  <c r="O82" i="14" s="1"/>
  <c r="L81" i="14"/>
  <c r="P81" i="14" s="1"/>
  <c r="L80" i="14"/>
  <c r="O80" i="14" s="1"/>
  <c r="R80" i="14" s="1"/>
  <c r="L79" i="14"/>
  <c r="P79" i="14" s="1"/>
  <c r="L78" i="14"/>
  <c r="P78" i="14" s="1"/>
  <c r="L77" i="14"/>
  <c r="P77" i="14" s="1"/>
  <c r="L76" i="14"/>
  <c r="P76" i="14" s="1"/>
  <c r="L75" i="14"/>
  <c r="P75" i="14" s="1"/>
  <c r="L74" i="14"/>
  <c r="O74" i="14" s="1"/>
  <c r="Q74" i="14" s="1"/>
  <c r="L73" i="14"/>
  <c r="L72" i="14"/>
  <c r="O72" i="14" s="1"/>
  <c r="Q72" i="14" s="1"/>
  <c r="L71" i="14"/>
  <c r="P71" i="14" s="1"/>
  <c r="L70" i="14"/>
  <c r="O70" i="14" s="1"/>
  <c r="R70" i="14" s="1"/>
  <c r="L69" i="14"/>
  <c r="P69" i="14" s="1"/>
  <c r="L68" i="14"/>
  <c r="P68" i="14" s="1"/>
  <c r="L67" i="14"/>
  <c r="P67" i="14" s="1"/>
  <c r="L66" i="14"/>
  <c r="P66" i="14" s="1"/>
  <c r="L65" i="14"/>
  <c r="P65" i="14" s="1"/>
  <c r="L64" i="14"/>
  <c r="O64" i="14" s="1"/>
  <c r="L63" i="14"/>
  <c r="P63" i="14" s="1"/>
  <c r="L62" i="14"/>
  <c r="P62" i="14" s="1"/>
  <c r="L61" i="14"/>
  <c r="L60" i="14"/>
  <c r="P60" i="14" s="1"/>
  <c r="L59" i="14"/>
  <c r="L58" i="14"/>
  <c r="P58" i="14" s="1"/>
  <c r="L57" i="14"/>
  <c r="L56" i="14"/>
  <c r="P56" i="14" s="1"/>
  <c r="L55" i="14"/>
  <c r="L54" i="14"/>
  <c r="P54" i="14" s="1"/>
  <c r="L53" i="14"/>
  <c r="L52" i="14"/>
  <c r="P52" i="14" s="1"/>
  <c r="L51" i="14"/>
  <c r="L50" i="14"/>
  <c r="P50" i="14" s="1"/>
  <c r="L49" i="14"/>
  <c r="L48" i="14"/>
  <c r="P48" i="14" s="1"/>
  <c r="L47" i="14"/>
  <c r="L46" i="14"/>
  <c r="P46" i="14" s="1"/>
  <c r="L45" i="14"/>
  <c r="L44" i="14"/>
  <c r="P44" i="14" s="1"/>
  <c r="L43" i="14"/>
  <c r="L42" i="14"/>
  <c r="P42" i="14" s="1"/>
  <c r="L41" i="14"/>
  <c r="L40" i="14"/>
  <c r="P40" i="14" s="1"/>
  <c r="L39" i="14"/>
  <c r="L38" i="14"/>
  <c r="O38" i="14" s="1"/>
  <c r="R38" i="14" s="1"/>
  <c r="L37" i="14"/>
  <c r="L36" i="14"/>
  <c r="P36" i="14" s="1"/>
  <c r="L35" i="14"/>
  <c r="L34" i="14"/>
  <c r="P34" i="14" s="1"/>
  <c r="L33" i="14"/>
  <c r="L32" i="14"/>
  <c r="O32" i="14" s="1"/>
  <c r="R32" i="14" s="1"/>
  <c r="L31" i="14"/>
  <c r="L30" i="14"/>
  <c r="P30" i="14" s="1"/>
  <c r="L29" i="14"/>
  <c r="L28" i="14"/>
  <c r="O28" i="14" s="1"/>
  <c r="R28" i="14" s="1"/>
  <c r="L27" i="14"/>
  <c r="L26" i="14"/>
  <c r="O26" i="14" s="1"/>
  <c r="R26" i="14" s="1"/>
  <c r="L25" i="14"/>
  <c r="L24" i="14"/>
  <c r="P24" i="14" s="1"/>
  <c r="L23" i="14"/>
  <c r="L22" i="14"/>
  <c r="O22" i="14" s="1"/>
  <c r="R22" i="14" s="1"/>
  <c r="L21" i="14"/>
  <c r="L20" i="14"/>
  <c r="P20" i="14" s="1"/>
  <c r="L19" i="14"/>
  <c r="L18" i="14"/>
  <c r="P18" i="14" s="1"/>
  <c r="L17" i="14"/>
  <c r="L16" i="14"/>
  <c r="P16" i="14" s="1"/>
  <c r="L15" i="14"/>
  <c r="L14" i="14"/>
  <c r="P14" i="14" s="1"/>
  <c r="L13" i="14"/>
  <c r="L12" i="14"/>
  <c r="P12" i="14" s="1"/>
  <c r="L11" i="14"/>
  <c r="P11" i="14" s="1"/>
  <c r="L10" i="14"/>
  <c r="O10" i="14" s="1"/>
  <c r="R10" i="14" s="1"/>
  <c r="L9" i="14"/>
  <c r="O9" i="14" s="1"/>
  <c r="R9" i="14" s="1"/>
  <c r="L8" i="14"/>
  <c r="P8" i="14" s="1"/>
  <c r="L7" i="14"/>
  <c r="O7" i="14" s="1"/>
  <c r="R7" i="14" s="1"/>
  <c r="L6" i="14"/>
  <c r="P6" i="14" s="1"/>
  <c r="L5" i="14"/>
  <c r="P5" i="14" s="1"/>
  <c r="L4" i="14"/>
  <c r="O4" i="14" s="1"/>
  <c r="L3" i="14"/>
  <c r="O3" i="14" s="1"/>
  <c r="R3" i="14" s="1"/>
  <c r="L2" i="14"/>
  <c r="P2" i="14" s="1"/>
  <c r="K155" i="13"/>
  <c r="M155" i="13"/>
  <c r="N155" i="13"/>
  <c r="J155" i="13"/>
  <c r="K5" i="13"/>
  <c r="M5" i="13"/>
  <c r="N5" i="13"/>
  <c r="J5" i="13"/>
  <c r="K410" i="12"/>
  <c r="M410" i="12"/>
  <c r="N410" i="12"/>
  <c r="J410" i="12"/>
  <c r="K13" i="12"/>
  <c r="M13" i="12"/>
  <c r="N13" i="12"/>
  <c r="J13" i="12"/>
  <c r="K156" i="11"/>
  <c r="M156" i="11"/>
  <c r="N156" i="11"/>
  <c r="J156" i="11"/>
  <c r="K66" i="11"/>
  <c r="M66" i="11"/>
  <c r="N66" i="11"/>
  <c r="J66" i="11"/>
  <c r="K5" i="11"/>
  <c r="M5" i="11"/>
  <c r="N5" i="11"/>
  <c r="J5" i="11"/>
  <c r="K412" i="10"/>
  <c r="M412" i="10"/>
  <c r="N412" i="10"/>
  <c r="J412" i="10"/>
  <c r="K137" i="10"/>
  <c r="M137" i="10"/>
  <c r="N137" i="10"/>
  <c r="J137" i="10"/>
  <c r="K14" i="10"/>
  <c r="M14" i="10"/>
  <c r="N14" i="10"/>
  <c r="J14" i="10"/>
  <c r="K7" i="10"/>
  <c r="M7" i="10"/>
  <c r="N7" i="10"/>
  <c r="J7" i="10"/>
  <c r="K160" i="9"/>
  <c r="M160" i="9"/>
  <c r="N160" i="9"/>
  <c r="J160" i="9"/>
  <c r="K137" i="9"/>
  <c r="M137" i="9"/>
  <c r="N137" i="9"/>
  <c r="J137" i="9"/>
  <c r="K75" i="9"/>
  <c r="M75" i="9"/>
  <c r="N75" i="9"/>
  <c r="J75" i="9"/>
  <c r="K68" i="9"/>
  <c r="M68" i="9"/>
  <c r="N68" i="9"/>
  <c r="J68" i="9"/>
  <c r="K47" i="9"/>
  <c r="M47" i="9"/>
  <c r="N47" i="9"/>
  <c r="J47" i="9"/>
  <c r="K4" i="9"/>
  <c r="M4" i="9"/>
  <c r="N4" i="9"/>
  <c r="J4" i="9"/>
  <c r="K416" i="8"/>
  <c r="M416" i="8"/>
  <c r="N416" i="8"/>
  <c r="J416" i="8"/>
  <c r="K278" i="8"/>
  <c r="M278" i="8"/>
  <c r="N278" i="8"/>
  <c r="J278" i="8"/>
  <c r="K149" i="8"/>
  <c r="M149" i="8"/>
  <c r="N149" i="8"/>
  <c r="J149" i="8"/>
  <c r="K139" i="8"/>
  <c r="M139" i="8"/>
  <c r="N139" i="8"/>
  <c r="J139" i="8"/>
  <c r="K80" i="8"/>
  <c r="M80" i="8"/>
  <c r="N80" i="8"/>
  <c r="J80" i="8"/>
  <c r="K15" i="8"/>
  <c r="M15" i="8"/>
  <c r="N15" i="8"/>
  <c r="J15" i="8"/>
  <c r="K8" i="8"/>
  <c r="M8" i="8"/>
  <c r="N8" i="8"/>
  <c r="J8" i="8"/>
  <c r="K5" i="8"/>
  <c r="M5" i="8"/>
  <c r="N5" i="8"/>
  <c r="J5" i="8"/>
  <c r="K163" i="7"/>
  <c r="M163" i="7"/>
  <c r="N163" i="7"/>
  <c r="J163" i="7"/>
  <c r="K140" i="7"/>
  <c r="M140" i="7"/>
  <c r="N140" i="7"/>
  <c r="J140" i="7"/>
  <c r="K98" i="7"/>
  <c r="M98" i="7"/>
  <c r="N98" i="7"/>
  <c r="J98" i="7"/>
  <c r="K77" i="7"/>
  <c r="M77" i="7"/>
  <c r="N77" i="7"/>
  <c r="J77" i="7"/>
  <c r="K70" i="7"/>
  <c r="M70" i="7"/>
  <c r="N70" i="7"/>
  <c r="J70" i="7"/>
  <c r="K55" i="7"/>
  <c r="M55" i="7"/>
  <c r="N55" i="7"/>
  <c r="J55" i="7"/>
  <c r="K48" i="7"/>
  <c r="M48" i="7"/>
  <c r="N48" i="7"/>
  <c r="J48" i="7"/>
  <c r="K33" i="7"/>
  <c r="M33" i="7"/>
  <c r="N33" i="7"/>
  <c r="J33" i="7"/>
  <c r="K4" i="7"/>
  <c r="M4" i="7"/>
  <c r="N4" i="7"/>
  <c r="J4" i="7"/>
  <c r="K420" i="6"/>
  <c r="M420" i="6"/>
  <c r="N420" i="6"/>
  <c r="J420" i="6"/>
  <c r="K391" i="6"/>
  <c r="M391" i="6"/>
  <c r="N391" i="6"/>
  <c r="J391" i="6"/>
  <c r="K281" i="6"/>
  <c r="M281" i="6"/>
  <c r="N281" i="6"/>
  <c r="J281" i="6"/>
  <c r="K194" i="6"/>
  <c r="M194" i="6"/>
  <c r="N194" i="6"/>
  <c r="J194" i="6"/>
  <c r="K151" i="6"/>
  <c r="M151" i="6"/>
  <c r="N151" i="6"/>
  <c r="J151" i="6"/>
  <c r="K141" i="6"/>
  <c r="M141" i="6"/>
  <c r="N141" i="6"/>
  <c r="J141" i="6"/>
  <c r="K93" i="6"/>
  <c r="M93" i="6"/>
  <c r="N93" i="6"/>
  <c r="J93" i="6"/>
  <c r="K81" i="6"/>
  <c r="M81" i="6"/>
  <c r="N81" i="6"/>
  <c r="J81" i="6"/>
  <c r="K53" i="6"/>
  <c r="M53" i="6"/>
  <c r="N53" i="6"/>
  <c r="J53" i="6"/>
  <c r="K15" i="6"/>
  <c r="M15" i="6"/>
  <c r="N15" i="6"/>
  <c r="J15" i="6"/>
  <c r="K8" i="6"/>
  <c r="M8" i="6"/>
  <c r="N8" i="6"/>
  <c r="J8" i="6"/>
  <c r="K5" i="6"/>
  <c r="M5" i="6"/>
  <c r="N5" i="6"/>
  <c r="J5" i="6"/>
  <c r="K178" i="3"/>
  <c r="M178" i="3"/>
  <c r="N178" i="3"/>
  <c r="J178" i="3"/>
  <c r="K154" i="3"/>
  <c r="M154" i="3"/>
  <c r="N154" i="3"/>
  <c r="J154" i="3"/>
  <c r="K135" i="3"/>
  <c r="M135" i="3"/>
  <c r="N135" i="3"/>
  <c r="J135" i="3"/>
  <c r="K125" i="3"/>
  <c r="M125" i="3"/>
  <c r="N125" i="3"/>
  <c r="J125" i="3"/>
  <c r="K114" i="3"/>
  <c r="M114" i="3"/>
  <c r="N114" i="3"/>
  <c r="J114" i="3"/>
  <c r="K109" i="3"/>
  <c r="M109" i="3"/>
  <c r="N109" i="3"/>
  <c r="J109" i="3"/>
  <c r="K104" i="3"/>
  <c r="M104" i="3"/>
  <c r="N104" i="3"/>
  <c r="J104" i="3"/>
  <c r="K87" i="3"/>
  <c r="M87" i="3"/>
  <c r="N87" i="3"/>
  <c r="J87" i="3"/>
  <c r="K83" i="3"/>
  <c r="M83" i="3"/>
  <c r="N83" i="3"/>
  <c r="J83" i="3"/>
  <c r="K77" i="3"/>
  <c r="M77" i="3"/>
  <c r="N77" i="3"/>
  <c r="J77" i="3"/>
  <c r="K63" i="3"/>
  <c r="L63" i="3"/>
  <c r="M63" i="3"/>
  <c r="N63" i="3"/>
  <c r="J63" i="3"/>
  <c r="K52" i="3"/>
  <c r="M52" i="3"/>
  <c r="N52" i="3"/>
  <c r="J52" i="3"/>
  <c r="K42" i="3"/>
  <c r="M42" i="3"/>
  <c r="N42" i="3"/>
  <c r="J42" i="3"/>
  <c r="K34" i="3"/>
  <c r="M34" i="3"/>
  <c r="N34" i="3"/>
  <c r="J34" i="3"/>
  <c r="K28" i="3"/>
  <c r="M28" i="3"/>
  <c r="N28" i="3"/>
  <c r="J28" i="3"/>
  <c r="K4" i="3"/>
  <c r="M4" i="3"/>
  <c r="N4" i="3"/>
  <c r="J4" i="3"/>
  <c r="K455" i="2"/>
  <c r="M455" i="2"/>
  <c r="N455" i="2"/>
  <c r="J455" i="2"/>
  <c r="K444" i="2"/>
  <c r="M444" i="2"/>
  <c r="N444" i="2"/>
  <c r="J444" i="2"/>
  <c r="K437" i="2"/>
  <c r="M437" i="2"/>
  <c r="N437" i="2"/>
  <c r="J437" i="2"/>
  <c r="K420" i="2"/>
  <c r="M420" i="2"/>
  <c r="N420" i="2"/>
  <c r="J420" i="2"/>
  <c r="K413" i="2"/>
  <c r="M413" i="2"/>
  <c r="N413" i="2"/>
  <c r="J413" i="2"/>
  <c r="K313" i="2"/>
  <c r="M313" i="2"/>
  <c r="N313" i="2"/>
  <c r="J313" i="2"/>
  <c r="K304" i="2"/>
  <c r="M304" i="2"/>
  <c r="N304" i="2"/>
  <c r="J304" i="2"/>
  <c r="K254" i="2"/>
  <c r="M254" i="2"/>
  <c r="N254" i="2"/>
  <c r="J254" i="2"/>
  <c r="K247" i="2"/>
  <c r="M247" i="2"/>
  <c r="N247" i="2"/>
  <c r="J247" i="2"/>
  <c r="K228" i="2"/>
  <c r="M228" i="2"/>
  <c r="N228" i="2"/>
  <c r="J228" i="2"/>
  <c r="K214" i="2"/>
  <c r="M214" i="2"/>
  <c r="N214" i="2"/>
  <c r="J214" i="2"/>
  <c r="K212" i="2"/>
  <c r="M212" i="2"/>
  <c r="N212" i="2"/>
  <c r="J212" i="2"/>
  <c r="K168" i="2"/>
  <c r="M168" i="2"/>
  <c r="N168" i="2"/>
  <c r="J168" i="2"/>
  <c r="K165" i="2"/>
  <c r="M165" i="2"/>
  <c r="N165" i="2"/>
  <c r="J165" i="2"/>
  <c r="K158" i="2"/>
  <c r="M158" i="2"/>
  <c r="N158" i="2"/>
  <c r="J158" i="2"/>
  <c r="K151" i="2"/>
  <c r="M151" i="2"/>
  <c r="N151" i="2"/>
  <c r="J151" i="2"/>
  <c r="K103" i="2"/>
  <c r="M103" i="2"/>
  <c r="N103" i="2"/>
  <c r="J103" i="2"/>
  <c r="K85" i="2"/>
  <c r="M85" i="2"/>
  <c r="N85" i="2"/>
  <c r="J85" i="2"/>
  <c r="K64" i="2"/>
  <c r="M64" i="2"/>
  <c r="N64" i="2"/>
  <c r="J64" i="2"/>
  <c r="K60" i="2"/>
  <c r="M60" i="2"/>
  <c r="N60" i="2"/>
  <c r="J60" i="2"/>
  <c r="K55" i="2"/>
  <c r="M55" i="2"/>
  <c r="N55" i="2"/>
  <c r="J55" i="2"/>
  <c r="K51" i="2"/>
  <c r="M51" i="2"/>
  <c r="N51" i="2"/>
  <c r="J51" i="2"/>
  <c r="K47" i="2"/>
  <c r="M47" i="2"/>
  <c r="N47" i="2"/>
  <c r="J47" i="2"/>
  <c r="K16" i="2"/>
  <c r="M16" i="2"/>
  <c r="N16" i="2"/>
  <c r="J16" i="2"/>
  <c r="K8" i="2"/>
  <c r="M8" i="2"/>
  <c r="N8" i="2"/>
  <c r="J8" i="2"/>
  <c r="M5" i="2"/>
  <c r="N5" i="2"/>
  <c r="K5" i="2"/>
  <c r="J5" i="2"/>
  <c r="L154" i="13"/>
  <c r="P154" i="13" s="1"/>
  <c r="L153" i="13"/>
  <c r="P153" i="13" s="1"/>
  <c r="L152" i="13"/>
  <c r="P152" i="13" s="1"/>
  <c r="L151" i="13"/>
  <c r="O151" i="13" s="1"/>
  <c r="L150" i="13"/>
  <c r="P150" i="13" s="1"/>
  <c r="L149" i="13"/>
  <c r="O149" i="13" s="1"/>
  <c r="L148" i="13"/>
  <c r="P148" i="13" s="1"/>
  <c r="L147" i="13"/>
  <c r="P147" i="13" s="1"/>
  <c r="L146" i="13"/>
  <c r="P146" i="13" s="1"/>
  <c r="L145" i="13"/>
  <c r="P145" i="13" s="1"/>
  <c r="L144" i="13"/>
  <c r="P144" i="13" s="1"/>
  <c r="L143" i="13"/>
  <c r="O143" i="13" s="1"/>
  <c r="L142" i="13"/>
  <c r="O142" i="13" s="1"/>
  <c r="R142" i="13" s="1"/>
  <c r="L141" i="13"/>
  <c r="O141" i="13" s="1"/>
  <c r="R141" i="13" s="1"/>
  <c r="L140" i="13"/>
  <c r="O140" i="13" s="1"/>
  <c r="R140" i="13" s="1"/>
  <c r="L139" i="13"/>
  <c r="O139" i="13" s="1"/>
  <c r="L138" i="13"/>
  <c r="P138" i="13" s="1"/>
  <c r="L137" i="13"/>
  <c r="P137" i="13" s="1"/>
  <c r="L136" i="13"/>
  <c r="P136" i="13" s="1"/>
  <c r="L135" i="13"/>
  <c r="O135" i="13" s="1"/>
  <c r="L134" i="13"/>
  <c r="P134" i="13" s="1"/>
  <c r="L133" i="13"/>
  <c r="O133" i="13" s="1"/>
  <c r="L132" i="13"/>
  <c r="P132" i="13" s="1"/>
  <c r="L131" i="13"/>
  <c r="P131" i="13" s="1"/>
  <c r="L130" i="13"/>
  <c r="P130" i="13" s="1"/>
  <c r="L129" i="13"/>
  <c r="O129" i="13" s="1"/>
  <c r="L128" i="13"/>
  <c r="P128" i="13" s="1"/>
  <c r="L127" i="13"/>
  <c r="O127" i="13" s="1"/>
  <c r="L126" i="13"/>
  <c r="P126" i="13" s="1"/>
  <c r="L125" i="13"/>
  <c r="P125" i="13" s="1"/>
  <c r="L124" i="13"/>
  <c r="P124" i="13" s="1"/>
  <c r="L123" i="13"/>
  <c r="P123" i="13" s="1"/>
  <c r="L122" i="13"/>
  <c r="P122" i="13" s="1"/>
  <c r="L121" i="13"/>
  <c r="O121" i="13" s="1"/>
  <c r="L120" i="13"/>
  <c r="P120" i="13" s="1"/>
  <c r="L119" i="13"/>
  <c r="P119" i="13" s="1"/>
  <c r="L118" i="13"/>
  <c r="O118" i="13" s="1"/>
  <c r="R118" i="13" s="1"/>
  <c r="L117" i="13"/>
  <c r="O117" i="13" s="1"/>
  <c r="L116" i="13"/>
  <c r="P116" i="13" s="1"/>
  <c r="L115" i="13"/>
  <c r="O115" i="13" s="1"/>
  <c r="L114" i="13"/>
  <c r="P114" i="13" s="1"/>
  <c r="L113" i="13"/>
  <c r="P113" i="13" s="1"/>
  <c r="L112" i="13"/>
  <c r="O112" i="13" s="1"/>
  <c r="R112" i="13" s="1"/>
  <c r="L111" i="13"/>
  <c r="P111" i="13" s="1"/>
  <c r="L110" i="13"/>
  <c r="P110" i="13" s="1"/>
  <c r="L109" i="13"/>
  <c r="O109" i="13" s="1"/>
  <c r="L108" i="13"/>
  <c r="P108" i="13" s="1"/>
  <c r="L107" i="13"/>
  <c r="P107" i="13" s="1"/>
  <c r="L106" i="13"/>
  <c r="O106" i="13" s="1"/>
  <c r="R106" i="13" s="1"/>
  <c r="L105" i="13"/>
  <c r="O105" i="13" s="1"/>
  <c r="L104" i="13"/>
  <c r="P104" i="13" s="1"/>
  <c r="L103" i="13"/>
  <c r="O103" i="13" s="1"/>
  <c r="L102" i="13"/>
  <c r="P102" i="13" s="1"/>
  <c r="L101" i="13"/>
  <c r="P101" i="13" s="1"/>
  <c r="L100" i="13"/>
  <c r="O100" i="13" s="1"/>
  <c r="R100" i="13" s="1"/>
  <c r="L99" i="13"/>
  <c r="O99" i="13" s="1"/>
  <c r="L98" i="13"/>
  <c r="P98" i="13" s="1"/>
  <c r="L97" i="13"/>
  <c r="O97" i="13" s="1"/>
  <c r="L96" i="13"/>
  <c r="P96" i="13" s="1"/>
  <c r="L95" i="13"/>
  <c r="P95" i="13" s="1"/>
  <c r="L94" i="13"/>
  <c r="O94" i="13" s="1"/>
  <c r="R94" i="13" s="1"/>
  <c r="L93" i="13"/>
  <c r="P93" i="13" s="1"/>
  <c r="L92" i="13"/>
  <c r="P92" i="13" s="1"/>
  <c r="L91" i="13"/>
  <c r="O91" i="13" s="1"/>
  <c r="R91" i="13" s="1"/>
  <c r="L90" i="13"/>
  <c r="P90" i="13" s="1"/>
  <c r="L89" i="13"/>
  <c r="P89" i="13" s="1"/>
  <c r="L88" i="13"/>
  <c r="O88" i="13" s="1"/>
  <c r="L87" i="13"/>
  <c r="P87" i="13" s="1"/>
  <c r="L86" i="13"/>
  <c r="O86" i="13" s="1"/>
  <c r="L85" i="13"/>
  <c r="O85" i="13" s="1"/>
  <c r="R85" i="13" s="1"/>
  <c r="L84" i="13"/>
  <c r="P84" i="13" s="1"/>
  <c r="L83" i="13"/>
  <c r="O83" i="13" s="1"/>
  <c r="R83" i="13" s="1"/>
  <c r="L82" i="13"/>
  <c r="P82" i="13" s="1"/>
  <c r="L81" i="13"/>
  <c r="P81" i="13" s="1"/>
  <c r="L80" i="13"/>
  <c r="O80" i="13" s="1"/>
  <c r="L79" i="13"/>
  <c r="O79" i="13" s="1"/>
  <c r="R79" i="13" s="1"/>
  <c r="L78" i="13"/>
  <c r="P78" i="13" s="1"/>
  <c r="P77" i="13"/>
  <c r="L77" i="13"/>
  <c r="O77" i="13" s="1"/>
  <c r="R77" i="13" s="1"/>
  <c r="L76" i="13"/>
  <c r="P76" i="13" s="1"/>
  <c r="L75" i="13"/>
  <c r="P75" i="13" s="1"/>
  <c r="L74" i="13"/>
  <c r="O74" i="13" s="1"/>
  <c r="L73" i="13"/>
  <c r="P73" i="13" s="1"/>
  <c r="L72" i="13"/>
  <c r="P72" i="13" s="1"/>
  <c r="L71" i="13"/>
  <c r="O71" i="13" s="1"/>
  <c r="R71" i="13" s="1"/>
  <c r="L70" i="13"/>
  <c r="P70" i="13" s="1"/>
  <c r="L69" i="13"/>
  <c r="P69" i="13" s="1"/>
  <c r="L68" i="13"/>
  <c r="O68" i="13" s="1"/>
  <c r="L67" i="13"/>
  <c r="P67" i="13" s="1"/>
  <c r="L66" i="13"/>
  <c r="P66" i="13" s="1"/>
  <c r="L65" i="13"/>
  <c r="P65" i="13" s="1"/>
  <c r="L64" i="13"/>
  <c r="O64" i="13" s="1"/>
  <c r="L63" i="13"/>
  <c r="P63" i="13" s="1"/>
  <c r="L62" i="13"/>
  <c r="O62" i="13" s="1"/>
  <c r="L61" i="13"/>
  <c r="P61" i="13" s="1"/>
  <c r="L60" i="13"/>
  <c r="P60" i="13" s="1"/>
  <c r="L59" i="13"/>
  <c r="O59" i="13" s="1"/>
  <c r="R59" i="13" s="1"/>
  <c r="L58" i="13"/>
  <c r="O58" i="13" s="1"/>
  <c r="O57" i="13"/>
  <c r="R57" i="13" s="1"/>
  <c r="L57" i="13"/>
  <c r="P57" i="13" s="1"/>
  <c r="L56" i="13"/>
  <c r="O56" i="13" s="1"/>
  <c r="L55" i="13"/>
  <c r="P55" i="13" s="1"/>
  <c r="L54" i="13"/>
  <c r="P54" i="13" s="1"/>
  <c r="L53" i="13"/>
  <c r="O53" i="13" s="1"/>
  <c r="R53" i="13" s="1"/>
  <c r="L52" i="13"/>
  <c r="O52" i="13" s="1"/>
  <c r="L51" i="13"/>
  <c r="P51" i="13" s="1"/>
  <c r="L50" i="13"/>
  <c r="O50" i="13" s="1"/>
  <c r="L49" i="13"/>
  <c r="P49" i="13" s="1"/>
  <c r="L48" i="13"/>
  <c r="P48" i="13" s="1"/>
  <c r="L47" i="13"/>
  <c r="P47" i="13" s="1"/>
  <c r="L46" i="13"/>
  <c r="P46" i="13" s="1"/>
  <c r="L45" i="13"/>
  <c r="P45" i="13" s="1"/>
  <c r="L44" i="13"/>
  <c r="O44" i="13" s="1"/>
  <c r="L43" i="13"/>
  <c r="P43" i="13" s="1"/>
  <c r="L42" i="13"/>
  <c r="P42" i="13" s="1"/>
  <c r="L41" i="13"/>
  <c r="P41" i="13" s="1"/>
  <c r="L40" i="13"/>
  <c r="O40" i="13" s="1"/>
  <c r="L39" i="13"/>
  <c r="P39" i="13" s="1"/>
  <c r="L38" i="13"/>
  <c r="O38" i="13" s="1"/>
  <c r="L37" i="13"/>
  <c r="P37" i="13" s="1"/>
  <c r="L36" i="13"/>
  <c r="P36" i="13" s="1"/>
  <c r="L35" i="13"/>
  <c r="O35" i="13" s="1"/>
  <c r="L34" i="13"/>
  <c r="P34" i="13" s="1"/>
  <c r="L33" i="13"/>
  <c r="O33" i="13" s="1"/>
  <c r="L32" i="13"/>
  <c r="P32" i="13" s="1"/>
  <c r="L31" i="13"/>
  <c r="P31" i="13" s="1"/>
  <c r="L30" i="13"/>
  <c r="P30" i="13" s="1"/>
  <c r="L29" i="13"/>
  <c r="P29" i="13" s="1"/>
  <c r="L28" i="13"/>
  <c r="P28" i="13" s="1"/>
  <c r="L27" i="13"/>
  <c r="O27" i="13" s="1"/>
  <c r="L26" i="13"/>
  <c r="O26" i="13" s="1"/>
  <c r="R26" i="13" s="1"/>
  <c r="L25" i="13"/>
  <c r="P25" i="13" s="1"/>
  <c r="L24" i="13"/>
  <c r="O24" i="13" s="1"/>
  <c r="R24" i="13" s="1"/>
  <c r="L23" i="13"/>
  <c r="P23" i="13" s="1"/>
  <c r="L22" i="13"/>
  <c r="P22" i="13" s="1"/>
  <c r="L21" i="13"/>
  <c r="O21" i="13" s="1"/>
  <c r="L20" i="13"/>
  <c r="P20" i="13" s="1"/>
  <c r="L19" i="13"/>
  <c r="P19" i="13" s="1"/>
  <c r="L18" i="13"/>
  <c r="P18" i="13" s="1"/>
  <c r="L17" i="13"/>
  <c r="P17" i="13" s="1"/>
  <c r="L16" i="13"/>
  <c r="P16" i="13" s="1"/>
  <c r="L15" i="13"/>
  <c r="O15" i="13" s="1"/>
  <c r="L14" i="13"/>
  <c r="O14" i="13" s="1"/>
  <c r="R14" i="13" s="1"/>
  <c r="L13" i="13"/>
  <c r="P13" i="13" s="1"/>
  <c r="L12" i="13"/>
  <c r="P12" i="13" s="1"/>
  <c r="L11" i="13"/>
  <c r="P11" i="13" s="1"/>
  <c r="L10" i="13"/>
  <c r="P10" i="13" s="1"/>
  <c r="L9" i="13"/>
  <c r="O9" i="13" s="1"/>
  <c r="L8" i="13"/>
  <c r="P8" i="13" s="1"/>
  <c r="L7" i="13"/>
  <c r="P7" i="13" s="1"/>
  <c r="L6" i="13"/>
  <c r="L4" i="13"/>
  <c r="P4" i="13" s="1"/>
  <c r="L3" i="13"/>
  <c r="P3" i="13" s="1"/>
  <c r="L2" i="13"/>
  <c r="O2" i="13" s="1"/>
  <c r="L409" i="12"/>
  <c r="P409" i="12" s="1"/>
  <c r="L408" i="12"/>
  <c r="O408" i="12" s="1"/>
  <c r="R408" i="12" s="1"/>
  <c r="L407" i="12"/>
  <c r="O407" i="12" s="1"/>
  <c r="Q407" i="12" s="1"/>
  <c r="L406" i="12"/>
  <c r="O406" i="12" s="1"/>
  <c r="L405" i="12"/>
  <c r="L404" i="12"/>
  <c r="L403" i="12"/>
  <c r="O403" i="12" s="1"/>
  <c r="L402" i="12"/>
  <c r="O402" i="12" s="1"/>
  <c r="Q402" i="12" s="1"/>
  <c r="L401" i="12"/>
  <c r="O401" i="12" s="1"/>
  <c r="L400" i="12"/>
  <c r="O400" i="12" s="1"/>
  <c r="Q400" i="12" s="1"/>
  <c r="L399" i="12"/>
  <c r="O399" i="12" s="1"/>
  <c r="L398" i="12"/>
  <c r="O398" i="12" s="1"/>
  <c r="R398" i="12" s="1"/>
  <c r="L397" i="12"/>
  <c r="P397" i="12" s="1"/>
  <c r="L396" i="12"/>
  <c r="L395" i="12"/>
  <c r="O395" i="12" s="1"/>
  <c r="L394" i="12"/>
  <c r="O394" i="12" s="1"/>
  <c r="L393" i="12"/>
  <c r="P393" i="12" s="1"/>
  <c r="L392" i="12"/>
  <c r="L391" i="12"/>
  <c r="L390" i="12"/>
  <c r="O390" i="12" s="1"/>
  <c r="R390" i="12" s="1"/>
  <c r="L389" i="12"/>
  <c r="P389" i="12" s="1"/>
  <c r="L388" i="12"/>
  <c r="O388" i="12" s="1"/>
  <c r="R388" i="12" s="1"/>
  <c r="L387" i="12"/>
  <c r="P387" i="12" s="1"/>
  <c r="L386" i="12"/>
  <c r="O386" i="12" s="1"/>
  <c r="R386" i="12" s="1"/>
  <c r="L385" i="12"/>
  <c r="P385" i="12" s="1"/>
  <c r="L384" i="12"/>
  <c r="O384" i="12" s="1"/>
  <c r="L383" i="12"/>
  <c r="O383" i="12" s="1"/>
  <c r="L382" i="12"/>
  <c r="O382" i="12" s="1"/>
  <c r="L381" i="12"/>
  <c r="P381" i="12" s="1"/>
  <c r="L380" i="12"/>
  <c r="L379" i="12"/>
  <c r="O379" i="12" s="1"/>
  <c r="Q379" i="12" s="1"/>
  <c r="L378" i="12"/>
  <c r="O378" i="12" s="1"/>
  <c r="R378" i="12" s="1"/>
  <c r="L377" i="12"/>
  <c r="P377" i="12" s="1"/>
  <c r="L376" i="12"/>
  <c r="O376" i="12" s="1"/>
  <c r="L375" i="12"/>
  <c r="L374" i="12"/>
  <c r="O374" i="12" s="1"/>
  <c r="R374" i="12" s="1"/>
  <c r="L373" i="12"/>
  <c r="L372" i="12"/>
  <c r="O372" i="12" s="1"/>
  <c r="R372" i="12" s="1"/>
  <c r="L371" i="12"/>
  <c r="O371" i="12" s="1"/>
  <c r="L370" i="12"/>
  <c r="O370" i="12" s="1"/>
  <c r="L369" i="12"/>
  <c r="L368" i="12"/>
  <c r="L367" i="12"/>
  <c r="L366" i="12"/>
  <c r="O366" i="12" s="1"/>
  <c r="R366" i="12" s="1"/>
  <c r="L365" i="12"/>
  <c r="P365" i="12" s="1"/>
  <c r="L364" i="12"/>
  <c r="L363" i="12"/>
  <c r="P363" i="12" s="1"/>
  <c r="L362" i="12"/>
  <c r="O362" i="12" s="1"/>
  <c r="R362" i="12" s="1"/>
  <c r="L361" i="12"/>
  <c r="P361" i="12" s="1"/>
  <c r="L360" i="12"/>
  <c r="O360" i="12" s="1"/>
  <c r="R360" i="12" s="1"/>
  <c r="L359" i="12"/>
  <c r="P359" i="12" s="1"/>
  <c r="L358" i="12"/>
  <c r="O358" i="12" s="1"/>
  <c r="L357" i="12"/>
  <c r="P357" i="12" s="1"/>
  <c r="L356" i="12"/>
  <c r="L355" i="12"/>
  <c r="L354" i="12"/>
  <c r="O354" i="12" s="1"/>
  <c r="R354" i="12" s="1"/>
  <c r="L353" i="12"/>
  <c r="P353" i="12" s="1"/>
  <c r="L352" i="12"/>
  <c r="O352" i="12" s="1"/>
  <c r="Q352" i="12" s="1"/>
  <c r="L351" i="12"/>
  <c r="P351" i="12" s="1"/>
  <c r="L350" i="12"/>
  <c r="O350" i="12" s="1"/>
  <c r="L349" i="12"/>
  <c r="L348" i="12"/>
  <c r="O348" i="12" s="1"/>
  <c r="R348" i="12" s="1"/>
  <c r="L347" i="12"/>
  <c r="L346" i="12"/>
  <c r="L345" i="12"/>
  <c r="P345" i="12" s="1"/>
  <c r="L344" i="12"/>
  <c r="L343" i="12"/>
  <c r="L342" i="12"/>
  <c r="O342" i="12" s="1"/>
  <c r="R342" i="12" s="1"/>
  <c r="L341" i="12"/>
  <c r="O341" i="12" s="1"/>
  <c r="R341" i="12" s="1"/>
  <c r="L340" i="12"/>
  <c r="O340" i="12" s="1"/>
  <c r="R340" i="12" s="1"/>
  <c r="L339" i="12"/>
  <c r="P339" i="12" s="1"/>
  <c r="L338" i="12"/>
  <c r="O338" i="12" s="1"/>
  <c r="Q338" i="12" s="1"/>
  <c r="L337" i="12"/>
  <c r="P337" i="12" s="1"/>
  <c r="L336" i="12"/>
  <c r="O336" i="12" s="1"/>
  <c r="R336" i="12" s="1"/>
  <c r="L335" i="12"/>
  <c r="P335" i="12" s="1"/>
  <c r="L334" i="12"/>
  <c r="O334" i="12" s="1"/>
  <c r="L333" i="12"/>
  <c r="P333" i="12" s="1"/>
  <c r="L332" i="12"/>
  <c r="L331" i="12"/>
  <c r="O331" i="12" s="1"/>
  <c r="R331" i="12" s="1"/>
  <c r="L330" i="12"/>
  <c r="L329" i="12"/>
  <c r="O329" i="12" s="1"/>
  <c r="Q329" i="12" s="1"/>
  <c r="L328" i="12"/>
  <c r="O328" i="12" s="1"/>
  <c r="R328" i="12" s="1"/>
  <c r="L327" i="12"/>
  <c r="P327" i="12" s="1"/>
  <c r="L326" i="12"/>
  <c r="O326" i="12" s="1"/>
  <c r="R326" i="12" s="1"/>
  <c r="L325" i="12"/>
  <c r="O325" i="12" s="1"/>
  <c r="R325" i="12" s="1"/>
  <c r="L324" i="12"/>
  <c r="O324" i="12" s="1"/>
  <c r="L323" i="12"/>
  <c r="O323" i="12" s="1"/>
  <c r="L322" i="12"/>
  <c r="O322" i="12" s="1"/>
  <c r="L321" i="12"/>
  <c r="P321" i="12" s="1"/>
  <c r="L320" i="12"/>
  <c r="L319" i="12"/>
  <c r="O319" i="12" s="1"/>
  <c r="R319" i="12" s="1"/>
  <c r="L318" i="12"/>
  <c r="O318" i="12" s="1"/>
  <c r="R318" i="12" s="1"/>
  <c r="L317" i="12"/>
  <c r="L316" i="12"/>
  <c r="O316" i="12" s="1"/>
  <c r="L315" i="12"/>
  <c r="O315" i="12" s="1"/>
  <c r="Q315" i="12" s="1"/>
  <c r="L314" i="12"/>
  <c r="O314" i="12" s="1"/>
  <c r="R314" i="12" s="1"/>
  <c r="L313" i="12"/>
  <c r="P313" i="12" s="1"/>
  <c r="L312" i="12"/>
  <c r="O312" i="12" s="1"/>
  <c r="L311" i="12"/>
  <c r="L310" i="12"/>
  <c r="L309" i="12"/>
  <c r="O309" i="12" s="1"/>
  <c r="R309" i="12" s="1"/>
  <c r="L308" i="12"/>
  <c r="L307" i="12"/>
  <c r="O307" i="12" s="1"/>
  <c r="R307" i="12" s="1"/>
  <c r="L306" i="12"/>
  <c r="L305" i="12"/>
  <c r="O305" i="12" s="1"/>
  <c r="L304" i="12"/>
  <c r="O304" i="12" s="1"/>
  <c r="Q304" i="12" s="1"/>
  <c r="L303" i="12"/>
  <c r="P303" i="12" s="1"/>
  <c r="L302" i="12"/>
  <c r="O302" i="12" s="1"/>
  <c r="R302" i="12" s="1"/>
  <c r="L301" i="12"/>
  <c r="P301" i="12" s="1"/>
  <c r="L300" i="12"/>
  <c r="O300" i="12" s="1"/>
  <c r="R300" i="12" s="1"/>
  <c r="L299" i="12"/>
  <c r="P299" i="12" s="1"/>
  <c r="L298" i="12"/>
  <c r="O298" i="12" s="1"/>
  <c r="L297" i="12"/>
  <c r="P297" i="12" s="1"/>
  <c r="L296" i="12"/>
  <c r="L295" i="12"/>
  <c r="O295" i="12" s="1"/>
  <c r="L294" i="12"/>
  <c r="O294" i="12" s="1"/>
  <c r="R294" i="12" s="1"/>
  <c r="L293" i="12"/>
  <c r="O293" i="12" s="1"/>
  <c r="L292" i="12"/>
  <c r="O292" i="12" s="1"/>
  <c r="R292" i="12" s="1"/>
  <c r="L291" i="12"/>
  <c r="O291" i="12" s="1"/>
  <c r="L290" i="12"/>
  <c r="O290" i="12" s="1"/>
  <c r="R290" i="12" s="1"/>
  <c r="L289" i="12"/>
  <c r="P289" i="12" s="1"/>
  <c r="L288" i="12"/>
  <c r="L287" i="12"/>
  <c r="O287" i="12" s="1"/>
  <c r="Q287" i="12" s="1"/>
  <c r="L286" i="12"/>
  <c r="O286" i="12" s="1"/>
  <c r="Q286" i="12" s="1"/>
  <c r="L285" i="12"/>
  <c r="P285" i="12" s="1"/>
  <c r="L284" i="12"/>
  <c r="L283" i="12"/>
  <c r="P283" i="12" s="1"/>
  <c r="L282" i="12"/>
  <c r="O282" i="12" s="1"/>
  <c r="R282" i="12" s="1"/>
  <c r="L281" i="12"/>
  <c r="L280" i="12"/>
  <c r="O280" i="12" s="1"/>
  <c r="R280" i="12" s="1"/>
  <c r="L279" i="12"/>
  <c r="P279" i="12" s="1"/>
  <c r="L278" i="12"/>
  <c r="O278" i="12" s="1"/>
  <c r="L277" i="12"/>
  <c r="P277" i="12" s="1"/>
  <c r="L276" i="12"/>
  <c r="L275" i="12"/>
  <c r="O275" i="12" s="1"/>
  <c r="Q275" i="12" s="1"/>
  <c r="L274" i="12"/>
  <c r="O274" i="12" s="1"/>
  <c r="R274" i="12" s="1"/>
  <c r="L273" i="12"/>
  <c r="P273" i="12" s="1"/>
  <c r="L272" i="12"/>
  <c r="O272" i="12" s="1"/>
  <c r="L271" i="12"/>
  <c r="O271" i="12" s="1"/>
  <c r="R271" i="12" s="1"/>
  <c r="L270" i="12"/>
  <c r="O270" i="12" s="1"/>
  <c r="Q270" i="12" s="1"/>
  <c r="L269" i="12"/>
  <c r="P269" i="12" s="1"/>
  <c r="L268" i="12"/>
  <c r="L267" i="12"/>
  <c r="P267" i="12" s="1"/>
  <c r="L266" i="12"/>
  <c r="O266" i="12" s="1"/>
  <c r="R266" i="12" s="1"/>
  <c r="L265" i="12"/>
  <c r="P265" i="12" s="1"/>
  <c r="L264" i="12"/>
  <c r="O264" i="12" s="1"/>
  <c r="R264" i="12" s="1"/>
  <c r="L263" i="12"/>
  <c r="L262" i="12"/>
  <c r="L261" i="12"/>
  <c r="O261" i="12" s="1"/>
  <c r="R261" i="12" s="1"/>
  <c r="L260" i="12"/>
  <c r="L259" i="12"/>
  <c r="P259" i="12" s="1"/>
  <c r="L258" i="12"/>
  <c r="O258" i="12" s="1"/>
  <c r="R258" i="12" s="1"/>
  <c r="L257" i="12"/>
  <c r="L256" i="12"/>
  <c r="O256" i="12" s="1"/>
  <c r="R256" i="12" s="1"/>
  <c r="L255" i="12"/>
  <c r="P255" i="12" s="1"/>
  <c r="L254" i="12"/>
  <c r="L253" i="12"/>
  <c r="L252" i="12"/>
  <c r="O252" i="12" s="1"/>
  <c r="R252" i="12" s="1"/>
  <c r="L251" i="12"/>
  <c r="O251" i="12" s="1"/>
  <c r="Q251" i="12" s="1"/>
  <c r="L250" i="12"/>
  <c r="O250" i="12" s="1"/>
  <c r="R250" i="12" s="1"/>
  <c r="L249" i="12"/>
  <c r="P249" i="12" s="1"/>
  <c r="L248" i="12"/>
  <c r="O248" i="12" s="1"/>
  <c r="R248" i="12" s="1"/>
  <c r="L247" i="12"/>
  <c r="O247" i="12" s="1"/>
  <c r="L246" i="12"/>
  <c r="O246" i="12" s="1"/>
  <c r="Q246" i="12" s="1"/>
  <c r="L245" i="12"/>
  <c r="P245" i="12" s="1"/>
  <c r="L244" i="12"/>
  <c r="O244" i="12" s="1"/>
  <c r="Q244" i="12" s="1"/>
  <c r="L243" i="12"/>
  <c r="L242" i="12"/>
  <c r="O242" i="12" s="1"/>
  <c r="Q242" i="12" s="1"/>
  <c r="L241" i="12"/>
  <c r="O241" i="12" s="1"/>
  <c r="L240" i="12"/>
  <c r="O240" i="12" s="1"/>
  <c r="R240" i="12" s="1"/>
  <c r="L239" i="12"/>
  <c r="P239" i="12" s="1"/>
  <c r="L238" i="12"/>
  <c r="P238" i="12" s="1"/>
  <c r="L237" i="12"/>
  <c r="O237" i="12" s="1"/>
  <c r="R237" i="12" s="1"/>
  <c r="L236" i="12"/>
  <c r="O236" i="12" s="1"/>
  <c r="L235" i="12"/>
  <c r="P235" i="12" s="1"/>
  <c r="L234" i="12"/>
  <c r="P234" i="12" s="1"/>
  <c r="L233" i="12"/>
  <c r="L232" i="12"/>
  <c r="P232" i="12" s="1"/>
  <c r="L231" i="12"/>
  <c r="L230" i="12"/>
  <c r="P230" i="12" s="1"/>
  <c r="L229" i="12"/>
  <c r="O229" i="12" s="1"/>
  <c r="R229" i="12" s="1"/>
  <c r="L228" i="12"/>
  <c r="P228" i="12" s="1"/>
  <c r="L227" i="12"/>
  <c r="P227" i="12" s="1"/>
  <c r="L226" i="12"/>
  <c r="O226" i="12" s="1"/>
  <c r="L225" i="12"/>
  <c r="P225" i="12" s="1"/>
  <c r="L224" i="12"/>
  <c r="L223" i="12"/>
  <c r="O223" i="12" s="1"/>
  <c r="L222" i="12"/>
  <c r="P222" i="12" s="1"/>
  <c r="L221" i="12"/>
  <c r="O221" i="12" s="1"/>
  <c r="R221" i="12" s="1"/>
  <c r="L220" i="12"/>
  <c r="P220" i="12" s="1"/>
  <c r="L219" i="12"/>
  <c r="P219" i="12" s="1"/>
  <c r="L218" i="12"/>
  <c r="O218" i="12" s="1"/>
  <c r="L217" i="12"/>
  <c r="L216" i="12"/>
  <c r="P216" i="12" s="1"/>
  <c r="L215" i="12"/>
  <c r="O215" i="12" s="1"/>
  <c r="L214" i="12"/>
  <c r="P214" i="12" s="1"/>
  <c r="L213" i="12"/>
  <c r="L212" i="12"/>
  <c r="O212" i="12" s="1"/>
  <c r="L211" i="12"/>
  <c r="P211" i="12" s="1"/>
  <c r="L210" i="12"/>
  <c r="L209" i="12"/>
  <c r="O209" i="12" s="1"/>
  <c r="Q209" i="12" s="1"/>
  <c r="L208" i="12"/>
  <c r="P208" i="12" s="1"/>
  <c r="L207" i="12"/>
  <c r="P207" i="12" s="1"/>
  <c r="L206" i="12"/>
  <c r="P206" i="12" s="1"/>
  <c r="L205" i="12"/>
  <c r="O205" i="12" s="1"/>
  <c r="L204" i="12"/>
  <c r="O204" i="12" s="1"/>
  <c r="L203" i="12"/>
  <c r="P203" i="12" s="1"/>
  <c r="L202" i="12"/>
  <c r="P202" i="12" s="1"/>
  <c r="L201" i="12"/>
  <c r="O201" i="12" s="1"/>
  <c r="L200" i="12"/>
  <c r="P200" i="12" s="1"/>
  <c r="L199" i="12"/>
  <c r="L198" i="12"/>
  <c r="P198" i="12" s="1"/>
  <c r="L197" i="12"/>
  <c r="P197" i="12" s="1"/>
  <c r="L196" i="12"/>
  <c r="L195" i="12"/>
  <c r="O195" i="12" s="1"/>
  <c r="R195" i="12" s="1"/>
  <c r="L194" i="12"/>
  <c r="O194" i="12" s="1"/>
  <c r="L193" i="12"/>
  <c r="P193" i="12" s="1"/>
  <c r="L192" i="12"/>
  <c r="P192" i="12" s="1"/>
  <c r="L191" i="12"/>
  <c r="O191" i="12" s="1"/>
  <c r="R191" i="12" s="1"/>
  <c r="L190" i="12"/>
  <c r="P190" i="12" s="1"/>
  <c r="L189" i="12"/>
  <c r="P189" i="12" s="1"/>
  <c r="L188" i="12"/>
  <c r="L187" i="12"/>
  <c r="O187" i="12" s="1"/>
  <c r="L186" i="12"/>
  <c r="P186" i="12" s="1"/>
  <c r="L185" i="12"/>
  <c r="L184" i="12"/>
  <c r="P184" i="12" s="1"/>
  <c r="L183" i="12"/>
  <c r="L182" i="12"/>
  <c r="O182" i="12" s="1"/>
  <c r="Q182" i="12" s="1"/>
  <c r="L181" i="12"/>
  <c r="P181" i="12" s="1"/>
  <c r="L180" i="12"/>
  <c r="P180" i="12" s="1"/>
  <c r="L179" i="12"/>
  <c r="P179" i="12" s="1"/>
  <c r="L178" i="12"/>
  <c r="L177" i="12"/>
  <c r="L176" i="12"/>
  <c r="P176" i="12" s="1"/>
  <c r="L175" i="12"/>
  <c r="P175" i="12" s="1"/>
  <c r="L174" i="12"/>
  <c r="L173" i="12"/>
  <c r="O173" i="12" s="1"/>
  <c r="R173" i="12" s="1"/>
  <c r="L172" i="12"/>
  <c r="O172" i="12" s="1"/>
  <c r="Q172" i="12" s="1"/>
  <c r="L171" i="12"/>
  <c r="P171" i="12" s="1"/>
  <c r="L170" i="12"/>
  <c r="O170" i="12" s="1"/>
  <c r="Q170" i="12" s="1"/>
  <c r="L169" i="12"/>
  <c r="P169" i="12" s="1"/>
  <c r="L168" i="12"/>
  <c r="P168" i="12" s="1"/>
  <c r="L167" i="12"/>
  <c r="O167" i="12" s="1"/>
  <c r="R167" i="12" s="1"/>
  <c r="L166" i="12"/>
  <c r="L165" i="12"/>
  <c r="L164" i="12"/>
  <c r="P164" i="12" s="1"/>
  <c r="L163" i="12"/>
  <c r="P163" i="12" s="1"/>
  <c r="L162" i="12"/>
  <c r="O162" i="12" s="1"/>
  <c r="Q162" i="12" s="1"/>
  <c r="L161" i="12"/>
  <c r="L160" i="12"/>
  <c r="P160" i="12" s="1"/>
  <c r="L159" i="12"/>
  <c r="O159" i="12" s="1"/>
  <c r="R159" i="12" s="1"/>
  <c r="L158" i="12"/>
  <c r="O158" i="12" s="1"/>
  <c r="L157" i="12"/>
  <c r="O157" i="12" s="1"/>
  <c r="R157" i="12" s="1"/>
  <c r="L156" i="12"/>
  <c r="P156" i="12" s="1"/>
  <c r="L155" i="12"/>
  <c r="O155" i="12" s="1"/>
  <c r="R155" i="12" s="1"/>
  <c r="L154" i="12"/>
  <c r="O154" i="12" s="1"/>
  <c r="L153" i="12"/>
  <c r="O153" i="12" s="1"/>
  <c r="R153" i="12" s="1"/>
  <c r="L152" i="12"/>
  <c r="P152" i="12" s="1"/>
  <c r="L151" i="12"/>
  <c r="O151" i="12" s="1"/>
  <c r="R151" i="12" s="1"/>
  <c r="L150" i="12"/>
  <c r="O150" i="12" s="1"/>
  <c r="L149" i="12"/>
  <c r="O149" i="12" s="1"/>
  <c r="R149" i="12" s="1"/>
  <c r="L148" i="12"/>
  <c r="O148" i="12" s="1"/>
  <c r="R148" i="12" s="1"/>
  <c r="L147" i="12"/>
  <c r="O147" i="12" s="1"/>
  <c r="R147" i="12" s="1"/>
  <c r="L146" i="12"/>
  <c r="P146" i="12" s="1"/>
  <c r="L145" i="12"/>
  <c r="O145" i="12" s="1"/>
  <c r="L144" i="12"/>
  <c r="O144" i="12" s="1"/>
  <c r="Q144" i="12" s="1"/>
  <c r="L143" i="12"/>
  <c r="O143" i="12" s="1"/>
  <c r="R143" i="12" s="1"/>
  <c r="L142" i="12"/>
  <c r="P142" i="12" s="1"/>
  <c r="L141" i="12"/>
  <c r="O141" i="12" s="1"/>
  <c r="R141" i="12" s="1"/>
  <c r="L140" i="12"/>
  <c r="P140" i="12" s="1"/>
  <c r="L139" i="12"/>
  <c r="O139" i="12" s="1"/>
  <c r="R139" i="12" s="1"/>
  <c r="L138" i="12"/>
  <c r="P138" i="12" s="1"/>
  <c r="L137" i="12"/>
  <c r="O137" i="12" s="1"/>
  <c r="R137" i="12" s="1"/>
  <c r="L136" i="12"/>
  <c r="O136" i="12" s="1"/>
  <c r="R136" i="12" s="1"/>
  <c r="L135" i="12"/>
  <c r="L134" i="12"/>
  <c r="O134" i="12" s="1"/>
  <c r="L133" i="12"/>
  <c r="P133" i="12" s="1"/>
  <c r="L132" i="12"/>
  <c r="O132" i="12" s="1"/>
  <c r="L131" i="12"/>
  <c r="O131" i="12" s="1"/>
  <c r="Q131" i="12" s="1"/>
  <c r="L130" i="12"/>
  <c r="P130" i="12" s="1"/>
  <c r="L129" i="12"/>
  <c r="O129" i="12" s="1"/>
  <c r="L128" i="12"/>
  <c r="P128" i="12" s="1"/>
  <c r="L127" i="12"/>
  <c r="L126" i="12"/>
  <c r="O126" i="12" s="1"/>
  <c r="R126" i="12" s="1"/>
  <c r="L125" i="12"/>
  <c r="P125" i="12" s="1"/>
  <c r="L124" i="12"/>
  <c r="O124" i="12" s="1"/>
  <c r="L123" i="12"/>
  <c r="O123" i="12" s="1"/>
  <c r="Q123" i="12" s="1"/>
  <c r="L122" i="12"/>
  <c r="P122" i="12" s="1"/>
  <c r="L121" i="12"/>
  <c r="O121" i="12" s="1"/>
  <c r="L120" i="12"/>
  <c r="P120" i="12" s="1"/>
  <c r="L119" i="12"/>
  <c r="L118" i="12"/>
  <c r="P118" i="12" s="1"/>
  <c r="L117" i="12"/>
  <c r="O117" i="12" s="1"/>
  <c r="Q117" i="12" s="1"/>
  <c r="L116" i="12"/>
  <c r="P116" i="12" s="1"/>
  <c r="L115" i="12"/>
  <c r="P115" i="12" s="1"/>
  <c r="L114" i="12"/>
  <c r="O114" i="12" s="1"/>
  <c r="R114" i="12" s="1"/>
  <c r="L113" i="12"/>
  <c r="L112" i="12"/>
  <c r="O112" i="12" s="1"/>
  <c r="L111" i="12"/>
  <c r="P111" i="12" s="1"/>
  <c r="L110" i="12"/>
  <c r="O110" i="12" s="1"/>
  <c r="L109" i="12"/>
  <c r="O109" i="12" s="1"/>
  <c r="Q109" i="12" s="1"/>
  <c r="L108" i="12"/>
  <c r="P108" i="12" s="1"/>
  <c r="L107" i="12"/>
  <c r="O107" i="12" s="1"/>
  <c r="R107" i="12" s="1"/>
  <c r="L106" i="12"/>
  <c r="P106" i="12" s="1"/>
  <c r="L105" i="12"/>
  <c r="P105" i="12" s="1"/>
  <c r="L104" i="12"/>
  <c r="P104" i="12" s="1"/>
  <c r="L103" i="12"/>
  <c r="O103" i="12" s="1"/>
  <c r="L102" i="12"/>
  <c r="O102" i="12" s="1"/>
  <c r="L101" i="12"/>
  <c r="L100" i="12"/>
  <c r="O100" i="12" s="1"/>
  <c r="L99" i="12"/>
  <c r="P99" i="12" s="1"/>
  <c r="L98" i="12"/>
  <c r="P98" i="12" s="1"/>
  <c r="L97" i="12"/>
  <c r="O97" i="12" s="1"/>
  <c r="Q97" i="12" s="1"/>
  <c r="L96" i="12"/>
  <c r="P96" i="12" s="1"/>
  <c r="L95" i="12"/>
  <c r="O95" i="12" s="1"/>
  <c r="Q95" i="12" s="1"/>
  <c r="L94" i="12"/>
  <c r="P94" i="12" s="1"/>
  <c r="L93" i="12"/>
  <c r="P93" i="12" s="1"/>
  <c r="L92" i="12"/>
  <c r="P92" i="12" s="1"/>
  <c r="L91" i="12"/>
  <c r="O91" i="12" s="1"/>
  <c r="L90" i="12"/>
  <c r="P90" i="12" s="1"/>
  <c r="L89" i="12"/>
  <c r="L88" i="12"/>
  <c r="O88" i="12" s="1"/>
  <c r="R88" i="12" s="1"/>
  <c r="L87" i="12"/>
  <c r="P87" i="12" s="1"/>
  <c r="L86" i="12"/>
  <c r="O86" i="12" s="1"/>
  <c r="R86" i="12" s="1"/>
  <c r="L85" i="12"/>
  <c r="O85" i="12" s="1"/>
  <c r="Q85" i="12" s="1"/>
  <c r="L84" i="12"/>
  <c r="P84" i="12" s="1"/>
  <c r="L83" i="12"/>
  <c r="O83" i="12" s="1"/>
  <c r="R83" i="12" s="1"/>
  <c r="L82" i="12"/>
  <c r="P82" i="12" s="1"/>
  <c r="L81" i="12"/>
  <c r="O81" i="12" s="1"/>
  <c r="L80" i="12"/>
  <c r="P80" i="12" s="1"/>
  <c r="L79" i="12"/>
  <c r="P79" i="12" s="1"/>
  <c r="L78" i="12"/>
  <c r="P78" i="12" s="1"/>
  <c r="L77" i="12"/>
  <c r="P77" i="12" s="1"/>
  <c r="L76" i="12"/>
  <c r="O76" i="12" s="1"/>
  <c r="R76" i="12" s="1"/>
  <c r="L75" i="12"/>
  <c r="P75" i="12" s="1"/>
  <c r="L74" i="12"/>
  <c r="P74" i="12" s="1"/>
  <c r="L73" i="12"/>
  <c r="P73" i="12" s="1"/>
  <c r="L72" i="12"/>
  <c r="P72" i="12" s="1"/>
  <c r="L71" i="12"/>
  <c r="P71" i="12" s="1"/>
  <c r="L70" i="12"/>
  <c r="P70" i="12" s="1"/>
  <c r="L69" i="12"/>
  <c r="O69" i="12" s="1"/>
  <c r="L68" i="12"/>
  <c r="P68" i="12" s="1"/>
  <c r="L67" i="12"/>
  <c r="P67" i="12" s="1"/>
  <c r="L66" i="12"/>
  <c r="P66" i="12" s="1"/>
  <c r="L65" i="12"/>
  <c r="P65" i="12" s="1"/>
  <c r="L64" i="12"/>
  <c r="P64" i="12" s="1"/>
  <c r="L63" i="12"/>
  <c r="P63" i="12" s="1"/>
  <c r="L62" i="12"/>
  <c r="O62" i="12" s="1"/>
  <c r="R62" i="12" s="1"/>
  <c r="L61" i="12"/>
  <c r="P61" i="12" s="1"/>
  <c r="L60" i="12"/>
  <c r="L59" i="12"/>
  <c r="P59" i="12" s="1"/>
  <c r="L58" i="12"/>
  <c r="P58" i="12" s="1"/>
  <c r="L57" i="12"/>
  <c r="P57" i="12" s="1"/>
  <c r="L56" i="12"/>
  <c r="P56" i="12" s="1"/>
  <c r="L55" i="12"/>
  <c r="P55" i="12" s="1"/>
  <c r="L54" i="12"/>
  <c r="O54" i="12" s="1"/>
  <c r="L53" i="12"/>
  <c r="P53" i="12" s="1"/>
  <c r="L52" i="12"/>
  <c r="P52" i="12" s="1"/>
  <c r="L51" i="12"/>
  <c r="P51" i="12" s="1"/>
  <c r="L50" i="12"/>
  <c r="O50" i="12" s="1"/>
  <c r="R50" i="12" s="1"/>
  <c r="L49" i="12"/>
  <c r="P49" i="12" s="1"/>
  <c r="L48" i="12"/>
  <c r="P48" i="12" s="1"/>
  <c r="L47" i="12"/>
  <c r="P47" i="12" s="1"/>
  <c r="L46" i="12"/>
  <c r="P46" i="12" s="1"/>
  <c r="L45" i="12"/>
  <c r="P45" i="12" s="1"/>
  <c r="L44" i="12"/>
  <c r="P44" i="12" s="1"/>
  <c r="L43" i="12"/>
  <c r="P43" i="12" s="1"/>
  <c r="L42" i="12"/>
  <c r="P42" i="12" s="1"/>
  <c r="L41" i="12"/>
  <c r="P41" i="12" s="1"/>
  <c r="L40" i="12"/>
  <c r="P40" i="12" s="1"/>
  <c r="L39" i="12"/>
  <c r="P39" i="12" s="1"/>
  <c r="L38" i="12"/>
  <c r="O38" i="12" s="1"/>
  <c r="Q38" i="12" s="1"/>
  <c r="L37" i="12"/>
  <c r="P37" i="12" s="1"/>
  <c r="L36" i="12"/>
  <c r="O36" i="12" s="1"/>
  <c r="L35" i="12"/>
  <c r="P35" i="12" s="1"/>
  <c r="L34" i="12"/>
  <c r="P34" i="12" s="1"/>
  <c r="L33" i="12"/>
  <c r="P33" i="12" s="1"/>
  <c r="L32" i="12"/>
  <c r="P32" i="12" s="1"/>
  <c r="L31" i="12"/>
  <c r="P31" i="12" s="1"/>
  <c r="L30" i="12"/>
  <c r="P30" i="12" s="1"/>
  <c r="L29" i="12"/>
  <c r="P29" i="12" s="1"/>
  <c r="L28" i="12"/>
  <c r="O28" i="12" s="1"/>
  <c r="L27" i="12"/>
  <c r="P27" i="12" s="1"/>
  <c r="L26" i="12"/>
  <c r="P26" i="12" s="1"/>
  <c r="L25" i="12"/>
  <c r="P25" i="12" s="1"/>
  <c r="L24" i="12"/>
  <c r="O24" i="12" s="1"/>
  <c r="R24" i="12" s="1"/>
  <c r="L23" i="12"/>
  <c r="P23" i="12" s="1"/>
  <c r="L22" i="12"/>
  <c r="P22" i="12" s="1"/>
  <c r="L21" i="12"/>
  <c r="P21" i="12" s="1"/>
  <c r="L20" i="12"/>
  <c r="P20" i="12" s="1"/>
  <c r="L19" i="12"/>
  <c r="P19" i="12" s="1"/>
  <c r="L18" i="12"/>
  <c r="P18" i="12" s="1"/>
  <c r="L17" i="12"/>
  <c r="P17" i="12" s="1"/>
  <c r="L16" i="12"/>
  <c r="P16" i="12" s="1"/>
  <c r="L15" i="12"/>
  <c r="P15" i="12" s="1"/>
  <c r="L14" i="12"/>
  <c r="P14" i="12" s="1"/>
  <c r="L12" i="12"/>
  <c r="P12" i="12" s="1"/>
  <c r="L11" i="12"/>
  <c r="O11" i="12" s="1"/>
  <c r="L10" i="12"/>
  <c r="P10" i="12" s="1"/>
  <c r="L9" i="12"/>
  <c r="P9" i="12" s="1"/>
  <c r="L8" i="12"/>
  <c r="P8" i="12" s="1"/>
  <c r="L7" i="12"/>
  <c r="O7" i="12" s="1"/>
  <c r="L6" i="12"/>
  <c r="P6" i="12" s="1"/>
  <c r="L5" i="12"/>
  <c r="P5" i="12" s="1"/>
  <c r="L4" i="12"/>
  <c r="P4" i="12" s="1"/>
  <c r="L3" i="12"/>
  <c r="P3" i="12" s="1"/>
  <c r="L2" i="12"/>
  <c r="P2" i="12" s="1"/>
  <c r="L155" i="11"/>
  <c r="O155" i="11" s="1"/>
  <c r="L154" i="11"/>
  <c r="O154" i="11" s="1"/>
  <c r="R154" i="11" s="1"/>
  <c r="L153" i="11"/>
  <c r="O153" i="11" s="1"/>
  <c r="L152" i="11"/>
  <c r="O152" i="11" s="1"/>
  <c r="R152" i="11" s="1"/>
  <c r="L151" i="11"/>
  <c r="P151" i="11" s="1"/>
  <c r="L150" i="11"/>
  <c r="O150" i="11" s="1"/>
  <c r="Q150" i="11" s="1"/>
  <c r="L149" i="11"/>
  <c r="P149" i="11" s="1"/>
  <c r="L148" i="11"/>
  <c r="O148" i="11" s="1"/>
  <c r="R148" i="11" s="1"/>
  <c r="L147" i="11"/>
  <c r="O147" i="11" s="1"/>
  <c r="L146" i="11"/>
  <c r="O146" i="11" s="1"/>
  <c r="Q146" i="11" s="1"/>
  <c r="L145" i="11"/>
  <c r="P145" i="11" s="1"/>
  <c r="L144" i="11"/>
  <c r="O144" i="11" s="1"/>
  <c r="R144" i="11" s="1"/>
  <c r="L143" i="11"/>
  <c r="O143" i="11" s="1"/>
  <c r="L142" i="11"/>
  <c r="O142" i="11" s="1"/>
  <c r="Q142" i="11" s="1"/>
  <c r="L141" i="11"/>
  <c r="P141" i="11" s="1"/>
  <c r="L140" i="11"/>
  <c r="O140" i="11" s="1"/>
  <c r="R140" i="11" s="1"/>
  <c r="L139" i="11"/>
  <c r="P139" i="11" s="1"/>
  <c r="L138" i="11"/>
  <c r="O138" i="11" s="1"/>
  <c r="R138" i="11" s="1"/>
  <c r="L137" i="11"/>
  <c r="O137" i="11" s="1"/>
  <c r="L136" i="11"/>
  <c r="O136" i="11" s="1"/>
  <c r="R136" i="11" s="1"/>
  <c r="L135" i="11"/>
  <c r="P135" i="11" s="1"/>
  <c r="L134" i="11"/>
  <c r="O134" i="11" s="1"/>
  <c r="Q134" i="11" s="1"/>
  <c r="L133" i="11"/>
  <c r="O133" i="11" s="1"/>
  <c r="L132" i="11"/>
  <c r="O132" i="11" s="1"/>
  <c r="Q132" i="11" s="1"/>
  <c r="L131" i="11"/>
  <c r="O131" i="11" s="1"/>
  <c r="L130" i="11"/>
  <c r="O130" i="11" s="1"/>
  <c r="R130" i="11" s="1"/>
  <c r="L129" i="11"/>
  <c r="P129" i="11" s="1"/>
  <c r="L128" i="11"/>
  <c r="O128" i="11" s="1"/>
  <c r="R128" i="11" s="1"/>
  <c r="L127" i="11"/>
  <c r="P127" i="11" s="1"/>
  <c r="L126" i="11"/>
  <c r="O126" i="11" s="1"/>
  <c r="R126" i="11" s="1"/>
  <c r="L125" i="11"/>
  <c r="O125" i="11" s="1"/>
  <c r="R125" i="11" s="1"/>
  <c r="L124" i="11"/>
  <c r="O124" i="11" s="1"/>
  <c r="Q124" i="11" s="1"/>
  <c r="L123" i="11"/>
  <c r="O123" i="11" s="1"/>
  <c r="L122" i="11"/>
  <c r="O122" i="11" s="1"/>
  <c r="R122" i="11" s="1"/>
  <c r="L121" i="11"/>
  <c r="O121" i="11" s="1"/>
  <c r="L120" i="11"/>
  <c r="O120" i="11" s="1"/>
  <c r="R120" i="11" s="1"/>
  <c r="L119" i="11"/>
  <c r="O119" i="11" s="1"/>
  <c r="L118" i="11"/>
  <c r="O118" i="11" s="1"/>
  <c r="Q118" i="11" s="1"/>
  <c r="L117" i="11"/>
  <c r="O117" i="11" s="1"/>
  <c r="R117" i="11" s="1"/>
  <c r="L116" i="11"/>
  <c r="O116" i="11" s="1"/>
  <c r="R116" i="11" s="1"/>
  <c r="L115" i="11"/>
  <c r="P115" i="11" s="1"/>
  <c r="L114" i="11"/>
  <c r="O114" i="11" s="1"/>
  <c r="Q114" i="11" s="1"/>
  <c r="L113" i="11"/>
  <c r="O113" i="11" s="1"/>
  <c r="L112" i="11"/>
  <c r="O112" i="11" s="1"/>
  <c r="R112" i="11" s="1"/>
  <c r="L111" i="11"/>
  <c r="O111" i="11" s="1"/>
  <c r="R111" i="11" s="1"/>
  <c r="L110" i="11"/>
  <c r="O110" i="11" s="1"/>
  <c r="R110" i="11" s="1"/>
  <c r="L109" i="11"/>
  <c r="P109" i="11" s="1"/>
  <c r="L108" i="11"/>
  <c r="O108" i="11" s="1"/>
  <c r="Q108" i="11" s="1"/>
  <c r="L107" i="11"/>
  <c r="P107" i="11" s="1"/>
  <c r="L106" i="11"/>
  <c r="O106" i="11" s="1"/>
  <c r="R106" i="11" s="1"/>
  <c r="L105" i="11"/>
  <c r="O105" i="11" s="1"/>
  <c r="R105" i="11" s="1"/>
  <c r="L104" i="11"/>
  <c r="O104" i="11" s="1"/>
  <c r="Q104" i="11" s="1"/>
  <c r="L103" i="11"/>
  <c r="P103" i="11" s="1"/>
  <c r="L102" i="11"/>
  <c r="O102" i="11" s="1"/>
  <c r="R102" i="11" s="1"/>
  <c r="L101" i="11"/>
  <c r="P101" i="11" s="1"/>
  <c r="L100" i="11"/>
  <c r="O100" i="11" s="1"/>
  <c r="R100" i="11" s="1"/>
  <c r="L99" i="11"/>
  <c r="P99" i="11" s="1"/>
  <c r="L98" i="11"/>
  <c r="O98" i="11" s="1"/>
  <c r="Q98" i="11" s="1"/>
  <c r="L97" i="11"/>
  <c r="P97" i="11" s="1"/>
  <c r="L96" i="11"/>
  <c r="O96" i="11" s="1"/>
  <c r="R96" i="11" s="1"/>
  <c r="L95" i="11"/>
  <c r="P95" i="11" s="1"/>
  <c r="L94" i="11"/>
  <c r="O94" i="11" s="1"/>
  <c r="R94" i="11" s="1"/>
  <c r="L93" i="11"/>
  <c r="P93" i="11" s="1"/>
  <c r="L92" i="11"/>
  <c r="O92" i="11" s="1"/>
  <c r="R92" i="11" s="1"/>
  <c r="L91" i="11"/>
  <c r="O91" i="11" s="1"/>
  <c r="R91" i="11" s="1"/>
  <c r="L90" i="11"/>
  <c r="P90" i="11" s="1"/>
  <c r="L89" i="11"/>
  <c r="O89" i="11" s="1"/>
  <c r="R89" i="11" s="1"/>
  <c r="L88" i="11"/>
  <c r="P88" i="11" s="1"/>
  <c r="L87" i="11"/>
  <c r="O87" i="11" s="1"/>
  <c r="R87" i="11" s="1"/>
  <c r="L86" i="11"/>
  <c r="O86" i="11" s="1"/>
  <c r="R86" i="11" s="1"/>
  <c r="L85" i="11"/>
  <c r="O85" i="11" s="1"/>
  <c r="Q85" i="11" s="1"/>
  <c r="L84" i="11"/>
  <c r="O84" i="11" s="1"/>
  <c r="R84" i="11" s="1"/>
  <c r="L83" i="11"/>
  <c r="O83" i="11" s="1"/>
  <c r="R83" i="11" s="1"/>
  <c r="L82" i="11"/>
  <c r="O82" i="11" s="1"/>
  <c r="R82" i="11" s="1"/>
  <c r="L81" i="11"/>
  <c r="O81" i="11" s="1"/>
  <c r="Q81" i="11" s="1"/>
  <c r="L80" i="11"/>
  <c r="O80" i="11" s="1"/>
  <c r="R80" i="11" s="1"/>
  <c r="L79" i="11"/>
  <c r="O79" i="11" s="1"/>
  <c r="Q79" i="11" s="1"/>
  <c r="L78" i="11"/>
  <c r="O78" i="11" s="1"/>
  <c r="R78" i="11" s="1"/>
  <c r="L77" i="11"/>
  <c r="O77" i="11" s="1"/>
  <c r="Q77" i="11" s="1"/>
  <c r="L76" i="11"/>
  <c r="P76" i="11" s="1"/>
  <c r="L75" i="11"/>
  <c r="O75" i="11" s="1"/>
  <c r="R75" i="11" s="1"/>
  <c r="L74" i="11"/>
  <c r="P74" i="11" s="1"/>
  <c r="L73" i="11"/>
  <c r="O73" i="11" s="1"/>
  <c r="R73" i="11" s="1"/>
  <c r="L72" i="11"/>
  <c r="O72" i="11" s="1"/>
  <c r="R72" i="11" s="1"/>
  <c r="L71" i="11"/>
  <c r="O71" i="11" s="1"/>
  <c r="Q71" i="11" s="1"/>
  <c r="L70" i="11"/>
  <c r="P70" i="11" s="1"/>
  <c r="L69" i="11"/>
  <c r="O69" i="11" s="1"/>
  <c r="R69" i="11" s="1"/>
  <c r="L68" i="11"/>
  <c r="O68" i="11" s="1"/>
  <c r="R68" i="11" s="1"/>
  <c r="L67" i="11"/>
  <c r="O67" i="11" s="1"/>
  <c r="R67" i="11" s="1"/>
  <c r="L65" i="11"/>
  <c r="P65" i="11" s="1"/>
  <c r="L64" i="11"/>
  <c r="O64" i="11" s="1"/>
  <c r="R64" i="11" s="1"/>
  <c r="L63" i="11"/>
  <c r="O63" i="11" s="1"/>
  <c r="R63" i="11" s="1"/>
  <c r="L62" i="11"/>
  <c r="O62" i="11" s="1"/>
  <c r="Q62" i="11" s="1"/>
  <c r="L61" i="11"/>
  <c r="O61" i="11" s="1"/>
  <c r="R61" i="11" s="1"/>
  <c r="L60" i="11"/>
  <c r="O60" i="11" s="1"/>
  <c r="R60" i="11" s="1"/>
  <c r="L59" i="11"/>
  <c r="O59" i="11" s="1"/>
  <c r="R59" i="11" s="1"/>
  <c r="L58" i="11"/>
  <c r="O58" i="11" s="1"/>
  <c r="R58" i="11" s="1"/>
  <c r="L57" i="11"/>
  <c r="P57" i="11" s="1"/>
  <c r="L56" i="11"/>
  <c r="O56" i="11" s="1"/>
  <c r="R56" i="11" s="1"/>
  <c r="L55" i="11"/>
  <c r="P55" i="11" s="1"/>
  <c r="L54" i="11"/>
  <c r="O54" i="11" s="1"/>
  <c r="R54" i="11" s="1"/>
  <c r="L53" i="11"/>
  <c r="O53" i="11" s="1"/>
  <c r="R53" i="11" s="1"/>
  <c r="L52" i="11"/>
  <c r="O52" i="11" s="1"/>
  <c r="R52" i="11" s="1"/>
  <c r="L51" i="11"/>
  <c r="P51" i="11" s="1"/>
  <c r="L50" i="11"/>
  <c r="O50" i="11" s="1"/>
  <c r="Q50" i="11" s="1"/>
  <c r="L49" i="11"/>
  <c r="O49" i="11" s="1"/>
  <c r="R49" i="11" s="1"/>
  <c r="L48" i="11"/>
  <c r="O48" i="11" s="1"/>
  <c r="R48" i="11" s="1"/>
  <c r="O47" i="11"/>
  <c r="R47" i="11" s="1"/>
  <c r="L47" i="11"/>
  <c r="P47" i="11" s="1"/>
  <c r="L46" i="11"/>
  <c r="O46" i="11" s="1"/>
  <c r="R46" i="11" s="1"/>
  <c r="L45" i="11"/>
  <c r="O45" i="11" s="1"/>
  <c r="R45" i="11" s="1"/>
  <c r="L44" i="11"/>
  <c r="O44" i="11" s="1"/>
  <c r="R44" i="11" s="1"/>
  <c r="L43" i="11"/>
  <c r="P43" i="11" s="1"/>
  <c r="L42" i="11"/>
  <c r="O42" i="11" s="1"/>
  <c r="R42" i="11" s="1"/>
  <c r="L41" i="11"/>
  <c r="P41" i="11" s="1"/>
  <c r="L40" i="11"/>
  <c r="O40" i="11" s="1"/>
  <c r="R40" i="11" s="1"/>
  <c r="L39" i="11"/>
  <c r="O39" i="11" s="1"/>
  <c r="R39" i="11" s="1"/>
  <c r="L38" i="11"/>
  <c r="O38" i="11" s="1"/>
  <c r="R38" i="11" s="1"/>
  <c r="L37" i="11"/>
  <c r="O37" i="11" s="1"/>
  <c r="R37" i="11" s="1"/>
  <c r="L36" i="11"/>
  <c r="O36" i="11" s="1"/>
  <c r="R36" i="11" s="1"/>
  <c r="L35" i="11"/>
  <c r="O35" i="11" s="1"/>
  <c r="R35" i="11" s="1"/>
  <c r="L34" i="11"/>
  <c r="P34" i="11" s="1"/>
  <c r="L33" i="11"/>
  <c r="O33" i="11" s="1"/>
  <c r="R33" i="11" s="1"/>
  <c r="L32" i="11"/>
  <c r="O32" i="11" s="1"/>
  <c r="R32" i="11" s="1"/>
  <c r="L31" i="11"/>
  <c r="O31" i="11" s="1"/>
  <c r="R31" i="11" s="1"/>
  <c r="L30" i="11"/>
  <c r="P30" i="11" s="1"/>
  <c r="L29" i="11"/>
  <c r="O29" i="11" s="1"/>
  <c r="R29" i="11" s="1"/>
  <c r="L28" i="11"/>
  <c r="O28" i="11" s="1"/>
  <c r="R28" i="11" s="1"/>
  <c r="L27" i="11"/>
  <c r="O27" i="11" s="1"/>
  <c r="R27" i="11" s="1"/>
  <c r="L26" i="11"/>
  <c r="P26" i="11" s="1"/>
  <c r="L25" i="11"/>
  <c r="O25" i="11" s="1"/>
  <c r="R25" i="11" s="1"/>
  <c r="L24" i="11"/>
  <c r="P24" i="11" s="1"/>
  <c r="L23" i="11"/>
  <c r="O23" i="11" s="1"/>
  <c r="R23" i="11" s="1"/>
  <c r="L22" i="11"/>
  <c r="P22" i="11" s="1"/>
  <c r="L21" i="11"/>
  <c r="O21" i="11" s="1"/>
  <c r="Q21" i="11" s="1"/>
  <c r="L20" i="11"/>
  <c r="P20" i="11" s="1"/>
  <c r="L19" i="11"/>
  <c r="O19" i="11" s="1"/>
  <c r="R19" i="11" s="1"/>
  <c r="L18" i="11"/>
  <c r="P18" i="11" s="1"/>
  <c r="L17" i="11"/>
  <c r="O17" i="11" s="1"/>
  <c r="R17" i="11" s="1"/>
  <c r="L16" i="11"/>
  <c r="P16" i="11" s="1"/>
  <c r="L15" i="11"/>
  <c r="O15" i="11" s="1"/>
  <c r="R15" i="11" s="1"/>
  <c r="L14" i="11"/>
  <c r="O14" i="11" s="1"/>
  <c r="R14" i="11" s="1"/>
  <c r="L13" i="11"/>
  <c r="O13" i="11" s="1"/>
  <c r="R13" i="11" s="1"/>
  <c r="L12" i="11"/>
  <c r="O12" i="11" s="1"/>
  <c r="R12" i="11" s="1"/>
  <c r="L11" i="11"/>
  <c r="O11" i="11" s="1"/>
  <c r="R11" i="11" s="1"/>
  <c r="L10" i="11"/>
  <c r="O10" i="11" s="1"/>
  <c r="R10" i="11" s="1"/>
  <c r="L9" i="11"/>
  <c r="O9" i="11" s="1"/>
  <c r="R9" i="11" s="1"/>
  <c r="L8" i="11"/>
  <c r="P8" i="11" s="1"/>
  <c r="L7" i="11"/>
  <c r="O7" i="11" s="1"/>
  <c r="R7" i="11" s="1"/>
  <c r="L6" i="11"/>
  <c r="P6" i="11" s="1"/>
  <c r="L4" i="11"/>
  <c r="O4" i="11" s="1"/>
  <c r="R4" i="11" s="1"/>
  <c r="L3" i="11"/>
  <c r="P3" i="11" s="1"/>
  <c r="L2" i="11"/>
  <c r="O2" i="11" s="1"/>
  <c r="R2" i="11" s="1"/>
  <c r="L411" i="10"/>
  <c r="P411" i="10" s="1"/>
  <c r="L410" i="10"/>
  <c r="O410" i="10" s="1"/>
  <c r="R410" i="10" s="1"/>
  <c r="L409" i="10"/>
  <c r="P409" i="10" s="1"/>
  <c r="L408" i="10"/>
  <c r="O408" i="10" s="1"/>
  <c r="R408" i="10" s="1"/>
  <c r="L407" i="10"/>
  <c r="P407" i="10" s="1"/>
  <c r="L406" i="10"/>
  <c r="O406" i="10" s="1"/>
  <c r="Q406" i="10" s="1"/>
  <c r="L405" i="10"/>
  <c r="P405" i="10" s="1"/>
  <c r="L404" i="10"/>
  <c r="O404" i="10" s="1"/>
  <c r="R404" i="10" s="1"/>
  <c r="L403" i="10"/>
  <c r="P403" i="10" s="1"/>
  <c r="L402" i="10"/>
  <c r="O402" i="10" s="1"/>
  <c r="R402" i="10" s="1"/>
  <c r="L401" i="10"/>
  <c r="P401" i="10" s="1"/>
  <c r="L400" i="10"/>
  <c r="O400" i="10" s="1"/>
  <c r="Q400" i="10" s="1"/>
  <c r="L399" i="10"/>
  <c r="L398" i="10"/>
  <c r="O398" i="10" s="1"/>
  <c r="Q398" i="10" s="1"/>
  <c r="L397" i="10"/>
  <c r="L396" i="10"/>
  <c r="L395" i="10"/>
  <c r="P395" i="10" s="1"/>
  <c r="L394" i="10"/>
  <c r="L393" i="10"/>
  <c r="L392" i="10"/>
  <c r="O392" i="10" s="1"/>
  <c r="R392" i="10" s="1"/>
  <c r="L391" i="10"/>
  <c r="P391" i="10" s="1"/>
  <c r="L390" i="10"/>
  <c r="L389" i="10"/>
  <c r="P389" i="10" s="1"/>
  <c r="L388" i="10"/>
  <c r="O388" i="10" s="1"/>
  <c r="R388" i="10" s="1"/>
  <c r="L387" i="10"/>
  <c r="P387" i="10" s="1"/>
  <c r="L386" i="10"/>
  <c r="O386" i="10" s="1"/>
  <c r="R386" i="10" s="1"/>
  <c r="L385" i="10"/>
  <c r="P385" i="10" s="1"/>
  <c r="L384" i="10"/>
  <c r="O384" i="10" s="1"/>
  <c r="Q384" i="10" s="1"/>
  <c r="L383" i="10"/>
  <c r="P383" i="10" s="1"/>
  <c r="L382" i="10"/>
  <c r="L381" i="10"/>
  <c r="P381" i="10" s="1"/>
  <c r="L380" i="10"/>
  <c r="O380" i="10" s="1"/>
  <c r="Q380" i="10" s="1"/>
  <c r="L379" i="10"/>
  <c r="L378" i="10"/>
  <c r="L377" i="10"/>
  <c r="P377" i="10" s="1"/>
  <c r="L376" i="10"/>
  <c r="O376" i="10" s="1"/>
  <c r="R376" i="10" s="1"/>
  <c r="L375" i="10"/>
  <c r="P375" i="10" s="1"/>
  <c r="L374" i="10"/>
  <c r="L373" i="10"/>
  <c r="P373" i="10" s="1"/>
  <c r="L372" i="10"/>
  <c r="O372" i="10" s="1"/>
  <c r="R372" i="10" s="1"/>
  <c r="L371" i="10"/>
  <c r="P371" i="10" s="1"/>
  <c r="L370" i="10"/>
  <c r="O370" i="10" s="1"/>
  <c r="R370" i="10" s="1"/>
  <c r="L369" i="10"/>
  <c r="P369" i="10" s="1"/>
  <c r="L368" i="10"/>
  <c r="L367" i="10"/>
  <c r="L366" i="10"/>
  <c r="L365" i="10"/>
  <c r="P365" i="10" s="1"/>
  <c r="L364" i="10"/>
  <c r="O364" i="10" s="1"/>
  <c r="R364" i="10" s="1"/>
  <c r="L363" i="10"/>
  <c r="P363" i="10" s="1"/>
  <c r="L362" i="10"/>
  <c r="L361" i="10"/>
  <c r="P361" i="10" s="1"/>
  <c r="L360" i="10"/>
  <c r="O360" i="10" s="1"/>
  <c r="R360" i="10" s="1"/>
  <c r="L359" i="10"/>
  <c r="P359" i="10" s="1"/>
  <c r="L358" i="10"/>
  <c r="O358" i="10" s="1"/>
  <c r="R358" i="10" s="1"/>
  <c r="L357" i="10"/>
  <c r="P357" i="10" s="1"/>
  <c r="L356" i="10"/>
  <c r="O356" i="10" s="1"/>
  <c r="R356" i="10" s="1"/>
  <c r="L355" i="10"/>
  <c r="L354" i="10"/>
  <c r="O354" i="10" s="1"/>
  <c r="R354" i="10" s="1"/>
  <c r="L353" i="10"/>
  <c r="L352" i="10"/>
  <c r="L351" i="10"/>
  <c r="P351" i="10" s="1"/>
  <c r="L350" i="10"/>
  <c r="O350" i="10" s="1"/>
  <c r="R350" i="10" s="1"/>
  <c r="L349" i="10"/>
  <c r="P349" i="10" s="1"/>
  <c r="L348" i="10"/>
  <c r="O348" i="10" s="1"/>
  <c r="Q348" i="10" s="1"/>
  <c r="L347" i="10"/>
  <c r="L346" i="10"/>
  <c r="O346" i="10" s="1"/>
  <c r="R346" i="10" s="1"/>
  <c r="L345" i="10"/>
  <c r="L344" i="10"/>
  <c r="O344" i="10" s="1"/>
  <c r="R344" i="10" s="1"/>
  <c r="L343" i="10"/>
  <c r="L342" i="10"/>
  <c r="L341" i="10"/>
  <c r="P341" i="10" s="1"/>
  <c r="L340" i="10"/>
  <c r="O340" i="10" s="1"/>
  <c r="Q340" i="10" s="1"/>
  <c r="L339" i="10"/>
  <c r="P339" i="10" s="1"/>
  <c r="L338" i="10"/>
  <c r="O338" i="10" s="1"/>
  <c r="R338" i="10" s="1"/>
  <c r="L337" i="10"/>
  <c r="L336" i="10"/>
  <c r="O336" i="10" s="1"/>
  <c r="Q336" i="10" s="1"/>
  <c r="L335" i="10"/>
  <c r="P335" i="10" s="1"/>
  <c r="L334" i="10"/>
  <c r="O334" i="10" s="1"/>
  <c r="L333" i="10"/>
  <c r="L332" i="10"/>
  <c r="O332" i="10" s="1"/>
  <c r="R332" i="10" s="1"/>
  <c r="L331" i="10"/>
  <c r="L330" i="10"/>
  <c r="L329" i="10"/>
  <c r="P329" i="10" s="1"/>
  <c r="L328" i="10"/>
  <c r="O328" i="10" s="1"/>
  <c r="Q328" i="10" s="1"/>
  <c r="L327" i="10"/>
  <c r="P327" i="10" s="1"/>
  <c r="L326" i="10"/>
  <c r="O326" i="10" s="1"/>
  <c r="R326" i="10" s="1"/>
  <c r="L325" i="10"/>
  <c r="P325" i="10" s="1"/>
  <c r="L324" i="10"/>
  <c r="O324" i="10" s="1"/>
  <c r="R324" i="10" s="1"/>
  <c r="L323" i="10"/>
  <c r="P323" i="10" s="1"/>
  <c r="L322" i="10"/>
  <c r="O322" i="10" s="1"/>
  <c r="R322" i="10" s="1"/>
  <c r="L321" i="10"/>
  <c r="L320" i="10"/>
  <c r="O320" i="10" s="1"/>
  <c r="R320" i="10" s="1"/>
  <c r="L319" i="10"/>
  <c r="L318" i="10"/>
  <c r="L317" i="10"/>
  <c r="P317" i="10" s="1"/>
  <c r="L316" i="10"/>
  <c r="O316" i="10" s="1"/>
  <c r="Q316" i="10" s="1"/>
  <c r="L315" i="10"/>
  <c r="P315" i="10" s="1"/>
  <c r="L314" i="10"/>
  <c r="O314" i="10" s="1"/>
  <c r="R314" i="10" s="1"/>
  <c r="L313" i="10"/>
  <c r="P313" i="10" s="1"/>
  <c r="L312" i="10"/>
  <c r="O312" i="10" s="1"/>
  <c r="Q312" i="10" s="1"/>
  <c r="L311" i="10"/>
  <c r="P311" i="10" s="1"/>
  <c r="L310" i="10"/>
  <c r="O310" i="10" s="1"/>
  <c r="R310" i="10" s="1"/>
  <c r="L309" i="10"/>
  <c r="L308" i="10"/>
  <c r="O308" i="10" s="1"/>
  <c r="R308" i="10" s="1"/>
  <c r="L307" i="10"/>
  <c r="L306" i="10"/>
  <c r="L305" i="10"/>
  <c r="P305" i="10" s="1"/>
  <c r="L304" i="10"/>
  <c r="O304" i="10" s="1"/>
  <c r="Q304" i="10" s="1"/>
  <c r="L303" i="10"/>
  <c r="P303" i="10" s="1"/>
  <c r="L302" i="10"/>
  <c r="O302" i="10" s="1"/>
  <c r="R302" i="10" s="1"/>
  <c r="L301" i="10"/>
  <c r="P301" i="10" s="1"/>
  <c r="L300" i="10"/>
  <c r="L299" i="10"/>
  <c r="P299" i="10" s="1"/>
  <c r="L298" i="10"/>
  <c r="O298" i="10" s="1"/>
  <c r="Q298" i="10" s="1"/>
  <c r="L297" i="10"/>
  <c r="L296" i="10"/>
  <c r="O296" i="10" s="1"/>
  <c r="R296" i="10" s="1"/>
  <c r="L295" i="10"/>
  <c r="P295" i="10" s="1"/>
  <c r="L294" i="10"/>
  <c r="L293" i="10"/>
  <c r="P293" i="10" s="1"/>
  <c r="L292" i="10"/>
  <c r="O292" i="10" s="1"/>
  <c r="Q292" i="10" s="1"/>
  <c r="L291" i="10"/>
  <c r="P291" i="10" s="1"/>
  <c r="L290" i="10"/>
  <c r="O290" i="10" s="1"/>
  <c r="R290" i="10" s="1"/>
  <c r="L289" i="10"/>
  <c r="P289" i="10" s="1"/>
  <c r="L288" i="10"/>
  <c r="L287" i="10"/>
  <c r="P287" i="10" s="1"/>
  <c r="L286" i="10"/>
  <c r="O286" i="10" s="1"/>
  <c r="Q286" i="10" s="1"/>
  <c r="L285" i="10"/>
  <c r="L284" i="10"/>
  <c r="O284" i="10" s="1"/>
  <c r="L283" i="10"/>
  <c r="P283" i="10" s="1"/>
  <c r="L282" i="10"/>
  <c r="L281" i="10"/>
  <c r="P281" i="10" s="1"/>
  <c r="L280" i="10"/>
  <c r="O280" i="10" s="1"/>
  <c r="Q280" i="10" s="1"/>
  <c r="L279" i="10"/>
  <c r="L278" i="10"/>
  <c r="O278" i="10" s="1"/>
  <c r="R278" i="10" s="1"/>
  <c r="L277" i="10"/>
  <c r="P277" i="10" s="1"/>
  <c r="L276" i="10"/>
  <c r="O276" i="10" s="1"/>
  <c r="R276" i="10" s="1"/>
  <c r="L275" i="10"/>
  <c r="P275" i="10" s="1"/>
  <c r="L274" i="10"/>
  <c r="O274" i="10" s="1"/>
  <c r="R274" i="10" s="1"/>
  <c r="L273" i="10"/>
  <c r="L272" i="10"/>
  <c r="O272" i="10" s="1"/>
  <c r="R272" i="10" s="1"/>
  <c r="L271" i="10"/>
  <c r="L270" i="10"/>
  <c r="L269" i="10"/>
  <c r="P269" i="10" s="1"/>
  <c r="L268" i="10"/>
  <c r="L267" i="10"/>
  <c r="L266" i="10"/>
  <c r="O266" i="10" s="1"/>
  <c r="R266" i="10" s="1"/>
  <c r="L265" i="10"/>
  <c r="P265" i="10" s="1"/>
  <c r="L264" i="10"/>
  <c r="O264" i="10" s="1"/>
  <c r="Q264" i="10" s="1"/>
  <c r="L263" i="10"/>
  <c r="P263" i="10" s="1"/>
  <c r="L262" i="10"/>
  <c r="O262" i="10" s="1"/>
  <c r="R262" i="10" s="1"/>
  <c r="L261" i="10"/>
  <c r="L260" i="10"/>
  <c r="O260" i="10" s="1"/>
  <c r="R260" i="10" s="1"/>
  <c r="L259" i="10"/>
  <c r="P259" i="10" s="1"/>
  <c r="L258" i="10"/>
  <c r="L257" i="10"/>
  <c r="L256" i="10"/>
  <c r="O256" i="10" s="1"/>
  <c r="Q256" i="10" s="1"/>
  <c r="L255" i="10"/>
  <c r="P255" i="10" s="1"/>
  <c r="L254" i="10"/>
  <c r="O254" i="10" s="1"/>
  <c r="R254" i="10" s="1"/>
  <c r="L253" i="10"/>
  <c r="P253" i="10" s="1"/>
  <c r="L252" i="10"/>
  <c r="O252" i="10" s="1"/>
  <c r="Q252" i="10" s="1"/>
  <c r="L251" i="10"/>
  <c r="P251" i="10" s="1"/>
  <c r="L250" i="10"/>
  <c r="O250" i="10" s="1"/>
  <c r="Q250" i="10" s="1"/>
  <c r="L249" i="10"/>
  <c r="L248" i="10"/>
  <c r="O248" i="10" s="1"/>
  <c r="R248" i="10" s="1"/>
  <c r="L247" i="10"/>
  <c r="P247" i="10" s="1"/>
  <c r="L246" i="10"/>
  <c r="L245" i="10"/>
  <c r="P245" i="10" s="1"/>
  <c r="L244" i="10"/>
  <c r="O244" i="10" s="1"/>
  <c r="Q244" i="10" s="1"/>
  <c r="L243" i="10"/>
  <c r="L242" i="10"/>
  <c r="O242" i="10" s="1"/>
  <c r="Q242" i="10" s="1"/>
  <c r="L241" i="10"/>
  <c r="P241" i="10" s="1"/>
  <c r="L240" i="10"/>
  <c r="P240" i="10" s="1"/>
  <c r="L239" i="10"/>
  <c r="P239" i="10" s="1"/>
  <c r="L238" i="10"/>
  <c r="P238" i="10" s="1"/>
  <c r="L237" i="10"/>
  <c r="O237" i="10" s="1"/>
  <c r="Q237" i="10" s="1"/>
  <c r="L236" i="10"/>
  <c r="P236" i="10" s="1"/>
  <c r="L235" i="10"/>
  <c r="P235" i="10" s="1"/>
  <c r="L234" i="10"/>
  <c r="P234" i="10" s="1"/>
  <c r="L233" i="10"/>
  <c r="O233" i="10" s="1"/>
  <c r="Q233" i="10" s="1"/>
  <c r="L232" i="10"/>
  <c r="O232" i="10" s="1"/>
  <c r="L231" i="10"/>
  <c r="O231" i="10" s="1"/>
  <c r="L230" i="10"/>
  <c r="P230" i="10" s="1"/>
  <c r="L229" i="10"/>
  <c r="P229" i="10" s="1"/>
  <c r="L228" i="10"/>
  <c r="P228" i="10" s="1"/>
  <c r="L227" i="10"/>
  <c r="P227" i="10" s="1"/>
  <c r="L226" i="10"/>
  <c r="O226" i="10" s="1"/>
  <c r="L225" i="10"/>
  <c r="O225" i="10" s="1"/>
  <c r="L224" i="10"/>
  <c r="P224" i="10" s="1"/>
  <c r="L223" i="10"/>
  <c r="P223" i="10" s="1"/>
  <c r="L222" i="10"/>
  <c r="O222" i="10" s="1"/>
  <c r="L221" i="10"/>
  <c r="L220" i="10"/>
  <c r="O220" i="10" s="1"/>
  <c r="L219" i="10"/>
  <c r="P219" i="10" s="1"/>
  <c r="L218" i="10"/>
  <c r="P218" i="10" s="1"/>
  <c r="L217" i="10"/>
  <c r="P217" i="10" s="1"/>
  <c r="L216" i="10"/>
  <c r="P216" i="10" s="1"/>
  <c r="L215" i="10"/>
  <c r="L214" i="10"/>
  <c r="O214" i="10" s="1"/>
  <c r="R214" i="10" s="1"/>
  <c r="L213" i="10"/>
  <c r="O213" i="10" s="1"/>
  <c r="Q213" i="10" s="1"/>
  <c r="L212" i="10"/>
  <c r="O212" i="10" s="1"/>
  <c r="L211" i="10"/>
  <c r="L210" i="10"/>
  <c r="P210" i="10" s="1"/>
  <c r="L209" i="10"/>
  <c r="O209" i="10" s="1"/>
  <c r="Q209" i="10" s="1"/>
  <c r="L208" i="10"/>
  <c r="O208" i="10" s="1"/>
  <c r="L207" i="10"/>
  <c r="P207" i="10" s="1"/>
  <c r="L206" i="10"/>
  <c r="O206" i="10" s="1"/>
  <c r="L205" i="10"/>
  <c r="P205" i="10" s="1"/>
  <c r="L204" i="10"/>
  <c r="O204" i="10" s="1"/>
  <c r="R204" i="10" s="1"/>
  <c r="L203" i="10"/>
  <c r="P203" i="10" s="1"/>
  <c r="L202" i="10"/>
  <c r="P202" i="10" s="1"/>
  <c r="L201" i="10"/>
  <c r="O201" i="10" s="1"/>
  <c r="L200" i="10"/>
  <c r="O200" i="10" s="1"/>
  <c r="Q200" i="10" s="1"/>
  <c r="L199" i="10"/>
  <c r="P199" i="10" s="1"/>
  <c r="L198" i="10"/>
  <c r="O198" i="10" s="1"/>
  <c r="L197" i="10"/>
  <c r="L196" i="10"/>
  <c r="O196" i="10" s="1"/>
  <c r="L195" i="10"/>
  <c r="O195" i="10" s="1"/>
  <c r="Q195" i="10" s="1"/>
  <c r="L194" i="10"/>
  <c r="O194" i="10" s="1"/>
  <c r="L193" i="10"/>
  <c r="P193" i="10" s="1"/>
  <c r="L192" i="10"/>
  <c r="O192" i="10" s="1"/>
  <c r="L191" i="10"/>
  <c r="L190" i="10"/>
  <c r="O190" i="10" s="1"/>
  <c r="L189" i="10"/>
  <c r="P189" i="10" s="1"/>
  <c r="L188" i="10"/>
  <c r="L187" i="10"/>
  <c r="O187" i="10" s="1"/>
  <c r="Q187" i="10" s="1"/>
  <c r="L186" i="10"/>
  <c r="P186" i="10" s="1"/>
  <c r="L185" i="10"/>
  <c r="O185" i="10" s="1"/>
  <c r="L184" i="10"/>
  <c r="P184" i="10" s="1"/>
  <c r="L183" i="10"/>
  <c r="O183" i="10" s="1"/>
  <c r="L182" i="10"/>
  <c r="P182" i="10" s="1"/>
  <c r="L181" i="10"/>
  <c r="P181" i="10" s="1"/>
  <c r="L180" i="10"/>
  <c r="P180" i="10" s="1"/>
  <c r="L179" i="10"/>
  <c r="L178" i="10"/>
  <c r="O178" i="10" s="1"/>
  <c r="Q178" i="10" s="1"/>
  <c r="L177" i="10"/>
  <c r="P177" i="10" s="1"/>
  <c r="L176" i="10"/>
  <c r="P176" i="10" s="1"/>
  <c r="L175" i="10"/>
  <c r="O175" i="10" s="1"/>
  <c r="Q175" i="10" s="1"/>
  <c r="L174" i="10"/>
  <c r="O174" i="10" s="1"/>
  <c r="L173" i="10"/>
  <c r="P173" i="10" s="1"/>
  <c r="L172" i="10"/>
  <c r="P172" i="10" s="1"/>
  <c r="L171" i="10"/>
  <c r="P171" i="10" s="1"/>
  <c r="L170" i="10"/>
  <c r="P170" i="10" s="1"/>
  <c r="L169" i="10"/>
  <c r="P169" i="10" s="1"/>
  <c r="L168" i="10"/>
  <c r="P168" i="10" s="1"/>
  <c r="L167" i="10"/>
  <c r="P167" i="10" s="1"/>
  <c r="L166" i="10"/>
  <c r="O166" i="10" s="1"/>
  <c r="R166" i="10" s="1"/>
  <c r="L165" i="10"/>
  <c r="P165" i="10" s="1"/>
  <c r="L164" i="10"/>
  <c r="P164" i="10" s="1"/>
  <c r="L163" i="10"/>
  <c r="P163" i="10" s="1"/>
  <c r="L162" i="10"/>
  <c r="P162" i="10" s="1"/>
  <c r="L161" i="10"/>
  <c r="P161" i="10" s="1"/>
  <c r="L160" i="10"/>
  <c r="O160" i="10" s="1"/>
  <c r="L159" i="10"/>
  <c r="P159" i="10" s="1"/>
  <c r="L158" i="10"/>
  <c r="O158" i="10" s="1"/>
  <c r="L157" i="10"/>
  <c r="P157" i="10" s="1"/>
  <c r="L156" i="10"/>
  <c r="P156" i="10" s="1"/>
  <c r="L155" i="10"/>
  <c r="P155" i="10" s="1"/>
  <c r="L154" i="10"/>
  <c r="P154" i="10" s="1"/>
  <c r="L153" i="10"/>
  <c r="P153" i="10" s="1"/>
  <c r="L152" i="10"/>
  <c r="O152" i="10" s="1"/>
  <c r="L151" i="10"/>
  <c r="P151" i="10" s="1"/>
  <c r="L150" i="10"/>
  <c r="P150" i="10" s="1"/>
  <c r="L149" i="10"/>
  <c r="P149" i="10" s="1"/>
  <c r="L148" i="10"/>
  <c r="P148" i="10" s="1"/>
  <c r="L147" i="10"/>
  <c r="P147" i="10" s="1"/>
  <c r="L146" i="10"/>
  <c r="O146" i="10" s="1"/>
  <c r="L145" i="10"/>
  <c r="P145" i="10" s="1"/>
  <c r="L144" i="10"/>
  <c r="P144" i="10" s="1"/>
  <c r="L143" i="10"/>
  <c r="P143" i="10" s="1"/>
  <c r="L142" i="10"/>
  <c r="P142" i="10" s="1"/>
  <c r="L141" i="10"/>
  <c r="P141" i="10" s="1"/>
  <c r="L140" i="10"/>
  <c r="O140" i="10" s="1"/>
  <c r="L139" i="10"/>
  <c r="P139" i="10" s="1"/>
  <c r="L138" i="10"/>
  <c r="P138" i="10" s="1"/>
  <c r="L136" i="10"/>
  <c r="P136" i="10" s="1"/>
  <c r="L135" i="10"/>
  <c r="O135" i="10" s="1"/>
  <c r="L134" i="10"/>
  <c r="P134" i="10" s="1"/>
  <c r="L133" i="10"/>
  <c r="O133" i="10" s="1"/>
  <c r="L132" i="10"/>
  <c r="P132" i="10" s="1"/>
  <c r="L131" i="10"/>
  <c r="O131" i="10" s="1"/>
  <c r="L130" i="10"/>
  <c r="P130" i="10" s="1"/>
  <c r="L129" i="10"/>
  <c r="P129" i="10" s="1"/>
  <c r="L128" i="10"/>
  <c r="P128" i="10" s="1"/>
  <c r="L127" i="10"/>
  <c r="P127" i="10" s="1"/>
  <c r="L126" i="10"/>
  <c r="P126" i="10" s="1"/>
  <c r="L125" i="10"/>
  <c r="O125" i="10" s="1"/>
  <c r="L124" i="10"/>
  <c r="P124" i="10" s="1"/>
  <c r="L123" i="10"/>
  <c r="P123" i="10" s="1"/>
  <c r="L122" i="10"/>
  <c r="P122" i="10" s="1"/>
  <c r="L121" i="10"/>
  <c r="O121" i="10" s="1"/>
  <c r="Q121" i="10" s="1"/>
  <c r="L120" i="10"/>
  <c r="P120" i="10" s="1"/>
  <c r="L119" i="10"/>
  <c r="P119" i="10" s="1"/>
  <c r="L118" i="10"/>
  <c r="P118" i="10" s="1"/>
  <c r="L117" i="10"/>
  <c r="P117" i="10" s="1"/>
  <c r="L116" i="10"/>
  <c r="P116" i="10" s="1"/>
  <c r="L115" i="10"/>
  <c r="P115" i="10" s="1"/>
  <c r="L114" i="10"/>
  <c r="P114" i="10" s="1"/>
  <c r="L113" i="10"/>
  <c r="O113" i="10" s="1"/>
  <c r="Q113" i="10" s="1"/>
  <c r="L112" i="10"/>
  <c r="P112" i="10" s="1"/>
  <c r="L111" i="10"/>
  <c r="P111" i="10" s="1"/>
  <c r="L110" i="10"/>
  <c r="P110" i="10" s="1"/>
  <c r="L109" i="10"/>
  <c r="P109" i="10" s="1"/>
  <c r="L108" i="10"/>
  <c r="P108" i="10" s="1"/>
  <c r="L107" i="10"/>
  <c r="P107" i="10" s="1"/>
  <c r="L106" i="10"/>
  <c r="L105" i="10"/>
  <c r="P105" i="10" s="1"/>
  <c r="L104" i="10"/>
  <c r="P104" i="10" s="1"/>
  <c r="L103" i="10"/>
  <c r="P103" i="10" s="1"/>
  <c r="L102" i="10"/>
  <c r="P102" i="10" s="1"/>
  <c r="L101" i="10"/>
  <c r="P101" i="10" s="1"/>
  <c r="L100" i="10"/>
  <c r="P100" i="10" s="1"/>
  <c r="L99" i="10"/>
  <c r="P99" i="10" s="1"/>
  <c r="L98" i="10"/>
  <c r="L97" i="10"/>
  <c r="P97" i="10" s="1"/>
  <c r="L96" i="10"/>
  <c r="P96" i="10" s="1"/>
  <c r="L95" i="10"/>
  <c r="P95" i="10" s="1"/>
  <c r="L94" i="10"/>
  <c r="L93" i="10"/>
  <c r="P93" i="10" s="1"/>
  <c r="L92" i="10"/>
  <c r="P92" i="10" s="1"/>
  <c r="L91" i="10"/>
  <c r="P91" i="10" s="1"/>
  <c r="L90" i="10"/>
  <c r="P90" i="10" s="1"/>
  <c r="L89" i="10"/>
  <c r="P89" i="10" s="1"/>
  <c r="L88" i="10"/>
  <c r="P88" i="10" s="1"/>
  <c r="L87" i="10"/>
  <c r="P87" i="10" s="1"/>
  <c r="L86" i="10"/>
  <c r="L85" i="10"/>
  <c r="P85" i="10" s="1"/>
  <c r="L84" i="10"/>
  <c r="P84" i="10" s="1"/>
  <c r="L83" i="10"/>
  <c r="P83" i="10" s="1"/>
  <c r="L82" i="10"/>
  <c r="L81" i="10"/>
  <c r="P81" i="10" s="1"/>
  <c r="L80" i="10"/>
  <c r="P80" i="10" s="1"/>
  <c r="L79" i="10"/>
  <c r="P79" i="10" s="1"/>
  <c r="L78" i="10"/>
  <c r="P78" i="10" s="1"/>
  <c r="L77" i="10"/>
  <c r="P77" i="10" s="1"/>
  <c r="L76" i="10"/>
  <c r="P76" i="10" s="1"/>
  <c r="L75" i="10"/>
  <c r="P75" i="10" s="1"/>
  <c r="L74" i="10"/>
  <c r="L73" i="10"/>
  <c r="P73" i="10" s="1"/>
  <c r="L72" i="10"/>
  <c r="P72" i="10" s="1"/>
  <c r="L71" i="10"/>
  <c r="P71" i="10" s="1"/>
  <c r="L70" i="10"/>
  <c r="L69" i="10"/>
  <c r="P69" i="10" s="1"/>
  <c r="L68" i="10"/>
  <c r="P68" i="10" s="1"/>
  <c r="L67" i="10"/>
  <c r="P67" i="10" s="1"/>
  <c r="L66" i="10"/>
  <c r="P66" i="10" s="1"/>
  <c r="L65" i="10"/>
  <c r="P65" i="10" s="1"/>
  <c r="L64" i="10"/>
  <c r="P64" i="10" s="1"/>
  <c r="L63" i="10"/>
  <c r="L62" i="10"/>
  <c r="P62" i="10" s="1"/>
  <c r="L61" i="10"/>
  <c r="P61" i="10" s="1"/>
  <c r="L60" i="10"/>
  <c r="P60" i="10" s="1"/>
  <c r="L59" i="10"/>
  <c r="L58" i="10"/>
  <c r="P58" i="10" s="1"/>
  <c r="L57" i="10"/>
  <c r="P57" i="10" s="1"/>
  <c r="L56" i="10"/>
  <c r="O56" i="10" s="1"/>
  <c r="L55" i="10"/>
  <c r="P55" i="10" s="1"/>
  <c r="L54" i="10"/>
  <c r="P54" i="10" s="1"/>
  <c r="L53" i="10"/>
  <c r="P53" i="10" s="1"/>
  <c r="L52" i="10"/>
  <c r="P52" i="10" s="1"/>
  <c r="L51" i="10"/>
  <c r="L50" i="10"/>
  <c r="P50" i="10" s="1"/>
  <c r="L49" i="10"/>
  <c r="P49" i="10" s="1"/>
  <c r="L48" i="10"/>
  <c r="P48" i="10" s="1"/>
  <c r="L47" i="10"/>
  <c r="L46" i="10"/>
  <c r="P46" i="10" s="1"/>
  <c r="L45" i="10"/>
  <c r="P45" i="10" s="1"/>
  <c r="L44" i="10"/>
  <c r="P44" i="10" s="1"/>
  <c r="L43" i="10"/>
  <c r="P43" i="10" s="1"/>
  <c r="L42" i="10"/>
  <c r="P42" i="10" s="1"/>
  <c r="L41" i="10"/>
  <c r="P41" i="10" s="1"/>
  <c r="L40" i="10"/>
  <c r="P40" i="10" s="1"/>
  <c r="L39" i="10"/>
  <c r="L38" i="10"/>
  <c r="P38" i="10" s="1"/>
  <c r="L37" i="10"/>
  <c r="P37" i="10" s="1"/>
  <c r="L36" i="10"/>
  <c r="P36" i="10" s="1"/>
  <c r="L35" i="10"/>
  <c r="L34" i="10"/>
  <c r="P34" i="10" s="1"/>
  <c r="L33" i="10"/>
  <c r="P33" i="10" s="1"/>
  <c r="L32" i="10"/>
  <c r="O32" i="10" s="1"/>
  <c r="L31" i="10"/>
  <c r="P31" i="10" s="1"/>
  <c r="L30" i="10"/>
  <c r="P30" i="10" s="1"/>
  <c r="L29" i="10"/>
  <c r="P29" i="10" s="1"/>
  <c r="L28" i="10"/>
  <c r="P28" i="10" s="1"/>
  <c r="L27" i="10"/>
  <c r="L26" i="10"/>
  <c r="P26" i="10" s="1"/>
  <c r="L25" i="10"/>
  <c r="P25" i="10" s="1"/>
  <c r="L24" i="10"/>
  <c r="P24" i="10" s="1"/>
  <c r="L23" i="10"/>
  <c r="L22" i="10"/>
  <c r="P22" i="10" s="1"/>
  <c r="L21" i="10"/>
  <c r="P21" i="10" s="1"/>
  <c r="L20" i="10"/>
  <c r="P20" i="10" s="1"/>
  <c r="L19" i="10"/>
  <c r="P19" i="10" s="1"/>
  <c r="L18" i="10"/>
  <c r="P18" i="10" s="1"/>
  <c r="L17" i="10"/>
  <c r="P17" i="10" s="1"/>
  <c r="L16" i="10"/>
  <c r="P16" i="10" s="1"/>
  <c r="L15" i="10"/>
  <c r="L13" i="10"/>
  <c r="P13" i="10" s="1"/>
  <c r="L12" i="10"/>
  <c r="P12" i="10" s="1"/>
  <c r="L11" i="10"/>
  <c r="P11" i="10" s="1"/>
  <c r="L10" i="10"/>
  <c r="L9" i="10"/>
  <c r="P9" i="10" s="1"/>
  <c r="L8" i="10"/>
  <c r="P8" i="10" s="1"/>
  <c r="L6" i="10"/>
  <c r="P6" i="10" s="1"/>
  <c r="L5" i="10"/>
  <c r="P5" i="10" s="1"/>
  <c r="L4" i="10"/>
  <c r="P4" i="10" s="1"/>
  <c r="L3" i="10"/>
  <c r="P3" i="10" s="1"/>
  <c r="L2" i="10"/>
  <c r="L159" i="9"/>
  <c r="P159" i="9" s="1"/>
  <c r="L158" i="9"/>
  <c r="O158" i="9" s="1"/>
  <c r="R158" i="9" s="1"/>
  <c r="L157" i="9"/>
  <c r="P157" i="9" s="1"/>
  <c r="L156" i="9"/>
  <c r="O156" i="9" s="1"/>
  <c r="Q156" i="9" s="1"/>
  <c r="L155" i="9"/>
  <c r="P155" i="9" s="1"/>
  <c r="L154" i="9"/>
  <c r="O154" i="9" s="1"/>
  <c r="Q154" i="9" s="1"/>
  <c r="L153" i="9"/>
  <c r="P153" i="9" s="1"/>
  <c r="L152" i="9"/>
  <c r="O152" i="9" s="1"/>
  <c r="R152" i="9" s="1"/>
  <c r="L151" i="9"/>
  <c r="P151" i="9" s="1"/>
  <c r="L150" i="9"/>
  <c r="O150" i="9" s="1"/>
  <c r="R150" i="9" s="1"/>
  <c r="L149" i="9"/>
  <c r="P149" i="9" s="1"/>
  <c r="L148" i="9"/>
  <c r="O148" i="9" s="1"/>
  <c r="Q148" i="9" s="1"/>
  <c r="L147" i="9"/>
  <c r="P147" i="9" s="1"/>
  <c r="L146" i="9"/>
  <c r="O146" i="9" s="1"/>
  <c r="R146" i="9" s="1"/>
  <c r="L145" i="9"/>
  <c r="P145" i="9" s="1"/>
  <c r="L144" i="9"/>
  <c r="O144" i="9" s="1"/>
  <c r="R144" i="9" s="1"/>
  <c r="L143" i="9"/>
  <c r="P143" i="9" s="1"/>
  <c r="L142" i="9"/>
  <c r="O142" i="9" s="1"/>
  <c r="Q142" i="9" s="1"/>
  <c r="L141" i="9"/>
  <c r="P141" i="9" s="1"/>
  <c r="L140" i="9"/>
  <c r="O140" i="9" s="1"/>
  <c r="R140" i="9" s="1"/>
  <c r="L139" i="9"/>
  <c r="P139" i="9" s="1"/>
  <c r="L138" i="9"/>
  <c r="O138" i="9" s="1"/>
  <c r="R138" i="9" s="1"/>
  <c r="L136" i="9"/>
  <c r="P136" i="9" s="1"/>
  <c r="L135" i="9"/>
  <c r="O135" i="9" s="1"/>
  <c r="Q135" i="9" s="1"/>
  <c r="L134" i="9"/>
  <c r="P134" i="9" s="1"/>
  <c r="L133" i="9"/>
  <c r="O133" i="9" s="1"/>
  <c r="Q133" i="9" s="1"/>
  <c r="L132" i="9"/>
  <c r="P132" i="9" s="1"/>
  <c r="L131" i="9"/>
  <c r="O131" i="9" s="1"/>
  <c r="Q131" i="9" s="1"/>
  <c r="L130" i="9"/>
  <c r="P130" i="9" s="1"/>
  <c r="L129" i="9"/>
  <c r="O129" i="9" s="1"/>
  <c r="Q129" i="9" s="1"/>
  <c r="L128" i="9"/>
  <c r="P128" i="9" s="1"/>
  <c r="L127" i="9"/>
  <c r="O127" i="9" s="1"/>
  <c r="Q127" i="9" s="1"/>
  <c r="L126" i="9"/>
  <c r="P126" i="9" s="1"/>
  <c r="L125" i="9"/>
  <c r="O125" i="9" s="1"/>
  <c r="R125" i="9" s="1"/>
  <c r="L124" i="9"/>
  <c r="P124" i="9" s="1"/>
  <c r="L123" i="9"/>
  <c r="O123" i="9" s="1"/>
  <c r="R123" i="9" s="1"/>
  <c r="L122" i="9"/>
  <c r="P122" i="9" s="1"/>
  <c r="L121" i="9"/>
  <c r="O121" i="9" s="1"/>
  <c r="Q121" i="9" s="1"/>
  <c r="L120" i="9"/>
  <c r="P120" i="9" s="1"/>
  <c r="L119" i="9"/>
  <c r="O119" i="9" s="1"/>
  <c r="R119" i="9" s="1"/>
  <c r="L118" i="9"/>
  <c r="P118" i="9" s="1"/>
  <c r="L117" i="9"/>
  <c r="O117" i="9" s="1"/>
  <c r="Q117" i="9" s="1"/>
  <c r="L116" i="9"/>
  <c r="P116" i="9" s="1"/>
  <c r="L115" i="9"/>
  <c r="O115" i="9" s="1"/>
  <c r="Q115" i="9" s="1"/>
  <c r="L114" i="9"/>
  <c r="P114" i="9" s="1"/>
  <c r="L113" i="9"/>
  <c r="O113" i="9" s="1"/>
  <c r="R113" i="9" s="1"/>
  <c r="L112" i="9"/>
  <c r="P112" i="9" s="1"/>
  <c r="L111" i="9"/>
  <c r="O111" i="9" s="1"/>
  <c r="R111" i="9" s="1"/>
  <c r="L110" i="9"/>
  <c r="P110" i="9" s="1"/>
  <c r="L109" i="9"/>
  <c r="O109" i="9" s="1"/>
  <c r="Q109" i="9" s="1"/>
  <c r="L108" i="9"/>
  <c r="P108" i="9" s="1"/>
  <c r="L107" i="9"/>
  <c r="O107" i="9" s="1"/>
  <c r="R107" i="9" s="1"/>
  <c r="L106" i="9"/>
  <c r="P106" i="9" s="1"/>
  <c r="L105" i="9"/>
  <c r="O105" i="9" s="1"/>
  <c r="Q105" i="9" s="1"/>
  <c r="L104" i="9"/>
  <c r="P104" i="9" s="1"/>
  <c r="L103" i="9"/>
  <c r="O103" i="9" s="1"/>
  <c r="R103" i="9" s="1"/>
  <c r="L102" i="9"/>
  <c r="P102" i="9" s="1"/>
  <c r="L101" i="9"/>
  <c r="O101" i="9" s="1"/>
  <c r="R101" i="9" s="1"/>
  <c r="L100" i="9"/>
  <c r="P100" i="9" s="1"/>
  <c r="L99" i="9"/>
  <c r="O99" i="9" s="1"/>
  <c r="R99" i="9" s="1"/>
  <c r="L98" i="9"/>
  <c r="P98" i="9" s="1"/>
  <c r="L97" i="9"/>
  <c r="O97" i="9" s="1"/>
  <c r="Q97" i="9" s="1"/>
  <c r="L96" i="9"/>
  <c r="P96" i="9" s="1"/>
  <c r="L95" i="9"/>
  <c r="P95" i="9" s="1"/>
  <c r="L94" i="9"/>
  <c r="O94" i="9" s="1"/>
  <c r="R94" i="9" s="1"/>
  <c r="L93" i="9"/>
  <c r="P93" i="9" s="1"/>
  <c r="L92" i="9"/>
  <c r="O92" i="9" s="1"/>
  <c r="Q92" i="9" s="1"/>
  <c r="L91" i="9"/>
  <c r="P91" i="9" s="1"/>
  <c r="L90" i="9"/>
  <c r="O90" i="9" s="1"/>
  <c r="Q90" i="9" s="1"/>
  <c r="L89" i="9"/>
  <c r="P89" i="9" s="1"/>
  <c r="L88" i="9"/>
  <c r="O88" i="9" s="1"/>
  <c r="R88" i="9" s="1"/>
  <c r="L87" i="9"/>
  <c r="P87" i="9" s="1"/>
  <c r="L86" i="9"/>
  <c r="O86" i="9" s="1"/>
  <c r="Q86" i="9" s="1"/>
  <c r="L85" i="9"/>
  <c r="P85" i="9" s="1"/>
  <c r="L84" i="9"/>
  <c r="O84" i="9" s="1"/>
  <c r="Q84" i="9" s="1"/>
  <c r="L83" i="9"/>
  <c r="P83" i="9" s="1"/>
  <c r="L82" i="9"/>
  <c r="O82" i="9" s="1"/>
  <c r="R82" i="9" s="1"/>
  <c r="L81" i="9"/>
  <c r="P81" i="9" s="1"/>
  <c r="L80" i="9"/>
  <c r="O80" i="9" s="1"/>
  <c r="R80" i="9" s="1"/>
  <c r="L79" i="9"/>
  <c r="P79" i="9" s="1"/>
  <c r="L78" i="9"/>
  <c r="O78" i="9" s="1"/>
  <c r="R78" i="9" s="1"/>
  <c r="L77" i="9"/>
  <c r="P77" i="9" s="1"/>
  <c r="L76" i="9"/>
  <c r="O76" i="9" s="1"/>
  <c r="R76" i="9" s="1"/>
  <c r="L74" i="9"/>
  <c r="P74" i="9" s="1"/>
  <c r="L73" i="9"/>
  <c r="O73" i="9" s="1"/>
  <c r="Q73" i="9" s="1"/>
  <c r="L72" i="9"/>
  <c r="P72" i="9" s="1"/>
  <c r="L71" i="9"/>
  <c r="O71" i="9" s="1"/>
  <c r="Q71" i="9" s="1"/>
  <c r="L70" i="9"/>
  <c r="P70" i="9" s="1"/>
  <c r="L69" i="9"/>
  <c r="O69" i="9" s="1"/>
  <c r="R69" i="9" s="1"/>
  <c r="L67" i="9"/>
  <c r="P67" i="9" s="1"/>
  <c r="L66" i="9"/>
  <c r="O66" i="9" s="1"/>
  <c r="Q66" i="9" s="1"/>
  <c r="L65" i="9"/>
  <c r="P65" i="9" s="1"/>
  <c r="L64" i="9"/>
  <c r="O64" i="9" s="1"/>
  <c r="Q64" i="9" s="1"/>
  <c r="L63" i="9"/>
  <c r="P63" i="9" s="1"/>
  <c r="L62" i="9"/>
  <c r="O62" i="9" s="1"/>
  <c r="R62" i="9" s="1"/>
  <c r="L61" i="9"/>
  <c r="P61" i="9" s="1"/>
  <c r="L60" i="9"/>
  <c r="O60" i="9" s="1"/>
  <c r="R60" i="9" s="1"/>
  <c r="L59" i="9"/>
  <c r="P59" i="9" s="1"/>
  <c r="L58" i="9"/>
  <c r="O58" i="9" s="1"/>
  <c r="Q58" i="9" s="1"/>
  <c r="L57" i="9"/>
  <c r="P57" i="9" s="1"/>
  <c r="L56" i="9"/>
  <c r="O56" i="9" s="1"/>
  <c r="R56" i="9" s="1"/>
  <c r="L55" i="9"/>
  <c r="P55" i="9" s="1"/>
  <c r="L54" i="9"/>
  <c r="O54" i="9" s="1"/>
  <c r="R54" i="9" s="1"/>
  <c r="L53" i="9"/>
  <c r="P53" i="9" s="1"/>
  <c r="L52" i="9"/>
  <c r="O52" i="9" s="1"/>
  <c r="Q52" i="9" s="1"/>
  <c r="L51" i="9"/>
  <c r="P51" i="9" s="1"/>
  <c r="L50" i="9"/>
  <c r="O50" i="9" s="1"/>
  <c r="Q50" i="9" s="1"/>
  <c r="L49" i="9"/>
  <c r="P49" i="9" s="1"/>
  <c r="L48" i="9"/>
  <c r="O48" i="9" s="1"/>
  <c r="R48" i="9" s="1"/>
  <c r="L46" i="9"/>
  <c r="P46" i="9" s="1"/>
  <c r="L45" i="9"/>
  <c r="O45" i="9" s="1"/>
  <c r="Q45" i="9" s="1"/>
  <c r="L44" i="9"/>
  <c r="P44" i="9" s="1"/>
  <c r="L43" i="9"/>
  <c r="O43" i="9" s="1"/>
  <c r="R43" i="9" s="1"/>
  <c r="L42" i="9"/>
  <c r="P42" i="9" s="1"/>
  <c r="L41" i="9"/>
  <c r="O41" i="9" s="1"/>
  <c r="R41" i="9" s="1"/>
  <c r="L40" i="9"/>
  <c r="P40" i="9" s="1"/>
  <c r="L39" i="9"/>
  <c r="O39" i="9" s="1"/>
  <c r="Q39" i="9" s="1"/>
  <c r="L38" i="9"/>
  <c r="O38" i="9" s="1"/>
  <c r="R38" i="9" s="1"/>
  <c r="L37" i="9"/>
  <c r="P37" i="9" s="1"/>
  <c r="L36" i="9"/>
  <c r="O36" i="9" s="1"/>
  <c r="R36" i="9" s="1"/>
  <c r="L35" i="9"/>
  <c r="P35" i="9" s="1"/>
  <c r="L34" i="9"/>
  <c r="O34" i="9" s="1"/>
  <c r="Q34" i="9" s="1"/>
  <c r="L33" i="9"/>
  <c r="P33" i="9" s="1"/>
  <c r="L32" i="9"/>
  <c r="O32" i="9" s="1"/>
  <c r="R32" i="9" s="1"/>
  <c r="L31" i="9"/>
  <c r="P31" i="9" s="1"/>
  <c r="L30" i="9"/>
  <c r="O30" i="9" s="1"/>
  <c r="Q30" i="9" s="1"/>
  <c r="L29" i="9"/>
  <c r="P29" i="9" s="1"/>
  <c r="L28" i="9"/>
  <c r="O28" i="9" s="1"/>
  <c r="Q28" i="9" s="1"/>
  <c r="L27" i="9"/>
  <c r="P27" i="9" s="1"/>
  <c r="L26" i="9"/>
  <c r="O26" i="9" s="1"/>
  <c r="R26" i="9" s="1"/>
  <c r="L25" i="9"/>
  <c r="P25" i="9" s="1"/>
  <c r="L24" i="9"/>
  <c r="O24" i="9" s="1"/>
  <c r="R24" i="9" s="1"/>
  <c r="L23" i="9"/>
  <c r="P23" i="9" s="1"/>
  <c r="L22" i="9"/>
  <c r="O22" i="9" s="1"/>
  <c r="Q22" i="9" s="1"/>
  <c r="L21" i="9"/>
  <c r="P21" i="9" s="1"/>
  <c r="L20" i="9"/>
  <c r="O20" i="9" s="1"/>
  <c r="R20" i="9" s="1"/>
  <c r="L19" i="9"/>
  <c r="P19" i="9" s="1"/>
  <c r="L18" i="9"/>
  <c r="O18" i="9" s="1"/>
  <c r="Q18" i="9" s="1"/>
  <c r="L17" i="9"/>
  <c r="P17" i="9" s="1"/>
  <c r="L16" i="9"/>
  <c r="O16" i="9" s="1"/>
  <c r="Q16" i="9" s="1"/>
  <c r="L15" i="9"/>
  <c r="P15" i="9" s="1"/>
  <c r="L14" i="9"/>
  <c r="O14" i="9" s="1"/>
  <c r="R14" i="9" s="1"/>
  <c r="L13" i="9"/>
  <c r="P13" i="9" s="1"/>
  <c r="L12" i="9"/>
  <c r="O12" i="9" s="1"/>
  <c r="R12" i="9" s="1"/>
  <c r="L11" i="9"/>
  <c r="P11" i="9" s="1"/>
  <c r="L10" i="9"/>
  <c r="O10" i="9" s="1"/>
  <c r="R10" i="9" s="1"/>
  <c r="L9" i="9"/>
  <c r="P9" i="9" s="1"/>
  <c r="L8" i="9"/>
  <c r="O8" i="9" s="1"/>
  <c r="R8" i="9" s="1"/>
  <c r="L7" i="9"/>
  <c r="P7" i="9" s="1"/>
  <c r="L5" i="9"/>
  <c r="O5" i="9" s="1"/>
  <c r="R5" i="9" s="1"/>
  <c r="L3" i="9"/>
  <c r="P3" i="9" s="1"/>
  <c r="L2" i="9"/>
  <c r="O2" i="9" s="1"/>
  <c r="Q2" i="9" s="1"/>
  <c r="L415" i="8"/>
  <c r="L414" i="8"/>
  <c r="O414" i="8" s="1"/>
  <c r="R414" i="8" s="1"/>
  <c r="L413" i="8"/>
  <c r="L412" i="8"/>
  <c r="O412" i="8" s="1"/>
  <c r="Q412" i="8" s="1"/>
  <c r="L411" i="8"/>
  <c r="L410" i="8"/>
  <c r="O410" i="8" s="1"/>
  <c r="R410" i="8" s="1"/>
  <c r="L409" i="8"/>
  <c r="L408" i="8"/>
  <c r="O408" i="8" s="1"/>
  <c r="R408" i="8" s="1"/>
  <c r="L407" i="8"/>
  <c r="L406" i="8"/>
  <c r="O406" i="8" s="1"/>
  <c r="R406" i="8" s="1"/>
  <c r="L405" i="8"/>
  <c r="L404" i="8"/>
  <c r="O404" i="8" s="1"/>
  <c r="R404" i="8" s="1"/>
  <c r="L403" i="8"/>
  <c r="L402" i="8"/>
  <c r="O402" i="8" s="1"/>
  <c r="R402" i="8" s="1"/>
  <c r="L401" i="8"/>
  <c r="L400" i="8"/>
  <c r="O400" i="8" s="1"/>
  <c r="Q400" i="8" s="1"/>
  <c r="L399" i="8"/>
  <c r="L398" i="8"/>
  <c r="O398" i="8" s="1"/>
  <c r="R398" i="8" s="1"/>
  <c r="L397" i="8"/>
  <c r="L396" i="8"/>
  <c r="L395" i="8"/>
  <c r="L394" i="8"/>
  <c r="O394" i="8" s="1"/>
  <c r="R394" i="8" s="1"/>
  <c r="L393" i="8"/>
  <c r="L392" i="8"/>
  <c r="L391" i="8"/>
  <c r="L390" i="8"/>
  <c r="O390" i="8" s="1"/>
  <c r="R390" i="8" s="1"/>
  <c r="L389" i="8"/>
  <c r="L388" i="8"/>
  <c r="L387" i="8"/>
  <c r="L386" i="8"/>
  <c r="O386" i="8" s="1"/>
  <c r="R386" i="8" s="1"/>
  <c r="L385" i="8"/>
  <c r="L384" i="8"/>
  <c r="L383" i="8"/>
  <c r="L382" i="8"/>
  <c r="O382" i="8" s="1"/>
  <c r="R382" i="8" s="1"/>
  <c r="L381" i="8"/>
  <c r="L380" i="8"/>
  <c r="L379" i="8"/>
  <c r="L378" i="8"/>
  <c r="O378" i="8" s="1"/>
  <c r="R378" i="8" s="1"/>
  <c r="L377" i="8"/>
  <c r="L376" i="8"/>
  <c r="L375" i="8"/>
  <c r="L374" i="8"/>
  <c r="O374" i="8" s="1"/>
  <c r="R374" i="8" s="1"/>
  <c r="L373" i="8"/>
  <c r="L372" i="8"/>
  <c r="L371" i="8"/>
  <c r="L370" i="8"/>
  <c r="O370" i="8" s="1"/>
  <c r="R370" i="8" s="1"/>
  <c r="L369" i="8"/>
  <c r="L368" i="8"/>
  <c r="L367" i="8"/>
  <c r="L366" i="8"/>
  <c r="O366" i="8" s="1"/>
  <c r="R366" i="8" s="1"/>
  <c r="L365" i="8"/>
  <c r="L364" i="8"/>
  <c r="L363" i="8"/>
  <c r="L362" i="8"/>
  <c r="O362" i="8" s="1"/>
  <c r="R362" i="8" s="1"/>
  <c r="L361" i="8"/>
  <c r="L360" i="8"/>
  <c r="L359" i="8"/>
  <c r="L358" i="8"/>
  <c r="O358" i="8" s="1"/>
  <c r="R358" i="8" s="1"/>
  <c r="L357" i="8"/>
  <c r="L356" i="8"/>
  <c r="L355" i="8"/>
  <c r="L354" i="8"/>
  <c r="O354" i="8" s="1"/>
  <c r="R354" i="8" s="1"/>
  <c r="L353" i="8"/>
  <c r="L352" i="8"/>
  <c r="L351" i="8"/>
  <c r="L350" i="8"/>
  <c r="O350" i="8" s="1"/>
  <c r="R350" i="8" s="1"/>
  <c r="L349" i="8"/>
  <c r="L348" i="8"/>
  <c r="L347" i="8"/>
  <c r="L346" i="8"/>
  <c r="O346" i="8" s="1"/>
  <c r="R346" i="8" s="1"/>
  <c r="L345" i="8"/>
  <c r="L344" i="8"/>
  <c r="L343" i="8"/>
  <c r="L342" i="8"/>
  <c r="O342" i="8" s="1"/>
  <c r="R342" i="8" s="1"/>
  <c r="L341" i="8"/>
  <c r="L340" i="8"/>
  <c r="L339" i="8"/>
  <c r="L338" i="8"/>
  <c r="O338" i="8" s="1"/>
  <c r="R338" i="8" s="1"/>
  <c r="L337" i="8"/>
  <c r="L336" i="8"/>
  <c r="L335" i="8"/>
  <c r="L334" i="8"/>
  <c r="O334" i="8" s="1"/>
  <c r="R334" i="8" s="1"/>
  <c r="L333" i="8"/>
  <c r="L332" i="8"/>
  <c r="L331" i="8"/>
  <c r="L330" i="8"/>
  <c r="O330" i="8" s="1"/>
  <c r="R330" i="8" s="1"/>
  <c r="L329" i="8"/>
  <c r="L328" i="8"/>
  <c r="L327" i="8"/>
  <c r="L326" i="8"/>
  <c r="O326" i="8" s="1"/>
  <c r="R326" i="8" s="1"/>
  <c r="L325" i="8"/>
  <c r="L324" i="8"/>
  <c r="L323" i="8"/>
  <c r="L322" i="8"/>
  <c r="O322" i="8" s="1"/>
  <c r="R322" i="8" s="1"/>
  <c r="L321" i="8"/>
  <c r="L320" i="8"/>
  <c r="L319" i="8"/>
  <c r="L318" i="8"/>
  <c r="O318" i="8" s="1"/>
  <c r="R318" i="8" s="1"/>
  <c r="L317" i="8"/>
  <c r="L316" i="8"/>
  <c r="L315" i="8"/>
  <c r="L314" i="8"/>
  <c r="O314" i="8" s="1"/>
  <c r="R314" i="8" s="1"/>
  <c r="L313" i="8"/>
  <c r="L312" i="8"/>
  <c r="L311" i="8"/>
  <c r="L310" i="8"/>
  <c r="O310" i="8" s="1"/>
  <c r="R310" i="8" s="1"/>
  <c r="L309" i="8"/>
  <c r="L308" i="8"/>
  <c r="L307" i="8"/>
  <c r="L306" i="8"/>
  <c r="O306" i="8" s="1"/>
  <c r="R306" i="8" s="1"/>
  <c r="L305" i="8"/>
  <c r="L304" i="8"/>
  <c r="L303" i="8"/>
  <c r="L302" i="8"/>
  <c r="O302" i="8" s="1"/>
  <c r="R302" i="8" s="1"/>
  <c r="L301" i="8"/>
  <c r="L300" i="8"/>
  <c r="L299" i="8"/>
  <c r="L298" i="8"/>
  <c r="O298" i="8" s="1"/>
  <c r="R298" i="8" s="1"/>
  <c r="L297" i="8"/>
  <c r="L296" i="8"/>
  <c r="L295" i="8"/>
  <c r="L294" i="8"/>
  <c r="O294" i="8" s="1"/>
  <c r="R294" i="8" s="1"/>
  <c r="L293" i="8"/>
  <c r="L292" i="8"/>
  <c r="L291" i="8"/>
  <c r="L290" i="8"/>
  <c r="O290" i="8" s="1"/>
  <c r="R290" i="8" s="1"/>
  <c r="L289" i="8"/>
  <c r="L288" i="8"/>
  <c r="L287" i="8"/>
  <c r="L286" i="8"/>
  <c r="O286" i="8" s="1"/>
  <c r="R286" i="8" s="1"/>
  <c r="L285" i="8"/>
  <c r="L284" i="8"/>
  <c r="L283" i="8"/>
  <c r="L282" i="8"/>
  <c r="O282" i="8" s="1"/>
  <c r="R282" i="8" s="1"/>
  <c r="L281" i="8"/>
  <c r="L280" i="8"/>
  <c r="L279" i="8"/>
  <c r="L277" i="8"/>
  <c r="O277" i="8" s="1"/>
  <c r="R277" i="8" s="1"/>
  <c r="L276" i="8"/>
  <c r="L275" i="8"/>
  <c r="L274" i="8"/>
  <c r="L273" i="8"/>
  <c r="O273" i="8" s="1"/>
  <c r="R273" i="8" s="1"/>
  <c r="L272" i="8"/>
  <c r="L271" i="8"/>
  <c r="L270" i="8"/>
  <c r="L269" i="8"/>
  <c r="O269" i="8" s="1"/>
  <c r="R269" i="8" s="1"/>
  <c r="L268" i="8"/>
  <c r="L267" i="8"/>
  <c r="L266" i="8"/>
  <c r="L265" i="8"/>
  <c r="O265" i="8" s="1"/>
  <c r="R265" i="8" s="1"/>
  <c r="L264" i="8"/>
  <c r="L263" i="8"/>
  <c r="L262" i="8"/>
  <c r="L261" i="8"/>
  <c r="O261" i="8" s="1"/>
  <c r="R261" i="8" s="1"/>
  <c r="L260" i="8"/>
  <c r="L259" i="8"/>
  <c r="L258" i="8"/>
  <c r="L257" i="8"/>
  <c r="O257" i="8" s="1"/>
  <c r="R257" i="8" s="1"/>
  <c r="L256" i="8"/>
  <c r="L255" i="8"/>
  <c r="L254" i="8"/>
  <c r="L253" i="8"/>
  <c r="O253" i="8" s="1"/>
  <c r="R253" i="8" s="1"/>
  <c r="L252" i="8"/>
  <c r="L251" i="8"/>
  <c r="L250" i="8"/>
  <c r="L249" i="8"/>
  <c r="O249" i="8" s="1"/>
  <c r="R249" i="8" s="1"/>
  <c r="L248" i="8"/>
  <c r="L247" i="8"/>
  <c r="L246" i="8"/>
  <c r="L245" i="8"/>
  <c r="O245" i="8" s="1"/>
  <c r="R245" i="8" s="1"/>
  <c r="L244" i="8"/>
  <c r="O244" i="8" s="1"/>
  <c r="Q244" i="8" s="1"/>
  <c r="L243" i="8"/>
  <c r="P243" i="8" s="1"/>
  <c r="L242" i="8"/>
  <c r="O242" i="8" s="1"/>
  <c r="Q242" i="8" s="1"/>
  <c r="L241" i="8"/>
  <c r="P241" i="8" s="1"/>
  <c r="L240" i="8"/>
  <c r="O240" i="8" s="1"/>
  <c r="R240" i="8" s="1"/>
  <c r="L239" i="8"/>
  <c r="P239" i="8" s="1"/>
  <c r="L238" i="8"/>
  <c r="O238" i="8" s="1"/>
  <c r="Q238" i="8" s="1"/>
  <c r="L237" i="8"/>
  <c r="P237" i="8" s="1"/>
  <c r="L236" i="8"/>
  <c r="O236" i="8" s="1"/>
  <c r="R236" i="8" s="1"/>
  <c r="L235" i="8"/>
  <c r="P235" i="8" s="1"/>
  <c r="L234" i="8"/>
  <c r="O234" i="8" s="1"/>
  <c r="Q234" i="8" s="1"/>
  <c r="L233" i="8"/>
  <c r="P233" i="8" s="1"/>
  <c r="L232" i="8"/>
  <c r="O232" i="8" s="1"/>
  <c r="R232" i="8" s="1"/>
  <c r="L231" i="8"/>
  <c r="P231" i="8" s="1"/>
  <c r="L230" i="8"/>
  <c r="O230" i="8" s="1"/>
  <c r="R230" i="8" s="1"/>
  <c r="L229" i="8"/>
  <c r="P229" i="8" s="1"/>
  <c r="L228" i="8"/>
  <c r="O228" i="8" s="1"/>
  <c r="R228" i="8" s="1"/>
  <c r="L227" i="8"/>
  <c r="P227" i="8" s="1"/>
  <c r="L226" i="8"/>
  <c r="O226" i="8" s="1"/>
  <c r="Q226" i="8" s="1"/>
  <c r="L225" i="8"/>
  <c r="P225" i="8" s="1"/>
  <c r="L224" i="8"/>
  <c r="O224" i="8" s="1"/>
  <c r="Q224" i="8" s="1"/>
  <c r="L223" i="8"/>
  <c r="P223" i="8" s="1"/>
  <c r="L222" i="8"/>
  <c r="O222" i="8" s="1"/>
  <c r="R222" i="8" s="1"/>
  <c r="L221" i="8"/>
  <c r="P221" i="8" s="1"/>
  <c r="L220" i="8"/>
  <c r="O220" i="8" s="1"/>
  <c r="Q220" i="8" s="1"/>
  <c r="L219" i="8"/>
  <c r="P219" i="8" s="1"/>
  <c r="L218" i="8"/>
  <c r="O218" i="8" s="1"/>
  <c r="R218" i="8" s="1"/>
  <c r="L217" i="8"/>
  <c r="P217" i="8" s="1"/>
  <c r="L216" i="8"/>
  <c r="O216" i="8" s="1"/>
  <c r="Q216" i="8" s="1"/>
  <c r="L215" i="8"/>
  <c r="P215" i="8" s="1"/>
  <c r="L214" i="8"/>
  <c r="O214" i="8" s="1"/>
  <c r="Q214" i="8" s="1"/>
  <c r="L213" i="8"/>
  <c r="P213" i="8" s="1"/>
  <c r="L212" i="8"/>
  <c r="O212" i="8" s="1"/>
  <c r="R212" i="8" s="1"/>
  <c r="L211" i="8"/>
  <c r="P211" i="8" s="1"/>
  <c r="L210" i="8"/>
  <c r="O210" i="8" s="1"/>
  <c r="Q210" i="8" s="1"/>
  <c r="L209" i="8"/>
  <c r="P209" i="8" s="1"/>
  <c r="L208" i="8"/>
  <c r="O208" i="8" s="1"/>
  <c r="R208" i="8" s="1"/>
  <c r="L207" i="8"/>
  <c r="P207" i="8" s="1"/>
  <c r="L206" i="8"/>
  <c r="O206" i="8" s="1"/>
  <c r="Q206" i="8" s="1"/>
  <c r="L205" i="8"/>
  <c r="P205" i="8" s="1"/>
  <c r="L204" i="8"/>
  <c r="O204" i="8" s="1"/>
  <c r="R204" i="8" s="1"/>
  <c r="L203" i="8"/>
  <c r="P203" i="8" s="1"/>
  <c r="L202" i="8"/>
  <c r="O202" i="8" s="1"/>
  <c r="Q202" i="8" s="1"/>
  <c r="L201" i="8"/>
  <c r="P201" i="8" s="1"/>
  <c r="L200" i="8"/>
  <c r="O200" i="8" s="1"/>
  <c r="R200" i="8" s="1"/>
  <c r="L199" i="8"/>
  <c r="P199" i="8" s="1"/>
  <c r="L198" i="8"/>
  <c r="O198" i="8" s="1"/>
  <c r="Q198" i="8" s="1"/>
  <c r="L197" i="8"/>
  <c r="P197" i="8" s="1"/>
  <c r="L196" i="8"/>
  <c r="O196" i="8" s="1"/>
  <c r="R196" i="8" s="1"/>
  <c r="L195" i="8"/>
  <c r="P195" i="8" s="1"/>
  <c r="L194" i="8"/>
  <c r="O194" i="8" s="1"/>
  <c r="Q194" i="8" s="1"/>
  <c r="L193" i="8"/>
  <c r="P193" i="8" s="1"/>
  <c r="L192" i="8"/>
  <c r="O192" i="8" s="1"/>
  <c r="R192" i="8" s="1"/>
  <c r="L191" i="8"/>
  <c r="O191" i="8" s="1"/>
  <c r="Q191" i="8" s="1"/>
  <c r="L190" i="8"/>
  <c r="O190" i="8" s="1"/>
  <c r="R190" i="8" s="1"/>
  <c r="L189" i="8"/>
  <c r="P189" i="8" s="1"/>
  <c r="L188" i="8"/>
  <c r="O188" i="8" s="1"/>
  <c r="Q188" i="8" s="1"/>
  <c r="L187" i="8"/>
  <c r="P187" i="8" s="1"/>
  <c r="L186" i="8"/>
  <c r="O186" i="8" s="1"/>
  <c r="R186" i="8" s="1"/>
  <c r="L185" i="8"/>
  <c r="P185" i="8" s="1"/>
  <c r="L184" i="8"/>
  <c r="O184" i="8" s="1"/>
  <c r="Q184" i="8" s="1"/>
  <c r="L183" i="8"/>
  <c r="P183" i="8" s="1"/>
  <c r="L182" i="8"/>
  <c r="O182" i="8" s="1"/>
  <c r="R182" i="8" s="1"/>
  <c r="L181" i="8"/>
  <c r="P181" i="8" s="1"/>
  <c r="L180" i="8"/>
  <c r="O180" i="8" s="1"/>
  <c r="Q180" i="8" s="1"/>
  <c r="L179" i="8"/>
  <c r="P179" i="8" s="1"/>
  <c r="L178" i="8"/>
  <c r="O178" i="8" s="1"/>
  <c r="R178" i="8" s="1"/>
  <c r="L177" i="8"/>
  <c r="P177" i="8" s="1"/>
  <c r="L176" i="8"/>
  <c r="O176" i="8" s="1"/>
  <c r="Q176" i="8" s="1"/>
  <c r="L175" i="8"/>
  <c r="P175" i="8" s="1"/>
  <c r="L174" i="8"/>
  <c r="O174" i="8" s="1"/>
  <c r="R174" i="8" s="1"/>
  <c r="L173" i="8"/>
  <c r="P173" i="8" s="1"/>
  <c r="L172" i="8"/>
  <c r="O172" i="8" s="1"/>
  <c r="Q172" i="8" s="1"/>
  <c r="L171" i="8"/>
  <c r="P171" i="8" s="1"/>
  <c r="L170" i="8"/>
  <c r="O170" i="8" s="1"/>
  <c r="Q170" i="8" s="1"/>
  <c r="L169" i="8"/>
  <c r="P169" i="8" s="1"/>
  <c r="L168" i="8"/>
  <c r="O168" i="8" s="1"/>
  <c r="Q168" i="8" s="1"/>
  <c r="L167" i="8"/>
  <c r="P167" i="8" s="1"/>
  <c r="L166" i="8"/>
  <c r="O166" i="8" s="1"/>
  <c r="R166" i="8" s="1"/>
  <c r="L165" i="8"/>
  <c r="P165" i="8" s="1"/>
  <c r="L164" i="8"/>
  <c r="O164" i="8" s="1"/>
  <c r="Q164" i="8" s="1"/>
  <c r="L163" i="8"/>
  <c r="P163" i="8" s="1"/>
  <c r="L162" i="8"/>
  <c r="O162" i="8" s="1"/>
  <c r="R162" i="8" s="1"/>
  <c r="L161" i="8"/>
  <c r="P161" i="8" s="1"/>
  <c r="L160" i="8"/>
  <c r="O160" i="8" s="1"/>
  <c r="Q160" i="8" s="1"/>
  <c r="L159" i="8"/>
  <c r="P159" i="8" s="1"/>
  <c r="L158" i="8"/>
  <c r="O158" i="8" s="1"/>
  <c r="R158" i="8" s="1"/>
  <c r="L157" i="8"/>
  <c r="P157" i="8" s="1"/>
  <c r="L156" i="8"/>
  <c r="O156" i="8" s="1"/>
  <c r="Q156" i="8" s="1"/>
  <c r="L155" i="8"/>
  <c r="P155" i="8" s="1"/>
  <c r="L154" i="8"/>
  <c r="O154" i="8" s="1"/>
  <c r="R154" i="8" s="1"/>
  <c r="L153" i="8"/>
  <c r="P153" i="8" s="1"/>
  <c r="L152" i="8"/>
  <c r="O152" i="8" s="1"/>
  <c r="Q152" i="8" s="1"/>
  <c r="L151" i="8"/>
  <c r="P151" i="8" s="1"/>
  <c r="L150" i="8"/>
  <c r="O150" i="8" s="1"/>
  <c r="R150" i="8" s="1"/>
  <c r="L148" i="8"/>
  <c r="P148" i="8" s="1"/>
  <c r="L147" i="8"/>
  <c r="O147" i="8" s="1"/>
  <c r="Q147" i="8" s="1"/>
  <c r="L146" i="8"/>
  <c r="P146" i="8" s="1"/>
  <c r="L145" i="8"/>
  <c r="O145" i="8" s="1"/>
  <c r="R145" i="8" s="1"/>
  <c r="L144" i="8"/>
  <c r="P144" i="8" s="1"/>
  <c r="L143" i="8"/>
  <c r="O143" i="8" s="1"/>
  <c r="Q143" i="8" s="1"/>
  <c r="L142" i="8"/>
  <c r="P142" i="8" s="1"/>
  <c r="L141" i="8"/>
  <c r="O141" i="8" s="1"/>
  <c r="R141" i="8" s="1"/>
  <c r="L140" i="8"/>
  <c r="P140" i="8" s="1"/>
  <c r="L138" i="8"/>
  <c r="O138" i="8" s="1"/>
  <c r="Q138" i="8" s="1"/>
  <c r="L137" i="8"/>
  <c r="P137" i="8" s="1"/>
  <c r="L136" i="8"/>
  <c r="O136" i="8" s="1"/>
  <c r="R136" i="8" s="1"/>
  <c r="L135" i="8"/>
  <c r="P135" i="8" s="1"/>
  <c r="L134" i="8"/>
  <c r="O134" i="8" s="1"/>
  <c r="Q134" i="8" s="1"/>
  <c r="L133" i="8"/>
  <c r="P133" i="8" s="1"/>
  <c r="L132" i="8"/>
  <c r="O132" i="8" s="1"/>
  <c r="R132" i="8" s="1"/>
  <c r="L131" i="8"/>
  <c r="P131" i="8" s="1"/>
  <c r="L130" i="8"/>
  <c r="O130" i="8" s="1"/>
  <c r="Q130" i="8" s="1"/>
  <c r="L129" i="8"/>
  <c r="P129" i="8" s="1"/>
  <c r="L128" i="8"/>
  <c r="O128" i="8" s="1"/>
  <c r="R128" i="8" s="1"/>
  <c r="L127" i="8"/>
  <c r="P127" i="8" s="1"/>
  <c r="L126" i="8"/>
  <c r="O126" i="8" s="1"/>
  <c r="Q126" i="8" s="1"/>
  <c r="L125" i="8"/>
  <c r="P125" i="8" s="1"/>
  <c r="L124" i="8"/>
  <c r="O124" i="8" s="1"/>
  <c r="R124" i="8" s="1"/>
  <c r="L123" i="8"/>
  <c r="P123" i="8" s="1"/>
  <c r="L122" i="8"/>
  <c r="O122" i="8" s="1"/>
  <c r="Q122" i="8" s="1"/>
  <c r="L121" i="8"/>
  <c r="P121" i="8" s="1"/>
  <c r="L120" i="8"/>
  <c r="O120" i="8" s="1"/>
  <c r="R120" i="8" s="1"/>
  <c r="L119" i="8"/>
  <c r="P119" i="8" s="1"/>
  <c r="L118" i="8"/>
  <c r="O118" i="8" s="1"/>
  <c r="Q118" i="8" s="1"/>
  <c r="L117" i="8"/>
  <c r="P117" i="8" s="1"/>
  <c r="L116" i="8"/>
  <c r="O116" i="8" s="1"/>
  <c r="R116" i="8" s="1"/>
  <c r="L115" i="8"/>
  <c r="P115" i="8" s="1"/>
  <c r="L114" i="8"/>
  <c r="O114" i="8" s="1"/>
  <c r="Q114" i="8" s="1"/>
  <c r="L113" i="8"/>
  <c r="P113" i="8" s="1"/>
  <c r="L112" i="8"/>
  <c r="O112" i="8" s="1"/>
  <c r="R112" i="8" s="1"/>
  <c r="L111" i="8"/>
  <c r="P111" i="8" s="1"/>
  <c r="L110" i="8"/>
  <c r="O110" i="8" s="1"/>
  <c r="Q110" i="8" s="1"/>
  <c r="L109" i="8"/>
  <c r="P109" i="8" s="1"/>
  <c r="L108" i="8"/>
  <c r="O108" i="8" s="1"/>
  <c r="Q108" i="8" s="1"/>
  <c r="L107" i="8"/>
  <c r="P107" i="8" s="1"/>
  <c r="L106" i="8"/>
  <c r="O106" i="8" s="1"/>
  <c r="Q106" i="8" s="1"/>
  <c r="L105" i="8"/>
  <c r="P105" i="8" s="1"/>
  <c r="L104" i="8"/>
  <c r="O104" i="8" s="1"/>
  <c r="R104" i="8" s="1"/>
  <c r="L103" i="8"/>
  <c r="P103" i="8" s="1"/>
  <c r="L102" i="8"/>
  <c r="O102" i="8" s="1"/>
  <c r="Q102" i="8" s="1"/>
  <c r="L101" i="8"/>
  <c r="P101" i="8" s="1"/>
  <c r="L100" i="8"/>
  <c r="O100" i="8" s="1"/>
  <c r="R100" i="8" s="1"/>
  <c r="L99" i="8"/>
  <c r="P99" i="8" s="1"/>
  <c r="L98" i="8"/>
  <c r="O98" i="8" s="1"/>
  <c r="Q98" i="8" s="1"/>
  <c r="L97" i="8"/>
  <c r="P97" i="8" s="1"/>
  <c r="L96" i="8"/>
  <c r="O96" i="8" s="1"/>
  <c r="R96" i="8" s="1"/>
  <c r="L95" i="8"/>
  <c r="P95" i="8" s="1"/>
  <c r="L94" i="8"/>
  <c r="O94" i="8" s="1"/>
  <c r="Q94" i="8" s="1"/>
  <c r="L93" i="8"/>
  <c r="P93" i="8" s="1"/>
  <c r="L92" i="8"/>
  <c r="O92" i="8" s="1"/>
  <c r="R92" i="8" s="1"/>
  <c r="L91" i="8"/>
  <c r="P91" i="8" s="1"/>
  <c r="L90" i="8"/>
  <c r="O90" i="8" s="1"/>
  <c r="Q90" i="8" s="1"/>
  <c r="L89" i="8"/>
  <c r="O89" i="8" s="1"/>
  <c r="L88" i="8"/>
  <c r="O88" i="8" s="1"/>
  <c r="Q88" i="8" s="1"/>
  <c r="L87" i="8"/>
  <c r="O87" i="8" s="1"/>
  <c r="L86" i="8"/>
  <c r="O86" i="8" s="1"/>
  <c r="R86" i="8" s="1"/>
  <c r="L85" i="8"/>
  <c r="O85" i="8" s="1"/>
  <c r="L84" i="8"/>
  <c r="O84" i="8" s="1"/>
  <c r="Q84" i="8" s="1"/>
  <c r="L83" i="8"/>
  <c r="O83" i="8" s="1"/>
  <c r="L82" i="8"/>
  <c r="O82" i="8" s="1"/>
  <c r="R82" i="8" s="1"/>
  <c r="L81" i="8"/>
  <c r="O81" i="8" s="1"/>
  <c r="L79" i="8"/>
  <c r="O79" i="8" s="1"/>
  <c r="R79" i="8" s="1"/>
  <c r="L78" i="8"/>
  <c r="O78" i="8" s="1"/>
  <c r="L77" i="8"/>
  <c r="O77" i="8" s="1"/>
  <c r="R77" i="8" s="1"/>
  <c r="L76" i="8"/>
  <c r="O76" i="8" s="1"/>
  <c r="L75" i="8"/>
  <c r="O75" i="8" s="1"/>
  <c r="R75" i="8" s="1"/>
  <c r="L74" i="8"/>
  <c r="P74" i="8" s="1"/>
  <c r="L73" i="8"/>
  <c r="O73" i="8" s="1"/>
  <c r="Q73" i="8" s="1"/>
  <c r="L72" i="8"/>
  <c r="P72" i="8" s="1"/>
  <c r="L71" i="8"/>
  <c r="O71" i="8" s="1"/>
  <c r="Q71" i="8" s="1"/>
  <c r="L70" i="8"/>
  <c r="P70" i="8" s="1"/>
  <c r="L69" i="8"/>
  <c r="O69" i="8" s="1"/>
  <c r="R69" i="8" s="1"/>
  <c r="L68" i="8"/>
  <c r="P68" i="8" s="1"/>
  <c r="L67" i="8"/>
  <c r="O67" i="8" s="1"/>
  <c r="R67" i="8" s="1"/>
  <c r="L66" i="8"/>
  <c r="O66" i="8" s="1"/>
  <c r="L65" i="8"/>
  <c r="P65" i="8" s="1"/>
  <c r="L64" i="8"/>
  <c r="O64" i="8" s="1"/>
  <c r="Q64" i="8" s="1"/>
  <c r="L63" i="8"/>
  <c r="P63" i="8" s="1"/>
  <c r="L62" i="8"/>
  <c r="O62" i="8" s="1"/>
  <c r="R62" i="8" s="1"/>
  <c r="L61" i="8"/>
  <c r="O61" i="8" s="1"/>
  <c r="Q61" i="8" s="1"/>
  <c r="L60" i="8"/>
  <c r="O60" i="8" s="1"/>
  <c r="R60" i="8" s="1"/>
  <c r="L59" i="8"/>
  <c r="O59" i="8" s="1"/>
  <c r="L58" i="8"/>
  <c r="O58" i="8" s="1"/>
  <c r="Q58" i="8" s="1"/>
  <c r="L57" i="8"/>
  <c r="P57" i="8" s="1"/>
  <c r="L56" i="8"/>
  <c r="O56" i="8" s="1"/>
  <c r="Q56" i="8" s="1"/>
  <c r="L55" i="8"/>
  <c r="P55" i="8" s="1"/>
  <c r="L54" i="8"/>
  <c r="O54" i="8" s="1"/>
  <c r="Q54" i="8" s="1"/>
  <c r="L53" i="8"/>
  <c r="O53" i="8" s="1"/>
  <c r="Q53" i="8" s="1"/>
  <c r="L52" i="8"/>
  <c r="O52" i="8" s="1"/>
  <c r="R52" i="8" s="1"/>
  <c r="L51" i="8"/>
  <c r="O51" i="8" s="1"/>
  <c r="L50" i="8"/>
  <c r="O50" i="8" s="1"/>
  <c r="Q50" i="8" s="1"/>
  <c r="L49" i="8"/>
  <c r="P49" i="8" s="1"/>
  <c r="L48" i="8"/>
  <c r="O48" i="8" s="1"/>
  <c r="Q48" i="8" s="1"/>
  <c r="L47" i="8"/>
  <c r="P47" i="8" s="1"/>
  <c r="L46" i="8"/>
  <c r="O46" i="8" s="1"/>
  <c r="R46" i="8" s="1"/>
  <c r="L45" i="8"/>
  <c r="P45" i="8" s="1"/>
  <c r="L44" i="8"/>
  <c r="O44" i="8" s="1"/>
  <c r="R44" i="8" s="1"/>
  <c r="L43" i="8"/>
  <c r="O43" i="8" s="1"/>
  <c r="L42" i="8"/>
  <c r="O42" i="8" s="1"/>
  <c r="Q42" i="8" s="1"/>
  <c r="L41" i="8"/>
  <c r="P41" i="8" s="1"/>
  <c r="L40" i="8"/>
  <c r="O40" i="8" s="1"/>
  <c r="Q40" i="8" s="1"/>
  <c r="L39" i="8"/>
  <c r="P39" i="8" s="1"/>
  <c r="L38" i="8"/>
  <c r="O38" i="8" s="1"/>
  <c r="R38" i="8" s="1"/>
  <c r="L37" i="8"/>
  <c r="P37" i="8" s="1"/>
  <c r="L36" i="8"/>
  <c r="O36" i="8" s="1"/>
  <c r="R36" i="8" s="1"/>
  <c r="L35" i="8"/>
  <c r="O35" i="8" s="1"/>
  <c r="L34" i="8"/>
  <c r="O34" i="8" s="1"/>
  <c r="Q34" i="8" s="1"/>
  <c r="L33" i="8"/>
  <c r="P33" i="8" s="1"/>
  <c r="L32" i="8"/>
  <c r="O32" i="8" s="1"/>
  <c r="Q32" i="8" s="1"/>
  <c r="L31" i="8"/>
  <c r="P31" i="8" s="1"/>
  <c r="L30" i="8"/>
  <c r="O30" i="8" s="1"/>
  <c r="Q30" i="8" s="1"/>
  <c r="L29" i="8"/>
  <c r="O29" i="8" s="1"/>
  <c r="Q29" i="8" s="1"/>
  <c r="L28" i="8"/>
  <c r="O28" i="8" s="1"/>
  <c r="R28" i="8" s="1"/>
  <c r="L27" i="8"/>
  <c r="O27" i="8" s="1"/>
  <c r="L26" i="8"/>
  <c r="O26" i="8" s="1"/>
  <c r="Q26" i="8" s="1"/>
  <c r="L25" i="8"/>
  <c r="P25" i="8" s="1"/>
  <c r="L24" i="8"/>
  <c r="O24" i="8" s="1"/>
  <c r="Q24" i="8" s="1"/>
  <c r="L23" i="8"/>
  <c r="P23" i="8" s="1"/>
  <c r="L22" i="8"/>
  <c r="O22" i="8" s="1"/>
  <c r="R22" i="8" s="1"/>
  <c r="L21" i="8"/>
  <c r="O21" i="8" s="1"/>
  <c r="Q21" i="8" s="1"/>
  <c r="L20" i="8"/>
  <c r="O20" i="8" s="1"/>
  <c r="R20" i="8" s="1"/>
  <c r="L19" i="8"/>
  <c r="O19" i="8" s="1"/>
  <c r="L18" i="8"/>
  <c r="O18" i="8" s="1"/>
  <c r="Q18" i="8" s="1"/>
  <c r="L17" i="8"/>
  <c r="P17" i="8" s="1"/>
  <c r="L16" i="8"/>
  <c r="O16" i="8" s="1"/>
  <c r="Q16" i="8" s="1"/>
  <c r="L14" i="8"/>
  <c r="P14" i="8" s="1"/>
  <c r="L13" i="8"/>
  <c r="O13" i="8" s="1"/>
  <c r="R13" i="8" s="1"/>
  <c r="L12" i="8"/>
  <c r="O12" i="8" s="1"/>
  <c r="Q12" i="8" s="1"/>
  <c r="L11" i="8"/>
  <c r="O11" i="8" s="1"/>
  <c r="R11" i="8" s="1"/>
  <c r="L10" i="8"/>
  <c r="O10" i="8" s="1"/>
  <c r="L9" i="8"/>
  <c r="O9" i="8" s="1"/>
  <c r="Q9" i="8" s="1"/>
  <c r="L7" i="8"/>
  <c r="P7" i="8" s="1"/>
  <c r="L6" i="8"/>
  <c r="O6" i="8" s="1"/>
  <c r="Q6" i="8" s="1"/>
  <c r="L4" i="8"/>
  <c r="P4" i="8" s="1"/>
  <c r="L3" i="8"/>
  <c r="O3" i="8" s="1"/>
  <c r="R3" i="8" s="1"/>
  <c r="L2" i="8"/>
  <c r="O2" i="8" s="1"/>
  <c r="Q2" i="8" s="1"/>
  <c r="L162" i="7"/>
  <c r="P162" i="7" s="1"/>
  <c r="L161" i="7"/>
  <c r="P161" i="7" s="1"/>
  <c r="L160" i="7"/>
  <c r="O160" i="7" s="1"/>
  <c r="L159" i="7"/>
  <c r="P159" i="7" s="1"/>
  <c r="L158" i="7"/>
  <c r="O158" i="7" s="1"/>
  <c r="L157" i="7"/>
  <c r="P157" i="7" s="1"/>
  <c r="L156" i="7"/>
  <c r="O156" i="7" s="1"/>
  <c r="L155" i="7"/>
  <c r="P155" i="7" s="1"/>
  <c r="L154" i="7"/>
  <c r="O154" i="7" s="1"/>
  <c r="L153" i="7"/>
  <c r="P153" i="7" s="1"/>
  <c r="L152" i="7"/>
  <c r="O152" i="7" s="1"/>
  <c r="L151" i="7"/>
  <c r="P151" i="7" s="1"/>
  <c r="L150" i="7"/>
  <c r="O150" i="7" s="1"/>
  <c r="L149" i="7"/>
  <c r="P149" i="7" s="1"/>
  <c r="L148" i="7"/>
  <c r="O148" i="7" s="1"/>
  <c r="L147" i="7"/>
  <c r="P147" i="7" s="1"/>
  <c r="L146" i="7"/>
  <c r="O146" i="7" s="1"/>
  <c r="L145" i="7"/>
  <c r="P145" i="7" s="1"/>
  <c r="L144" i="7"/>
  <c r="O144" i="7" s="1"/>
  <c r="L143" i="7"/>
  <c r="P143" i="7" s="1"/>
  <c r="L142" i="7"/>
  <c r="O142" i="7" s="1"/>
  <c r="L141" i="7"/>
  <c r="P141" i="7" s="1"/>
  <c r="L139" i="7"/>
  <c r="O139" i="7" s="1"/>
  <c r="L138" i="7"/>
  <c r="P138" i="7" s="1"/>
  <c r="L137" i="7"/>
  <c r="O137" i="7" s="1"/>
  <c r="L136" i="7"/>
  <c r="P136" i="7" s="1"/>
  <c r="L135" i="7"/>
  <c r="O135" i="7" s="1"/>
  <c r="L134" i="7"/>
  <c r="P134" i="7" s="1"/>
  <c r="L133" i="7"/>
  <c r="O133" i="7" s="1"/>
  <c r="L132" i="7"/>
  <c r="P132" i="7" s="1"/>
  <c r="L131" i="7"/>
  <c r="O131" i="7" s="1"/>
  <c r="L130" i="7"/>
  <c r="P130" i="7" s="1"/>
  <c r="L129" i="7"/>
  <c r="O129" i="7" s="1"/>
  <c r="L128" i="7"/>
  <c r="P128" i="7" s="1"/>
  <c r="L127" i="7"/>
  <c r="O127" i="7" s="1"/>
  <c r="L126" i="7"/>
  <c r="P126" i="7" s="1"/>
  <c r="L125" i="7"/>
  <c r="O125" i="7" s="1"/>
  <c r="L124" i="7"/>
  <c r="P124" i="7" s="1"/>
  <c r="L123" i="7"/>
  <c r="O123" i="7" s="1"/>
  <c r="L122" i="7"/>
  <c r="P122" i="7" s="1"/>
  <c r="L121" i="7"/>
  <c r="O121" i="7" s="1"/>
  <c r="L120" i="7"/>
  <c r="P120" i="7" s="1"/>
  <c r="L119" i="7"/>
  <c r="O119" i="7" s="1"/>
  <c r="L118" i="7"/>
  <c r="P118" i="7" s="1"/>
  <c r="L117" i="7"/>
  <c r="O117" i="7" s="1"/>
  <c r="L116" i="7"/>
  <c r="P116" i="7" s="1"/>
  <c r="L115" i="7"/>
  <c r="O115" i="7" s="1"/>
  <c r="L114" i="7"/>
  <c r="P114" i="7" s="1"/>
  <c r="L113" i="7"/>
  <c r="O113" i="7" s="1"/>
  <c r="L112" i="7"/>
  <c r="P112" i="7" s="1"/>
  <c r="L111" i="7"/>
  <c r="O111" i="7" s="1"/>
  <c r="L110" i="7"/>
  <c r="P110" i="7" s="1"/>
  <c r="L109" i="7"/>
  <c r="O109" i="7" s="1"/>
  <c r="L108" i="7"/>
  <c r="P108" i="7" s="1"/>
  <c r="L107" i="7"/>
  <c r="O107" i="7" s="1"/>
  <c r="L106" i="7"/>
  <c r="P106" i="7" s="1"/>
  <c r="L105" i="7"/>
  <c r="O105" i="7" s="1"/>
  <c r="L104" i="7"/>
  <c r="P104" i="7" s="1"/>
  <c r="L103" i="7"/>
  <c r="O103" i="7" s="1"/>
  <c r="L102" i="7"/>
  <c r="P102" i="7" s="1"/>
  <c r="L101" i="7"/>
  <c r="O101" i="7" s="1"/>
  <c r="L100" i="7"/>
  <c r="P100" i="7" s="1"/>
  <c r="L99" i="7"/>
  <c r="O99" i="7" s="1"/>
  <c r="L97" i="7"/>
  <c r="O97" i="7" s="1"/>
  <c r="L96" i="7"/>
  <c r="P96" i="7" s="1"/>
  <c r="L95" i="7"/>
  <c r="O95" i="7" s="1"/>
  <c r="L94" i="7"/>
  <c r="P94" i="7" s="1"/>
  <c r="L93" i="7"/>
  <c r="O93" i="7" s="1"/>
  <c r="L92" i="7"/>
  <c r="P92" i="7" s="1"/>
  <c r="L91" i="7"/>
  <c r="O91" i="7" s="1"/>
  <c r="L90" i="7"/>
  <c r="P90" i="7" s="1"/>
  <c r="L89" i="7"/>
  <c r="O89" i="7" s="1"/>
  <c r="L88" i="7"/>
  <c r="P88" i="7" s="1"/>
  <c r="L87" i="7"/>
  <c r="O87" i="7" s="1"/>
  <c r="L86" i="7"/>
  <c r="P86" i="7" s="1"/>
  <c r="L85" i="7"/>
  <c r="O85" i="7" s="1"/>
  <c r="L84" i="7"/>
  <c r="P84" i="7" s="1"/>
  <c r="L83" i="7"/>
  <c r="O83" i="7" s="1"/>
  <c r="L82" i="7"/>
  <c r="P82" i="7" s="1"/>
  <c r="L81" i="7"/>
  <c r="O81" i="7" s="1"/>
  <c r="L80" i="7"/>
  <c r="P80" i="7" s="1"/>
  <c r="L79" i="7"/>
  <c r="O79" i="7" s="1"/>
  <c r="L78" i="7"/>
  <c r="P78" i="7" s="1"/>
  <c r="L76" i="7"/>
  <c r="O76" i="7" s="1"/>
  <c r="L75" i="7"/>
  <c r="P75" i="7" s="1"/>
  <c r="L74" i="7"/>
  <c r="O74" i="7" s="1"/>
  <c r="L73" i="7"/>
  <c r="P73" i="7" s="1"/>
  <c r="L72" i="7"/>
  <c r="O72" i="7" s="1"/>
  <c r="L71" i="7"/>
  <c r="P71" i="7" s="1"/>
  <c r="L69" i="7"/>
  <c r="O69" i="7" s="1"/>
  <c r="L68" i="7"/>
  <c r="P68" i="7" s="1"/>
  <c r="L67" i="7"/>
  <c r="O67" i="7" s="1"/>
  <c r="L66" i="7"/>
  <c r="P66" i="7" s="1"/>
  <c r="L65" i="7"/>
  <c r="O65" i="7" s="1"/>
  <c r="L64" i="7"/>
  <c r="P64" i="7" s="1"/>
  <c r="L63" i="7"/>
  <c r="O63" i="7" s="1"/>
  <c r="L62" i="7"/>
  <c r="P62" i="7" s="1"/>
  <c r="L61" i="7"/>
  <c r="O61" i="7" s="1"/>
  <c r="L60" i="7"/>
  <c r="P60" i="7" s="1"/>
  <c r="L59" i="7"/>
  <c r="O59" i="7" s="1"/>
  <c r="L58" i="7"/>
  <c r="P58" i="7" s="1"/>
  <c r="L57" i="7"/>
  <c r="O57" i="7" s="1"/>
  <c r="L56" i="7"/>
  <c r="P56" i="7" s="1"/>
  <c r="L54" i="7"/>
  <c r="O54" i="7" s="1"/>
  <c r="L53" i="7"/>
  <c r="P53" i="7" s="1"/>
  <c r="L52" i="7"/>
  <c r="O52" i="7" s="1"/>
  <c r="L51" i="7"/>
  <c r="P51" i="7" s="1"/>
  <c r="L50" i="7"/>
  <c r="O50" i="7" s="1"/>
  <c r="L49" i="7"/>
  <c r="P49" i="7" s="1"/>
  <c r="L47" i="7"/>
  <c r="O47" i="7" s="1"/>
  <c r="L46" i="7"/>
  <c r="P46" i="7" s="1"/>
  <c r="L45" i="7"/>
  <c r="O45" i="7" s="1"/>
  <c r="L44" i="7"/>
  <c r="P44" i="7" s="1"/>
  <c r="L43" i="7"/>
  <c r="O43" i="7" s="1"/>
  <c r="L42" i="7"/>
  <c r="P42" i="7" s="1"/>
  <c r="L41" i="7"/>
  <c r="O41" i="7" s="1"/>
  <c r="L40" i="7"/>
  <c r="P40" i="7" s="1"/>
  <c r="L39" i="7"/>
  <c r="P39" i="7" s="1"/>
  <c r="L38" i="7"/>
  <c r="O38" i="7" s="1"/>
  <c r="L37" i="7"/>
  <c r="P37" i="7" s="1"/>
  <c r="L36" i="7"/>
  <c r="O36" i="7" s="1"/>
  <c r="L35" i="7"/>
  <c r="P35" i="7" s="1"/>
  <c r="L34" i="7"/>
  <c r="O34" i="7" s="1"/>
  <c r="L32" i="7"/>
  <c r="P32" i="7" s="1"/>
  <c r="L31" i="7"/>
  <c r="O31" i="7" s="1"/>
  <c r="L30" i="7"/>
  <c r="P30" i="7" s="1"/>
  <c r="L29" i="7"/>
  <c r="O29" i="7" s="1"/>
  <c r="L28" i="7"/>
  <c r="P28" i="7" s="1"/>
  <c r="L27" i="7"/>
  <c r="O27" i="7" s="1"/>
  <c r="L26" i="7"/>
  <c r="P26" i="7" s="1"/>
  <c r="L25" i="7"/>
  <c r="O25" i="7" s="1"/>
  <c r="L24" i="7"/>
  <c r="P24" i="7" s="1"/>
  <c r="L23" i="7"/>
  <c r="O23" i="7" s="1"/>
  <c r="L22" i="7"/>
  <c r="P22" i="7" s="1"/>
  <c r="L21" i="7"/>
  <c r="O21" i="7" s="1"/>
  <c r="L20" i="7"/>
  <c r="P20" i="7" s="1"/>
  <c r="L19" i="7"/>
  <c r="O19" i="7" s="1"/>
  <c r="L18" i="7"/>
  <c r="P18" i="7" s="1"/>
  <c r="L17" i="7"/>
  <c r="O17" i="7" s="1"/>
  <c r="L16" i="7"/>
  <c r="P16" i="7" s="1"/>
  <c r="L15" i="7"/>
  <c r="O15" i="7" s="1"/>
  <c r="L14" i="7"/>
  <c r="P14" i="7" s="1"/>
  <c r="L13" i="7"/>
  <c r="O13" i="7" s="1"/>
  <c r="L12" i="7"/>
  <c r="P12" i="7" s="1"/>
  <c r="L11" i="7"/>
  <c r="O11" i="7" s="1"/>
  <c r="L10" i="7"/>
  <c r="P10" i="7" s="1"/>
  <c r="L9" i="7"/>
  <c r="O9" i="7" s="1"/>
  <c r="L8" i="7"/>
  <c r="P8" i="7" s="1"/>
  <c r="L7" i="7"/>
  <c r="O7" i="7" s="1"/>
  <c r="L5" i="7"/>
  <c r="P5" i="7" s="1"/>
  <c r="L3" i="7"/>
  <c r="O3" i="7" s="1"/>
  <c r="L2" i="7"/>
  <c r="P2" i="7" s="1"/>
  <c r="L419" i="6"/>
  <c r="P419" i="6" s="1"/>
  <c r="L418" i="6"/>
  <c r="O418" i="6" s="1"/>
  <c r="Q418" i="6" s="1"/>
  <c r="L417" i="6"/>
  <c r="O417" i="6" s="1"/>
  <c r="L416" i="6"/>
  <c r="O416" i="6" s="1"/>
  <c r="R416" i="6" s="1"/>
  <c r="L415" i="6"/>
  <c r="L414" i="6"/>
  <c r="L413" i="6"/>
  <c r="O413" i="6" s="1"/>
  <c r="L412" i="6"/>
  <c r="O412" i="6" s="1"/>
  <c r="Q412" i="6" s="1"/>
  <c r="L411" i="6"/>
  <c r="O411" i="6" s="1"/>
  <c r="R411" i="6" s="1"/>
  <c r="L410" i="6"/>
  <c r="O410" i="6" s="1"/>
  <c r="R410" i="6" s="1"/>
  <c r="L409" i="6"/>
  <c r="O409" i="6" s="1"/>
  <c r="Q409" i="6" s="1"/>
  <c r="L408" i="6"/>
  <c r="O408" i="6" s="1"/>
  <c r="R408" i="6" s="1"/>
  <c r="L407" i="6"/>
  <c r="L406" i="6"/>
  <c r="L405" i="6"/>
  <c r="L404" i="6"/>
  <c r="L403" i="6"/>
  <c r="O403" i="6" s="1"/>
  <c r="L402" i="6"/>
  <c r="O402" i="6" s="1"/>
  <c r="R402" i="6" s="1"/>
  <c r="L401" i="6"/>
  <c r="O401" i="6" s="1"/>
  <c r="Q401" i="6" s="1"/>
  <c r="L400" i="6"/>
  <c r="O400" i="6" s="1"/>
  <c r="Q400" i="6" s="1"/>
  <c r="L399" i="6"/>
  <c r="L398" i="6"/>
  <c r="O398" i="6" s="1"/>
  <c r="Q398" i="6" s="1"/>
  <c r="L397" i="6"/>
  <c r="L396" i="6"/>
  <c r="L395" i="6"/>
  <c r="O395" i="6" s="1"/>
  <c r="Q395" i="6" s="1"/>
  <c r="L394" i="6"/>
  <c r="O394" i="6" s="1"/>
  <c r="R394" i="6" s="1"/>
  <c r="L393" i="6"/>
  <c r="O393" i="6" s="1"/>
  <c r="Q393" i="6" s="1"/>
  <c r="L392" i="6"/>
  <c r="O392" i="6" s="1"/>
  <c r="R392" i="6" s="1"/>
  <c r="L390" i="6"/>
  <c r="L389" i="6"/>
  <c r="O389" i="6" s="1"/>
  <c r="Q389" i="6" s="1"/>
  <c r="L388" i="6"/>
  <c r="L387" i="6"/>
  <c r="L386" i="6"/>
  <c r="O386" i="6" s="1"/>
  <c r="L385" i="6"/>
  <c r="O385" i="6" s="1"/>
  <c r="R385" i="6" s="1"/>
  <c r="L384" i="6"/>
  <c r="O384" i="6" s="1"/>
  <c r="Q384" i="6" s="1"/>
  <c r="L383" i="6"/>
  <c r="O383" i="6" s="1"/>
  <c r="R383" i="6" s="1"/>
  <c r="L382" i="6"/>
  <c r="L381" i="6"/>
  <c r="O381" i="6" s="1"/>
  <c r="R381" i="6" s="1"/>
  <c r="L380" i="6"/>
  <c r="L379" i="6"/>
  <c r="L378" i="6"/>
  <c r="O378" i="6" s="1"/>
  <c r="Q378" i="6" s="1"/>
  <c r="L377" i="6"/>
  <c r="O377" i="6" s="1"/>
  <c r="R377" i="6" s="1"/>
  <c r="L376" i="6"/>
  <c r="O376" i="6" s="1"/>
  <c r="Q376" i="6" s="1"/>
  <c r="L375" i="6"/>
  <c r="O375" i="6" s="1"/>
  <c r="R375" i="6" s="1"/>
  <c r="L374" i="6"/>
  <c r="L373" i="6"/>
  <c r="O373" i="6" s="1"/>
  <c r="R373" i="6" s="1"/>
  <c r="L372" i="6"/>
  <c r="L371" i="6"/>
  <c r="L370" i="6"/>
  <c r="O370" i="6" s="1"/>
  <c r="L369" i="6"/>
  <c r="O369" i="6" s="1"/>
  <c r="Q369" i="6" s="1"/>
  <c r="L368" i="6"/>
  <c r="O368" i="6" s="1"/>
  <c r="Q368" i="6" s="1"/>
  <c r="L367" i="6"/>
  <c r="O367" i="6" s="1"/>
  <c r="R367" i="6" s="1"/>
  <c r="L366" i="6"/>
  <c r="L365" i="6"/>
  <c r="O365" i="6" s="1"/>
  <c r="R365" i="6" s="1"/>
  <c r="L364" i="6"/>
  <c r="L363" i="6"/>
  <c r="L362" i="6"/>
  <c r="O362" i="6" s="1"/>
  <c r="Q362" i="6" s="1"/>
  <c r="L361" i="6"/>
  <c r="O361" i="6" s="1"/>
  <c r="R361" i="6" s="1"/>
  <c r="L360" i="6"/>
  <c r="O360" i="6" s="1"/>
  <c r="Q360" i="6" s="1"/>
  <c r="L359" i="6"/>
  <c r="O359" i="6" s="1"/>
  <c r="Q359" i="6" s="1"/>
  <c r="L358" i="6"/>
  <c r="L357" i="6"/>
  <c r="O357" i="6" s="1"/>
  <c r="Q357" i="6" s="1"/>
  <c r="L356" i="6"/>
  <c r="L355" i="6"/>
  <c r="L354" i="6"/>
  <c r="L353" i="6"/>
  <c r="O353" i="6" s="1"/>
  <c r="R353" i="6" s="1"/>
  <c r="L352" i="6"/>
  <c r="L351" i="6"/>
  <c r="O351" i="6" s="1"/>
  <c r="R351" i="6" s="1"/>
  <c r="L350" i="6"/>
  <c r="O350" i="6" s="1"/>
  <c r="R350" i="6" s="1"/>
  <c r="L349" i="6"/>
  <c r="O349" i="6" s="1"/>
  <c r="Q349" i="6" s="1"/>
  <c r="L348" i="6"/>
  <c r="L347" i="6"/>
  <c r="L346" i="6"/>
  <c r="O346" i="6" s="1"/>
  <c r="R346" i="6" s="1"/>
  <c r="L345" i="6"/>
  <c r="O345" i="6" s="1"/>
  <c r="L344" i="6"/>
  <c r="O344" i="6" s="1"/>
  <c r="Q344" i="6" s="1"/>
  <c r="L343" i="6"/>
  <c r="O343" i="6" s="1"/>
  <c r="Q343" i="6" s="1"/>
  <c r="L342" i="6"/>
  <c r="O342" i="6" s="1"/>
  <c r="L341" i="6"/>
  <c r="O341" i="6" s="1"/>
  <c r="L340" i="6"/>
  <c r="L339" i="6"/>
  <c r="L338" i="6"/>
  <c r="O338" i="6" s="1"/>
  <c r="Q338" i="6" s="1"/>
  <c r="L337" i="6"/>
  <c r="L336" i="6"/>
  <c r="O336" i="6" s="1"/>
  <c r="Q336" i="6" s="1"/>
  <c r="L335" i="6"/>
  <c r="O335" i="6" s="1"/>
  <c r="Q335" i="6" s="1"/>
  <c r="L334" i="6"/>
  <c r="O334" i="6" s="1"/>
  <c r="Q334" i="6" s="1"/>
  <c r="L333" i="6"/>
  <c r="L332" i="6"/>
  <c r="L331" i="6"/>
  <c r="L330" i="6"/>
  <c r="O330" i="6" s="1"/>
  <c r="Q330" i="6" s="1"/>
  <c r="L329" i="6"/>
  <c r="O329" i="6" s="1"/>
  <c r="R329" i="6" s="1"/>
  <c r="L328" i="6"/>
  <c r="O328" i="6" s="1"/>
  <c r="Q328" i="6" s="1"/>
  <c r="L327" i="6"/>
  <c r="O327" i="6" s="1"/>
  <c r="R327" i="6" s="1"/>
  <c r="L326" i="6"/>
  <c r="O326" i="6" s="1"/>
  <c r="R326" i="6" s="1"/>
  <c r="L325" i="6"/>
  <c r="L324" i="6"/>
  <c r="L323" i="6"/>
  <c r="L322" i="6"/>
  <c r="O322" i="6" s="1"/>
  <c r="R322" i="6" s="1"/>
  <c r="L321" i="6"/>
  <c r="O321" i="6" s="1"/>
  <c r="R321" i="6" s="1"/>
  <c r="L320" i="6"/>
  <c r="O320" i="6" s="1"/>
  <c r="L319" i="6"/>
  <c r="O319" i="6" s="1"/>
  <c r="R319" i="6" s="1"/>
  <c r="L318" i="6"/>
  <c r="O318" i="6" s="1"/>
  <c r="R318" i="6" s="1"/>
  <c r="L317" i="6"/>
  <c r="O317" i="6" s="1"/>
  <c r="R317" i="6" s="1"/>
  <c r="L316" i="6"/>
  <c r="L315" i="6"/>
  <c r="L314" i="6"/>
  <c r="O314" i="6" s="1"/>
  <c r="L313" i="6"/>
  <c r="O313" i="6" s="1"/>
  <c r="R313" i="6" s="1"/>
  <c r="L312" i="6"/>
  <c r="L311" i="6"/>
  <c r="O311" i="6" s="1"/>
  <c r="R311" i="6" s="1"/>
  <c r="L310" i="6"/>
  <c r="O310" i="6" s="1"/>
  <c r="Q310" i="6" s="1"/>
  <c r="L309" i="6"/>
  <c r="L308" i="6"/>
  <c r="L307" i="6"/>
  <c r="L306" i="6"/>
  <c r="O306" i="6" s="1"/>
  <c r="Q306" i="6" s="1"/>
  <c r="L305" i="6"/>
  <c r="L304" i="6"/>
  <c r="O304" i="6" s="1"/>
  <c r="L303" i="6"/>
  <c r="O303" i="6" s="1"/>
  <c r="R303" i="6" s="1"/>
  <c r="L302" i="6"/>
  <c r="L301" i="6"/>
  <c r="L300" i="6"/>
  <c r="L299" i="6"/>
  <c r="L298" i="6"/>
  <c r="O298" i="6" s="1"/>
  <c r="R298" i="6" s="1"/>
  <c r="L297" i="6"/>
  <c r="L296" i="6"/>
  <c r="O296" i="6" s="1"/>
  <c r="Q296" i="6" s="1"/>
  <c r="L295" i="6"/>
  <c r="O295" i="6" s="1"/>
  <c r="R295" i="6" s="1"/>
  <c r="L294" i="6"/>
  <c r="L293" i="6"/>
  <c r="O293" i="6" s="1"/>
  <c r="R293" i="6" s="1"/>
  <c r="L292" i="6"/>
  <c r="L291" i="6"/>
  <c r="L290" i="6"/>
  <c r="O290" i="6" s="1"/>
  <c r="Q290" i="6" s="1"/>
  <c r="L289" i="6"/>
  <c r="O289" i="6" s="1"/>
  <c r="R289" i="6" s="1"/>
  <c r="L288" i="6"/>
  <c r="O288" i="6" s="1"/>
  <c r="Q288" i="6" s="1"/>
  <c r="L287" i="6"/>
  <c r="O287" i="6" s="1"/>
  <c r="R287" i="6" s="1"/>
  <c r="L286" i="6"/>
  <c r="O286" i="6" s="1"/>
  <c r="R286" i="6" s="1"/>
  <c r="L285" i="6"/>
  <c r="O285" i="6" s="1"/>
  <c r="R285" i="6" s="1"/>
  <c r="L284" i="6"/>
  <c r="L283" i="6"/>
  <c r="L282" i="6"/>
  <c r="O282" i="6" s="1"/>
  <c r="R282" i="6" s="1"/>
  <c r="L280" i="6"/>
  <c r="O280" i="6" s="1"/>
  <c r="R280" i="6" s="1"/>
  <c r="L279" i="6"/>
  <c r="L278" i="6"/>
  <c r="O278" i="6" s="1"/>
  <c r="Q278" i="6" s="1"/>
  <c r="L277" i="6"/>
  <c r="O277" i="6" s="1"/>
  <c r="R277" i="6" s="1"/>
  <c r="L276" i="6"/>
  <c r="L275" i="6"/>
  <c r="L274" i="6"/>
  <c r="L273" i="6"/>
  <c r="L272" i="6"/>
  <c r="L271" i="6"/>
  <c r="L270" i="6"/>
  <c r="O270" i="6" s="1"/>
  <c r="R270" i="6" s="1"/>
  <c r="L269" i="6"/>
  <c r="O269" i="6" s="1"/>
  <c r="R269" i="6" s="1"/>
  <c r="L268" i="6"/>
  <c r="L267" i="6"/>
  <c r="L266" i="6"/>
  <c r="L265" i="6"/>
  <c r="L264" i="6"/>
  <c r="O264" i="6" s="1"/>
  <c r="R264" i="6" s="1"/>
  <c r="L263" i="6"/>
  <c r="O263" i="6" s="1"/>
  <c r="Q263" i="6" s="1"/>
  <c r="L262" i="6"/>
  <c r="O262" i="6" s="1"/>
  <c r="Q262" i="6" s="1"/>
  <c r="L261" i="6"/>
  <c r="O261" i="6" s="1"/>
  <c r="Q261" i="6" s="1"/>
  <c r="L260" i="6"/>
  <c r="L259" i="6"/>
  <c r="L258" i="6"/>
  <c r="L257" i="6"/>
  <c r="O257" i="6" s="1"/>
  <c r="R257" i="6" s="1"/>
  <c r="L256" i="6"/>
  <c r="L255" i="6"/>
  <c r="O255" i="6" s="1"/>
  <c r="R255" i="6" s="1"/>
  <c r="L254" i="6"/>
  <c r="L253" i="6"/>
  <c r="L252" i="6"/>
  <c r="O252" i="6" s="1"/>
  <c r="R252" i="6" s="1"/>
  <c r="L251" i="6"/>
  <c r="O251" i="6" s="1"/>
  <c r="R251" i="6" s="1"/>
  <c r="L250" i="6"/>
  <c r="O250" i="6" s="1"/>
  <c r="R250" i="6" s="1"/>
  <c r="L249" i="6"/>
  <c r="L248" i="6"/>
  <c r="L247" i="6"/>
  <c r="P247" i="6" s="1"/>
  <c r="L246" i="6"/>
  <c r="P246" i="6" s="1"/>
  <c r="L245" i="6"/>
  <c r="L244" i="6"/>
  <c r="P244" i="6" s="1"/>
  <c r="L243" i="6"/>
  <c r="P243" i="6" s="1"/>
  <c r="L242" i="6"/>
  <c r="O242" i="6" s="1"/>
  <c r="L241" i="6"/>
  <c r="O241" i="6" s="1"/>
  <c r="R241" i="6" s="1"/>
  <c r="L240" i="6"/>
  <c r="P240" i="6" s="1"/>
  <c r="L239" i="6"/>
  <c r="P239" i="6" s="1"/>
  <c r="L238" i="6"/>
  <c r="O238" i="6" s="1"/>
  <c r="L237" i="6"/>
  <c r="L236" i="6"/>
  <c r="P236" i="6" s="1"/>
  <c r="L235" i="6"/>
  <c r="O235" i="6" s="1"/>
  <c r="Q235" i="6" s="1"/>
  <c r="L234" i="6"/>
  <c r="L233" i="6"/>
  <c r="O233" i="6" s="1"/>
  <c r="L232" i="6"/>
  <c r="P232" i="6" s="1"/>
  <c r="L231" i="6"/>
  <c r="P231" i="6" s="1"/>
  <c r="L230" i="6"/>
  <c r="P230" i="6" s="1"/>
  <c r="L229" i="6"/>
  <c r="P229" i="6" s="1"/>
  <c r="L228" i="6"/>
  <c r="O228" i="6" s="1"/>
  <c r="L227" i="6"/>
  <c r="O227" i="6" s="1"/>
  <c r="R227" i="6" s="1"/>
  <c r="L226" i="6"/>
  <c r="P226" i="6" s="1"/>
  <c r="L225" i="6"/>
  <c r="O225" i="6" s="1"/>
  <c r="L224" i="6"/>
  <c r="O224" i="6" s="1"/>
  <c r="Q224" i="6" s="1"/>
  <c r="L223" i="6"/>
  <c r="P223" i="6" s="1"/>
  <c r="L222" i="6"/>
  <c r="O222" i="6" s="1"/>
  <c r="Q222" i="6" s="1"/>
  <c r="L221" i="6"/>
  <c r="L220" i="6"/>
  <c r="O220" i="6" s="1"/>
  <c r="Q220" i="6" s="1"/>
  <c r="L219" i="6"/>
  <c r="O219" i="6" s="1"/>
  <c r="L218" i="6"/>
  <c r="P218" i="6" s="1"/>
  <c r="L217" i="6"/>
  <c r="O217" i="6" s="1"/>
  <c r="L216" i="6"/>
  <c r="L215" i="6"/>
  <c r="P215" i="6" s="1"/>
  <c r="L214" i="6"/>
  <c r="P214" i="6" s="1"/>
  <c r="L213" i="6"/>
  <c r="P213" i="6" s="1"/>
  <c r="L212" i="6"/>
  <c r="P212" i="6" s="1"/>
  <c r="L211" i="6"/>
  <c r="L210" i="6"/>
  <c r="L209" i="6"/>
  <c r="P209" i="6" s="1"/>
  <c r="L208" i="6"/>
  <c r="P208" i="6" s="1"/>
  <c r="L207" i="6"/>
  <c r="O207" i="6" s="1"/>
  <c r="L206" i="6"/>
  <c r="O206" i="6" s="1"/>
  <c r="Q206" i="6" s="1"/>
  <c r="L205" i="6"/>
  <c r="O205" i="6" s="1"/>
  <c r="L204" i="6"/>
  <c r="O204" i="6" s="1"/>
  <c r="L203" i="6"/>
  <c r="P203" i="6" s="1"/>
  <c r="L202" i="6"/>
  <c r="P202" i="6" s="1"/>
  <c r="L201" i="6"/>
  <c r="O201" i="6" s="1"/>
  <c r="R201" i="6" s="1"/>
  <c r="L200" i="6"/>
  <c r="L199" i="6"/>
  <c r="P199" i="6" s="1"/>
  <c r="L198" i="6"/>
  <c r="O198" i="6" s="1"/>
  <c r="L197" i="6"/>
  <c r="P197" i="6" s="1"/>
  <c r="L196" i="6"/>
  <c r="P196" i="6" s="1"/>
  <c r="L195" i="6"/>
  <c r="P195" i="6" s="1"/>
  <c r="L193" i="6"/>
  <c r="O193" i="6" s="1"/>
  <c r="R193" i="6" s="1"/>
  <c r="L192" i="6"/>
  <c r="P192" i="6" s="1"/>
  <c r="L191" i="6"/>
  <c r="O191" i="6" s="1"/>
  <c r="L190" i="6"/>
  <c r="P190" i="6" s="1"/>
  <c r="L189" i="6"/>
  <c r="P189" i="6" s="1"/>
  <c r="L188" i="6"/>
  <c r="P188" i="6" s="1"/>
  <c r="L187" i="6"/>
  <c r="P187" i="6" s="1"/>
  <c r="L186" i="6"/>
  <c r="O186" i="6" s="1"/>
  <c r="R186" i="6" s="1"/>
  <c r="L185" i="6"/>
  <c r="L184" i="6"/>
  <c r="P184" i="6" s="1"/>
  <c r="L183" i="6"/>
  <c r="O183" i="6" s="1"/>
  <c r="L182" i="6"/>
  <c r="P182" i="6" s="1"/>
  <c r="L181" i="6"/>
  <c r="O181" i="6" s="1"/>
  <c r="Q181" i="6" s="1"/>
  <c r="L180" i="6"/>
  <c r="P180" i="6" s="1"/>
  <c r="L179" i="6"/>
  <c r="P179" i="6" s="1"/>
  <c r="L178" i="6"/>
  <c r="O178" i="6" s="1"/>
  <c r="R178" i="6" s="1"/>
  <c r="L177" i="6"/>
  <c r="L176" i="6"/>
  <c r="P176" i="6" s="1"/>
  <c r="L175" i="6"/>
  <c r="O175" i="6" s="1"/>
  <c r="L174" i="6"/>
  <c r="P174" i="6" s="1"/>
  <c r="L173" i="6"/>
  <c r="P173" i="6" s="1"/>
  <c r="L172" i="6"/>
  <c r="P172" i="6" s="1"/>
  <c r="L171" i="6"/>
  <c r="P171" i="6" s="1"/>
  <c r="L170" i="6"/>
  <c r="O170" i="6" s="1"/>
  <c r="R170" i="6" s="1"/>
  <c r="L169" i="6"/>
  <c r="L168" i="6"/>
  <c r="P168" i="6" s="1"/>
  <c r="L167" i="6"/>
  <c r="O167" i="6" s="1"/>
  <c r="L166" i="6"/>
  <c r="P166" i="6" s="1"/>
  <c r="L165" i="6"/>
  <c r="P165" i="6" s="1"/>
  <c r="L164" i="6"/>
  <c r="P164" i="6" s="1"/>
  <c r="L163" i="6"/>
  <c r="P163" i="6" s="1"/>
  <c r="L162" i="6"/>
  <c r="O162" i="6" s="1"/>
  <c r="R162" i="6" s="1"/>
  <c r="L161" i="6"/>
  <c r="L160" i="6"/>
  <c r="P160" i="6" s="1"/>
  <c r="L159" i="6"/>
  <c r="O159" i="6" s="1"/>
  <c r="L158" i="6"/>
  <c r="P158" i="6" s="1"/>
  <c r="L157" i="6"/>
  <c r="O157" i="6" s="1"/>
  <c r="Q157" i="6" s="1"/>
  <c r="L156" i="6"/>
  <c r="P156" i="6" s="1"/>
  <c r="L155" i="6"/>
  <c r="P155" i="6" s="1"/>
  <c r="L154" i="6"/>
  <c r="O154" i="6" s="1"/>
  <c r="R154" i="6" s="1"/>
  <c r="L153" i="6"/>
  <c r="L152" i="6"/>
  <c r="P152" i="6" s="1"/>
  <c r="L150" i="6"/>
  <c r="O150" i="6" s="1"/>
  <c r="L149" i="6"/>
  <c r="P149" i="6" s="1"/>
  <c r="L148" i="6"/>
  <c r="O148" i="6" s="1"/>
  <c r="Q148" i="6" s="1"/>
  <c r="L147" i="6"/>
  <c r="P147" i="6" s="1"/>
  <c r="L146" i="6"/>
  <c r="P146" i="6" s="1"/>
  <c r="L145" i="6"/>
  <c r="O145" i="6" s="1"/>
  <c r="R145" i="6" s="1"/>
  <c r="L144" i="6"/>
  <c r="L143" i="6"/>
  <c r="P143" i="6" s="1"/>
  <c r="L142" i="6"/>
  <c r="O142" i="6" s="1"/>
  <c r="L140" i="6"/>
  <c r="P140" i="6" s="1"/>
  <c r="L139" i="6"/>
  <c r="P139" i="6" s="1"/>
  <c r="L138" i="6"/>
  <c r="P138" i="6" s="1"/>
  <c r="L137" i="6"/>
  <c r="P137" i="6" s="1"/>
  <c r="L136" i="6"/>
  <c r="O136" i="6" s="1"/>
  <c r="R136" i="6" s="1"/>
  <c r="L135" i="6"/>
  <c r="L134" i="6"/>
  <c r="P134" i="6" s="1"/>
  <c r="L133" i="6"/>
  <c r="O133" i="6" s="1"/>
  <c r="L132" i="6"/>
  <c r="P132" i="6" s="1"/>
  <c r="L131" i="6"/>
  <c r="O131" i="6" s="1"/>
  <c r="Q131" i="6" s="1"/>
  <c r="L130" i="6"/>
  <c r="P130" i="6" s="1"/>
  <c r="L129" i="6"/>
  <c r="P129" i="6" s="1"/>
  <c r="L128" i="6"/>
  <c r="O128" i="6" s="1"/>
  <c r="R128" i="6" s="1"/>
  <c r="L127" i="6"/>
  <c r="L126" i="6"/>
  <c r="P126" i="6" s="1"/>
  <c r="L125" i="6"/>
  <c r="O125" i="6" s="1"/>
  <c r="L124" i="6"/>
  <c r="P124" i="6" s="1"/>
  <c r="L123" i="6"/>
  <c r="P123" i="6" s="1"/>
  <c r="L122" i="6"/>
  <c r="P122" i="6" s="1"/>
  <c r="L121" i="6"/>
  <c r="P121" i="6" s="1"/>
  <c r="L120" i="6"/>
  <c r="O120" i="6" s="1"/>
  <c r="R120" i="6" s="1"/>
  <c r="L119" i="6"/>
  <c r="L118" i="6"/>
  <c r="P118" i="6" s="1"/>
  <c r="L117" i="6"/>
  <c r="O117" i="6" s="1"/>
  <c r="L116" i="6"/>
  <c r="P116" i="6" s="1"/>
  <c r="L115" i="6"/>
  <c r="P115" i="6" s="1"/>
  <c r="L114" i="6"/>
  <c r="P114" i="6" s="1"/>
  <c r="L113" i="6"/>
  <c r="P113" i="6" s="1"/>
  <c r="L112" i="6"/>
  <c r="O112" i="6" s="1"/>
  <c r="R112" i="6" s="1"/>
  <c r="L111" i="6"/>
  <c r="L110" i="6"/>
  <c r="O110" i="6" s="1"/>
  <c r="R110" i="6" s="1"/>
  <c r="L109" i="6"/>
  <c r="P109" i="6" s="1"/>
  <c r="L108" i="6"/>
  <c r="P108" i="6" s="1"/>
  <c r="L107" i="6"/>
  <c r="P107" i="6" s="1"/>
  <c r="L106" i="6"/>
  <c r="P106" i="6" s="1"/>
  <c r="L105" i="6"/>
  <c r="P105" i="6" s="1"/>
  <c r="L104" i="6"/>
  <c r="P104" i="6" s="1"/>
  <c r="L103" i="6"/>
  <c r="P103" i="6" s="1"/>
  <c r="L102" i="6"/>
  <c r="O102" i="6" s="1"/>
  <c r="L101" i="6"/>
  <c r="O101" i="6" s="1"/>
  <c r="L100" i="6"/>
  <c r="O100" i="6" s="1"/>
  <c r="R100" i="6" s="1"/>
  <c r="L99" i="6"/>
  <c r="L98" i="6"/>
  <c r="P98" i="6" s="1"/>
  <c r="L97" i="6"/>
  <c r="P97" i="6" s="1"/>
  <c r="L96" i="6"/>
  <c r="P96" i="6" s="1"/>
  <c r="L95" i="6"/>
  <c r="P95" i="6" s="1"/>
  <c r="L94" i="6"/>
  <c r="P94" i="6" s="1"/>
  <c r="L92" i="6"/>
  <c r="O92" i="6" s="1"/>
  <c r="L91" i="6"/>
  <c r="O91" i="6" s="1"/>
  <c r="R91" i="6" s="1"/>
  <c r="L90" i="6"/>
  <c r="P90" i="6" s="1"/>
  <c r="L89" i="6"/>
  <c r="O89" i="6" s="1"/>
  <c r="L88" i="6"/>
  <c r="O88" i="6" s="1"/>
  <c r="L87" i="6"/>
  <c r="O87" i="6" s="1"/>
  <c r="R87" i="6" s="1"/>
  <c r="L86" i="6"/>
  <c r="L85" i="6"/>
  <c r="O85" i="6" s="1"/>
  <c r="L84" i="6"/>
  <c r="P84" i="6" s="1"/>
  <c r="L83" i="6"/>
  <c r="P83" i="6" s="1"/>
  <c r="L82" i="6"/>
  <c r="P82" i="6" s="1"/>
  <c r="L80" i="6"/>
  <c r="P80" i="6" s="1"/>
  <c r="L79" i="6"/>
  <c r="P79" i="6" s="1"/>
  <c r="L78" i="6"/>
  <c r="O78" i="6" s="1"/>
  <c r="R78" i="6" s="1"/>
  <c r="L77" i="6"/>
  <c r="P77" i="6" s="1"/>
  <c r="L76" i="6"/>
  <c r="O76" i="6" s="1"/>
  <c r="L75" i="6"/>
  <c r="O75" i="6" s="1"/>
  <c r="L74" i="6"/>
  <c r="O74" i="6" s="1"/>
  <c r="R74" i="6" s="1"/>
  <c r="L73" i="6"/>
  <c r="L72" i="6"/>
  <c r="O72" i="6" s="1"/>
  <c r="L71" i="6"/>
  <c r="P71" i="6" s="1"/>
  <c r="L70" i="6"/>
  <c r="P70" i="6" s="1"/>
  <c r="L69" i="6"/>
  <c r="O69" i="6" s="1"/>
  <c r="Q69" i="6" s="1"/>
  <c r="L68" i="6"/>
  <c r="O68" i="6" s="1"/>
  <c r="L67" i="6"/>
  <c r="P67" i="6" s="1"/>
  <c r="L66" i="6"/>
  <c r="P66" i="6" s="1"/>
  <c r="L65" i="6"/>
  <c r="O65" i="6" s="1"/>
  <c r="L64" i="6"/>
  <c r="P64" i="6" s="1"/>
  <c r="L63" i="6"/>
  <c r="O63" i="6" s="1"/>
  <c r="L62" i="6"/>
  <c r="P62" i="6" s="1"/>
  <c r="L61" i="6"/>
  <c r="O61" i="6" s="1"/>
  <c r="L60" i="6"/>
  <c r="P60" i="6" s="1"/>
  <c r="L59" i="6"/>
  <c r="O59" i="6" s="1"/>
  <c r="L58" i="6"/>
  <c r="P58" i="6" s="1"/>
  <c r="L57" i="6"/>
  <c r="O57" i="6" s="1"/>
  <c r="Q57" i="6" s="1"/>
  <c r="L56" i="6"/>
  <c r="P56" i="6" s="1"/>
  <c r="L55" i="6"/>
  <c r="O55" i="6" s="1"/>
  <c r="Q55" i="6" s="1"/>
  <c r="L54" i="6"/>
  <c r="P54" i="6" s="1"/>
  <c r="L52" i="6"/>
  <c r="O52" i="6" s="1"/>
  <c r="Q52" i="6" s="1"/>
  <c r="L51" i="6"/>
  <c r="P51" i="6" s="1"/>
  <c r="L50" i="6"/>
  <c r="O50" i="6" s="1"/>
  <c r="Q50" i="6" s="1"/>
  <c r="L49" i="6"/>
  <c r="P49" i="6" s="1"/>
  <c r="L48" i="6"/>
  <c r="O48" i="6" s="1"/>
  <c r="Q48" i="6" s="1"/>
  <c r="L47" i="6"/>
  <c r="P47" i="6" s="1"/>
  <c r="L46" i="6"/>
  <c r="P46" i="6" s="1"/>
  <c r="L45" i="6"/>
  <c r="P45" i="6" s="1"/>
  <c r="L44" i="6"/>
  <c r="O44" i="6" s="1"/>
  <c r="Q44" i="6" s="1"/>
  <c r="L43" i="6"/>
  <c r="P43" i="6" s="1"/>
  <c r="L42" i="6"/>
  <c r="O42" i="6" s="1"/>
  <c r="L41" i="6"/>
  <c r="P41" i="6" s="1"/>
  <c r="L40" i="6"/>
  <c r="P40" i="6" s="1"/>
  <c r="L39" i="6"/>
  <c r="P39" i="6" s="1"/>
  <c r="L38" i="6"/>
  <c r="P38" i="6" s="1"/>
  <c r="L37" i="6"/>
  <c r="P37" i="6" s="1"/>
  <c r="L36" i="6"/>
  <c r="P36" i="6" s="1"/>
  <c r="L35" i="6"/>
  <c r="P35" i="6" s="1"/>
  <c r="L34" i="6"/>
  <c r="P34" i="6" s="1"/>
  <c r="L33" i="6"/>
  <c r="P33" i="6" s="1"/>
  <c r="L32" i="6"/>
  <c r="P32" i="6" s="1"/>
  <c r="L31" i="6"/>
  <c r="P31" i="6" s="1"/>
  <c r="L30" i="6"/>
  <c r="O30" i="6" s="1"/>
  <c r="L29" i="6"/>
  <c r="P29" i="6" s="1"/>
  <c r="L28" i="6"/>
  <c r="P28" i="6" s="1"/>
  <c r="L27" i="6"/>
  <c r="P27" i="6" s="1"/>
  <c r="L26" i="6"/>
  <c r="P26" i="6" s="1"/>
  <c r="L25" i="6"/>
  <c r="P25" i="6" s="1"/>
  <c r="L24" i="6"/>
  <c r="P24" i="6" s="1"/>
  <c r="L23" i="6"/>
  <c r="P23" i="6" s="1"/>
  <c r="L22" i="6"/>
  <c r="O22" i="6" s="1"/>
  <c r="Q22" i="6" s="1"/>
  <c r="L21" i="6"/>
  <c r="P21" i="6" s="1"/>
  <c r="L20" i="6"/>
  <c r="O20" i="6" s="1"/>
  <c r="Q20" i="6" s="1"/>
  <c r="L19" i="6"/>
  <c r="P19" i="6" s="1"/>
  <c r="L18" i="6"/>
  <c r="O18" i="6" s="1"/>
  <c r="L17" i="6"/>
  <c r="P17" i="6" s="1"/>
  <c r="L16" i="6"/>
  <c r="O16" i="6" s="1"/>
  <c r="L14" i="6"/>
  <c r="P14" i="6" s="1"/>
  <c r="L13" i="6"/>
  <c r="O13" i="6" s="1"/>
  <c r="L12" i="6"/>
  <c r="P12" i="6" s="1"/>
  <c r="L11" i="6"/>
  <c r="P11" i="6" s="1"/>
  <c r="L10" i="6"/>
  <c r="P10" i="6" s="1"/>
  <c r="L9" i="6"/>
  <c r="O9" i="6" s="1"/>
  <c r="Q9" i="6" s="1"/>
  <c r="L7" i="6"/>
  <c r="P7" i="6" s="1"/>
  <c r="L6" i="6"/>
  <c r="O6" i="6" s="1"/>
  <c r="Q6" i="6" s="1"/>
  <c r="L4" i="6"/>
  <c r="P4" i="6" s="1"/>
  <c r="L3" i="6"/>
  <c r="O3" i="6" s="1"/>
  <c r="L2" i="6"/>
  <c r="P2" i="6" s="1"/>
  <c r="L15" i="5"/>
  <c r="P15" i="5" s="1"/>
  <c r="L13" i="5"/>
  <c r="P13" i="5" s="1"/>
  <c r="L14" i="5"/>
  <c r="L12" i="5"/>
  <c r="O12" i="5" s="1"/>
  <c r="L11" i="5"/>
  <c r="O11" i="5" s="1"/>
  <c r="L10" i="5"/>
  <c r="O10" i="5" s="1"/>
  <c r="L9" i="5"/>
  <c r="P9" i="5" s="1"/>
  <c r="L8" i="5"/>
  <c r="O8" i="5" s="1"/>
  <c r="L7" i="5"/>
  <c r="L6" i="5"/>
  <c r="P6" i="5" s="1"/>
  <c r="L5" i="5"/>
  <c r="P5" i="5" s="1"/>
  <c r="L2" i="5"/>
  <c r="O2" i="5" s="1"/>
  <c r="R2" i="5" s="1"/>
  <c r="L3" i="5"/>
  <c r="P3" i="5" s="1"/>
  <c r="L4" i="5"/>
  <c r="P4" i="5" s="1"/>
  <c r="L179" i="3"/>
  <c r="O179" i="3" s="1"/>
  <c r="Q179" i="3" s="1"/>
  <c r="L177" i="3"/>
  <c r="O177" i="3" s="1"/>
  <c r="R177" i="3" s="1"/>
  <c r="L176" i="3"/>
  <c r="O176" i="3" s="1"/>
  <c r="Q176" i="3" s="1"/>
  <c r="L175" i="3"/>
  <c r="O175" i="3" s="1"/>
  <c r="R175" i="3" s="1"/>
  <c r="L174" i="3"/>
  <c r="O174" i="3" s="1"/>
  <c r="Q174" i="3" s="1"/>
  <c r="L173" i="3"/>
  <c r="L172" i="3"/>
  <c r="O172" i="3" s="1"/>
  <c r="Q172" i="3" s="1"/>
  <c r="L171" i="3"/>
  <c r="O171" i="3" s="1"/>
  <c r="Q171" i="3" s="1"/>
  <c r="L170" i="3"/>
  <c r="O170" i="3" s="1"/>
  <c r="R170" i="3" s="1"/>
  <c r="L169" i="3"/>
  <c r="O169" i="3" s="1"/>
  <c r="R169" i="3" s="1"/>
  <c r="L168" i="3"/>
  <c r="O168" i="3" s="1"/>
  <c r="L167" i="3"/>
  <c r="L166" i="3"/>
  <c r="O166" i="3" s="1"/>
  <c r="Q166" i="3" s="1"/>
  <c r="L165" i="3"/>
  <c r="O165" i="3" s="1"/>
  <c r="L164" i="3"/>
  <c r="O164" i="3" s="1"/>
  <c r="Q164" i="3" s="1"/>
  <c r="L163" i="3"/>
  <c r="L162" i="3"/>
  <c r="O162" i="3" s="1"/>
  <c r="Q162" i="3" s="1"/>
  <c r="L161" i="3"/>
  <c r="L160" i="3"/>
  <c r="O160" i="3" s="1"/>
  <c r="R160" i="3" s="1"/>
  <c r="L159" i="3"/>
  <c r="O159" i="3" s="1"/>
  <c r="Q159" i="3" s="1"/>
  <c r="L157" i="3"/>
  <c r="O157" i="3" s="1"/>
  <c r="R157" i="3" s="1"/>
  <c r="L155" i="3"/>
  <c r="O155" i="3" s="1"/>
  <c r="R155" i="3" s="1"/>
  <c r="L153" i="3"/>
  <c r="O153" i="3" s="1"/>
  <c r="L152" i="3"/>
  <c r="L151" i="3"/>
  <c r="O151" i="3" s="1"/>
  <c r="R151" i="3" s="1"/>
  <c r="L150" i="3"/>
  <c r="O150" i="3" s="1"/>
  <c r="R150" i="3" s="1"/>
  <c r="L149" i="3"/>
  <c r="O149" i="3" s="1"/>
  <c r="Q149" i="3" s="1"/>
  <c r="L148" i="3"/>
  <c r="O148" i="3" s="1"/>
  <c r="L147" i="3"/>
  <c r="O147" i="3" s="1"/>
  <c r="Q147" i="3" s="1"/>
  <c r="L146" i="3"/>
  <c r="L145" i="3"/>
  <c r="O145" i="3" s="1"/>
  <c r="R145" i="3" s="1"/>
  <c r="L144" i="3"/>
  <c r="O144" i="3" s="1"/>
  <c r="R144" i="3" s="1"/>
  <c r="L143" i="3"/>
  <c r="O143" i="3" s="1"/>
  <c r="L142" i="3"/>
  <c r="O142" i="3" s="1"/>
  <c r="R142" i="3" s="1"/>
  <c r="L141" i="3"/>
  <c r="O141" i="3" s="1"/>
  <c r="L140" i="3"/>
  <c r="L139" i="3"/>
  <c r="O139" i="3" s="1"/>
  <c r="Q139" i="3" s="1"/>
  <c r="L138" i="3"/>
  <c r="L137" i="3"/>
  <c r="O137" i="3" s="1"/>
  <c r="Q137" i="3" s="1"/>
  <c r="L136" i="3"/>
  <c r="O136" i="3" s="1"/>
  <c r="L134" i="3"/>
  <c r="O134" i="3" s="1"/>
  <c r="Q134" i="3" s="1"/>
  <c r="L133" i="3"/>
  <c r="L132" i="3"/>
  <c r="O132" i="3" s="1"/>
  <c r="Q132" i="3" s="1"/>
  <c r="L131" i="3"/>
  <c r="O131" i="3" s="1"/>
  <c r="R131" i="3" s="1"/>
  <c r="L130" i="3"/>
  <c r="O130" i="3" s="1"/>
  <c r="R130" i="3" s="1"/>
  <c r="L129" i="3"/>
  <c r="O129" i="3" s="1"/>
  <c r="R129" i="3" s="1"/>
  <c r="L128" i="3"/>
  <c r="O128" i="3" s="1"/>
  <c r="L127" i="3"/>
  <c r="L126" i="3"/>
  <c r="O126" i="3" s="1"/>
  <c r="R126" i="3" s="1"/>
  <c r="L124" i="3"/>
  <c r="O124" i="3" s="1"/>
  <c r="R124" i="3" s="1"/>
  <c r="L123" i="3"/>
  <c r="O123" i="3" s="1"/>
  <c r="Q123" i="3" s="1"/>
  <c r="L122" i="3"/>
  <c r="O122" i="3" s="1"/>
  <c r="L121" i="3"/>
  <c r="O121" i="3" s="1"/>
  <c r="Q121" i="3" s="1"/>
  <c r="L120" i="3"/>
  <c r="L119" i="3"/>
  <c r="O119" i="3" s="1"/>
  <c r="R119" i="3" s="1"/>
  <c r="L118" i="3"/>
  <c r="O118" i="3" s="1"/>
  <c r="R118" i="3" s="1"/>
  <c r="L117" i="3"/>
  <c r="O117" i="3" s="1"/>
  <c r="R117" i="3" s="1"/>
  <c r="L116" i="3"/>
  <c r="O116" i="3" s="1"/>
  <c r="R116" i="3" s="1"/>
  <c r="L115" i="3"/>
  <c r="O115" i="3" s="1"/>
  <c r="L113" i="3"/>
  <c r="L112" i="3"/>
  <c r="O112" i="3" s="1"/>
  <c r="R112" i="3" s="1"/>
  <c r="L111" i="3"/>
  <c r="O111" i="3" s="1"/>
  <c r="R111" i="3" s="1"/>
  <c r="L110" i="3"/>
  <c r="O110" i="3" s="1"/>
  <c r="L108" i="3"/>
  <c r="O108" i="3" s="1"/>
  <c r="Q108" i="3" s="1"/>
  <c r="L107" i="3"/>
  <c r="L106" i="3"/>
  <c r="O106" i="3" s="1"/>
  <c r="Q106" i="3" s="1"/>
  <c r="L105" i="3"/>
  <c r="O105" i="3" s="1"/>
  <c r="R105" i="3" s="1"/>
  <c r="L103" i="3"/>
  <c r="O103" i="3" s="1"/>
  <c r="L102" i="3"/>
  <c r="L101" i="3"/>
  <c r="O101" i="3" s="1"/>
  <c r="L100" i="3"/>
  <c r="L99" i="3"/>
  <c r="O99" i="3" s="1"/>
  <c r="R99" i="3" s="1"/>
  <c r="L98" i="3"/>
  <c r="L97" i="3"/>
  <c r="O97" i="3" s="1"/>
  <c r="Q97" i="3" s="1"/>
  <c r="L96" i="3"/>
  <c r="O96" i="3" s="1"/>
  <c r="R96" i="3" s="1"/>
  <c r="L95" i="3"/>
  <c r="O95" i="3" s="1"/>
  <c r="Q95" i="3" s="1"/>
  <c r="L94" i="3"/>
  <c r="L93" i="3"/>
  <c r="O93" i="3" s="1"/>
  <c r="R93" i="3" s="1"/>
  <c r="L92" i="3"/>
  <c r="O92" i="3" s="1"/>
  <c r="R92" i="3" s="1"/>
  <c r="R91" i="3"/>
  <c r="L91" i="3"/>
  <c r="O91" i="3" s="1"/>
  <c r="Q91" i="3" s="1"/>
  <c r="L90" i="3"/>
  <c r="L89" i="3"/>
  <c r="O89" i="3" s="1"/>
  <c r="L88" i="3"/>
  <c r="L86" i="3"/>
  <c r="O86" i="3" s="1"/>
  <c r="Q86" i="3" s="1"/>
  <c r="L85" i="3"/>
  <c r="L84" i="3"/>
  <c r="O84" i="3" s="1"/>
  <c r="Q84" i="3" s="1"/>
  <c r="L82" i="3"/>
  <c r="L81" i="3"/>
  <c r="O81" i="3" s="1"/>
  <c r="Q81" i="3" s="1"/>
  <c r="L80" i="3"/>
  <c r="L78" i="3"/>
  <c r="O78" i="3" s="1"/>
  <c r="Q78" i="3" s="1"/>
  <c r="L76" i="3"/>
  <c r="O76" i="3" s="1"/>
  <c r="Q76" i="3" s="1"/>
  <c r="L75" i="3"/>
  <c r="O75" i="3" s="1"/>
  <c r="R75" i="3" s="1"/>
  <c r="L74" i="3"/>
  <c r="O74" i="3" s="1"/>
  <c r="L73" i="3"/>
  <c r="L72" i="3"/>
  <c r="L71" i="3"/>
  <c r="O71" i="3" s="1"/>
  <c r="Q71" i="3" s="1"/>
  <c r="L70" i="3"/>
  <c r="L69" i="3"/>
  <c r="O69" i="3" s="1"/>
  <c r="R69" i="3" s="1"/>
  <c r="L68" i="3"/>
  <c r="O68" i="3" s="1"/>
  <c r="L67" i="3"/>
  <c r="O67" i="3" s="1"/>
  <c r="Q67" i="3" s="1"/>
  <c r="L66" i="3"/>
  <c r="L65" i="3"/>
  <c r="O65" i="3" s="1"/>
  <c r="Q65" i="3" s="1"/>
  <c r="L64" i="3"/>
  <c r="O64" i="3" s="1"/>
  <c r="Q64" i="3" s="1"/>
  <c r="L62" i="3"/>
  <c r="O62" i="3" s="1"/>
  <c r="Q62" i="3" s="1"/>
  <c r="L61" i="3"/>
  <c r="O61" i="3" s="1"/>
  <c r="R61" i="3" s="1"/>
  <c r="L60" i="3"/>
  <c r="O60" i="3" s="1"/>
  <c r="L59" i="3"/>
  <c r="L57" i="3"/>
  <c r="O57" i="3" s="1"/>
  <c r="R57" i="3" s="1"/>
  <c r="L55" i="3"/>
  <c r="O55" i="3" s="1"/>
  <c r="Q55" i="3" s="1"/>
  <c r="L53" i="3"/>
  <c r="O53" i="3" s="1"/>
  <c r="R53" i="3" s="1"/>
  <c r="L51" i="3"/>
  <c r="O51" i="3" s="1"/>
  <c r="R51" i="3" s="1"/>
  <c r="L50" i="3"/>
  <c r="L49" i="3"/>
  <c r="L48" i="3"/>
  <c r="O48" i="3" s="1"/>
  <c r="R48" i="3" s="1"/>
  <c r="L47" i="3"/>
  <c r="O47" i="3" s="1"/>
  <c r="Q47" i="3" s="1"/>
  <c r="L46" i="3"/>
  <c r="O46" i="3" s="1"/>
  <c r="R46" i="3" s="1"/>
  <c r="L45" i="3"/>
  <c r="O45" i="3" s="1"/>
  <c r="L44" i="3"/>
  <c r="L43" i="3"/>
  <c r="O43" i="3" s="1"/>
  <c r="Q43" i="3" s="1"/>
  <c r="L41" i="3"/>
  <c r="O41" i="3" s="1"/>
  <c r="R41" i="3" s="1"/>
  <c r="L40" i="3"/>
  <c r="L39" i="3"/>
  <c r="O39" i="3" s="1"/>
  <c r="R39" i="3" s="1"/>
  <c r="L37" i="3"/>
  <c r="O37" i="3" s="1"/>
  <c r="L35" i="3"/>
  <c r="L33" i="3"/>
  <c r="O33" i="3" s="1"/>
  <c r="R33" i="3" s="1"/>
  <c r="L32" i="3"/>
  <c r="O32" i="3" s="1"/>
  <c r="R32" i="3" s="1"/>
  <c r="L31" i="3"/>
  <c r="L34" i="3" s="1"/>
  <c r="L29" i="3"/>
  <c r="L27" i="3"/>
  <c r="O27" i="3" s="1"/>
  <c r="L26" i="3"/>
  <c r="L25" i="3"/>
  <c r="O25" i="3" s="1"/>
  <c r="Q25" i="3" s="1"/>
  <c r="L24" i="3"/>
  <c r="O24" i="3" s="1"/>
  <c r="R24" i="3" s="1"/>
  <c r="L23" i="3"/>
  <c r="O23" i="3" s="1"/>
  <c r="L22" i="3"/>
  <c r="L21" i="3"/>
  <c r="O21" i="3" s="1"/>
  <c r="Q21" i="3" s="1"/>
  <c r="L20" i="3"/>
  <c r="L19" i="3"/>
  <c r="O19" i="3" s="1"/>
  <c r="Q19" i="3" s="1"/>
  <c r="L18" i="3"/>
  <c r="O18" i="3" s="1"/>
  <c r="R18" i="3" s="1"/>
  <c r="L17" i="3"/>
  <c r="O17" i="3" s="1"/>
  <c r="L16" i="3"/>
  <c r="O16" i="3" s="1"/>
  <c r="R16" i="3" s="1"/>
  <c r="L15" i="3"/>
  <c r="O15" i="3" s="1"/>
  <c r="L14" i="3"/>
  <c r="L13" i="3"/>
  <c r="O13" i="3" s="1"/>
  <c r="Q13" i="3" s="1"/>
  <c r="L12" i="3"/>
  <c r="O12" i="3" s="1"/>
  <c r="R12" i="3" s="1"/>
  <c r="L11" i="3"/>
  <c r="O11" i="3" s="1"/>
  <c r="R11" i="3" s="1"/>
  <c r="L10" i="3"/>
  <c r="O10" i="3" s="1"/>
  <c r="R10" i="3" s="1"/>
  <c r="L9" i="3"/>
  <c r="O9" i="3" s="1"/>
  <c r="Q9" i="3" s="1"/>
  <c r="L8" i="3"/>
  <c r="L7" i="3"/>
  <c r="O7" i="3" s="1"/>
  <c r="Q7" i="3" s="1"/>
  <c r="L5" i="3"/>
  <c r="O5" i="3" s="1"/>
  <c r="R5" i="3" s="1"/>
  <c r="L3" i="3"/>
  <c r="O3" i="3" s="1"/>
  <c r="R3" i="3" s="1"/>
  <c r="L2" i="3"/>
  <c r="L454" i="2"/>
  <c r="P454" i="2" s="1"/>
  <c r="L453" i="2"/>
  <c r="O453" i="2" s="1"/>
  <c r="L452" i="2"/>
  <c r="P452" i="2" s="1"/>
  <c r="L451" i="2"/>
  <c r="P451" i="2" s="1"/>
  <c r="L450" i="2"/>
  <c r="L449" i="2"/>
  <c r="L447" i="2"/>
  <c r="L445" i="2"/>
  <c r="O445" i="2" s="1"/>
  <c r="R445" i="2" s="1"/>
  <c r="L443" i="2"/>
  <c r="P443" i="2" s="1"/>
  <c r="L442" i="2"/>
  <c r="O442" i="2" s="1"/>
  <c r="R442" i="2" s="1"/>
  <c r="L441" i="2"/>
  <c r="L440" i="2"/>
  <c r="P440" i="2" s="1"/>
  <c r="L439" i="2"/>
  <c r="L438" i="2"/>
  <c r="P438" i="2" s="1"/>
  <c r="L436" i="2"/>
  <c r="L435" i="2"/>
  <c r="P435" i="2" s="1"/>
  <c r="L434" i="2"/>
  <c r="P434" i="2" s="1"/>
  <c r="L433" i="2"/>
  <c r="O433" i="2" s="1"/>
  <c r="R433" i="2" s="1"/>
  <c r="L432" i="2"/>
  <c r="P432" i="2" s="1"/>
  <c r="L431" i="2"/>
  <c r="O431" i="2" s="1"/>
  <c r="L430" i="2"/>
  <c r="P430" i="2" s="1"/>
  <c r="L429" i="2"/>
  <c r="O429" i="2" s="1"/>
  <c r="L428" i="2"/>
  <c r="L427" i="2"/>
  <c r="P427" i="2" s="1"/>
  <c r="L426" i="2"/>
  <c r="P426" i="2" s="1"/>
  <c r="L425" i="2"/>
  <c r="P425" i="2" s="1"/>
  <c r="L424" i="2"/>
  <c r="P424" i="2" s="1"/>
  <c r="L423" i="2"/>
  <c r="P423" i="2" s="1"/>
  <c r="L421" i="2"/>
  <c r="O421" i="2" s="1"/>
  <c r="L419" i="2"/>
  <c r="L418" i="2"/>
  <c r="P418" i="2" s="1"/>
  <c r="L417" i="2"/>
  <c r="P417" i="2" s="1"/>
  <c r="L416" i="2"/>
  <c r="P416" i="2" s="1"/>
  <c r="L414" i="2"/>
  <c r="L412" i="2"/>
  <c r="L411" i="2"/>
  <c r="P411" i="2" s="1"/>
  <c r="L410" i="2"/>
  <c r="O410" i="2" s="1"/>
  <c r="L409" i="2"/>
  <c r="L408" i="2"/>
  <c r="L407" i="2"/>
  <c r="P407" i="2" s="1"/>
  <c r="L406" i="2"/>
  <c r="P406" i="2" s="1"/>
  <c r="L405" i="2"/>
  <c r="P405" i="2" s="1"/>
  <c r="L404" i="2"/>
  <c r="L403" i="2"/>
  <c r="P403" i="2" s="1"/>
  <c r="L402" i="2"/>
  <c r="L401" i="2"/>
  <c r="P401" i="2" s="1"/>
  <c r="L400" i="2"/>
  <c r="P400" i="2" s="1"/>
  <c r="L399" i="2"/>
  <c r="L398" i="2"/>
  <c r="L397" i="2"/>
  <c r="P397" i="2" s="1"/>
  <c r="L396" i="2"/>
  <c r="L395" i="2"/>
  <c r="L394" i="2"/>
  <c r="O394" i="2" s="1"/>
  <c r="R394" i="2" s="1"/>
  <c r="L393" i="2"/>
  <c r="L392" i="2"/>
  <c r="L391" i="2"/>
  <c r="P391" i="2" s="1"/>
  <c r="L390" i="2"/>
  <c r="L389" i="2"/>
  <c r="O389" i="2" s="1"/>
  <c r="Q389" i="2" s="1"/>
  <c r="L388" i="2"/>
  <c r="P388" i="2" s="1"/>
  <c r="L387" i="2"/>
  <c r="P387" i="2" s="1"/>
  <c r="L386" i="2"/>
  <c r="P386" i="2" s="1"/>
  <c r="L385" i="2"/>
  <c r="L384" i="2"/>
  <c r="O384" i="2" s="1"/>
  <c r="R384" i="2" s="1"/>
  <c r="L383" i="2"/>
  <c r="L382" i="2"/>
  <c r="P382" i="2" s="1"/>
  <c r="L381" i="2"/>
  <c r="P381" i="2" s="1"/>
  <c r="L380" i="2"/>
  <c r="P380" i="2" s="1"/>
  <c r="L379" i="2"/>
  <c r="L378" i="2"/>
  <c r="O378" i="2" s="1"/>
  <c r="R378" i="2" s="1"/>
  <c r="L377" i="2"/>
  <c r="L376" i="2"/>
  <c r="P376" i="2" s="1"/>
  <c r="L375" i="2"/>
  <c r="L374" i="2"/>
  <c r="P374" i="2" s="1"/>
  <c r="L373" i="2"/>
  <c r="L372" i="2"/>
  <c r="P372" i="2" s="1"/>
  <c r="L371" i="2"/>
  <c r="P371" i="2" s="1"/>
  <c r="L370" i="2"/>
  <c r="O370" i="2" s="1"/>
  <c r="L369" i="2"/>
  <c r="L368" i="2"/>
  <c r="P368" i="2" s="1"/>
  <c r="L367" i="2"/>
  <c r="L366" i="2"/>
  <c r="P366" i="2" s="1"/>
  <c r="L365" i="2"/>
  <c r="P365" i="2" s="1"/>
  <c r="L364" i="2"/>
  <c r="P364" i="2" s="1"/>
  <c r="L363" i="2"/>
  <c r="P363" i="2" s="1"/>
  <c r="L362" i="2"/>
  <c r="L361" i="2"/>
  <c r="P361" i="2" s="1"/>
  <c r="L360" i="2"/>
  <c r="L359" i="2"/>
  <c r="L358" i="2"/>
  <c r="P358" i="2" s="1"/>
  <c r="L357" i="2"/>
  <c r="P357" i="2" s="1"/>
  <c r="L356" i="2"/>
  <c r="L355" i="2"/>
  <c r="P355" i="2" s="1"/>
  <c r="L354" i="2"/>
  <c r="L353" i="2"/>
  <c r="L352" i="2"/>
  <c r="L351" i="2"/>
  <c r="P351" i="2" s="1"/>
  <c r="L350" i="2"/>
  <c r="P350" i="2" s="1"/>
  <c r="L349" i="2"/>
  <c r="L348" i="2"/>
  <c r="L347" i="2"/>
  <c r="P347" i="2" s="1"/>
  <c r="L346" i="2"/>
  <c r="L345" i="2"/>
  <c r="P345" i="2" s="1"/>
  <c r="L344" i="2"/>
  <c r="L343" i="2"/>
  <c r="O343" i="2" s="1"/>
  <c r="Q343" i="2" s="1"/>
  <c r="L342" i="2"/>
  <c r="L341" i="2"/>
  <c r="L340" i="2"/>
  <c r="L339" i="2"/>
  <c r="P339" i="2" s="1"/>
  <c r="L338" i="2"/>
  <c r="P338" i="2" s="1"/>
  <c r="L337" i="2"/>
  <c r="O337" i="2" s="1"/>
  <c r="R337" i="2" s="1"/>
  <c r="L336" i="2"/>
  <c r="P336" i="2" s="1"/>
  <c r="L335" i="2"/>
  <c r="L334" i="2"/>
  <c r="P334" i="2" s="1"/>
  <c r="L333" i="2"/>
  <c r="P333" i="2" s="1"/>
  <c r="L332" i="2"/>
  <c r="O332" i="2" s="1"/>
  <c r="L331" i="2"/>
  <c r="P331" i="2" s="1"/>
  <c r="L330" i="2"/>
  <c r="L329" i="2"/>
  <c r="L328" i="2"/>
  <c r="L327" i="2"/>
  <c r="O327" i="2" s="1"/>
  <c r="R327" i="2" s="1"/>
  <c r="L326" i="2"/>
  <c r="P326" i="2" s="1"/>
  <c r="L325" i="2"/>
  <c r="O325" i="2" s="1"/>
  <c r="L324" i="2"/>
  <c r="P324" i="2" s="1"/>
  <c r="L323" i="2"/>
  <c r="P323" i="2" s="1"/>
  <c r="L322" i="2"/>
  <c r="L321" i="2"/>
  <c r="P321" i="2" s="1"/>
  <c r="L320" i="2"/>
  <c r="P320" i="2" s="1"/>
  <c r="L319" i="2"/>
  <c r="O319" i="2" s="1"/>
  <c r="R319" i="2" s="1"/>
  <c r="L318" i="2"/>
  <c r="L317" i="2"/>
  <c r="P317" i="2" s="1"/>
  <c r="L316" i="2"/>
  <c r="P316" i="2" s="1"/>
  <c r="L314" i="2"/>
  <c r="O314" i="2" s="1"/>
  <c r="L312" i="2"/>
  <c r="O312" i="2" s="1"/>
  <c r="L311" i="2"/>
  <c r="P311" i="2" s="1"/>
  <c r="L309" i="2"/>
  <c r="L307" i="2"/>
  <c r="O307" i="2" s="1"/>
  <c r="Q307" i="2" s="1"/>
  <c r="L305" i="2"/>
  <c r="O305" i="2" s="1"/>
  <c r="L303" i="2"/>
  <c r="L302" i="2"/>
  <c r="L301" i="2"/>
  <c r="P301" i="2" s="1"/>
  <c r="L300" i="2"/>
  <c r="O300" i="2" s="1"/>
  <c r="R300" i="2" s="1"/>
  <c r="L299" i="2"/>
  <c r="L298" i="2"/>
  <c r="P298" i="2" s="1"/>
  <c r="L297" i="2"/>
  <c r="L296" i="2"/>
  <c r="L295" i="2"/>
  <c r="P295" i="2" s="1"/>
  <c r="L294" i="2"/>
  <c r="O294" i="2" s="1"/>
  <c r="L293" i="2"/>
  <c r="O293" i="2" s="1"/>
  <c r="L292" i="2"/>
  <c r="O292" i="2" s="1"/>
  <c r="R292" i="2" s="1"/>
  <c r="L291" i="2"/>
  <c r="P291" i="2" s="1"/>
  <c r="L290" i="2"/>
  <c r="P290" i="2" s="1"/>
  <c r="L289" i="2"/>
  <c r="P289" i="2" s="1"/>
  <c r="L288" i="2"/>
  <c r="O288" i="2" s="1"/>
  <c r="R288" i="2" s="1"/>
  <c r="L287" i="2"/>
  <c r="L286" i="2"/>
  <c r="P286" i="2" s="1"/>
  <c r="L285" i="2"/>
  <c r="P285" i="2" s="1"/>
  <c r="L284" i="2"/>
  <c r="L283" i="2"/>
  <c r="P283" i="2" s="1"/>
  <c r="L282" i="2"/>
  <c r="O282" i="2" s="1"/>
  <c r="L281" i="2"/>
  <c r="P281" i="2" s="1"/>
  <c r="L280" i="2"/>
  <c r="P280" i="2" s="1"/>
  <c r="L279" i="2"/>
  <c r="L278" i="2"/>
  <c r="P278" i="2" s="1"/>
  <c r="L277" i="2"/>
  <c r="O277" i="2" s="1"/>
  <c r="Q277" i="2" s="1"/>
  <c r="L276" i="2"/>
  <c r="P276" i="2" s="1"/>
  <c r="L275" i="2"/>
  <c r="L274" i="2"/>
  <c r="P274" i="2" s="1"/>
  <c r="L273" i="2"/>
  <c r="P273" i="2" s="1"/>
  <c r="L272" i="2"/>
  <c r="L271" i="2"/>
  <c r="L270" i="2"/>
  <c r="O270" i="2" s="1"/>
  <c r="Q270" i="2" s="1"/>
  <c r="L269" i="2"/>
  <c r="P269" i="2" s="1"/>
  <c r="L268" i="2"/>
  <c r="O268" i="2" s="1"/>
  <c r="L267" i="2"/>
  <c r="L266" i="2"/>
  <c r="L265" i="2"/>
  <c r="P265" i="2" s="1"/>
  <c r="L264" i="2"/>
  <c r="O264" i="2" s="1"/>
  <c r="Q264" i="2" s="1"/>
  <c r="L263" i="2"/>
  <c r="P263" i="2" s="1"/>
  <c r="L262" i="2"/>
  <c r="P262" i="2" s="1"/>
  <c r="L261" i="2"/>
  <c r="L260" i="2"/>
  <c r="P260" i="2" s="1"/>
  <c r="L259" i="2"/>
  <c r="P259" i="2" s="1"/>
  <c r="L258" i="2"/>
  <c r="P258" i="2" s="1"/>
  <c r="L257" i="2"/>
  <c r="P257" i="2" s="1"/>
  <c r="L256" i="2"/>
  <c r="P256" i="2" s="1"/>
  <c r="L255" i="2"/>
  <c r="O255" i="2" s="1"/>
  <c r="L253" i="2"/>
  <c r="L252" i="2"/>
  <c r="O252" i="2" s="1"/>
  <c r="L251" i="2"/>
  <c r="L250" i="2"/>
  <c r="O250" i="2" s="1"/>
  <c r="R250" i="2" s="1"/>
  <c r="L249" i="2"/>
  <c r="O249" i="2" s="1"/>
  <c r="Q249" i="2" s="1"/>
  <c r="L248" i="2"/>
  <c r="P248" i="2" s="1"/>
  <c r="L246" i="2"/>
  <c r="P246" i="2" s="1"/>
  <c r="L245" i="2"/>
  <c r="P245" i="2" s="1"/>
  <c r="L244" i="2"/>
  <c r="O244" i="2" s="1"/>
  <c r="L243" i="2"/>
  <c r="O243" i="2" s="1"/>
  <c r="L242" i="2"/>
  <c r="P242" i="2" s="1"/>
  <c r="L241" i="2"/>
  <c r="P241" i="2" s="1"/>
  <c r="L240" i="2"/>
  <c r="O240" i="2" s="1"/>
  <c r="Q240" i="2" s="1"/>
  <c r="L239" i="2"/>
  <c r="P239" i="2" s="1"/>
  <c r="L238" i="2"/>
  <c r="P238" i="2" s="1"/>
  <c r="L237" i="2"/>
  <c r="P237" i="2" s="1"/>
  <c r="L236" i="2"/>
  <c r="P236" i="2" s="1"/>
  <c r="L235" i="2"/>
  <c r="P235" i="2" s="1"/>
  <c r="L234" i="2"/>
  <c r="L233" i="2"/>
  <c r="P233" i="2" s="1"/>
  <c r="L232" i="2"/>
  <c r="P232" i="2" s="1"/>
  <c r="L231" i="2"/>
  <c r="O231" i="2" s="1"/>
  <c r="L230" i="2"/>
  <c r="P230" i="2" s="1"/>
  <c r="L229" i="2"/>
  <c r="O229" i="2" s="1"/>
  <c r="Q229" i="2" s="1"/>
  <c r="L227" i="2"/>
  <c r="P227" i="2" s="1"/>
  <c r="L226" i="2"/>
  <c r="O226" i="2" s="1"/>
  <c r="L225" i="2"/>
  <c r="P225" i="2" s="1"/>
  <c r="L224" i="2"/>
  <c r="L223" i="2"/>
  <c r="P223" i="2" s="1"/>
  <c r="L222" i="2"/>
  <c r="O222" i="2" s="1"/>
  <c r="R222" i="2" s="1"/>
  <c r="L221" i="2"/>
  <c r="P221" i="2" s="1"/>
  <c r="L220" i="2"/>
  <c r="P220" i="2" s="1"/>
  <c r="L219" i="2"/>
  <c r="P219" i="2" s="1"/>
  <c r="L218" i="2"/>
  <c r="P218" i="2" s="1"/>
  <c r="L217" i="2"/>
  <c r="P217" i="2" s="1"/>
  <c r="L216" i="2"/>
  <c r="O216" i="2" s="1"/>
  <c r="L215" i="2"/>
  <c r="P215" i="2" s="1"/>
  <c r="L213" i="2"/>
  <c r="L214" i="2" s="1"/>
  <c r="L211" i="2"/>
  <c r="P211" i="2" s="1"/>
  <c r="L210" i="2"/>
  <c r="P210" i="2" s="1"/>
  <c r="L209" i="2"/>
  <c r="O209" i="2" s="1"/>
  <c r="R209" i="2" s="1"/>
  <c r="L208" i="2"/>
  <c r="O208" i="2" s="1"/>
  <c r="Q208" i="2" s="1"/>
  <c r="L207" i="2"/>
  <c r="P207" i="2" s="1"/>
  <c r="L206" i="2"/>
  <c r="P206" i="2" s="1"/>
  <c r="L205" i="2"/>
  <c r="O205" i="2" s="1"/>
  <c r="L204" i="2"/>
  <c r="P204" i="2" s="1"/>
  <c r="L203" i="2"/>
  <c r="L202" i="2"/>
  <c r="P202" i="2" s="1"/>
  <c r="L201" i="2"/>
  <c r="L200" i="2"/>
  <c r="P200" i="2" s="1"/>
  <c r="L199" i="2"/>
  <c r="L198" i="2"/>
  <c r="L197" i="2"/>
  <c r="O197" i="2" s="1"/>
  <c r="L196" i="2"/>
  <c r="P196" i="2" s="1"/>
  <c r="L195" i="2"/>
  <c r="P195" i="2" s="1"/>
  <c r="L194" i="2"/>
  <c r="P194" i="2" s="1"/>
  <c r="L193" i="2"/>
  <c r="P193" i="2" s="1"/>
  <c r="L192" i="2"/>
  <c r="L191" i="2"/>
  <c r="L190" i="2"/>
  <c r="P190" i="2" s="1"/>
  <c r="L189" i="2"/>
  <c r="P189" i="2" s="1"/>
  <c r="L188" i="2"/>
  <c r="O188" i="2" s="1"/>
  <c r="L187" i="2"/>
  <c r="L186" i="2"/>
  <c r="O186" i="2" s="1"/>
  <c r="L185" i="2"/>
  <c r="O185" i="2" s="1"/>
  <c r="L184" i="2"/>
  <c r="O184" i="2" s="1"/>
  <c r="Q184" i="2" s="1"/>
  <c r="L183" i="2"/>
  <c r="O183" i="2" s="1"/>
  <c r="Q183" i="2" s="1"/>
  <c r="L182" i="2"/>
  <c r="O182" i="2" s="1"/>
  <c r="Q182" i="2" s="1"/>
  <c r="L181" i="2"/>
  <c r="L180" i="2"/>
  <c r="L179" i="2"/>
  <c r="P179" i="2" s="1"/>
  <c r="L178" i="2"/>
  <c r="O178" i="2" s="1"/>
  <c r="Q178" i="2" s="1"/>
  <c r="L177" i="2"/>
  <c r="O177" i="2" s="1"/>
  <c r="L176" i="2"/>
  <c r="O176" i="2" s="1"/>
  <c r="R176" i="2" s="1"/>
  <c r="L175" i="2"/>
  <c r="O175" i="2" s="1"/>
  <c r="Q175" i="2" s="1"/>
  <c r="L174" i="2"/>
  <c r="O174" i="2" s="1"/>
  <c r="L173" i="2"/>
  <c r="O173" i="2" s="1"/>
  <c r="L172" i="2"/>
  <c r="P172" i="2" s="1"/>
  <c r="L171" i="2"/>
  <c r="P171" i="2" s="1"/>
  <c r="L169" i="2"/>
  <c r="O169" i="2" s="1"/>
  <c r="R169" i="2" s="1"/>
  <c r="L167" i="2"/>
  <c r="O167" i="2" s="1"/>
  <c r="L166" i="2"/>
  <c r="P166" i="2" s="1"/>
  <c r="L164" i="2"/>
  <c r="O164" i="2" s="1"/>
  <c r="L163" i="2"/>
  <c r="O163" i="2" s="1"/>
  <c r="L162" i="2"/>
  <c r="O162" i="2" s="1"/>
  <c r="L161" i="2"/>
  <c r="P161" i="2" s="1"/>
  <c r="L160" i="2"/>
  <c r="L159" i="2"/>
  <c r="O159" i="2" s="1"/>
  <c r="Q159" i="2" s="1"/>
  <c r="L157" i="2"/>
  <c r="P157" i="2" s="1"/>
  <c r="L156" i="2"/>
  <c r="L158" i="2" s="1"/>
  <c r="L154" i="2"/>
  <c r="P154" i="2" s="1"/>
  <c r="L152" i="2"/>
  <c r="P152" i="2" s="1"/>
  <c r="L150" i="2"/>
  <c r="P150" i="2" s="1"/>
  <c r="L149" i="2"/>
  <c r="L148" i="2"/>
  <c r="P148" i="2" s="1"/>
  <c r="L147" i="2"/>
  <c r="P147" i="2" s="1"/>
  <c r="L146" i="2"/>
  <c r="L145" i="2"/>
  <c r="L144" i="2"/>
  <c r="P144" i="2" s="1"/>
  <c r="L143" i="2"/>
  <c r="P143" i="2" s="1"/>
  <c r="L142" i="2"/>
  <c r="P142" i="2" s="1"/>
  <c r="L141" i="2"/>
  <c r="P141" i="2" s="1"/>
  <c r="L140" i="2"/>
  <c r="P140" i="2" s="1"/>
  <c r="L139" i="2"/>
  <c r="L138" i="2"/>
  <c r="P138" i="2" s="1"/>
  <c r="L137" i="2"/>
  <c r="L136" i="2"/>
  <c r="P136" i="2" s="1"/>
  <c r="L135" i="2"/>
  <c r="O135" i="2" s="1"/>
  <c r="R135" i="2" s="1"/>
  <c r="L134" i="2"/>
  <c r="P134" i="2" s="1"/>
  <c r="L133" i="2"/>
  <c r="L132" i="2"/>
  <c r="O132" i="2" s="1"/>
  <c r="Q132" i="2" s="1"/>
  <c r="L131" i="2"/>
  <c r="O131" i="2" s="1"/>
  <c r="L130" i="2"/>
  <c r="O130" i="2" s="1"/>
  <c r="Q130" i="2" s="1"/>
  <c r="L129" i="2"/>
  <c r="O129" i="2" s="1"/>
  <c r="L128" i="2"/>
  <c r="L127" i="2"/>
  <c r="O127" i="2" s="1"/>
  <c r="R127" i="2" s="1"/>
  <c r="L126" i="2"/>
  <c r="L125" i="2"/>
  <c r="P125" i="2" s="1"/>
  <c r="L124" i="2"/>
  <c r="O124" i="2" s="1"/>
  <c r="R124" i="2" s="1"/>
  <c r="L123" i="2"/>
  <c r="P123" i="2" s="1"/>
  <c r="L122" i="2"/>
  <c r="P122" i="2" s="1"/>
  <c r="L121" i="2"/>
  <c r="L120" i="2"/>
  <c r="O120" i="2" s="1"/>
  <c r="R120" i="2" s="1"/>
  <c r="L119" i="2"/>
  <c r="L118" i="2"/>
  <c r="P118" i="2" s="1"/>
  <c r="L117" i="2"/>
  <c r="P117" i="2" s="1"/>
  <c r="L116" i="2"/>
  <c r="L115" i="2"/>
  <c r="O115" i="2" s="1"/>
  <c r="R115" i="2" s="1"/>
  <c r="L114" i="2"/>
  <c r="O114" i="2" s="1"/>
  <c r="R114" i="2" s="1"/>
  <c r="L113" i="2"/>
  <c r="O113" i="2" s="1"/>
  <c r="L112" i="2"/>
  <c r="O112" i="2" s="1"/>
  <c r="L111" i="2"/>
  <c r="P111" i="2" s="1"/>
  <c r="L110" i="2"/>
  <c r="O110" i="2" s="1"/>
  <c r="L108" i="2"/>
  <c r="P108" i="2" s="1"/>
  <c r="L106" i="2"/>
  <c r="L104" i="2"/>
  <c r="P104" i="2" s="1"/>
  <c r="L102" i="2"/>
  <c r="P102" i="2" s="1"/>
  <c r="L101" i="2"/>
  <c r="L100" i="2"/>
  <c r="O100" i="2" s="1"/>
  <c r="L99" i="2"/>
  <c r="L98" i="2"/>
  <c r="O98" i="2" s="1"/>
  <c r="L97" i="2"/>
  <c r="L96" i="2"/>
  <c r="P96" i="2" s="1"/>
  <c r="L94" i="2"/>
  <c r="P94" i="2" s="1"/>
  <c r="L92" i="2"/>
  <c r="P92" i="2" s="1"/>
  <c r="L90" i="2"/>
  <c r="O90" i="2" s="1"/>
  <c r="R90" i="2" s="1"/>
  <c r="L88" i="2"/>
  <c r="P88" i="2" s="1"/>
  <c r="L86" i="2"/>
  <c r="P86" i="2" s="1"/>
  <c r="L84" i="2"/>
  <c r="O84" i="2" s="1"/>
  <c r="L83" i="2"/>
  <c r="P83" i="2" s="1"/>
  <c r="L82" i="2"/>
  <c r="L81" i="2"/>
  <c r="O81" i="2" s="1"/>
  <c r="L80" i="2"/>
  <c r="P80" i="2" s="1"/>
  <c r="L79" i="2"/>
  <c r="O79" i="2" s="1"/>
  <c r="R79" i="2" s="1"/>
  <c r="L78" i="2"/>
  <c r="P78" i="2" s="1"/>
  <c r="L77" i="2"/>
  <c r="O77" i="2" s="1"/>
  <c r="L76" i="2"/>
  <c r="P76" i="2" s="1"/>
  <c r="L75" i="2"/>
  <c r="O75" i="2" s="1"/>
  <c r="R75" i="2" s="1"/>
  <c r="L74" i="2"/>
  <c r="P74" i="2" s="1"/>
  <c r="L73" i="2"/>
  <c r="O73" i="2" s="1"/>
  <c r="R73" i="2" s="1"/>
  <c r="L72" i="2"/>
  <c r="O72" i="2" s="1"/>
  <c r="R72" i="2" s="1"/>
  <c r="L71" i="2"/>
  <c r="O71" i="2" s="1"/>
  <c r="L70" i="2"/>
  <c r="O70" i="2" s="1"/>
  <c r="L69" i="2"/>
  <c r="P69" i="2" s="1"/>
  <c r="L68" i="2"/>
  <c r="L67" i="2"/>
  <c r="L66" i="2"/>
  <c r="P66" i="2" s="1"/>
  <c r="L65" i="2"/>
  <c r="P65" i="2" s="1"/>
  <c r="L63" i="2"/>
  <c r="O63" i="2" s="1"/>
  <c r="L62" i="2"/>
  <c r="O62" i="2" s="1"/>
  <c r="R62" i="2" s="1"/>
  <c r="L61" i="2"/>
  <c r="O61" i="2" s="1"/>
  <c r="L59" i="2"/>
  <c r="P59" i="2" s="1"/>
  <c r="L58" i="2"/>
  <c r="P58" i="2" s="1"/>
  <c r="P60" i="2" s="1"/>
  <c r="L56" i="2"/>
  <c r="O56" i="2" s="1"/>
  <c r="L54" i="2"/>
  <c r="P54" i="2" s="1"/>
  <c r="L53" i="2"/>
  <c r="P53" i="2" s="1"/>
  <c r="L52" i="2"/>
  <c r="P52" i="2" s="1"/>
  <c r="L50" i="2"/>
  <c r="O50" i="2" s="1"/>
  <c r="L49" i="2"/>
  <c r="L48" i="2"/>
  <c r="O48" i="2" s="1"/>
  <c r="L46" i="2"/>
  <c r="L45" i="2"/>
  <c r="P45" i="2" s="1"/>
  <c r="L44" i="2"/>
  <c r="P44" i="2" s="1"/>
  <c r="L43" i="2"/>
  <c r="P43" i="2" s="1"/>
  <c r="L42" i="2"/>
  <c r="O42" i="2" s="1"/>
  <c r="L41" i="2"/>
  <c r="P41" i="2" s="1"/>
  <c r="L40" i="2"/>
  <c r="P40" i="2" s="1"/>
  <c r="L39" i="2"/>
  <c r="P39" i="2" s="1"/>
  <c r="L38" i="2"/>
  <c r="P38" i="2" s="1"/>
  <c r="L37" i="2"/>
  <c r="P37" i="2" s="1"/>
  <c r="L36" i="2"/>
  <c r="P36" i="2" s="1"/>
  <c r="L35" i="2"/>
  <c r="P35" i="2" s="1"/>
  <c r="L34" i="2"/>
  <c r="P34" i="2" s="1"/>
  <c r="L33" i="2"/>
  <c r="O33" i="2" s="1"/>
  <c r="L32" i="2"/>
  <c r="P32" i="2" s="1"/>
  <c r="L31" i="2"/>
  <c r="P31" i="2" s="1"/>
  <c r="L30" i="2"/>
  <c r="O30" i="2" s="1"/>
  <c r="L29" i="2"/>
  <c r="P29" i="2" s="1"/>
  <c r="L28" i="2"/>
  <c r="P28" i="2" s="1"/>
  <c r="L27" i="2"/>
  <c r="P27" i="2" s="1"/>
  <c r="L26" i="2"/>
  <c r="P26" i="2" s="1"/>
  <c r="L25" i="2"/>
  <c r="O25" i="2" s="1"/>
  <c r="L24" i="2"/>
  <c r="P24" i="2" s="1"/>
  <c r="L23" i="2"/>
  <c r="O23" i="2" s="1"/>
  <c r="L22" i="2"/>
  <c r="P22" i="2" s="1"/>
  <c r="L21" i="2"/>
  <c r="P21" i="2" s="1"/>
  <c r="L20" i="2"/>
  <c r="P20" i="2" s="1"/>
  <c r="L19" i="2"/>
  <c r="P19" i="2" s="1"/>
  <c r="L18" i="2"/>
  <c r="P18" i="2" s="1"/>
  <c r="L17" i="2"/>
  <c r="P17" i="2" s="1"/>
  <c r="L15" i="2"/>
  <c r="P15" i="2" s="1"/>
  <c r="L14" i="2"/>
  <c r="P14" i="2" s="1"/>
  <c r="L13" i="2"/>
  <c r="P13" i="2" s="1"/>
  <c r="L12" i="2"/>
  <c r="P12" i="2" s="1"/>
  <c r="L11" i="2"/>
  <c r="P11" i="2" s="1"/>
  <c r="L9" i="2"/>
  <c r="P9" i="2" s="1"/>
  <c r="L7" i="2"/>
  <c r="P7" i="2" s="1"/>
  <c r="L6" i="2"/>
  <c r="P6" i="2" s="1"/>
  <c r="P8" i="2" s="1"/>
  <c r="L4" i="2"/>
  <c r="O4" i="2" s="1"/>
  <c r="L3" i="2"/>
  <c r="P3" i="2" s="1"/>
  <c r="L2" i="2"/>
  <c r="O2" i="2" s="1"/>
  <c r="P276" i="14" l="1"/>
  <c r="Q410" i="10"/>
  <c r="S410" i="10" s="1"/>
  <c r="R88" i="16"/>
  <c r="T88" i="16" s="1"/>
  <c r="S18" i="16"/>
  <c r="R89" i="16"/>
  <c r="S55" i="16"/>
  <c r="T55" i="16" s="1"/>
  <c r="R16" i="16"/>
  <c r="T16" i="16" s="1"/>
  <c r="R37" i="16"/>
  <c r="T37" i="16" s="1"/>
  <c r="S61" i="16"/>
  <c r="T61" i="16" s="1"/>
  <c r="R81" i="16"/>
  <c r="T81" i="16" s="1"/>
  <c r="R72" i="16"/>
  <c r="T72" i="16" s="1"/>
  <c r="R5" i="16"/>
  <c r="T5" i="16" s="1"/>
  <c r="S4" i="16"/>
  <c r="T4" i="16" s="1"/>
  <c r="S26" i="16"/>
  <c r="T26" i="16" s="1"/>
  <c r="T80" i="16"/>
  <c r="R13" i="16"/>
  <c r="T13" i="16" s="1"/>
  <c r="S64" i="16"/>
  <c r="T64" i="16" s="1"/>
  <c r="S42" i="16"/>
  <c r="T42" i="16" s="1"/>
  <c r="S75" i="16"/>
  <c r="T75" i="16" s="1"/>
  <c r="R67" i="16"/>
  <c r="T67" i="16" s="1"/>
  <c r="T63" i="16"/>
  <c r="T9" i="16"/>
  <c r="S68" i="16"/>
  <c r="T68" i="16" s="1"/>
  <c r="R36" i="16"/>
  <c r="T36" i="16" s="1"/>
  <c r="R38" i="16"/>
  <c r="T38" i="16" s="1"/>
  <c r="R40" i="16"/>
  <c r="S40" i="16"/>
  <c r="S54" i="16"/>
  <c r="R54" i="16"/>
  <c r="R32" i="16"/>
  <c r="S32" i="16"/>
  <c r="S6" i="16"/>
  <c r="R6" i="16"/>
  <c r="T82" i="16"/>
  <c r="S27" i="16"/>
  <c r="R27" i="16"/>
  <c r="R74" i="16"/>
  <c r="S74" i="16"/>
  <c r="R47" i="16"/>
  <c r="S47" i="16"/>
  <c r="R94" i="16"/>
  <c r="S94" i="16"/>
  <c r="R30" i="16"/>
  <c r="S30" i="16"/>
  <c r="S66" i="16"/>
  <c r="R66" i="16"/>
  <c r="S10" i="16"/>
  <c r="T10" i="16" s="1"/>
  <c r="T90" i="16"/>
  <c r="T8" i="16"/>
  <c r="R50" i="16"/>
  <c r="S50" i="16"/>
  <c r="S25" i="16"/>
  <c r="R25" i="16"/>
  <c r="R45" i="16"/>
  <c r="S45" i="16"/>
  <c r="R62" i="16"/>
  <c r="S62" i="16"/>
  <c r="R44" i="16"/>
  <c r="S44" i="16"/>
  <c r="R71" i="16"/>
  <c r="S71" i="16"/>
  <c r="S84" i="16"/>
  <c r="R84" i="16"/>
  <c r="S35" i="16"/>
  <c r="R35" i="16"/>
  <c r="T15" i="16"/>
  <c r="T18" i="16"/>
  <c r="S77" i="16"/>
  <c r="R77" i="16"/>
  <c r="S76" i="16"/>
  <c r="R76" i="16"/>
  <c r="S85" i="16"/>
  <c r="R85" i="16"/>
  <c r="S53" i="16"/>
  <c r="R53" i="16"/>
  <c r="S21" i="16"/>
  <c r="R21" i="16"/>
  <c r="S46" i="16"/>
  <c r="R46" i="16"/>
  <c r="R12" i="16"/>
  <c r="S12" i="16"/>
  <c r="S95" i="16"/>
  <c r="R95" i="16"/>
  <c r="T89" i="16"/>
  <c r="S20" i="16"/>
  <c r="R20" i="16"/>
  <c r="S87" i="16"/>
  <c r="R87" i="16"/>
  <c r="S60" i="16"/>
  <c r="R60" i="16"/>
  <c r="S41" i="16"/>
  <c r="R41" i="16"/>
  <c r="S28" i="16"/>
  <c r="R28" i="16"/>
  <c r="S57" i="16"/>
  <c r="R57" i="16"/>
  <c r="R93" i="16"/>
  <c r="S93" i="16"/>
  <c r="S39" i="16"/>
  <c r="R39" i="16"/>
  <c r="R99" i="16"/>
  <c r="S99" i="16"/>
  <c r="S14" i="16"/>
  <c r="R14" i="16"/>
  <c r="R92" i="16"/>
  <c r="S92" i="16"/>
  <c r="R56" i="16"/>
  <c r="S56" i="16"/>
  <c r="R58" i="16"/>
  <c r="S58" i="16"/>
  <c r="S7" i="16"/>
  <c r="R7" i="16"/>
  <c r="T97" i="16"/>
  <c r="S65" i="16"/>
  <c r="R65" i="16"/>
  <c r="S24" i="16"/>
  <c r="R24" i="16"/>
  <c r="S78" i="16"/>
  <c r="R78" i="16"/>
  <c r="S83" i="16"/>
  <c r="R83" i="16"/>
  <c r="S33" i="16"/>
  <c r="R33" i="16"/>
  <c r="S49" i="16"/>
  <c r="R49" i="16"/>
  <c r="S48" i="16"/>
  <c r="R48" i="16"/>
  <c r="R17" i="16"/>
  <c r="S17" i="16"/>
  <c r="R29" i="16"/>
  <c r="S29" i="16"/>
  <c r="S43" i="16"/>
  <c r="R43" i="16"/>
  <c r="S96" i="16"/>
  <c r="R96" i="16"/>
  <c r="S70" i="16"/>
  <c r="R70" i="16"/>
  <c r="R59" i="16"/>
  <c r="S59" i="16"/>
  <c r="S52" i="16"/>
  <c r="R52" i="16"/>
  <c r="R23" i="16"/>
  <c r="S23" i="16"/>
  <c r="S51" i="16"/>
  <c r="R51" i="16"/>
  <c r="T31" i="16"/>
  <c r="T3" i="16"/>
  <c r="P163" i="14"/>
  <c r="P243" i="14"/>
  <c r="P106" i="13"/>
  <c r="O12" i="13"/>
  <c r="R12" i="13" s="1"/>
  <c r="O92" i="13"/>
  <c r="R92" i="13" s="1"/>
  <c r="P142" i="13"/>
  <c r="O28" i="13"/>
  <c r="R28" i="13" s="1"/>
  <c r="P126" i="12"/>
  <c r="P91" i="12"/>
  <c r="P36" i="12"/>
  <c r="P102" i="12"/>
  <c r="P398" i="10"/>
  <c r="O409" i="10"/>
  <c r="L64" i="2"/>
  <c r="P55" i="2"/>
  <c r="O6" i="5"/>
  <c r="P73" i="15"/>
  <c r="P112" i="15"/>
  <c r="P89" i="15"/>
  <c r="P136" i="15"/>
  <c r="P26" i="15"/>
  <c r="P18" i="15"/>
  <c r="P41" i="15"/>
  <c r="L154" i="15"/>
  <c r="P120" i="15"/>
  <c r="R165" i="14"/>
  <c r="P225" i="14"/>
  <c r="P9" i="14"/>
  <c r="L409" i="14"/>
  <c r="P92" i="14"/>
  <c r="P157" i="14"/>
  <c r="R225" i="14"/>
  <c r="S225" i="14" s="1"/>
  <c r="O403" i="14"/>
  <c r="R403" i="14" s="1"/>
  <c r="P26" i="14"/>
  <c r="O58" i="14"/>
  <c r="Q58" i="14" s="1"/>
  <c r="P182" i="14"/>
  <c r="O273" i="14"/>
  <c r="Q273" i="14" s="1"/>
  <c r="P363" i="14"/>
  <c r="P208" i="14"/>
  <c r="O248" i="14"/>
  <c r="R248" i="14" s="1"/>
  <c r="P152" i="14"/>
  <c r="O181" i="14"/>
  <c r="R181" i="14" s="1"/>
  <c r="Q182" i="14"/>
  <c r="S182" i="14" s="1"/>
  <c r="P387" i="14"/>
  <c r="O75" i="14"/>
  <c r="R75" i="14" s="1"/>
  <c r="O240" i="14"/>
  <c r="R240" i="14" s="1"/>
  <c r="O34" i="14"/>
  <c r="Q34" i="14" s="1"/>
  <c r="O67" i="14"/>
  <c r="R67" i="14" s="1"/>
  <c r="P96" i="14"/>
  <c r="P171" i="14"/>
  <c r="O110" i="14"/>
  <c r="Q110" i="14" s="1"/>
  <c r="O213" i="14"/>
  <c r="Q213" i="14" s="1"/>
  <c r="O54" i="14"/>
  <c r="R54" i="14" s="1"/>
  <c r="P258" i="14"/>
  <c r="P393" i="14"/>
  <c r="O77" i="14"/>
  <c r="R152" i="14"/>
  <c r="S152" i="14" s="1"/>
  <c r="P188" i="14"/>
  <c r="P32" i="14"/>
  <c r="O2" i="14"/>
  <c r="R2" i="14" s="1"/>
  <c r="O395" i="14"/>
  <c r="R395" i="14" s="1"/>
  <c r="P82" i="14"/>
  <c r="O102" i="14"/>
  <c r="R102" i="14" s="1"/>
  <c r="R148" i="14"/>
  <c r="S148" i="14" s="1"/>
  <c r="S276" i="14"/>
  <c r="O69" i="13"/>
  <c r="R69" i="13" s="1"/>
  <c r="O81" i="13"/>
  <c r="R81" i="13" s="1"/>
  <c r="P53" i="13"/>
  <c r="O41" i="13"/>
  <c r="R41" i="13" s="1"/>
  <c r="O89" i="13"/>
  <c r="R89" i="13" s="1"/>
  <c r="O45" i="13"/>
  <c r="R45" i="13" s="1"/>
  <c r="P83" i="13"/>
  <c r="P59" i="13"/>
  <c r="P100" i="13"/>
  <c r="O36" i="13"/>
  <c r="R36" i="13" s="1"/>
  <c r="O65" i="13"/>
  <c r="R65" i="13" s="1"/>
  <c r="P118" i="13"/>
  <c r="O3" i="13"/>
  <c r="R3" i="13" s="1"/>
  <c r="O124" i="13"/>
  <c r="R124" i="13" s="1"/>
  <c r="L155" i="13"/>
  <c r="O136" i="13"/>
  <c r="R136" i="13" s="1"/>
  <c r="L5" i="13"/>
  <c r="O39" i="13"/>
  <c r="R39" i="13" s="1"/>
  <c r="P71" i="13"/>
  <c r="O130" i="13"/>
  <c r="R130" i="13" s="1"/>
  <c r="P24" i="13"/>
  <c r="P112" i="13"/>
  <c r="P140" i="13"/>
  <c r="O146" i="13"/>
  <c r="R146" i="13" s="1"/>
  <c r="O6" i="13"/>
  <c r="O30" i="13"/>
  <c r="R30" i="13" s="1"/>
  <c r="P6" i="13"/>
  <c r="O10" i="13"/>
  <c r="R10" i="13" s="1"/>
  <c r="O18" i="13"/>
  <c r="R18" i="13" s="1"/>
  <c r="O34" i="13"/>
  <c r="R34" i="13" s="1"/>
  <c r="P141" i="13"/>
  <c r="O22" i="13"/>
  <c r="R22" i="13" s="1"/>
  <c r="P151" i="13"/>
  <c r="O47" i="13"/>
  <c r="R47" i="13" s="1"/>
  <c r="O87" i="13"/>
  <c r="R87" i="13" s="1"/>
  <c r="O16" i="13"/>
  <c r="R16" i="13" s="1"/>
  <c r="P94" i="13"/>
  <c r="O145" i="13"/>
  <c r="O63" i="13"/>
  <c r="R63" i="13" s="1"/>
  <c r="O51" i="13"/>
  <c r="R51" i="13" s="1"/>
  <c r="O75" i="13"/>
  <c r="R75" i="13" s="1"/>
  <c r="O98" i="13"/>
  <c r="R98" i="13" s="1"/>
  <c r="P170" i="12"/>
  <c r="P354" i="12"/>
  <c r="P85" i="12"/>
  <c r="P86" i="12"/>
  <c r="P336" i="12"/>
  <c r="Q280" i="12"/>
  <c r="S280" i="12" s="1"/>
  <c r="P150" i="12"/>
  <c r="P195" i="12"/>
  <c r="P121" i="12"/>
  <c r="P131" i="12"/>
  <c r="P270" i="12"/>
  <c r="P62" i="12"/>
  <c r="R329" i="12"/>
  <c r="P24" i="12"/>
  <c r="O58" i="12"/>
  <c r="R58" i="12" s="1"/>
  <c r="Q121" i="12"/>
  <c r="R121" i="12"/>
  <c r="P95" i="12"/>
  <c r="O283" i="12"/>
  <c r="Q283" i="12" s="1"/>
  <c r="P329" i="12"/>
  <c r="P69" i="12"/>
  <c r="P97" i="12"/>
  <c r="P132" i="12"/>
  <c r="P246" i="12"/>
  <c r="Q341" i="12"/>
  <c r="O120" i="12"/>
  <c r="Q120" i="12" s="1"/>
  <c r="P144" i="12"/>
  <c r="O216" i="12"/>
  <c r="R246" i="12"/>
  <c r="S246" i="12" s="1"/>
  <c r="R407" i="12"/>
  <c r="S407" i="12" s="1"/>
  <c r="O79" i="12"/>
  <c r="Q79" i="12" s="1"/>
  <c r="P182" i="12"/>
  <c r="O222" i="12"/>
  <c r="Q222" i="12" s="1"/>
  <c r="L410" i="12"/>
  <c r="P50" i="12"/>
  <c r="P370" i="12"/>
  <c r="O90" i="12"/>
  <c r="Q151" i="12"/>
  <c r="S151" i="12" s="1"/>
  <c r="L13" i="12"/>
  <c r="P191" i="12"/>
  <c r="P124" i="12"/>
  <c r="P151" i="12"/>
  <c r="P341" i="12"/>
  <c r="P54" i="12"/>
  <c r="P154" i="12"/>
  <c r="Q271" i="12"/>
  <c r="S271" i="12" s="1"/>
  <c r="P366" i="12"/>
  <c r="P7" i="12"/>
  <c r="P143" i="12"/>
  <c r="Q366" i="12"/>
  <c r="S366" i="12" s="1"/>
  <c r="O65" i="12"/>
  <c r="Q65" i="12" s="1"/>
  <c r="P114" i="12"/>
  <c r="P129" i="12"/>
  <c r="P148" i="12"/>
  <c r="R304" i="12"/>
  <c r="S304" i="12" s="1"/>
  <c r="L156" i="11"/>
  <c r="L66" i="11"/>
  <c r="L5" i="11"/>
  <c r="L7" i="10"/>
  <c r="O329" i="10"/>
  <c r="Q329" i="10" s="1"/>
  <c r="P410" i="10"/>
  <c r="L412" i="10"/>
  <c r="R121" i="10"/>
  <c r="S121" i="10" s="1"/>
  <c r="L137" i="10"/>
  <c r="L14" i="10"/>
  <c r="O101" i="10"/>
  <c r="R101" i="10" s="1"/>
  <c r="O109" i="10"/>
  <c r="Q109" i="10" s="1"/>
  <c r="R50" i="9"/>
  <c r="O87" i="9"/>
  <c r="R87" i="9" s="1"/>
  <c r="L75" i="9"/>
  <c r="O49" i="9"/>
  <c r="R49" i="9" s="1"/>
  <c r="L4" i="9"/>
  <c r="O100" i="9"/>
  <c r="R100" i="9" s="1"/>
  <c r="O95" i="9"/>
  <c r="R95" i="9" s="1"/>
  <c r="R127" i="9"/>
  <c r="S127" i="9" s="1"/>
  <c r="O15" i="9"/>
  <c r="R15" i="9" s="1"/>
  <c r="P50" i="9"/>
  <c r="L160" i="9"/>
  <c r="R148" i="9"/>
  <c r="S148" i="9" s="1"/>
  <c r="L47" i="9"/>
  <c r="L68" i="9"/>
  <c r="O93" i="9"/>
  <c r="R93" i="9" s="1"/>
  <c r="L137" i="9"/>
  <c r="L416" i="8"/>
  <c r="R242" i="8"/>
  <c r="L149" i="8"/>
  <c r="L139" i="8"/>
  <c r="L15" i="8"/>
  <c r="L8" i="8"/>
  <c r="L80" i="8"/>
  <c r="P53" i="8"/>
  <c r="L5" i="8"/>
  <c r="L278" i="8"/>
  <c r="L48" i="7"/>
  <c r="L163" i="7"/>
  <c r="L77" i="7"/>
  <c r="L140" i="7"/>
  <c r="L33" i="7"/>
  <c r="L70" i="7"/>
  <c r="L98" i="7"/>
  <c r="L4" i="7"/>
  <c r="L55" i="7"/>
  <c r="L15" i="6"/>
  <c r="L151" i="6"/>
  <c r="L5" i="6"/>
  <c r="L141" i="6"/>
  <c r="L93" i="6"/>
  <c r="L420" i="6"/>
  <c r="L8" i="6"/>
  <c r="L81" i="6"/>
  <c r="L391" i="6"/>
  <c r="L194" i="6"/>
  <c r="R398" i="6"/>
  <c r="S398" i="6" s="1"/>
  <c r="L53" i="6"/>
  <c r="L281" i="6"/>
  <c r="L114" i="3"/>
  <c r="L4" i="3"/>
  <c r="L104" i="3"/>
  <c r="L52" i="3"/>
  <c r="L83" i="3"/>
  <c r="L77" i="3"/>
  <c r="L125" i="3"/>
  <c r="L42" i="3"/>
  <c r="L178" i="3"/>
  <c r="L109" i="3"/>
  <c r="L87" i="3"/>
  <c r="L154" i="3"/>
  <c r="L28" i="3"/>
  <c r="L135" i="3"/>
  <c r="L8" i="2"/>
  <c r="P16" i="2"/>
  <c r="L254" i="2"/>
  <c r="O64" i="2"/>
  <c r="L60" i="2"/>
  <c r="L455" i="2"/>
  <c r="L16" i="2"/>
  <c r="L85" i="2"/>
  <c r="L212" i="2"/>
  <c r="L313" i="2"/>
  <c r="L444" i="2"/>
  <c r="L165" i="2"/>
  <c r="L55" i="2"/>
  <c r="L247" i="2"/>
  <c r="L437" i="2"/>
  <c r="L51" i="2"/>
  <c r="L151" i="2"/>
  <c r="L228" i="2"/>
  <c r="L420" i="2"/>
  <c r="L168" i="2"/>
  <c r="L5" i="2"/>
  <c r="L304" i="2"/>
  <c r="L47" i="2"/>
  <c r="L103" i="2"/>
  <c r="L413" i="2"/>
  <c r="O57" i="15"/>
  <c r="R57" i="15" s="1"/>
  <c r="P104" i="15"/>
  <c r="P49" i="15"/>
  <c r="P96" i="15"/>
  <c r="P10" i="15"/>
  <c r="O34" i="15"/>
  <c r="R34" i="15" s="1"/>
  <c r="O81" i="15"/>
  <c r="R81" i="15" s="1"/>
  <c r="O128" i="15"/>
  <c r="R128" i="15" s="1"/>
  <c r="O53" i="15"/>
  <c r="R53" i="15" s="1"/>
  <c r="O108" i="15"/>
  <c r="R108" i="15" s="1"/>
  <c r="P22" i="15"/>
  <c r="P85" i="15"/>
  <c r="O150" i="15"/>
  <c r="R150" i="15" s="1"/>
  <c r="O142" i="15"/>
  <c r="R142" i="15" s="1"/>
  <c r="O69" i="15"/>
  <c r="R69" i="15" s="1"/>
  <c r="P30" i="15"/>
  <c r="P92" i="15"/>
  <c r="P100" i="15"/>
  <c r="P116" i="15"/>
  <c r="O14" i="15"/>
  <c r="R14" i="15" s="1"/>
  <c r="O37" i="15"/>
  <c r="R37" i="15" s="1"/>
  <c r="O77" i="15"/>
  <c r="R77" i="15" s="1"/>
  <c r="O132" i="15"/>
  <c r="R132" i="15" s="1"/>
  <c r="P45" i="15"/>
  <c r="P124" i="15"/>
  <c r="P61" i="15"/>
  <c r="O4" i="15"/>
  <c r="R4" i="15" s="1"/>
  <c r="P140" i="15"/>
  <c r="P6" i="15"/>
  <c r="P3" i="15"/>
  <c r="P162" i="14"/>
  <c r="Q270" i="14"/>
  <c r="S270" i="14" s="1"/>
  <c r="O379" i="14"/>
  <c r="R379" i="14" s="1"/>
  <c r="P228" i="14"/>
  <c r="O12" i="14"/>
  <c r="P64" i="14"/>
  <c r="O91" i="14"/>
  <c r="R91" i="14" s="1"/>
  <c r="O99" i="14"/>
  <c r="Q99" i="14" s="1"/>
  <c r="P179" i="14"/>
  <c r="P185" i="14"/>
  <c r="P203" i="14"/>
  <c r="Q228" i="14"/>
  <c r="S228" i="14" s="1"/>
  <c r="R286" i="14"/>
  <c r="O371" i="14"/>
  <c r="R371" i="14" s="1"/>
  <c r="O5" i="14"/>
  <c r="R5" i="14" s="1"/>
  <c r="O56" i="14"/>
  <c r="R56" i="14" s="1"/>
  <c r="Q178" i="14"/>
  <c r="S178" i="14" s="1"/>
  <c r="P72" i="14"/>
  <c r="P246" i="14"/>
  <c r="O6" i="14"/>
  <c r="R6" i="14" s="1"/>
  <c r="O50" i="14"/>
  <c r="R50" i="14" s="1"/>
  <c r="Q130" i="14"/>
  <c r="S130" i="14" s="1"/>
  <c r="R185" i="14"/>
  <c r="S185" i="14" s="1"/>
  <c r="O279" i="14"/>
  <c r="P308" i="14"/>
  <c r="P339" i="14"/>
  <c r="R304" i="14"/>
  <c r="S304" i="14" s="1"/>
  <c r="O227" i="14"/>
  <c r="R227" i="14" s="1"/>
  <c r="O11" i="14"/>
  <c r="R11" i="14" s="1"/>
  <c r="Q210" i="14"/>
  <c r="S210" i="14" s="1"/>
  <c r="O30" i="14"/>
  <c r="R30" i="14" s="1"/>
  <c r="R162" i="14"/>
  <c r="S162" i="14" s="1"/>
  <c r="P254" i="14"/>
  <c r="O145" i="14"/>
  <c r="Q145" i="14" s="1"/>
  <c r="P270" i="14"/>
  <c r="O36" i="14"/>
  <c r="O78" i="14"/>
  <c r="Q78" i="14" s="1"/>
  <c r="O116" i="14"/>
  <c r="R116" i="14" s="1"/>
  <c r="P253" i="14"/>
  <c r="P314" i="14"/>
  <c r="P137" i="14"/>
  <c r="Q136" i="14"/>
  <c r="S136" i="14" s="1"/>
  <c r="P357" i="14"/>
  <c r="Q186" i="14"/>
  <c r="S186" i="14" s="1"/>
  <c r="Q196" i="14"/>
  <c r="S196" i="14" s="1"/>
  <c r="P310" i="14"/>
  <c r="R137" i="14"/>
  <c r="S137" i="14" s="1"/>
  <c r="O60" i="14"/>
  <c r="P165" i="14"/>
  <c r="O269" i="14"/>
  <c r="P275" i="14"/>
  <c r="P302" i="14"/>
  <c r="P127" i="14"/>
  <c r="P178" i="14"/>
  <c r="P210" i="14"/>
  <c r="O262" i="14"/>
  <c r="Q262" i="14" s="1"/>
  <c r="P237" i="14"/>
  <c r="P286" i="14"/>
  <c r="O108" i="14"/>
  <c r="R108" i="14" s="1"/>
  <c r="P147" i="14"/>
  <c r="Q220" i="14"/>
  <c r="S220" i="14" s="1"/>
  <c r="Q203" i="14"/>
  <c r="R203" i="14"/>
  <c r="S203" i="14" s="1"/>
  <c r="R92" i="14"/>
  <c r="Q92" i="14"/>
  <c r="Q329" i="14"/>
  <c r="R329" i="14"/>
  <c r="R135" i="14"/>
  <c r="Q135" i="14"/>
  <c r="R139" i="14"/>
  <c r="Q139" i="14"/>
  <c r="Q357" i="14"/>
  <c r="R357" i="14"/>
  <c r="R4" i="14"/>
  <c r="Q4" i="14"/>
  <c r="Q127" i="14"/>
  <c r="R127" i="14"/>
  <c r="R244" i="14"/>
  <c r="Q244" i="14"/>
  <c r="R258" i="14"/>
  <c r="Q258" i="14"/>
  <c r="O42" i="14"/>
  <c r="P259" i="14"/>
  <c r="P343" i="14"/>
  <c r="P22" i="14"/>
  <c r="O255" i="14"/>
  <c r="P28" i="14"/>
  <c r="O18" i="14"/>
  <c r="O52" i="14"/>
  <c r="R52" i="14" s="1"/>
  <c r="R163" i="14"/>
  <c r="S163" i="14" s="1"/>
  <c r="O187" i="14"/>
  <c r="Q26" i="14"/>
  <c r="P141" i="14"/>
  <c r="P148" i="14"/>
  <c r="P158" i="14"/>
  <c r="P190" i="14"/>
  <c r="P196" i="14"/>
  <c r="P220" i="14"/>
  <c r="S286" i="14"/>
  <c r="P296" i="14"/>
  <c r="R310" i="14"/>
  <c r="S310" i="14" s="1"/>
  <c r="R333" i="14"/>
  <c r="S333" i="14" s="1"/>
  <c r="O46" i="14"/>
  <c r="R46" i="14" s="1"/>
  <c r="O191" i="14"/>
  <c r="R191" i="14" s="1"/>
  <c r="P3" i="14"/>
  <c r="Q32" i="14"/>
  <c r="S32" i="14" s="1"/>
  <c r="O68" i="14"/>
  <c r="P153" i="14"/>
  <c r="O335" i="14"/>
  <c r="R335" i="14" s="1"/>
  <c r="Q180" i="14"/>
  <c r="S180" i="14" s="1"/>
  <c r="O239" i="14"/>
  <c r="Q239" i="14" s="1"/>
  <c r="R298" i="14"/>
  <c r="S298" i="14" s="1"/>
  <c r="P329" i="14"/>
  <c r="P367" i="14"/>
  <c r="P10" i="14"/>
  <c r="O93" i="14"/>
  <c r="P139" i="14"/>
  <c r="P4" i="14"/>
  <c r="P7" i="14"/>
  <c r="O24" i="14"/>
  <c r="R24" i="14" s="1"/>
  <c r="O48" i="14"/>
  <c r="Q48" i="14" s="1"/>
  <c r="P80" i="14"/>
  <c r="P124" i="14"/>
  <c r="R128" i="14"/>
  <c r="S128" i="14" s="1"/>
  <c r="P135" i="14"/>
  <c r="O151" i="14"/>
  <c r="P161" i="14"/>
  <c r="Q164" i="14"/>
  <c r="S164" i="14" s="1"/>
  <c r="P170" i="14"/>
  <c r="Q176" i="14"/>
  <c r="S176" i="14" s="1"/>
  <c r="Q192" i="14"/>
  <c r="S192" i="14" s="1"/>
  <c r="Q199" i="14"/>
  <c r="S199" i="14" s="1"/>
  <c r="R211" i="14"/>
  <c r="S211" i="14" s="1"/>
  <c r="P234" i="14"/>
  <c r="P260" i="14"/>
  <c r="O267" i="14"/>
  <c r="Q267" i="14" s="1"/>
  <c r="P278" i="14"/>
  <c r="R283" i="14"/>
  <c r="S283" i="14" s="1"/>
  <c r="P359" i="14"/>
  <c r="P383" i="14"/>
  <c r="O391" i="14"/>
  <c r="Q391" i="14" s="1"/>
  <c r="P319" i="14"/>
  <c r="R312" i="14"/>
  <c r="S312" i="14" s="1"/>
  <c r="O353" i="14"/>
  <c r="P74" i="14"/>
  <c r="R144" i="14"/>
  <c r="S144" i="14" s="1"/>
  <c r="P211" i="14"/>
  <c r="P290" i="14"/>
  <c r="Q124" i="14"/>
  <c r="S124" i="14" s="1"/>
  <c r="Q161" i="14"/>
  <c r="S161" i="14" s="1"/>
  <c r="Q170" i="14"/>
  <c r="S170" i="14" s="1"/>
  <c r="Q234" i="14"/>
  <c r="S234" i="14" s="1"/>
  <c r="Q278" i="14"/>
  <c r="S278" i="14" s="1"/>
  <c r="O399" i="14"/>
  <c r="Q399" i="14" s="1"/>
  <c r="O407" i="14"/>
  <c r="R407" i="14" s="1"/>
  <c r="O159" i="14"/>
  <c r="R159" i="14" s="1"/>
  <c r="O14" i="14"/>
  <c r="R14" i="14" s="1"/>
  <c r="P169" i="14"/>
  <c r="P38" i="14"/>
  <c r="P98" i="14"/>
  <c r="Q154" i="14"/>
  <c r="S154" i="14" s="1"/>
  <c r="P176" i="14"/>
  <c r="P192" i="14"/>
  <c r="Q222" i="14"/>
  <c r="S222" i="14" s="1"/>
  <c r="O8" i="14"/>
  <c r="O16" i="14"/>
  <c r="O20" i="14"/>
  <c r="O40" i="14"/>
  <c r="O44" i="14"/>
  <c r="O69" i="14"/>
  <c r="O81" i="14"/>
  <c r="R81" i="14" s="1"/>
  <c r="P90" i="14"/>
  <c r="P94" i="14"/>
  <c r="Q129" i="14"/>
  <c r="S129" i="14" s="1"/>
  <c r="P140" i="14"/>
  <c r="Q188" i="14"/>
  <c r="S188" i="14" s="1"/>
  <c r="P207" i="14"/>
  <c r="P219" i="14"/>
  <c r="P223" i="14"/>
  <c r="O261" i="14"/>
  <c r="R261" i="14" s="1"/>
  <c r="O301" i="14"/>
  <c r="Q301" i="14" s="1"/>
  <c r="P323" i="14"/>
  <c r="O347" i="14"/>
  <c r="Q347" i="14" s="1"/>
  <c r="P377" i="14"/>
  <c r="O85" i="14"/>
  <c r="Q85" i="14" s="1"/>
  <c r="O112" i="14"/>
  <c r="R112" i="14" s="1"/>
  <c r="P174" i="14"/>
  <c r="P281" i="14"/>
  <c r="P215" i="14"/>
  <c r="R259" i="14"/>
  <c r="S259" i="14" s="1"/>
  <c r="R319" i="14"/>
  <c r="S319" i="14" s="1"/>
  <c r="O62" i="14"/>
  <c r="Q62" i="14" s="1"/>
  <c r="P128" i="14"/>
  <c r="P144" i="14"/>
  <c r="Q204" i="14"/>
  <c r="S204" i="14" s="1"/>
  <c r="P226" i="14"/>
  <c r="R306" i="14"/>
  <c r="S306" i="14" s="1"/>
  <c r="O375" i="14"/>
  <c r="P244" i="14"/>
  <c r="P345" i="14"/>
  <c r="Q94" i="14"/>
  <c r="S94" i="14" s="1"/>
  <c r="Q140" i="14"/>
  <c r="S140" i="14" s="1"/>
  <c r="R219" i="14"/>
  <c r="S219" i="14" s="1"/>
  <c r="Q223" i="14"/>
  <c r="S223" i="14" s="1"/>
  <c r="P309" i="14"/>
  <c r="P315" i="14"/>
  <c r="O355" i="14"/>
  <c r="Q355" i="14" s="1"/>
  <c r="P385" i="14"/>
  <c r="P180" i="14"/>
  <c r="P298" i="14"/>
  <c r="P222" i="14"/>
  <c r="P164" i="14"/>
  <c r="R183" i="14"/>
  <c r="S183" i="14" s="1"/>
  <c r="P199" i="14"/>
  <c r="Q226" i="14"/>
  <c r="S226" i="14" s="1"/>
  <c r="P283" i="14"/>
  <c r="O313" i="14"/>
  <c r="Q313" i="14" s="1"/>
  <c r="R367" i="14"/>
  <c r="S367" i="14" s="1"/>
  <c r="S26" i="14"/>
  <c r="R148" i="15"/>
  <c r="Q148" i="15"/>
  <c r="R140" i="15"/>
  <c r="Q140" i="15"/>
  <c r="R32" i="15"/>
  <c r="Q32" i="15"/>
  <c r="R12" i="15"/>
  <c r="Q12" i="15"/>
  <c r="R51" i="15"/>
  <c r="Q51" i="15"/>
  <c r="R75" i="15"/>
  <c r="Q75" i="15"/>
  <c r="R106" i="15"/>
  <c r="Q106" i="15"/>
  <c r="R130" i="15"/>
  <c r="Q130" i="15"/>
  <c r="R138" i="15"/>
  <c r="Q138" i="15"/>
  <c r="O152" i="15"/>
  <c r="O24" i="15"/>
  <c r="O39" i="15"/>
  <c r="O55" i="15"/>
  <c r="O71" i="15"/>
  <c r="O114" i="15"/>
  <c r="P138" i="15"/>
  <c r="Q6" i="15"/>
  <c r="S6" i="15" s="1"/>
  <c r="Q10" i="15"/>
  <c r="S10" i="15" s="1"/>
  <c r="Q18" i="15"/>
  <c r="S18" i="15" s="1"/>
  <c r="Q22" i="15"/>
  <c r="S22" i="15" s="1"/>
  <c r="Q26" i="15"/>
  <c r="S26" i="15" s="1"/>
  <c r="Q30" i="15"/>
  <c r="S30" i="15" s="1"/>
  <c r="Q37" i="15"/>
  <c r="S37" i="15" s="1"/>
  <c r="Q41" i="15"/>
  <c r="S41" i="15" s="1"/>
  <c r="Q45" i="15"/>
  <c r="S45" i="15" s="1"/>
  <c r="Q49" i="15"/>
  <c r="S49" i="15" s="1"/>
  <c r="Q61" i="15"/>
  <c r="S61" i="15" s="1"/>
  <c r="Q65" i="15"/>
  <c r="S65" i="15" s="1"/>
  <c r="Q69" i="15"/>
  <c r="S69" i="15" s="1"/>
  <c r="Q73" i="15"/>
  <c r="S73" i="15" s="1"/>
  <c r="Q85" i="15"/>
  <c r="S85" i="15" s="1"/>
  <c r="Q89" i="15"/>
  <c r="S89" i="15" s="1"/>
  <c r="Q92" i="15"/>
  <c r="S92" i="15" s="1"/>
  <c r="Q96" i="15"/>
  <c r="S96" i="15" s="1"/>
  <c r="Q100" i="15"/>
  <c r="S100" i="15" s="1"/>
  <c r="Q104" i="15"/>
  <c r="S104" i="15" s="1"/>
  <c r="Q112" i="15"/>
  <c r="S112" i="15" s="1"/>
  <c r="Q116" i="15"/>
  <c r="S116" i="15" s="1"/>
  <c r="Q120" i="15"/>
  <c r="S120" i="15" s="1"/>
  <c r="Q124" i="15"/>
  <c r="S124" i="15" s="1"/>
  <c r="Q128" i="15"/>
  <c r="S128" i="15" s="1"/>
  <c r="Q136" i="15"/>
  <c r="S136" i="15" s="1"/>
  <c r="O146" i="15"/>
  <c r="O2" i="15"/>
  <c r="O16" i="15"/>
  <c r="O36" i="15"/>
  <c r="O47" i="15"/>
  <c r="O67" i="15"/>
  <c r="O83" i="15"/>
  <c r="O102" i="15"/>
  <c r="O118" i="15"/>
  <c r="O20" i="15"/>
  <c r="O59" i="15"/>
  <c r="O94" i="15"/>
  <c r="P130" i="15"/>
  <c r="P148" i="15"/>
  <c r="R3" i="15"/>
  <c r="S3" i="15" s="1"/>
  <c r="O144" i="15"/>
  <c r="O126" i="15"/>
  <c r="O8" i="15"/>
  <c r="O28" i="15"/>
  <c r="O43" i="15"/>
  <c r="O63" i="15"/>
  <c r="O79" i="15"/>
  <c r="O87" i="15"/>
  <c r="O98" i="15"/>
  <c r="O110" i="15"/>
  <c r="O122" i="15"/>
  <c r="O134" i="15"/>
  <c r="P12" i="15"/>
  <c r="P32" i="15"/>
  <c r="P51" i="15"/>
  <c r="P75" i="15"/>
  <c r="P106" i="15"/>
  <c r="O5" i="15"/>
  <c r="O7" i="15"/>
  <c r="O9" i="15"/>
  <c r="O11" i="15"/>
  <c r="O13" i="15"/>
  <c r="O15" i="15"/>
  <c r="O17" i="15"/>
  <c r="O19" i="15"/>
  <c r="O21" i="15"/>
  <c r="O23" i="15"/>
  <c r="O25" i="15"/>
  <c r="O27" i="15"/>
  <c r="O29" i="15"/>
  <c r="O31" i="15"/>
  <c r="O33" i="15"/>
  <c r="O35" i="15"/>
  <c r="O38" i="15"/>
  <c r="O40" i="15"/>
  <c r="O42" i="15"/>
  <c r="O44" i="15"/>
  <c r="O46" i="15"/>
  <c r="O48" i="15"/>
  <c r="O50" i="15"/>
  <c r="O52" i="15"/>
  <c r="O54" i="15"/>
  <c r="O56" i="15"/>
  <c r="O58" i="15"/>
  <c r="O60" i="15"/>
  <c r="O62" i="15"/>
  <c r="O64" i="15"/>
  <c r="O66" i="15"/>
  <c r="O68" i="15"/>
  <c r="O70" i="15"/>
  <c r="O72" i="15"/>
  <c r="O74" i="15"/>
  <c r="O76" i="15"/>
  <c r="O78" i="15"/>
  <c r="O80" i="15"/>
  <c r="O82" i="15"/>
  <c r="O84" i="15"/>
  <c r="O86" i="15"/>
  <c r="O88" i="15"/>
  <c r="O90" i="15"/>
  <c r="O91" i="15"/>
  <c r="O93" i="15"/>
  <c r="O95" i="15"/>
  <c r="O97" i="15"/>
  <c r="O99" i="15"/>
  <c r="O101" i="15"/>
  <c r="O103" i="15"/>
  <c r="O105" i="15"/>
  <c r="O107" i="15"/>
  <c r="O109" i="15"/>
  <c r="O111" i="15"/>
  <c r="O113" i="15"/>
  <c r="O115" i="15"/>
  <c r="O117" i="15"/>
  <c r="O119" i="15"/>
  <c r="O121" i="15"/>
  <c r="O123" i="15"/>
  <c r="O125" i="15"/>
  <c r="O127" i="15"/>
  <c r="O129" i="15"/>
  <c r="O131" i="15"/>
  <c r="O133" i="15"/>
  <c r="O135" i="15"/>
  <c r="O137" i="15"/>
  <c r="O139" i="15"/>
  <c r="O141" i="15"/>
  <c r="O143" i="15"/>
  <c r="O145" i="15"/>
  <c r="O147" i="15"/>
  <c r="O149" i="15"/>
  <c r="O151" i="15"/>
  <c r="O153" i="15"/>
  <c r="R64" i="14"/>
  <c r="Q64" i="14"/>
  <c r="R90" i="14"/>
  <c r="Q90" i="14"/>
  <c r="P13" i="14"/>
  <c r="O13" i="14"/>
  <c r="R246" i="14"/>
  <c r="Q246" i="14"/>
  <c r="P33" i="14"/>
  <c r="O33" i="14"/>
  <c r="P57" i="14"/>
  <c r="O57" i="14"/>
  <c r="R205" i="14"/>
  <c r="Q205" i="14"/>
  <c r="O337" i="14"/>
  <c r="P337" i="14"/>
  <c r="P23" i="14"/>
  <c r="O23" i="14"/>
  <c r="P47" i="14"/>
  <c r="O47" i="14"/>
  <c r="O79" i="14"/>
  <c r="R82" i="14"/>
  <c r="Q82" i="14"/>
  <c r="O86" i="14"/>
  <c r="P97" i="14"/>
  <c r="O97" i="14"/>
  <c r="P119" i="14"/>
  <c r="O119" i="14"/>
  <c r="O200" i="14"/>
  <c r="P200" i="14"/>
  <c r="P205" i="14"/>
  <c r="R215" i="14"/>
  <c r="Q215" i="14"/>
  <c r="S215" i="14" s="1"/>
  <c r="P271" i="14"/>
  <c r="O271" i="14"/>
  <c r="O230" i="14"/>
  <c r="P230" i="14"/>
  <c r="O106" i="14"/>
  <c r="O149" i="14"/>
  <c r="P177" i="14"/>
  <c r="O177" i="14"/>
  <c r="P201" i="14"/>
  <c r="O201" i="14"/>
  <c r="P17" i="14"/>
  <c r="O17" i="14"/>
  <c r="P361" i="14"/>
  <c r="O361" i="14"/>
  <c r="P242" i="14"/>
  <c r="Q10" i="14"/>
  <c r="S10" i="14" s="1"/>
  <c r="P21" i="14"/>
  <c r="O21" i="14"/>
  <c r="Q38" i="14"/>
  <c r="S38" i="14" s="1"/>
  <c r="P45" i="14"/>
  <c r="O45" i="14"/>
  <c r="O66" i="14"/>
  <c r="R72" i="14"/>
  <c r="S72" i="14" s="1"/>
  <c r="O88" i="14"/>
  <c r="O122" i="14"/>
  <c r="P122" i="14"/>
  <c r="O126" i="14"/>
  <c r="P126" i="14"/>
  <c r="P134" i="14"/>
  <c r="O138" i="14"/>
  <c r="P138" i="14"/>
  <c r="O142" i="14"/>
  <c r="P142" i="14"/>
  <c r="Q146" i="14"/>
  <c r="S146" i="14" s="1"/>
  <c r="R158" i="14"/>
  <c r="Q158" i="14"/>
  <c r="P197" i="14"/>
  <c r="O212" i="14"/>
  <c r="P212" i="14"/>
  <c r="P61" i="14"/>
  <c r="O61" i="14"/>
  <c r="P114" i="14"/>
  <c r="O114" i="14"/>
  <c r="R231" i="14"/>
  <c r="Q231" i="14"/>
  <c r="R98" i="14"/>
  <c r="S98" i="14" s="1"/>
  <c r="O120" i="14"/>
  <c r="P120" i="14"/>
  <c r="P125" i="14"/>
  <c r="R157" i="14"/>
  <c r="S157" i="14" s="1"/>
  <c r="P231" i="14"/>
  <c r="Q242" i="14"/>
  <c r="R242" i="14"/>
  <c r="P31" i="14"/>
  <c r="O31" i="14"/>
  <c r="P55" i="14"/>
  <c r="O55" i="14"/>
  <c r="P111" i="14"/>
  <c r="O111" i="14"/>
  <c r="Q125" i="14"/>
  <c r="S125" i="14" s="1"/>
  <c r="R134" i="14"/>
  <c r="Q134" i="14"/>
  <c r="P146" i="14"/>
  <c r="O173" i="14"/>
  <c r="O202" i="14"/>
  <c r="P202" i="14"/>
  <c r="O247" i="14"/>
  <c r="P247" i="14"/>
  <c r="Q28" i="14"/>
  <c r="S28" i="14" s="1"/>
  <c r="P35" i="14"/>
  <c r="O35" i="14"/>
  <c r="P59" i="14"/>
  <c r="O59" i="14"/>
  <c r="P84" i="14"/>
  <c r="O84" i="14"/>
  <c r="S165" i="14"/>
  <c r="R179" i="14"/>
  <c r="Q179" i="14"/>
  <c r="Q197" i="14"/>
  <c r="S197" i="14" s="1"/>
  <c r="Q243" i="14"/>
  <c r="R243" i="14"/>
  <c r="P245" i="14"/>
  <c r="O245" i="14"/>
  <c r="P27" i="14"/>
  <c r="O27" i="14"/>
  <c r="P83" i="14"/>
  <c r="O83" i="14"/>
  <c r="P41" i="14"/>
  <c r="O41" i="14"/>
  <c r="P25" i="14"/>
  <c r="O25" i="14"/>
  <c r="P49" i="14"/>
  <c r="O49" i="14"/>
  <c r="P73" i="14"/>
  <c r="O73" i="14"/>
  <c r="R147" i="14"/>
  <c r="Q147" i="14"/>
  <c r="P285" i="14"/>
  <c r="O285" i="14"/>
  <c r="O288" i="14"/>
  <c r="P288" i="14"/>
  <c r="P51" i="14"/>
  <c r="O51" i="14"/>
  <c r="P289" i="14"/>
  <c r="O289" i="14"/>
  <c r="P15" i="14"/>
  <c r="O15" i="14"/>
  <c r="P39" i="14"/>
  <c r="O39" i="14"/>
  <c r="P70" i="14"/>
  <c r="P143" i="14"/>
  <c r="O143" i="14"/>
  <c r="O209" i="14"/>
  <c r="O373" i="14"/>
  <c r="P373" i="14"/>
  <c r="P37" i="14"/>
  <c r="O37" i="14"/>
  <c r="O216" i="14"/>
  <c r="P216" i="14"/>
  <c r="O251" i="14"/>
  <c r="P251" i="14"/>
  <c r="Q22" i="14"/>
  <c r="S22" i="14" s="1"/>
  <c r="P29" i="14"/>
  <c r="O29" i="14"/>
  <c r="P53" i="14"/>
  <c r="O53" i="14"/>
  <c r="Q70" i="14"/>
  <c r="S70" i="14" s="1"/>
  <c r="Q96" i="14"/>
  <c r="S96" i="14" s="1"/>
  <c r="P104" i="14"/>
  <c r="O104" i="14"/>
  <c r="O123" i="14"/>
  <c r="O166" i="14"/>
  <c r="P166" i="14"/>
  <c r="R254" i="14"/>
  <c r="S254" i="14" s="1"/>
  <c r="P19" i="14"/>
  <c r="O19" i="14"/>
  <c r="P43" i="14"/>
  <c r="O43" i="14"/>
  <c r="R74" i="14"/>
  <c r="S74" i="14" s="1"/>
  <c r="P101" i="14"/>
  <c r="O101" i="14"/>
  <c r="O131" i="14"/>
  <c r="O155" i="14"/>
  <c r="O160" i="14"/>
  <c r="P160" i="14"/>
  <c r="O235" i="14"/>
  <c r="P235" i="14"/>
  <c r="O381" i="14"/>
  <c r="P381" i="14"/>
  <c r="P317" i="14"/>
  <c r="O317" i="14"/>
  <c r="P103" i="14"/>
  <c r="O103" i="14"/>
  <c r="P113" i="14"/>
  <c r="O113" i="14"/>
  <c r="R169" i="14"/>
  <c r="Q169" i="14"/>
  <c r="R190" i="14"/>
  <c r="Q190" i="14"/>
  <c r="O193" i="14"/>
  <c r="P193" i="14"/>
  <c r="R208" i="14"/>
  <c r="Q208" i="14"/>
  <c r="O238" i="14"/>
  <c r="P238" i="14"/>
  <c r="P250" i="14"/>
  <c r="O250" i="14"/>
  <c r="O284" i="14"/>
  <c r="P284" i="14"/>
  <c r="O307" i="14"/>
  <c r="Q343" i="14"/>
  <c r="R343" i="14"/>
  <c r="R399" i="14"/>
  <c r="P117" i="14"/>
  <c r="O117" i="14"/>
  <c r="O150" i="14"/>
  <c r="P150" i="14"/>
  <c r="P167" i="14"/>
  <c r="O167" i="14"/>
  <c r="O198" i="14"/>
  <c r="P198" i="14"/>
  <c r="O217" i="14"/>
  <c r="P217" i="14"/>
  <c r="O232" i="14"/>
  <c r="P232" i="14"/>
  <c r="O268" i="14"/>
  <c r="Q292" i="14"/>
  <c r="R292" i="14"/>
  <c r="Q309" i="14"/>
  <c r="R309" i="14"/>
  <c r="O321" i="14"/>
  <c r="P321" i="14"/>
  <c r="R369" i="14"/>
  <c r="Q369" i="14"/>
  <c r="P401" i="14"/>
  <c r="R401" i="14"/>
  <c r="Q401" i="14"/>
  <c r="O71" i="14"/>
  <c r="O95" i="14"/>
  <c r="P109" i="14"/>
  <c r="O109" i="14"/>
  <c r="P129" i="14"/>
  <c r="O132" i="14"/>
  <c r="P132" i="14"/>
  <c r="Q174" i="14"/>
  <c r="R174" i="14"/>
  <c r="P183" i="14"/>
  <c r="O206" i="14"/>
  <c r="P206" i="14"/>
  <c r="O221" i="14"/>
  <c r="O236" i="14"/>
  <c r="P236" i="14"/>
  <c r="O252" i="14"/>
  <c r="P252" i="14"/>
  <c r="O264" i="14"/>
  <c r="P264" i="14"/>
  <c r="Q281" i="14"/>
  <c r="R281" i="14"/>
  <c r="P292" i="14"/>
  <c r="P304" i="14"/>
  <c r="P369" i="14"/>
  <c r="R383" i="14"/>
  <c r="Q383" i="14"/>
  <c r="O297" i="14"/>
  <c r="P297" i="14"/>
  <c r="Q339" i="14"/>
  <c r="R339" i="14"/>
  <c r="O280" i="14"/>
  <c r="P280" i="14"/>
  <c r="O303" i="14"/>
  <c r="P303" i="14"/>
  <c r="P327" i="14"/>
  <c r="O327" i="14"/>
  <c r="P107" i="14"/>
  <c r="O107" i="14"/>
  <c r="O156" i="14"/>
  <c r="P156" i="14"/>
  <c r="O195" i="14"/>
  <c r="O233" i="14"/>
  <c r="Q253" i="14"/>
  <c r="R253" i="14"/>
  <c r="R260" i="14"/>
  <c r="Q260" i="14"/>
  <c r="O282" i="14"/>
  <c r="P282" i="14"/>
  <c r="P293" i="14"/>
  <c r="O293" i="14"/>
  <c r="P263" i="14"/>
  <c r="O263" i="14"/>
  <c r="O291" i="14"/>
  <c r="P291" i="14"/>
  <c r="O351" i="14"/>
  <c r="P351" i="14"/>
  <c r="Q3" i="14"/>
  <c r="S3" i="14" s="1"/>
  <c r="Q7" i="14"/>
  <c r="S7" i="14" s="1"/>
  <c r="Q9" i="14"/>
  <c r="S9" i="14" s="1"/>
  <c r="O65" i="14"/>
  <c r="Q67" i="14"/>
  <c r="S67" i="14" s="1"/>
  <c r="O76" i="14"/>
  <c r="Q80" i="14"/>
  <c r="S80" i="14" s="1"/>
  <c r="O89" i="14"/>
  <c r="O100" i="14"/>
  <c r="Q112" i="14"/>
  <c r="S112" i="14" s="1"/>
  <c r="P115" i="14"/>
  <c r="O115" i="14"/>
  <c r="O118" i="14"/>
  <c r="O121" i="14"/>
  <c r="O133" i="14"/>
  <c r="R141" i="14"/>
  <c r="S141" i="14" s="1"/>
  <c r="Q153" i="14"/>
  <c r="S153" i="14" s="1"/>
  <c r="P168" i="14"/>
  <c r="Q171" i="14"/>
  <c r="S171" i="14" s="1"/>
  <c r="P175" i="14"/>
  <c r="O184" i="14"/>
  <c r="P184" i="14"/>
  <c r="O189" i="14"/>
  <c r="Q207" i="14"/>
  <c r="R207" i="14"/>
  <c r="O214" i="14"/>
  <c r="P214" i="14"/>
  <c r="O218" i="14"/>
  <c r="P218" i="14"/>
  <c r="P241" i="14"/>
  <c r="O241" i="14"/>
  <c r="O257" i="14"/>
  <c r="O265" i="14"/>
  <c r="P299" i="14"/>
  <c r="O299" i="14"/>
  <c r="R375" i="14"/>
  <c r="Q375" i="14"/>
  <c r="O63" i="14"/>
  <c r="O87" i="14"/>
  <c r="P105" i="14"/>
  <c r="O105" i="14"/>
  <c r="P136" i="14"/>
  <c r="R168" i="14"/>
  <c r="S168" i="14" s="1"/>
  <c r="R175" i="14"/>
  <c r="S175" i="14" s="1"/>
  <c r="P186" i="14"/>
  <c r="R237" i="14"/>
  <c r="S237" i="14" s="1"/>
  <c r="O274" i="14"/>
  <c r="P274" i="14"/>
  <c r="P311" i="14"/>
  <c r="O311" i="14"/>
  <c r="R323" i="14"/>
  <c r="S323" i="14" s="1"/>
  <c r="P341" i="14"/>
  <c r="O341" i="14"/>
  <c r="O194" i="14"/>
  <c r="P194" i="14"/>
  <c r="P229" i="14"/>
  <c r="O229" i="14"/>
  <c r="Q275" i="14"/>
  <c r="R275" i="14"/>
  <c r="P287" i="14"/>
  <c r="O287" i="14"/>
  <c r="Q308" i="14"/>
  <c r="R308" i="14"/>
  <c r="Q363" i="14"/>
  <c r="R363" i="14"/>
  <c r="O405" i="14"/>
  <c r="P405" i="14"/>
  <c r="O224" i="14"/>
  <c r="P224" i="14"/>
  <c r="P320" i="14"/>
  <c r="O320" i="14"/>
  <c r="Q359" i="14"/>
  <c r="R359" i="14"/>
  <c r="O389" i="14"/>
  <c r="P389" i="14"/>
  <c r="P130" i="14"/>
  <c r="P154" i="14"/>
  <c r="O172" i="14"/>
  <c r="P172" i="14"/>
  <c r="P204" i="14"/>
  <c r="P249" i="14"/>
  <c r="O249" i="14"/>
  <c r="O256" i="14"/>
  <c r="P266" i="14"/>
  <c r="O266" i="14"/>
  <c r="P277" i="14"/>
  <c r="O277" i="14"/>
  <c r="O295" i="14"/>
  <c r="O300" i="14"/>
  <c r="P300" i="14"/>
  <c r="P305" i="14"/>
  <c r="O305" i="14"/>
  <c r="Q315" i="14"/>
  <c r="R315" i="14"/>
  <c r="O365" i="14"/>
  <c r="Q296" i="14"/>
  <c r="R296" i="14"/>
  <c r="P316" i="14"/>
  <c r="O316" i="14"/>
  <c r="R385" i="14"/>
  <c r="Q385" i="14"/>
  <c r="R391" i="14"/>
  <c r="O397" i="14"/>
  <c r="P397" i="14"/>
  <c r="O272" i="14"/>
  <c r="P272" i="14"/>
  <c r="P349" i="14"/>
  <c r="O349" i="14"/>
  <c r="R387" i="14"/>
  <c r="Q387" i="14"/>
  <c r="P318" i="14"/>
  <c r="O318" i="14"/>
  <c r="O331" i="14"/>
  <c r="Q290" i="14"/>
  <c r="R290" i="14"/>
  <c r="O294" i="14"/>
  <c r="P294" i="14"/>
  <c r="Q302" i="14"/>
  <c r="R302" i="14"/>
  <c r="Q314" i="14"/>
  <c r="R314" i="14"/>
  <c r="Q345" i="14"/>
  <c r="R345" i="14"/>
  <c r="R377" i="14"/>
  <c r="Q377" i="14"/>
  <c r="R393" i="14"/>
  <c r="Q393" i="14"/>
  <c r="P325" i="14"/>
  <c r="O325" i="14"/>
  <c r="P306" i="14"/>
  <c r="P312" i="14"/>
  <c r="O322" i="14"/>
  <c r="O324" i="14"/>
  <c r="O326" i="14"/>
  <c r="O328" i="14"/>
  <c r="O330" i="14"/>
  <c r="O332" i="14"/>
  <c r="O334" i="14"/>
  <c r="O336" i="14"/>
  <c r="O338" i="14"/>
  <c r="O340" i="14"/>
  <c r="O342" i="14"/>
  <c r="O344" i="14"/>
  <c r="O346" i="14"/>
  <c r="O348" i="14"/>
  <c r="O350" i="14"/>
  <c r="O352" i="14"/>
  <c r="O354" i="14"/>
  <c r="O356" i="14"/>
  <c r="O358" i="14"/>
  <c r="O360" i="14"/>
  <c r="O362" i="14"/>
  <c r="O364" i="14"/>
  <c r="O366" i="14"/>
  <c r="O368" i="14"/>
  <c r="O370" i="14"/>
  <c r="O372" i="14"/>
  <c r="O374" i="14"/>
  <c r="O376" i="14"/>
  <c r="O378" i="14"/>
  <c r="O380" i="14"/>
  <c r="O382" i="14"/>
  <c r="O384" i="14"/>
  <c r="O386" i="14"/>
  <c r="O388" i="14"/>
  <c r="O390" i="14"/>
  <c r="O392" i="14"/>
  <c r="O394" i="14"/>
  <c r="O396" i="14"/>
  <c r="O398" i="14"/>
  <c r="O400" i="14"/>
  <c r="O402" i="14"/>
  <c r="O404" i="14"/>
  <c r="O406" i="14"/>
  <c r="O408" i="14"/>
  <c r="Q151" i="13"/>
  <c r="R151" i="13"/>
  <c r="O43" i="13"/>
  <c r="R43" i="13" s="1"/>
  <c r="O67" i="13"/>
  <c r="R67" i="13" s="1"/>
  <c r="O108" i="13"/>
  <c r="R108" i="13" s="1"/>
  <c r="O120" i="13"/>
  <c r="R120" i="13" s="1"/>
  <c r="O8" i="13"/>
  <c r="R8" i="13" s="1"/>
  <c r="O49" i="13"/>
  <c r="R49" i="13" s="1"/>
  <c r="O73" i="13"/>
  <c r="R73" i="13" s="1"/>
  <c r="O114" i="13"/>
  <c r="R114" i="13" s="1"/>
  <c r="O126" i="13"/>
  <c r="R126" i="13" s="1"/>
  <c r="P14" i="13"/>
  <c r="P85" i="13"/>
  <c r="O144" i="13"/>
  <c r="R144" i="13" s="1"/>
  <c r="O148" i="13"/>
  <c r="R148" i="13" s="1"/>
  <c r="O152" i="13"/>
  <c r="R152" i="13" s="1"/>
  <c r="O61" i="13"/>
  <c r="R61" i="13" s="1"/>
  <c r="O96" i="13"/>
  <c r="R96" i="13" s="1"/>
  <c r="P79" i="13"/>
  <c r="O104" i="13"/>
  <c r="R104" i="13" s="1"/>
  <c r="O110" i="13"/>
  <c r="R110" i="13" s="1"/>
  <c r="O116" i="13"/>
  <c r="R116" i="13" s="1"/>
  <c r="O122" i="13"/>
  <c r="R122" i="13" s="1"/>
  <c r="O128" i="13"/>
  <c r="R128" i="13" s="1"/>
  <c r="O134" i="13"/>
  <c r="R134" i="13" s="1"/>
  <c r="O20" i="13"/>
  <c r="R20" i="13" s="1"/>
  <c r="O55" i="13"/>
  <c r="R55" i="13" s="1"/>
  <c r="O102" i="13"/>
  <c r="R102" i="13" s="1"/>
  <c r="O132" i="13"/>
  <c r="R132" i="13" s="1"/>
  <c r="P26" i="13"/>
  <c r="O138" i="13"/>
  <c r="R138" i="13" s="1"/>
  <c r="O32" i="13"/>
  <c r="R32" i="13" s="1"/>
  <c r="P91" i="13"/>
  <c r="P135" i="13"/>
  <c r="O150" i="13"/>
  <c r="R150" i="13" s="1"/>
  <c r="O154" i="13"/>
  <c r="R154" i="13" s="1"/>
  <c r="R134" i="12"/>
  <c r="Q134" i="12"/>
  <c r="Q383" i="12"/>
  <c r="S383" i="12" s="1"/>
  <c r="R383" i="12"/>
  <c r="R112" i="12"/>
  <c r="Q112" i="12"/>
  <c r="R154" i="12"/>
  <c r="Q154" i="12"/>
  <c r="S154" i="12" s="1"/>
  <c r="R102" i="12"/>
  <c r="Q102" i="12"/>
  <c r="R129" i="12"/>
  <c r="Q129" i="12"/>
  <c r="Q241" i="12"/>
  <c r="R241" i="12"/>
  <c r="R100" i="12"/>
  <c r="S100" i="12" s="1"/>
  <c r="Q100" i="12"/>
  <c r="R54" i="12"/>
  <c r="Q54" i="12"/>
  <c r="R7" i="12"/>
  <c r="Q7" i="12"/>
  <c r="Q69" i="12"/>
  <c r="S69" i="12" s="1"/>
  <c r="R69" i="12"/>
  <c r="P103" i="12"/>
  <c r="P109" i="12"/>
  <c r="Q137" i="12"/>
  <c r="S137" i="12" s="1"/>
  <c r="P280" i="12"/>
  <c r="P295" i="12"/>
  <c r="P407" i="12"/>
  <c r="P117" i="12"/>
  <c r="P167" i="12"/>
  <c r="O202" i="12"/>
  <c r="S341" i="12"/>
  <c r="R117" i="12"/>
  <c r="O377" i="12"/>
  <c r="O46" i="12"/>
  <c r="P83" i="12"/>
  <c r="P88" i="12"/>
  <c r="P112" i="12"/>
  <c r="P123" i="12"/>
  <c r="P134" i="12"/>
  <c r="O140" i="12"/>
  <c r="Q140" i="12" s="1"/>
  <c r="P147" i="12"/>
  <c r="P153" i="12"/>
  <c r="Q159" i="12"/>
  <c r="S159" i="12" s="1"/>
  <c r="P194" i="12"/>
  <c r="P236" i="12"/>
  <c r="O299" i="12"/>
  <c r="Q299" i="12" s="1"/>
  <c r="P383" i="12"/>
  <c r="P256" i="12"/>
  <c r="P287" i="12"/>
  <c r="P390" i="12"/>
  <c r="P38" i="12"/>
  <c r="R209" i="12"/>
  <c r="S209" i="12" s="1"/>
  <c r="P241" i="12"/>
  <c r="O40" i="12"/>
  <c r="R40" i="12" s="1"/>
  <c r="O78" i="12"/>
  <c r="Q83" i="12"/>
  <c r="S83" i="12" s="1"/>
  <c r="Q147" i="12"/>
  <c r="S147" i="12" s="1"/>
  <c r="P250" i="12"/>
  <c r="O393" i="12"/>
  <c r="Q393" i="12" s="1"/>
  <c r="R402" i="12"/>
  <c r="S402" i="12" s="1"/>
  <c r="O128" i="12"/>
  <c r="Q50" i="12"/>
  <c r="S50" i="12" s="1"/>
  <c r="R315" i="12"/>
  <c r="S315" i="12" s="1"/>
  <c r="P352" i="12"/>
  <c r="R400" i="12"/>
  <c r="S400" i="12" s="1"/>
  <c r="Q325" i="12"/>
  <c r="S325" i="12" s="1"/>
  <c r="O52" i="12"/>
  <c r="Q52" i="12" s="1"/>
  <c r="R95" i="12"/>
  <c r="S95" i="12" s="1"/>
  <c r="P107" i="12"/>
  <c r="O181" i="12"/>
  <c r="R181" i="12" s="1"/>
  <c r="P237" i="12"/>
  <c r="Q250" i="12"/>
  <c r="S250" i="12" s="1"/>
  <c r="P309" i="12"/>
  <c r="O363" i="12"/>
  <c r="P76" i="12"/>
  <c r="P158" i="12"/>
  <c r="O265" i="12"/>
  <c r="P100" i="12"/>
  <c r="R352" i="12"/>
  <c r="S352" i="12" s="1"/>
  <c r="O73" i="12"/>
  <c r="Q107" i="12"/>
  <c r="S107" i="12" s="1"/>
  <c r="P221" i="12"/>
  <c r="Q237" i="12"/>
  <c r="S237" i="12" s="1"/>
  <c r="P261" i="12"/>
  <c r="O301" i="12"/>
  <c r="R301" i="12" s="1"/>
  <c r="Q319" i="12"/>
  <c r="S319" i="12" s="1"/>
  <c r="Q354" i="12"/>
  <c r="S354" i="12" s="1"/>
  <c r="P378" i="12"/>
  <c r="O3" i="12"/>
  <c r="P209" i="12"/>
  <c r="O16" i="12"/>
  <c r="O42" i="12"/>
  <c r="O96" i="12"/>
  <c r="R96" i="12" s="1"/>
  <c r="P205" i="12"/>
  <c r="O230" i="12"/>
  <c r="Q230" i="12" s="1"/>
  <c r="Q261" i="12"/>
  <c r="S261" i="12" s="1"/>
  <c r="O285" i="12"/>
  <c r="P293" i="12"/>
  <c r="Q378" i="12"/>
  <c r="S378" i="12" s="1"/>
  <c r="P28" i="12"/>
  <c r="P139" i="12"/>
  <c r="P226" i="12"/>
  <c r="P136" i="12"/>
  <c r="O190" i="12"/>
  <c r="R190" i="12" s="1"/>
  <c r="R132" i="12"/>
  <c r="Q132" i="12"/>
  <c r="S132" i="12" s="1"/>
  <c r="R28" i="12"/>
  <c r="Q28" i="12"/>
  <c r="R81" i="12"/>
  <c r="Q81" i="12"/>
  <c r="R124" i="12"/>
  <c r="Q124" i="12"/>
  <c r="R110" i="12"/>
  <c r="Q110" i="12"/>
  <c r="Q11" i="12"/>
  <c r="R11" i="12"/>
  <c r="Q103" i="12"/>
  <c r="R103" i="12"/>
  <c r="O48" i="12"/>
  <c r="O183" i="12"/>
  <c r="R183" i="12" s="1"/>
  <c r="P183" i="12"/>
  <c r="Q88" i="12"/>
  <c r="S88" i="12" s="1"/>
  <c r="O101" i="12"/>
  <c r="P101" i="12"/>
  <c r="O160" i="12"/>
  <c r="P251" i="12"/>
  <c r="Q36" i="12"/>
  <c r="R36" i="12"/>
  <c r="Q91" i="12"/>
  <c r="R91" i="12"/>
  <c r="P243" i="12"/>
  <c r="O243" i="12"/>
  <c r="Q243" i="12" s="1"/>
  <c r="O257" i="12"/>
  <c r="R257" i="12" s="1"/>
  <c r="P257" i="12"/>
  <c r="R384" i="12"/>
  <c r="Q384" i="12"/>
  <c r="S384" i="12" s="1"/>
  <c r="O108" i="12"/>
  <c r="P159" i="12"/>
  <c r="R295" i="12"/>
  <c r="Q295" i="12"/>
  <c r="R312" i="12"/>
  <c r="Q312" i="12"/>
  <c r="O357" i="12"/>
  <c r="R357" i="12" s="1"/>
  <c r="P384" i="12"/>
  <c r="O20" i="12"/>
  <c r="O77" i="12"/>
  <c r="P81" i="12"/>
  <c r="R85" i="12"/>
  <c r="S85" i="12" s="1"/>
  <c r="O98" i="12"/>
  <c r="P110" i="12"/>
  <c r="O119" i="12"/>
  <c r="P119" i="12"/>
  <c r="R123" i="12"/>
  <c r="R131" i="12"/>
  <c r="S131" i="12" s="1"/>
  <c r="O156" i="12"/>
  <c r="R156" i="12" s="1"/>
  <c r="O171" i="12"/>
  <c r="Q191" i="12"/>
  <c r="S191" i="12" s="1"/>
  <c r="O213" i="12"/>
  <c r="R213" i="12" s="1"/>
  <c r="P213" i="12"/>
  <c r="Q247" i="12"/>
  <c r="R247" i="12"/>
  <c r="O339" i="12"/>
  <c r="O389" i="12"/>
  <c r="P403" i="12"/>
  <c r="R272" i="12"/>
  <c r="Q272" i="12"/>
  <c r="R401" i="12"/>
  <c r="Q401" i="12"/>
  <c r="O32" i="12"/>
  <c r="Q76" i="12"/>
  <c r="S76" i="12" s="1"/>
  <c r="R109" i="12"/>
  <c r="Q218" i="12"/>
  <c r="R218" i="12"/>
  <c r="Q266" i="12"/>
  <c r="S266" i="12" s="1"/>
  <c r="P11" i="12"/>
  <c r="P13" i="12" s="1"/>
  <c r="S123" i="12"/>
  <c r="P155" i="12"/>
  <c r="O353" i="12"/>
  <c r="O44" i="12"/>
  <c r="O115" i="12"/>
  <c r="Q136" i="12"/>
  <c r="S136" i="12" s="1"/>
  <c r="P141" i="12"/>
  <c r="O152" i="12"/>
  <c r="O227" i="12"/>
  <c r="R227" i="12" s="1"/>
  <c r="P247" i="12"/>
  <c r="O262" i="12"/>
  <c r="P262" i="12"/>
  <c r="Q278" i="12"/>
  <c r="R278" i="12"/>
  <c r="P317" i="12"/>
  <c r="O317" i="12"/>
  <c r="Q317" i="12" s="1"/>
  <c r="O203" i="12"/>
  <c r="Q408" i="12"/>
  <c r="S408" i="12" s="1"/>
  <c r="Q24" i="12"/>
  <c r="S24" i="12" s="1"/>
  <c r="O84" i="12"/>
  <c r="O176" i="12"/>
  <c r="Q176" i="12" s="1"/>
  <c r="R287" i="12"/>
  <c r="S287" i="12" s="1"/>
  <c r="O135" i="12"/>
  <c r="P135" i="12"/>
  <c r="O127" i="12"/>
  <c r="P127" i="12"/>
  <c r="O233" i="12"/>
  <c r="Q233" i="12" s="1"/>
  <c r="P233" i="12"/>
  <c r="P376" i="12"/>
  <c r="O56" i="12"/>
  <c r="Q62" i="12"/>
  <c r="S62" i="12" s="1"/>
  <c r="Q141" i="12"/>
  <c r="S141" i="12" s="1"/>
  <c r="O186" i="12"/>
  <c r="R186" i="12" s="1"/>
  <c r="O192" i="12"/>
  <c r="Q192" i="12" s="1"/>
  <c r="O207" i="12"/>
  <c r="Q221" i="12"/>
  <c r="S221" i="12" s="1"/>
  <c r="P278" i="12"/>
  <c r="P326" i="12"/>
  <c r="O333" i="12"/>
  <c r="S109" i="12"/>
  <c r="O93" i="12"/>
  <c r="R144" i="12"/>
  <c r="S144" i="12" s="1"/>
  <c r="R38" i="12"/>
  <c r="S38" i="12" s="1"/>
  <c r="O118" i="12"/>
  <c r="O89" i="12"/>
  <c r="P89" i="12"/>
  <c r="O178" i="12"/>
  <c r="Q178" i="12" s="1"/>
  <c r="P178" i="12"/>
  <c r="O199" i="12"/>
  <c r="R199" i="12" s="1"/>
  <c r="P199" i="12"/>
  <c r="O306" i="12"/>
  <c r="P306" i="12"/>
  <c r="R403" i="12"/>
  <c r="Q403" i="12"/>
  <c r="Q326" i="12"/>
  <c r="S326" i="12" s="1"/>
  <c r="O105" i="12"/>
  <c r="O113" i="12"/>
  <c r="P113" i="12"/>
  <c r="Q126" i="12"/>
  <c r="S126" i="12" s="1"/>
  <c r="O60" i="12"/>
  <c r="P60" i="12"/>
  <c r="R97" i="12"/>
  <c r="S97" i="12" s="1"/>
  <c r="O330" i="12"/>
  <c r="P330" i="12"/>
  <c r="R376" i="12"/>
  <c r="Q376" i="12"/>
  <c r="Q86" i="12"/>
  <c r="S86" i="12" s="1"/>
  <c r="P137" i="12"/>
  <c r="O228" i="12"/>
  <c r="Q256" i="12"/>
  <c r="S256" i="12" s="1"/>
  <c r="P400" i="12"/>
  <c r="O5" i="12"/>
  <c r="O9" i="12"/>
  <c r="O67" i="12"/>
  <c r="O71" i="12"/>
  <c r="O75" i="12"/>
  <c r="O82" i="12"/>
  <c r="O94" i="12"/>
  <c r="O106" i="12"/>
  <c r="O116" i="12"/>
  <c r="R116" i="12" s="1"/>
  <c r="O122" i="12"/>
  <c r="R122" i="12" s="1"/>
  <c r="P145" i="12"/>
  <c r="P149" i="12"/>
  <c r="O168" i="12"/>
  <c r="Q168" i="12" s="1"/>
  <c r="P172" i="12"/>
  <c r="O189" i="12"/>
  <c r="O208" i="12"/>
  <c r="P223" i="12"/>
  <c r="P252" i="12"/>
  <c r="P258" i="12"/>
  <c r="P282" i="12"/>
  <c r="P286" i="12"/>
  <c r="Q302" i="12"/>
  <c r="S302" i="12" s="1"/>
  <c r="Q342" i="12"/>
  <c r="S342" i="12" s="1"/>
  <c r="O365" i="12"/>
  <c r="O385" i="12"/>
  <c r="R385" i="12" s="1"/>
  <c r="P401" i="12"/>
  <c r="P322" i="12"/>
  <c r="P395" i="12"/>
  <c r="O14" i="12"/>
  <c r="O87" i="12"/>
  <c r="O99" i="12"/>
  <c r="O111" i="12"/>
  <c r="O125" i="12"/>
  <c r="O130" i="12"/>
  <c r="R130" i="12" s="1"/>
  <c r="O133" i="12"/>
  <c r="O138" i="12"/>
  <c r="R138" i="12" s="1"/>
  <c r="O142" i="12"/>
  <c r="Q149" i="12"/>
  <c r="S149" i="12" s="1"/>
  <c r="P157" i="12"/>
  <c r="O184" i="12"/>
  <c r="Q184" i="12" s="1"/>
  <c r="O193" i="12"/>
  <c r="R193" i="12" s="1"/>
  <c r="R244" i="12"/>
  <c r="S244" i="12" s="1"/>
  <c r="Q252" i="12"/>
  <c r="S252" i="12" s="1"/>
  <c r="Q258" i="12"/>
  <c r="S258" i="12" s="1"/>
  <c r="O269" i="12"/>
  <c r="R269" i="12" s="1"/>
  <c r="O279" i="12"/>
  <c r="Q282" i="12"/>
  <c r="S282" i="12" s="1"/>
  <c r="R286" i="12"/>
  <c r="S286" i="12" s="1"/>
  <c r="Q292" i="12"/>
  <c r="S292" i="12" s="1"/>
  <c r="P314" i="12"/>
  <c r="P318" i="12"/>
  <c r="P323" i="12"/>
  <c r="P328" i="12"/>
  <c r="O335" i="12"/>
  <c r="Q335" i="12" s="1"/>
  <c r="O351" i="12"/>
  <c r="R351" i="12" s="1"/>
  <c r="P360" i="12"/>
  <c r="P334" i="12"/>
  <c r="O18" i="12"/>
  <c r="O22" i="12"/>
  <c r="O26" i="12"/>
  <c r="O30" i="12"/>
  <c r="O34" i="12"/>
  <c r="O80" i="12"/>
  <c r="O92" i="12"/>
  <c r="O104" i="12"/>
  <c r="O146" i="12"/>
  <c r="Q157" i="12"/>
  <c r="S157" i="12" s="1"/>
  <c r="O169" i="12"/>
  <c r="Q169" i="12" s="1"/>
  <c r="P173" i="12"/>
  <c r="O179" i="12"/>
  <c r="R179" i="12" s="1"/>
  <c r="P229" i="12"/>
  <c r="O234" i="12"/>
  <c r="Q234" i="12" s="1"/>
  <c r="P240" i="12"/>
  <c r="Q248" i="12"/>
  <c r="S248" i="12" s="1"/>
  <c r="P274" i="12"/>
  <c r="P307" i="12"/>
  <c r="Q314" i="12"/>
  <c r="S314" i="12" s="1"/>
  <c r="Q318" i="12"/>
  <c r="S318" i="12" s="1"/>
  <c r="Q328" i="12"/>
  <c r="S328" i="12" s="1"/>
  <c r="P331" i="12"/>
  <c r="Q340" i="12"/>
  <c r="S340" i="12" s="1"/>
  <c r="Q360" i="12"/>
  <c r="S360" i="12" s="1"/>
  <c r="Q390" i="12"/>
  <c r="S390" i="12" s="1"/>
  <c r="P342" i="12"/>
  <c r="P162" i="12"/>
  <c r="Q173" i="12"/>
  <c r="S173" i="12" s="1"/>
  <c r="P201" i="12"/>
  <c r="P204" i="12"/>
  <c r="P215" i="12"/>
  <c r="Q229" i="12"/>
  <c r="S229" i="12" s="1"/>
  <c r="Q240" i="12"/>
  <c r="S240" i="12" s="1"/>
  <c r="O245" i="12"/>
  <c r="R245" i="12" s="1"/>
  <c r="Q274" i="12"/>
  <c r="S274" i="12" s="1"/>
  <c r="P324" i="12"/>
  <c r="Q331" i="12"/>
  <c r="S331" i="12" s="1"/>
  <c r="P371" i="12"/>
  <c r="Q398" i="12"/>
  <c r="S398" i="12" s="1"/>
  <c r="P291" i="12"/>
  <c r="R379" i="12"/>
  <c r="S379" i="12" s="1"/>
  <c r="O387" i="12"/>
  <c r="Q387" i="12" s="1"/>
  <c r="P402" i="12"/>
  <c r="P350" i="12"/>
  <c r="R270" i="12"/>
  <c r="S270" i="12" s="1"/>
  <c r="P304" i="12"/>
  <c r="P315" i="12"/>
  <c r="P319" i="12"/>
  <c r="P325" i="12"/>
  <c r="Q336" i="12"/>
  <c r="S336" i="12" s="1"/>
  <c r="R133" i="13"/>
  <c r="Q133" i="13"/>
  <c r="S133" i="13" s="1"/>
  <c r="R15" i="13"/>
  <c r="Q15" i="13"/>
  <c r="R44" i="13"/>
  <c r="Q44" i="13"/>
  <c r="R68" i="13"/>
  <c r="Q68" i="13"/>
  <c r="R86" i="13"/>
  <c r="Q86" i="13"/>
  <c r="R121" i="13"/>
  <c r="Q121" i="13"/>
  <c r="S121" i="13" s="1"/>
  <c r="R2" i="13"/>
  <c r="Q2" i="13"/>
  <c r="R33" i="13"/>
  <c r="Q33" i="13"/>
  <c r="R50" i="13"/>
  <c r="Q50" i="13"/>
  <c r="R74" i="13"/>
  <c r="Q74" i="13"/>
  <c r="R115" i="13"/>
  <c r="Q115" i="13"/>
  <c r="S115" i="13" s="1"/>
  <c r="R139" i="13"/>
  <c r="Q139" i="13"/>
  <c r="S139" i="13" s="1"/>
  <c r="Q149" i="13"/>
  <c r="R149" i="13"/>
  <c r="R9" i="13"/>
  <c r="Q9" i="13"/>
  <c r="R38" i="13"/>
  <c r="Q38" i="13"/>
  <c r="R56" i="13"/>
  <c r="Q56" i="13"/>
  <c r="R80" i="13"/>
  <c r="Q80" i="13"/>
  <c r="S80" i="13" s="1"/>
  <c r="R97" i="13"/>
  <c r="Q97" i="13"/>
  <c r="S97" i="13" s="1"/>
  <c r="R127" i="13"/>
  <c r="Q127" i="13"/>
  <c r="R35" i="13"/>
  <c r="Q35" i="13"/>
  <c r="R40" i="13"/>
  <c r="Q40" i="13"/>
  <c r="Q52" i="13"/>
  <c r="R52" i="13"/>
  <c r="R58" i="13"/>
  <c r="Q58" i="13"/>
  <c r="S58" i="13" s="1"/>
  <c r="R64" i="13"/>
  <c r="Q64" i="13"/>
  <c r="S64" i="13" s="1"/>
  <c r="Q88" i="13"/>
  <c r="R88" i="13"/>
  <c r="R99" i="13"/>
  <c r="Q99" i="13"/>
  <c r="R105" i="13"/>
  <c r="Q105" i="13"/>
  <c r="R117" i="13"/>
  <c r="Q117" i="13"/>
  <c r="R129" i="13"/>
  <c r="Q129" i="13"/>
  <c r="S129" i="13" s="1"/>
  <c r="R135" i="13"/>
  <c r="Q135" i="13"/>
  <c r="S135" i="13" s="1"/>
  <c r="R27" i="13"/>
  <c r="Q27" i="13"/>
  <c r="R62" i="13"/>
  <c r="Q62" i="13"/>
  <c r="R109" i="13"/>
  <c r="Q109" i="13"/>
  <c r="R143" i="13"/>
  <c r="Q143" i="13"/>
  <c r="R21" i="13"/>
  <c r="Q21" i="13"/>
  <c r="S21" i="13" s="1"/>
  <c r="R103" i="13"/>
  <c r="Q103" i="13"/>
  <c r="S103" i="13" s="1"/>
  <c r="O23" i="13"/>
  <c r="O76" i="13"/>
  <c r="O111" i="13"/>
  <c r="P35" i="13"/>
  <c r="P52" i="13"/>
  <c r="P88" i="13"/>
  <c r="P129" i="13"/>
  <c r="P2" i="13"/>
  <c r="P5" i="13" s="1"/>
  <c r="P9" i="13"/>
  <c r="P15" i="13"/>
  <c r="P21" i="13"/>
  <c r="P27" i="13"/>
  <c r="P33" i="13"/>
  <c r="P38" i="13"/>
  <c r="P44" i="13"/>
  <c r="P50" i="13"/>
  <c r="P56" i="13"/>
  <c r="P62" i="13"/>
  <c r="P68" i="13"/>
  <c r="P74" i="13"/>
  <c r="P80" i="13"/>
  <c r="P86" i="13"/>
  <c r="P97" i="13"/>
  <c r="P103" i="13"/>
  <c r="P109" i="13"/>
  <c r="P115" i="13"/>
  <c r="P121" i="13"/>
  <c r="P127" i="13"/>
  <c r="O137" i="13"/>
  <c r="O147" i="13"/>
  <c r="O153" i="13"/>
  <c r="O11" i="13"/>
  <c r="O29" i="13"/>
  <c r="O70" i="13"/>
  <c r="O82" i="13"/>
  <c r="P105" i="13"/>
  <c r="P139" i="13"/>
  <c r="P143" i="13"/>
  <c r="O123" i="13"/>
  <c r="P64" i="13"/>
  <c r="P99" i="13"/>
  <c r="P117" i="13"/>
  <c r="O17" i="13"/>
  <c r="O46" i="13"/>
  <c r="P58" i="13"/>
  <c r="P149" i="13"/>
  <c r="O7" i="13"/>
  <c r="O13" i="13"/>
  <c r="O19" i="13"/>
  <c r="O25" i="13"/>
  <c r="O31" i="13"/>
  <c r="O37" i="13"/>
  <c r="O42" i="13"/>
  <c r="O48" i="13"/>
  <c r="O54" i="13"/>
  <c r="O60" i="13"/>
  <c r="O66" i="13"/>
  <c r="O72" i="13"/>
  <c r="O78" i="13"/>
  <c r="O84" i="13"/>
  <c r="O90" i="13"/>
  <c r="O95" i="13"/>
  <c r="O101" i="13"/>
  <c r="O107" i="13"/>
  <c r="O113" i="13"/>
  <c r="O119" i="13"/>
  <c r="O125" i="13"/>
  <c r="O131" i="13"/>
  <c r="O4" i="13"/>
  <c r="O5" i="13" s="1"/>
  <c r="P40" i="13"/>
  <c r="P133" i="13"/>
  <c r="Q141" i="13"/>
  <c r="S141" i="13" s="1"/>
  <c r="O93" i="13"/>
  <c r="Q3" i="13"/>
  <c r="S3" i="13" s="1"/>
  <c r="Q6" i="13"/>
  <c r="Q12" i="13"/>
  <c r="S12" i="13" s="1"/>
  <c r="Q14" i="13"/>
  <c r="S14" i="13" s="1"/>
  <c r="Q24" i="13"/>
  <c r="S24" i="13" s="1"/>
  <c r="Q26" i="13"/>
  <c r="S26" i="13" s="1"/>
  <c r="Q28" i="13"/>
  <c r="S28" i="13" s="1"/>
  <c r="Q30" i="13"/>
  <c r="S30" i="13" s="1"/>
  <c r="Q36" i="13"/>
  <c r="S36" i="13" s="1"/>
  <c r="Q41" i="13"/>
  <c r="S41" i="13" s="1"/>
  <c r="Q53" i="13"/>
  <c r="S53" i="13" s="1"/>
  <c r="Q57" i="13"/>
  <c r="S57" i="13" s="1"/>
  <c r="Q59" i="13"/>
  <c r="S59" i="13" s="1"/>
  <c r="Q65" i="13"/>
  <c r="S65" i="13" s="1"/>
  <c r="Q69" i="13"/>
  <c r="S69" i="13" s="1"/>
  <c r="Q71" i="13"/>
  <c r="S71" i="13" s="1"/>
  <c r="Q77" i="13"/>
  <c r="S77" i="13" s="1"/>
  <c r="Q79" i="13"/>
  <c r="S79" i="13" s="1"/>
  <c r="Q81" i="13"/>
  <c r="S81" i="13" s="1"/>
  <c r="Q83" i="13"/>
  <c r="S83" i="13" s="1"/>
  <c r="Q85" i="13"/>
  <c r="S85" i="13" s="1"/>
  <c r="Q87" i="13"/>
  <c r="S87" i="13" s="1"/>
  <c r="Q91" i="13"/>
  <c r="S91" i="13" s="1"/>
  <c r="Q94" i="13"/>
  <c r="S94" i="13" s="1"/>
  <c r="Q100" i="13"/>
  <c r="S100" i="13" s="1"/>
  <c r="Q106" i="13"/>
  <c r="S106" i="13" s="1"/>
  <c r="Q112" i="13"/>
  <c r="S112" i="13" s="1"/>
  <c r="Q116" i="13"/>
  <c r="S116" i="13" s="1"/>
  <c r="Q118" i="13"/>
  <c r="S118" i="13" s="1"/>
  <c r="Q122" i="13"/>
  <c r="S122" i="13" s="1"/>
  <c r="Q124" i="13"/>
  <c r="S124" i="13" s="1"/>
  <c r="Q134" i="13"/>
  <c r="S134" i="13" s="1"/>
  <c r="Q140" i="13"/>
  <c r="S140" i="13" s="1"/>
  <c r="Q142" i="13"/>
  <c r="S142" i="13" s="1"/>
  <c r="R187" i="12"/>
  <c r="Q187" i="12"/>
  <c r="Q204" i="12"/>
  <c r="R204" i="12"/>
  <c r="R305" i="12"/>
  <c r="Q305" i="12"/>
  <c r="R158" i="12"/>
  <c r="Q158" i="12"/>
  <c r="R182" i="12"/>
  <c r="S182" i="12" s="1"/>
  <c r="S329" i="12"/>
  <c r="O355" i="12"/>
  <c r="P355" i="12"/>
  <c r="P375" i="12"/>
  <c r="O375" i="12"/>
  <c r="Q145" i="12"/>
  <c r="R145" i="12"/>
  <c r="P165" i="12"/>
  <c r="O165" i="12"/>
  <c r="R215" i="12"/>
  <c r="Q215" i="12"/>
  <c r="O219" i="12"/>
  <c r="O288" i="12"/>
  <c r="P288" i="12"/>
  <c r="Q323" i="12"/>
  <c r="R323" i="12"/>
  <c r="R399" i="12"/>
  <c r="Q399" i="12"/>
  <c r="P185" i="12"/>
  <c r="O185" i="12"/>
  <c r="Q307" i="12"/>
  <c r="S307" i="12" s="1"/>
  <c r="P311" i="12"/>
  <c r="O311" i="12"/>
  <c r="O404" i="12"/>
  <c r="P404" i="12"/>
  <c r="O349" i="12"/>
  <c r="P349" i="12"/>
  <c r="R201" i="12"/>
  <c r="Q201" i="12"/>
  <c r="P187" i="12"/>
  <c r="P263" i="12"/>
  <c r="O263" i="12"/>
  <c r="P281" i="12"/>
  <c r="O281" i="12"/>
  <c r="P369" i="12"/>
  <c r="O369" i="12"/>
  <c r="Q223" i="12"/>
  <c r="R223" i="12"/>
  <c r="Q118" i="12"/>
  <c r="R118" i="12"/>
  <c r="R150" i="12"/>
  <c r="Q150" i="12"/>
  <c r="P347" i="12"/>
  <c r="O347" i="12"/>
  <c r="Q155" i="12"/>
  <c r="S155" i="12" s="1"/>
  <c r="R293" i="12"/>
  <c r="Q293" i="12"/>
  <c r="P161" i="12"/>
  <c r="O161" i="12"/>
  <c r="Q194" i="12"/>
  <c r="R194" i="12"/>
  <c r="Q212" i="12"/>
  <c r="R212" i="12"/>
  <c r="O361" i="12"/>
  <c r="O380" i="12"/>
  <c r="P380" i="12"/>
  <c r="R395" i="12"/>
  <c r="Q395" i="12"/>
  <c r="O2" i="12"/>
  <c r="O4" i="12"/>
  <c r="O6" i="12"/>
  <c r="O8" i="12"/>
  <c r="O10" i="12"/>
  <c r="O12" i="12"/>
  <c r="O15" i="12"/>
  <c r="O17" i="12"/>
  <c r="O19" i="12"/>
  <c r="O21" i="12"/>
  <c r="O23" i="12"/>
  <c r="O25" i="12"/>
  <c r="O27" i="12"/>
  <c r="O29" i="12"/>
  <c r="O31" i="12"/>
  <c r="O33" i="12"/>
  <c r="O35" i="12"/>
  <c r="O37" i="12"/>
  <c r="O39" i="12"/>
  <c r="O41" i="12"/>
  <c r="O43" i="12"/>
  <c r="O45" i="12"/>
  <c r="O47" i="12"/>
  <c r="O49" i="12"/>
  <c r="O51" i="12"/>
  <c r="O53" i="12"/>
  <c r="O55" i="12"/>
  <c r="O57" i="12"/>
  <c r="O59" i="12"/>
  <c r="O61" i="12"/>
  <c r="O63" i="12"/>
  <c r="O64" i="12"/>
  <c r="O66" i="12"/>
  <c r="O68" i="12"/>
  <c r="O70" i="12"/>
  <c r="O72" i="12"/>
  <c r="O74" i="12"/>
  <c r="Q153" i="12"/>
  <c r="S153" i="12" s="1"/>
  <c r="P166" i="12"/>
  <c r="O166" i="12"/>
  <c r="R172" i="12"/>
  <c r="S172" i="12" s="1"/>
  <c r="O180" i="12"/>
  <c r="P212" i="12"/>
  <c r="O235" i="12"/>
  <c r="P242" i="12"/>
  <c r="P253" i="12"/>
  <c r="O253" i="12"/>
  <c r="O268" i="12"/>
  <c r="P268" i="12"/>
  <c r="P275" i="12"/>
  <c r="Q290" i="12"/>
  <c r="S290" i="12" s="1"/>
  <c r="P305" i="12"/>
  <c r="O313" i="12"/>
  <c r="P316" i="12"/>
  <c r="P338" i="12"/>
  <c r="R350" i="12"/>
  <c r="Q350" i="12"/>
  <c r="P386" i="12"/>
  <c r="P399" i="12"/>
  <c r="Q114" i="12"/>
  <c r="S114" i="12" s="1"/>
  <c r="Q143" i="12"/>
  <c r="S143" i="12" s="1"/>
  <c r="Q148" i="12"/>
  <c r="S148" i="12" s="1"/>
  <c r="R162" i="12"/>
  <c r="S162" i="12" s="1"/>
  <c r="Q195" i="12"/>
  <c r="S195" i="12" s="1"/>
  <c r="R205" i="12"/>
  <c r="Q205" i="12"/>
  <c r="P224" i="12"/>
  <c r="O224" i="12"/>
  <c r="P231" i="12"/>
  <c r="O231" i="12"/>
  <c r="R242" i="12"/>
  <c r="S242" i="12" s="1"/>
  <c r="R275" i="12"/>
  <c r="S275" i="12" s="1"/>
  <c r="R324" i="12"/>
  <c r="Q324" i="12"/>
  <c r="R338" i="12"/>
  <c r="S338" i="12" s="1"/>
  <c r="R371" i="12"/>
  <c r="Q371" i="12"/>
  <c r="Q386" i="12"/>
  <c r="S386" i="12" s="1"/>
  <c r="P298" i="12"/>
  <c r="P177" i="12"/>
  <c r="O177" i="12"/>
  <c r="R291" i="12"/>
  <c r="Q291" i="12"/>
  <c r="R298" i="12"/>
  <c r="Q298" i="12"/>
  <c r="P343" i="12"/>
  <c r="O343" i="12"/>
  <c r="O198" i="12"/>
  <c r="R316" i="12"/>
  <c r="Q316" i="12"/>
  <c r="O327" i="12"/>
  <c r="O276" i="12"/>
  <c r="P276" i="12"/>
  <c r="O260" i="12"/>
  <c r="P260" i="12"/>
  <c r="P290" i="12"/>
  <c r="O163" i="12"/>
  <c r="P196" i="12"/>
  <c r="O196" i="12"/>
  <c r="P217" i="12"/>
  <c r="O217" i="12"/>
  <c r="Q236" i="12"/>
  <c r="R236" i="12"/>
  <c r="O255" i="12"/>
  <c r="P300" i="12"/>
  <c r="O346" i="12"/>
  <c r="P346" i="12"/>
  <c r="O364" i="12"/>
  <c r="P364" i="12"/>
  <c r="P391" i="12"/>
  <c r="O391" i="12"/>
  <c r="P188" i="12"/>
  <c r="O188" i="12"/>
  <c r="O238" i="12"/>
  <c r="Q139" i="12"/>
  <c r="S139" i="12" s="1"/>
  <c r="Q167" i="12"/>
  <c r="S167" i="12" s="1"/>
  <c r="Q190" i="12"/>
  <c r="O200" i="12"/>
  <c r="O214" i="12"/>
  <c r="O273" i="12"/>
  <c r="Q300" i="12"/>
  <c r="S300" i="12" s="1"/>
  <c r="O303" i="12"/>
  <c r="O310" i="12"/>
  <c r="P310" i="12"/>
  <c r="O321" i="12"/>
  <c r="P372" i="12"/>
  <c r="O396" i="12"/>
  <c r="P396" i="12"/>
  <c r="O308" i="12"/>
  <c r="P308" i="12"/>
  <c r="S117" i="12"/>
  <c r="P174" i="12"/>
  <c r="O174" i="12"/>
  <c r="P210" i="12"/>
  <c r="O210" i="12"/>
  <c r="Q226" i="12"/>
  <c r="R226" i="12"/>
  <c r="O332" i="12"/>
  <c r="P332" i="12"/>
  <c r="Q372" i="12"/>
  <c r="S372" i="12" s="1"/>
  <c r="O392" i="12"/>
  <c r="P392" i="12"/>
  <c r="O344" i="12"/>
  <c r="P344" i="12"/>
  <c r="R358" i="12"/>
  <c r="Q358" i="12"/>
  <c r="P248" i="12"/>
  <c r="P266" i="12"/>
  <c r="P271" i="12"/>
  <c r="O296" i="12"/>
  <c r="P296" i="12"/>
  <c r="P358" i="12"/>
  <c r="P373" i="12"/>
  <c r="O373" i="12"/>
  <c r="Q322" i="12"/>
  <c r="R322" i="12"/>
  <c r="Q370" i="12"/>
  <c r="R370" i="12"/>
  <c r="P405" i="12"/>
  <c r="O405" i="12"/>
  <c r="P367" i="12"/>
  <c r="O367" i="12"/>
  <c r="R170" i="12"/>
  <c r="S170" i="12" s="1"/>
  <c r="Q181" i="12"/>
  <c r="S181" i="12" s="1"/>
  <c r="O206" i="12"/>
  <c r="O220" i="12"/>
  <c r="O225" i="12"/>
  <c r="O239" i="12"/>
  <c r="O254" i="12"/>
  <c r="P254" i="12"/>
  <c r="O259" i="12"/>
  <c r="P264" i="12"/>
  <c r="O284" i="12"/>
  <c r="P284" i="12"/>
  <c r="O289" i="12"/>
  <c r="P294" i="12"/>
  <c r="P348" i="12"/>
  <c r="O356" i="12"/>
  <c r="P356" i="12"/>
  <c r="O359" i="12"/>
  <c r="P362" i="12"/>
  <c r="P374" i="12"/>
  <c r="R382" i="12"/>
  <c r="Q382" i="12"/>
  <c r="P388" i="12"/>
  <c r="O397" i="12"/>
  <c r="O409" i="12"/>
  <c r="O164" i="12"/>
  <c r="O175" i="12"/>
  <c r="O197" i="12"/>
  <c r="O211" i="12"/>
  <c r="O232" i="12"/>
  <c r="P244" i="12"/>
  <c r="R251" i="12"/>
  <c r="S251" i="12" s="1"/>
  <c r="Q264" i="12"/>
  <c r="S264" i="12" s="1"/>
  <c r="O267" i="12"/>
  <c r="O277" i="12"/>
  <c r="Q294" i="12"/>
  <c r="S294" i="12" s="1"/>
  <c r="R299" i="12"/>
  <c r="S299" i="12" s="1"/>
  <c r="Q309" i="12"/>
  <c r="S309" i="12" s="1"/>
  <c r="O320" i="12"/>
  <c r="P320" i="12"/>
  <c r="O337" i="12"/>
  <c r="O345" i="12"/>
  <c r="Q348" i="12"/>
  <c r="S348" i="12" s="1"/>
  <c r="Q362" i="12"/>
  <c r="S362" i="12" s="1"/>
  <c r="Q374" i="12"/>
  <c r="S374" i="12" s="1"/>
  <c r="P379" i="12"/>
  <c r="P382" i="12"/>
  <c r="Q388" i="12"/>
  <c r="S388" i="12" s="1"/>
  <c r="Q394" i="12"/>
  <c r="R394" i="12"/>
  <c r="R406" i="12"/>
  <c r="Q406" i="12"/>
  <c r="P218" i="12"/>
  <c r="O249" i="12"/>
  <c r="P272" i="12"/>
  <c r="P292" i="12"/>
  <c r="O297" i="12"/>
  <c r="P302" i="12"/>
  <c r="P312" i="12"/>
  <c r="R334" i="12"/>
  <c r="Q334" i="12"/>
  <c r="P340" i="12"/>
  <c r="O368" i="12"/>
  <c r="P368" i="12"/>
  <c r="P394" i="12"/>
  <c r="P398" i="12"/>
  <c r="P406" i="12"/>
  <c r="O381" i="12"/>
  <c r="P408" i="12"/>
  <c r="P125" i="11"/>
  <c r="P112" i="11"/>
  <c r="O76" i="11"/>
  <c r="R76" i="11" s="1"/>
  <c r="P105" i="11"/>
  <c r="P68" i="11"/>
  <c r="R118" i="11"/>
  <c r="P128" i="11"/>
  <c r="P137" i="11"/>
  <c r="O34" i="11"/>
  <c r="R34" i="11" s="1"/>
  <c r="S118" i="11"/>
  <c r="P59" i="11"/>
  <c r="P80" i="11"/>
  <c r="P130" i="11"/>
  <c r="Q112" i="11"/>
  <c r="S112" i="11" s="1"/>
  <c r="P10" i="11"/>
  <c r="R98" i="11"/>
  <c r="S98" i="11" s="1"/>
  <c r="Q17" i="11"/>
  <c r="P131" i="11"/>
  <c r="P147" i="11"/>
  <c r="Q100" i="11"/>
  <c r="S100" i="11" s="1"/>
  <c r="Q140" i="11"/>
  <c r="S140" i="11" s="1"/>
  <c r="P12" i="11"/>
  <c r="P45" i="11"/>
  <c r="R71" i="11"/>
  <c r="S71" i="11" s="1"/>
  <c r="P86" i="11"/>
  <c r="P108" i="11"/>
  <c r="P113" i="11"/>
  <c r="R134" i="11"/>
  <c r="S134" i="11" s="1"/>
  <c r="R142" i="11"/>
  <c r="S142" i="11" s="1"/>
  <c r="O93" i="11"/>
  <c r="R93" i="11" s="1"/>
  <c r="P53" i="11"/>
  <c r="O55" i="11"/>
  <c r="R55" i="11" s="1"/>
  <c r="P72" i="11"/>
  <c r="O95" i="11"/>
  <c r="R95" i="11" s="1"/>
  <c r="R108" i="11"/>
  <c r="S108" i="11" s="1"/>
  <c r="P121" i="11"/>
  <c r="R77" i="11"/>
  <c r="S77" i="11" s="1"/>
  <c r="P133" i="11"/>
  <c r="Q126" i="11"/>
  <c r="S126" i="11" s="1"/>
  <c r="O103" i="11"/>
  <c r="R103" i="11" s="1"/>
  <c r="P143" i="11"/>
  <c r="P153" i="11"/>
  <c r="O18" i="11"/>
  <c r="R18" i="11" s="1"/>
  <c r="P85" i="11"/>
  <c r="R85" i="11"/>
  <c r="S85" i="11" s="1"/>
  <c r="O6" i="11"/>
  <c r="P32" i="11"/>
  <c r="P39" i="11"/>
  <c r="O109" i="11"/>
  <c r="R109" i="11" s="1"/>
  <c r="P136" i="11"/>
  <c r="P28" i="11"/>
  <c r="P77" i="11"/>
  <c r="P126" i="11"/>
  <c r="Q29" i="11"/>
  <c r="P61" i="11"/>
  <c r="O16" i="11"/>
  <c r="R16" i="11" s="1"/>
  <c r="S124" i="11"/>
  <c r="P120" i="11"/>
  <c r="P49" i="11"/>
  <c r="Q58" i="11"/>
  <c r="S58" i="11" s="1"/>
  <c r="P82" i="11"/>
  <c r="R104" i="11"/>
  <c r="S104" i="11" s="1"/>
  <c r="P117" i="11"/>
  <c r="R124" i="11"/>
  <c r="P155" i="11"/>
  <c r="R131" i="11"/>
  <c r="Q131" i="11"/>
  <c r="R147" i="11"/>
  <c r="Q147" i="11"/>
  <c r="Q119" i="11"/>
  <c r="R119" i="11"/>
  <c r="Q121" i="11"/>
  <c r="R121" i="11"/>
  <c r="R133" i="11"/>
  <c r="Q133" i="11"/>
  <c r="R143" i="11"/>
  <c r="Q143" i="11"/>
  <c r="R153" i="11"/>
  <c r="Q153" i="11"/>
  <c r="Q113" i="11"/>
  <c r="R113" i="11"/>
  <c r="R123" i="11"/>
  <c r="Q123" i="11"/>
  <c r="R137" i="11"/>
  <c r="Q137" i="11"/>
  <c r="R155" i="11"/>
  <c r="Q155" i="11"/>
  <c r="O135" i="11"/>
  <c r="Q23" i="11"/>
  <c r="S23" i="11" s="1"/>
  <c r="S29" i="11"/>
  <c r="P91" i="11"/>
  <c r="P100" i="11"/>
  <c r="P134" i="11"/>
  <c r="O24" i="11"/>
  <c r="R24" i="11" s="1"/>
  <c r="O51" i="11"/>
  <c r="R51" i="11" s="1"/>
  <c r="P114" i="11"/>
  <c r="O8" i="11"/>
  <c r="R8" i="11" s="1"/>
  <c r="P92" i="11"/>
  <c r="R150" i="11"/>
  <c r="S150" i="11" s="1"/>
  <c r="P78" i="11"/>
  <c r="O101" i="11"/>
  <c r="R101" i="11" s="1"/>
  <c r="P14" i="11"/>
  <c r="O20" i="11"/>
  <c r="R20" i="11" s="1"/>
  <c r="P36" i="11"/>
  <c r="O41" i="11"/>
  <c r="R41" i="11" s="1"/>
  <c r="Q52" i="11"/>
  <c r="S52" i="11" s="1"/>
  <c r="P63" i="11"/>
  <c r="O70" i="11"/>
  <c r="Q75" i="11"/>
  <c r="S75" i="11" s="1"/>
  <c r="P84" i="11"/>
  <c r="P89" i="11"/>
  <c r="O107" i="11"/>
  <c r="R107" i="11" s="1"/>
  <c r="O115" i="11"/>
  <c r="P119" i="11"/>
  <c r="P123" i="11"/>
  <c r="R132" i="11"/>
  <c r="S132" i="11" s="1"/>
  <c r="O139" i="11"/>
  <c r="O145" i="11"/>
  <c r="P148" i="11"/>
  <c r="O151" i="11"/>
  <c r="P154" i="11"/>
  <c r="O88" i="11"/>
  <c r="R88" i="11" s="1"/>
  <c r="O97" i="11"/>
  <c r="R97" i="11" s="1"/>
  <c r="P144" i="11"/>
  <c r="Q46" i="11"/>
  <c r="S46" i="11" s="1"/>
  <c r="O3" i="11"/>
  <c r="R3" i="11" s="1"/>
  <c r="R5" i="11" s="1"/>
  <c r="O26" i="11"/>
  <c r="R26" i="11" s="1"/>
  <c r="Q89" i="11"/>
  <c r="S89" i="11" s="1"/>
  <c r="Q148" i="11"/>
  <c r="S148" i="11" s="1"/>
  <c r="P122" i="11"/>
  <c r="P150" i="11"/>
  <c r="Q125" i="11"/>
  <c r="S125" i="11" s="1"/>
  <c r="P138" i="11"/>
  <c r="Q64" i="11"/>
  <c r="S64" i="11" s="1"/>
  <c r="P142" i="11"/>
  <c r="Q35" i="11"/>
  <c r="S35" i="11" s="1"/>
  <c r="O129" i="11"/>
  <c r="P111" i="11"/>
  <c r="O74" i="11"/>
  <c r="R74" i="11" s="1"/>
  <c r="O141" i="11"/>
  <c r="O30" i="11"/>
  <c r="R30" i="11" s="1"/>
  <c r="O57" i="11"/>
  <c r="R57" i="11" s="1"/>
  <c r="P132" i="11"/>
  <c r="Q4" i="11"/>
  <c r="S4" i="11" s="1"/>
  <c r="O22" i="11"/>
  <c r="R22" i="11" s="1"/>
  <c r="O43" i="11"/>
  <c r="R43" i="11" s="1"/>
  <c r="O65" i="11"/>
  <c r="R65" i="11" s="1"/>
  <c r="O90" i="11"/>
  <c r="R90" i="11" s="1"/>
  <c r="Q94" i="11"/>
  <c r="S94" i="11" s="1"/>
  <c r="O99" i="11"/>
  <c r="R99" i="11" s="1"/>
  <c r="P124" i="11"/>
  <c r="O127" i="11"/>
  <c r="O149" i="11"/>
  <c r="Q40" i="11"/>
  <c r="S40" i="11" s="1"/>
  <c r="R114" i="11"/>
  <c r="S114" i="11" s="1"/>
  <c r="Q11" i="11"/>
  <c r="S11" i="11" s="1"/>
  <c r="S17" i="11"/>
  <c r="R81" i="11"/>
  <c r="S81" i="11" s="1"/>
  <c r="P140" i="11"/>
  <c r="P146" i="11"/>
  <c r="P152" i="11"/>
  <c r="O148" i="10"/>
  <c r="R148" i="10" s="1"/>
  <c r="O31" i="10"/>
  <c r="R31" i="10" s="1"/>
  <c r="R252" i="10"/>
  <c r="S252" i="10" s="1"/>
  <c r="O182" i="10"/>
  <c r="R182" i="10" s="1"/>
  <c r="O253" i="10"/>
  <c r="Q253" i="10" s="1"/>
  <c r="O33" i="10"/>
  <c r="R33" i="10" s="1"/>
  <c r="O159" i="10"/>
  <c r="Q159" i="10" s="1"/>
  <c r="P160" i="10"/>
  <c r="O112" i="10"/>
  <c r="R112" i="10" s="1"/>
  <c r="O43" i="10"/>
  <c r="R43" i="10" s="1"/>
  <c r="O110" i="10"/>
  <c r="Q110" i="10" s="1"/>
  <c r="P131" i="10"/>
  <c r="O91" i="10"/>
  <c r="R91" i="10" s="1"/>
  <c r="P152" i="10"/>
  <c r="P212" i="10"/>
  <c r="P402" i="10"/>
  <c r="O269" i="10"/>
  <c r="R269" i="10" s="1"/>
  <c r="R348" i="10"/>
  <c r="S348" i="10" s="1"/>
  <c r="O144" i="10"/>
  <c r="R144" i="10" s="1"/>
  <c r="P174" i="10"/>
  <c r="Q278" i="10"/>
  <c r="S278" i="10" s="1"/>
  <c r="P213" i="10"/>
  <c r="P195" i="10"/>
  <c r="R244" i="10"/>
  <c r="S244" i="10" s="1"/>
  <c r="P392" i="10"/>
  <c r="P140" i="10"/>
  <c r="P196" i="10"/>
  <c r="O228" i="10"/>
  <c r="R228" i="10" s="1"/>
  <c r="O305" i="10"/>
  <c r="R305" i="10" s="1"/>
  <c r="O299" i="10"/>
  <c r="R299" i="10" s="1"/>
  <c r="R174" i="10"/>
  <c r="Q174" i="10"/>
  <c r="R131" i="10"/>
  <c r="Q131" i="10"/>
  <c r="S131" i="10" s="1"/>
  <c r="O104" i="10"/>
  <c r="R104" i="10" s="1"/>
  <c r="O34" i="10"/>
  <c r="R34" i="10" s="1"/>
  <c r="O93" i="10"/>
  <c r="R93" i="10" s="1"/>
  <c r="P204" i="10"/>
  <c r="P220" i="10"/>
  <c r="O236" i="10"/>
  <c r="R236" i="10" s="1"/>
  <c r="P364" i="10"/>
  <c r="R384" i="10"/>
  <c r="S384" i="10" s="1"/>
  <c r="Q392" i="10"/>
  <c r="S392" i="10" s="1"/>
  <c r="O156" i="10"/>
  <c r="P404" i="10"/>
  <c r="O30" i="10"/>
  <c r="R30" i="10" s="1"/>
  <c r="O67" i="10"/>
  <c r="O143" i="10"/>
  <c r="Q143" i="10" s="1"/>
  <c r="O149" i="10"/>
  <c r="R149" i="10" s="1"/>
  <c r="P208" i="10"/>
  <c r="O224" i="10"/>
  <c r="O240" i="10"/>
  <c r="O247" i="10"/>
  <c r="R247" i="10" s="1"/>
  <c r="P256" i="10"/>
  <c r="R264" i="10"/>
  <c r="S264" i="10" s="1"/>
  <c r="P304" i="10"/>
  <c r="Q358" i="10"/>
  <c r="S358" i="10" s="1"/>
  <c r="Q404" i="10"/>
  <c r="S404" i="10" s="1"/>
  <c r="O55" i="10"/>
  <c r="R55" i="10" s="1"/>
  <c r="R340" i="10"/>
  <c r="S340" i="10" s="1"/>
  <c r="Q148" i="10"/>
  <c r="S148" i="10" s="1"/>
  <c r="O96" i="10"/>
  <c r="R96" i="10" s="1"/>
  <c r="R312" i="10"/>
  <c r="S312" i="10" s="1"/>
  <c r="O21" i="10"/>
  <c r="R21" i="10" s="1"/>
  <c r="O48" i="10"/>
  <c r="R48" i="10" s="1"/>
  <c r="O127" i="10"/>
  <c r="Q127" i="10" s="1"/>
  <c r="P178" i="10"/>
  <c r="O186" i="10"/>
  <c r="P200" i="10"/>
  <c r="O217" i="10"/>
  <c r="Q217" i="10" s="1"/>
  <c r="P232" i="10"/>
  <c r="R256" i="10"/>
  <c r="S256" i="10" s="1"/>
  <c r="O275" i="10"/>
  <c r="R275" i="10" s="1"/>
  <c r="R304" i="10"/>
  <c r="S304" i="10" s="1"/>
  <c r="Q324" i="10"/>
  <c r="S324" i="10" s="1"/>
  <c r="P380" i="10"/>
  <c r="O389" i="10"/>
  <c r="R389" i="10" s="1"/>
  <c r="O357" i="10"/>
  <c r="R357" i="10" s="1"/>
  <c r="O170" i="10"/>
  <c r="P135" i="10"/>
  <c r="O164" i="10"/>
  <c r="P192" i="10"/>
  <c r="P370" i="10"/>
  <c r="R380" i="10"/>
  <c r="S380" i="10" s="1"/>
  <c r="O263" i="10"/>
  <c r="R263" i="10" s="1"/>
  <c r="O19" i="10"/>
  <c r="R19" i="10" s="1"/>
  <c r="O8" i="10"/>
  <c r="P56" i="10"/>
  <c r="O341" i="10"/>
  <c r="R341" i="10" s="1"/>
  <c r="O22" i="10"/>
  <c r="R22" i="10" s="1"/>
  <c r="O151" i="10"/>
  <c r="Q151" i="10" s="1"/>
  <c r="O157" i="10"/>
  <c r="R157" i="10" s="1"/>
  <c r="P201" i="10"/>
  <c r="O218" i="10"/>
  <c r="Q218" i="10" s="1"/>
  <c r="P354" i="10"/>
  <c r="R398" i="10"/>
  <c r="S398" i="10" s="1"/>
  <c r="P231" i="10"/>
  <c r="O293" i="10"/>
  <c r="R293" i="10" s="1"/>
  <c r="P358" i="10"/>
  <c r="O136" i="10"/>
  <c r="R136" i="10" s="1"/>
  <c r="O234" i="10"/>
  <c r="R234" i="10" s="1"/>
  <c r="O241" i="10"/>
  <c r="Q241" i="10" s="1"/>
  <c r="R336" i="10"/>
  <c r="S336" i="10" s="1"/>
  <c r="Q354" i="10"/>
  <c r="S354" i="10" s="1"/>
  <c r="O391" i="10"/>
  <c r="R391" i="10" s="1"/>
  <c r="O36" i="10"/>
  <c r="R36" i="10" s="1"/>
  <c r="P185" i="10"/>
  <c r="O92" i="10"/>
  <c r="R92" i="10" s="1"/>
  <c r="P278" i="10"/>
  <c r="O317" i="10"/>
  <c r="R317" i="10" s="1"/>
  <c r="Q125" i="10"/>
  <c r="R125" i="10"/>
  <c r="R198" i="10"/>
  <c r="Q198" i="10"/>
  <c r="Q220" i="10"/>
  <c r="R220" i="10"/>
  <c r="R140" i="10"/>
  <c r="Q140" i="10"/>
  <c r="R196" i="10"/>
  <c r="Q196" i="10"/>
  <c r="Q133" i="10"/>
  <c r="R133" i="10"/>
  <c r="R190" i="10"/>
  <c r="Q190" i="10"/>
  <c r="R232" i="10"/>
  <c r="Q232" i="10"/>
  <c r="Q222" i="10"/>
  <c r="R222" i="10"/>
  <c r="Q192" i="10"/>
  <c r="R192" i="10"/>
  <c r="R56" i="10"/>
  <c r="Q56" i="10"/>
  <c r="Q185" i="10"/>
  <c r="R185" i="10"/>
  <c r="Q206" i="10"/>
  <c r="R206" i="10"/>
  <c r="R32" i="10"/>
  <c r="Q32" i="10"/>
  <c r="R226" i="10"/>
  <c r="Q226" i="10"/>
  <c r="Q231" i="10"/>
  <c r="R231" i="10"/>
  <c r="R208" i="10"/>
  <c r="Q208" i="10"/>
  <c r="Q158" i="10"/>
  <c r="R158" i="10"/>
  <c r="R146" i="10"/>
  <c r="Q146" i="10"/>
  <c r="P209" i="10"/>
  <c r="O229" i="10"/>
  <c r="R229" i="10" s="1"/>
  <c r="P400" i="10"/>
  <c r="O142" i="10"/>
  <c r="O154" i="10"/>
  <c r="P166" i="10"/>
  <c r="P222" i="10"/>
  <c r="O11" i="10"/>
  <c r="P113" i="10"/>
  <c r="P146" i="10"/>
  <c r="O180" i="10"/>
  <c r="O230" i="10"/>
  <c r="Q296" i="10"/>
  <c r="S296" i="10" s="1"/>
  <c r="O25" i="10"/>
  <c r="R25" i="10" s="1"/>
  <c r="O69" i="10"/>
  <c r="R69" i="10" s="1"/>
  <c r="P198" i="10"/>
  <c r="O219" i="10"/>
  <c r="Q219" i="10" s="1"/>
  <c r="R233" i="10"/>
  <c r="S233" i="10" s="1"/>
  <c r="P266" i="10"/>
  <c r="Q338" i="10"/>
  <c r="S338" i="10" s="1"/>
  <c r="O128" i="10"/>
  <c r="O189" i="10"/>
  <c r="Q189" i="10" s="1"/>
  <c r="O102" i="10"/>
  <c r="Q314" i="10"/>
  <c r="S314" i="10" s="1"/>
  <c r="O57" i="10"/>
  <c r="R57" i="10" s="1"/>
  <c r="R175" i="10"/>
  <c r="S175" i="10" s="1"/>
  <c r="P214" i="10"/>
  <c r="P32" i="10"/>
  <c r="O78" i="10"/>
  <c r="R113" i="10"/>
  <c r="S113" i="10" s="1"/>
  <c r="O210" i="10"/>
  <c r="Q210" i="10" s="1"/>
  <c r="R242" i="10"/>
  <c r="S242" i="10" s="1"/>
  <c r="O9" i="10"/>
  <c r="O61" i="10"/>
  <c r="R61" i="10" s="1"/>
  <c r="O80" i="10"/>
  <c r="R80" i="10" s="1"/>
  <c r="O105" i="10"/>
  <c r="R105" i="10" s="1"/>
  <c r="O117" i="10"/>
  <c r="O123" i="10"/>
  <c r="O145" i="10"/>
  <c r="O153" i="10"/>
  <c r="O161" i="10"/>
  <c r="O283" i="10"/>
  <c r="R283" i="10" s="1"/>
  <c r="O313" i="10"/>
  <c r="Q313" i="10" s="1"/>
  <c r="P348" i="10"/>
  <c r="Q364" i="10"/>
  <c r="S364" i="10" s="1"/>
  <c r="P372" i="10"/>
  <c r="O385" i="10"/>
  <c r="R385" i="10" s="1"/>
  <c r="O24" i="10"/>
  <c r="O44" i="10"/>
  <c r="R44" i="10" s="1"/>
  <c r="O81" i="10"/>
  <c r="O193" i="10"/>
  <c r="Q193" i="10" s="1"/>
  <c r="P302" i="10"/>
  <c r="P386" i="10"/>
  <c r="O118" i="10"/>
  <c r="Q118" i="10" s="1"/>
  <c r="P206" i="10"/>
  <c r="P237" i="10"/>
  <c r="Q386" i="10"/>
  <c r="S386" i="10" s="1"/>
  <c r="O184" i="10"/>
  <c r="Q184" i="10" s="1"/>
  <c r="O325" i="10"/>
  <c r="Q325" i="10" s="1"/>
  <c r="O381" i="10"/>
  <c r="R381" i="10" s="1"/>
  <c r="O20" i="10"/>
  <c r="O129" i="10"/>
  <c r="O238" i="10"/>
  <c r="R238" i="10" s="1"/>
  <c r="P274" i="10"/>
  <c r="O349" i="10"/>
  <c r="R349" i="10" s="1"/>
  <c r="O58" i="10"/>
  <c r="R58" i="10" s="1"/>
  <c r="O65" i="10"/>
  <c r="R65" i="10" s="1"/>
  <c r="O83" i="10"/>
  <c r="O103" i="10"/>
  <c r="O120" i="10"/>
  <c r="O176" i="10"/>
  <c r="P190" i="10"/>
  <c r="O207" i="10"/>
  <c r="Q266" i="10"/>
  <c r="S266" i="10" s="1"/>
  <c r="Q274" i="10"/>
  <c r="S274" i="10" s="1"/>
  <c r="P280" i="10"/>
  <c r="R286" i="10"/>
  <c r="S286" i="10" s="1"/>
  <c r="O291" i="10"/>
  <c r="R291" i="10" s="1"/>
  <c r="O311" i="10"/>
  <c r="R311" i="10" s="1"/>
  <c r="P326" i="10"/>
  <c r="P356" i="10"/>
  <c r="P360" i="10"/>
  <c r="Q376" i="10"/>
  <c r="S376" i="10" s="1"/>
  <c r="P388" i="10"/>
  <c r="O407" i="10"/>
  <c r="R407" i="10" s="1"/>
  <c r="P183" i="10"/>
  <c r="O68" i="10"/>
  <c r="R68" i="10" s="1"/>
  <c r="O107" i="10"/>
  <c r="O162" i="10"/>
  <c r="O202" i="10"/>
  <c r="P254" i="10"/>
  <c r="Q290" i="10"/>
  <c r="S290" i="10" s="1"/>
  <c r="P320" i="10"/>
  <c r="O405" i="10"/>
  <c r="R405" i="10" s="1"/>
  <c r="O138" i="10"/>
  <c r="P187" i="10"/>
  <c r="P233" i="10"/>
  <c r="Q254" i="10"/>
  <c r="S254" i="10" s="1"/>
  <c r="P286" i="10"/>
  <c r="P338" i="10"/>
  <c r="P125" i="10"/>
  <c r="P194" i="10"/>
  <c r="Q260" i="10"/>
  <c r="S260" i="10" s="1"/>
  <c r="O6" i="10"/>
  <c r="R6" i="10" s="1"/>
  <c r="O46" i="10"/>
  <c r="O168" i="10"/>
  <c r="Q168" i="10" s="1"/>
  <c r="O216" i="10"/>
  <c r="R280" i="10"/>
  <c r="S280" i="10" s="1"/>
  <c r="R298" i="10"/>
  <c r="S298" i="10" s="1"/>
  <c r="O315" i="10"/>
  <c r="P322" i="10"/>
  <c r="Q326" i="10"/>
  <c r="S326" i="10" s="1"/>
  <c r="P346" i="10"/>
  <c r="P350" i="10"/>
  <c r="Q356" i="10"/>
  <c r="S356" i="10" s="1"/>
  <c r="O383" i="10"/>
  <c r="R383" i="10" s="1"/>
  <c r="P314" i="10"/>
  <c r="O150" i="10"/>
  <c r="P242" i="10"/>
  <c r="P158" i="10"/>
  <c r="P133" i="10"/>
  <c r="P226" i="10"/>
  <c r="O401" i="10"/>
  <c r="R401" i="10" s="1"/>
  <c r="O66" i="10"/>
  <c r="O71" i="10"/>
  <c r="O115" i="10"/>
  <c r="O126" i="10"/>
  <c r="O134" i="10"/>
  <c r="Q134" i="10" s="1"/>
  <c r="O173" i="10"/>
  <c r="R173" i="10" s="1"/>
  <c r="P244" i="10"/>
  <c r="O251" i="10"/>
  <c r="R251" i="10" s="1"/>
  <c r="O255" i="10"/>
  <c r="R255" i="10" s="1"/>
  <c r="Q262" i="10"/>
  <c r="S262" i="10" s="1"/>
  <c r="R292" i="10"/>
  <c r="S292" i="10" s="1"/>
  <c r="Q322" i="10"/>
  <c r="S322" i="10" s="1"/>
  <c r="Q346" i="10"/>
  <c r="S346" i="10" s="1"/>
  <c r="Q350" i="10"/>
  <c r="S350" i="10" s="1"/>
  <c r="Q370" i="10"/>
  <c r="S370" i="10" s="1"/>
  <c r="Q408" i="10"/>
  <c r="S408" i="10" s="1"/>
  <c r="P225" i="10"/>
  <c r="Q302" i="10"/>
  <c r="S302" i="10" s="1"/>
  <c r="O5" i="10"/>
  <c r="Q320" i="10"/>
  <c r="S320" i="10" s="1"/>
  <c r="O167" i="10"/>
  <c r="R167" i="10" s="1"/>
  <c r="R250" i="10"/>
  <c r="S250" i="10" s="1"/>
  <c r="O60" i="10"/>
  <c r="O79" i="10"/>
  <c r="R79" i="10" s="1"/>
  <c r="Q91" i="10"/>
  <c r="S91" i="10" s="1"/>
  <c r="O281" i="10"/>
  <c r="R281" i="10" s="1"/>
  <c r="O287" i="10"/>
  <c r="O4" i="10"/>
  <c r="R4" i="10" s="1"/>
  <c r="P290" i="10"/>
  <c r="O90" i="10"/>
  <c r="R209" i="10"/>
  <c r="S209" i="10" s="1"/>
  <c r="R400" i="10"/>
  <c r="S400" i="10" s="1"/>
  <c r="O95" i="10"/>
  <c r="O172" i="10"/>
  <c r="P260" i="10"/>
  <c r="O45" i="10"/>
  <c r="R45" i="10" s="1"/>
  <c r="P376" i="10"/>
  <c r="P252" i="10"/>
  <c r="O323" i="10"/>
  <c r="O335" i="10"/>
  <c r="R335" i="10" s="1"/>
  <c r="P340" i="10"/>
  <c r="Q138" i="11"/>
  <c r="S138" i="11" s="1"/>
  <c r="P75" i="11"/>
  <c r="P98" i="11"/>
  <c r="P118" i="11"/>
  <c r="P27" i="11"/>
  <c r="P44" i="11"/>
  <c r="P69" i="11"/>
  <c r="P102" i="11"/>
  <c r="Q27" i="11"/>
  <c r="S27" i="11" s="1"/>
  <c r="Q38" i="11"/>
  <c r="S38" i="11" s="1"/>
  <c r="Q56" i="11"/>
  <c r="S56" i="11" s="1"/>
  <c r="Q102" i="11"/>
  <c r="S102" i="11" s="1"/>
  <c r="P106" i="11"/>
  <c r="Q130" i="11"/>
  <c r="S130" i="11" s="1"/>
  <c r="Q154" i="11"/>
  <c r="S154" i="11" s="1"/>
  <c r="Q73" i="11"/>
  <c r="S73" i="11" s="1"/>
  <c r="Q83" i="11"/>
  <c r="S83" i="11" s="1"/>
  <c r="P96" i="11"/>
  <c r="Q106" i="11"/>
  <c r="S106" i="11" s="1"/>
  <c r="P116" i="11"/>
  <c r="Q122" i="11"/>
  <c r="S122" i="11" s="1"/>
  <c r="R146" i="11"/>
  <c r="S146" i="11" s="1"/>
  <c r="P21" i="11"/>
  <c r="P50" i="11"/>
  <c r="Q2" i="11"/>
  <c r="Q15" i="11"/>
  <c r="S15" i="11" s="1"/>
  <c r="Q33" i="11"/>
  <c r="S33" i="11" s="1"/>
  <c r="Q44" i="11"/>
  <c r="S44" i="11" s="1"/>
  <c r="Q69" i="11"/>
  <c r="S69" i="11" s="1"/>
  <c r="R79" i="11"/>
  <c r="S79" i="11" s="1"/>
  <c r="P7" i="11"/>
  <c r="P13" i="11"/>
  <c r="P19" i="11"/>
  <c r="P25" i="11"/>
  <c r="P31" i="11"/>
  <c r="P37" i="11"/>
  <c r="P42" i="11"/>
  <c r="P48" i="11"/>
  <c r="P54" i="11"/>
  <c r="P60" i="11"/>
  <c r="P67" i="11"/>
  <c r="P87" i="11"/>
  <c r="Q96" i="11"/>
  <c r="S96" i="11" s="1"/>
  <c r="P110" i="11"/>
  <c r="Q116" i="11"/>
  <c r="S116" i="11" s="1"/>
  <c r="P15" i="11"/>
  <c r="P62" i="11"/>
  <c r="R50" i="11"/>
  <c r="S50" i="11" s="1"/>
  <c r="R62" i="11"/>
  <c r="S62" i="11" s="1"/>
  <c r="P83" i="11"/>
  <c r="Q7" i="11"/>
  <c r="S7" i="11" s="1"/>
  <c r="Q13" i="11"/>
  <c r="S13" i="11" s="1"/>
  <c r="Q19" i="11"/>
  <c r="S19" i="11" s="1"/>
  <c r="Q25" i="11"/>
  <c r="S25" i="11" s="1"/>
  <c r="Q31" i="11"/>
  <c r="S31" i="11" s="1"/>
  <c r="Q37" i="11"/>
  <c r="S37" i="11" s="1"/>
  <c r="Q42" i="11"/>
  <c r="S42" i="11" s="1"/>
  <c r="Q48" i="11"/>
  <c r="S48" i="11" s="1"/>
  <c r="Q54" i="11"/>
  <c r="S54" i="11" s="1"/>
  <c r="Q60" i="11"/>
  <c r="S60" i="11" s="1"/>
  <c r="Q67" i="11"/>
  <c r="Q87" i="11"/>
  <c r="S87" i="11" s="1"/>
  <c r="Q110" i="11"/>
  <c r="S110" i="11" s="1"/>
  <c r="Q128" i="11"/>
  <c r="S128" i="11" s="1"/>
  <c r="Q136" i="11"/>
  <c r="S136" i="11" s="1"/>
  <c r="Q144" i="11"/>
  <c r="S144" i="11" s="1"/>
  <c r="Q152" i="11"/>
  <c r="S152" i="11" s="1"/>
  <c r="P2" i="11"/>
  <c r="P56" i="11"/>
  <c r="R21" i="11"/>
  <c r="S21" i="11" s="1"/>
  <c r="P38" i="11"/>
  <c r="Q9" i="11"/>
  <c r="S9" i="11" s="1"/>
  <c r="P71" i="11"/>
  <c r="P81" i="11"/>
  <c r="Q91" i="11"/>
  <c r="S91" i="11" s="1"/>
  <c r="P104" i="11"/>
  <c r="Q120" i="11"/>
  <c r="S120" i="11" s="1"/>
  <c r="P9" i="11"/>
  <c r="P33" i="11"/>
  <c r="P79" i="11"/>
  <c r="P73" i="11"/>
  <c r="P4" i="11"/>
  <c r="P11" i="11"/>
  <c r="P17" i="11"/>
  <c r="P23" i="11"/>
  <c r="P29" i="11"/>
  <c r="P35" i="11"/>
  <c r="P40" i="11"/>
  <c r="P46" i="11"/>
  <c r="P52" i="11"/>
  <c r="P58" i="11"/>
  <c r="P64" i="11"/>
  <c r="P94" i="11"/>
  <c r="Q10" i="11"/>
  <c r="S10" i="11" s="1"/>
  <c r="Q12" i="11"/>
  <c r="S12" i="11" s="1"/>
  <c r="Q14" i="11"/>
  <c r="S14" i="11" s="1"/>
  <c r="Q28" i="11"/>
  <c r="S28" i="11" s="1"/>
  <c r="Q32" i="11"/>
  <c r="S32" i="11" s="1"/>
  <c r="Q36" i="11"/>
  <c r="S36" i="11" s="1"/>
  <c r="Q39" i="11"/>
  <c r="S39" i="11" s="1"/>
  <c r="Q45" i="11"/>
  <c r="S45" i="11" s="1"/>
  <c r="Q47" i="11"/>
  <c r="S47" i="11" s="1"/>
  <c r="Q49" i="11"/>
  <c r="S49" i="11" s="1"/>
  <c r="Q53" i="11"/>
  <c r="S53" i="11" s="1"/>
  <c r="Q59" i="11"/>
  <c r="S59" i="11" s="1"/>
  <c r="Q61" i="11"/>
  <c r="S61" i="11" s="1"/>
  <c r="Q63" i="11"/>
  <c r="S63" i="11" s="1"/>
  <c r="Q68" i="11"/>
  <c r="S68" i="11" s="1"/>
  <c r="Q72" i="11"/>
  <c r="S72" i="11" s="1"/>
  <c r="Q78" i="11"/>
  <c r="S78" i="11" s="1"/>
  <c r="Q80" i="11"/>
  <c r="S80" i="11" s="1"/>
  <c r="Q82" i="11"/>
  <c r="S82" i="11" s="1"/>
  <c r="Q84" i="11"/>
  <c r="S84" i="11" s="1"/>
  <c r="Q86" i="11"/>
  <c r="S86" i="11" s="1"/>
  <c r="Q92" i="11"/>
  <c r="S92" i="11" s="1"/>
  <c r="Q103" i="11"/>
  <c r="S103" i="11" s="1"/>
  <c r="Q105" i="11"/>
  <c r="S105" i="11" s="1"/>
  <c r="Q107" i="11"/>
  <c r="S107" i="11" s="1"/>
  <c r="Q111" i="11"/>
  <c r="S111" i="11" s="1"/>
  <c r="Q117" i="11"/>
  <c r="S117" i="11" s="1"/>
  <c r="R160" i="10"/>
  <c r="Q160" i="10"/>
  <c r="Q183" i="10"/>
  <c r="R183" i="10"/>
  <c r="P10" i="10"/>
  <c r="P14" i="10" s="1"/>
  <c r="O10" i="10"/>
  <c r="P39" i="10"/>
  <c r="O39" i="10"/>
  <c r="P47" i="10"/>
  <c r="O47" i="10"/>
  <c r="P74" i="10"/>
  <c r="O74" i="10"/>
  <c r="P82" i="10"/>
  <c r="O82" i="10"/>
  <c r="P267" i="10"/>
  <c r="O267" i="10"/>
  <c r="O382" i="10"/>
  <c r="P382" i="10"/>
  <c r="P27" i="10"/>
  <c r="O27" i="10"/>
  <c r="P35" i="10"/>
  <c r="O35" i="10"/>
  <c r="P70" i="10"/>
  <c r="O70" i="10"/>
  <c r="O12" i="10"/>
  <c r="O18" i="10"/>
  <c r="O49" i="10"/>
  <c r="O54" i="10"/>
  <c r="Q79" i="10"/>
  <c r="S79" i="10" s="1"/>
  <c r="O84" i="10"/>
  <c r="O89" i="10"/>
  <c r="O124" i="10"/>
  <c r="R135" i="10"/>
  <c r="Q135" i="10"/>
  <c r="Q194" i="10"/>
  <c r="R194" i="10"/>
  <c r="O205" i="10"/>
  <c r="O259" i="10"/>
  <c r="O342" i="10"/>
  <c r="P342" i="10"/>
  <c r="O111" i="10"/>
  <c r="O181" i="10"/>
  <c r="P271" i="10"/>
  <c r="O271" i="10"/>
  <c r="Q201" i="10"/>
  <c r="R201" i="10"/>
  <c r="O352" i="10"/>
  <c r="P352" i="10"/>
  <c r="P98" i="10"/>
  <c r="O98" i="10"/>
  <c r="O119" i="10"/>
  <c r="O116" i="10"/>
  <c r="O132" i="10"/>
  <c r="O171" i="10"/>
  <c r="Q204" i="10"/>
  <c r="S204" i="10" s="1"/>
  <c r="P63" i="10"/>
  <c r="O63" i="10"/>
  <c r="P15" i="10"/>
  <c r="O15" i="10"/>
  <c r="P23" i="10"/>
  <c r="O23" i="10"/>
  <c r="P51" i="10"/>
  <c r="O51" i="10"/>
  <c r="P59" i="10"/>
  <c r="O59" i="10"/>
  <c r="P86" i="10"/>
  <c r="O86" i="10"/>
  <c r="P94" i="10"/>
  <c r="O94" i="10"/>
  <c r="R178" i="10"/>
  <c r="S178" i="10" s="1"/>
  <c r="R284" i="10"/>
  <c r="Q284" i="10"/>
  <c r="P2" i="10"/>
  <c r="P7" i="10" s="1"/>
  <c r="O2" i="10"/>
  <c r="O165" i="10"/>
  <c r="O378" i="10"/>
  <c r="P378" i="10"/>
  <c r="O37" i="10"/>
  <c r="O42" i="10"/>
  <c r="O72" i="10"/>
  <c r="O77" i="10"/>
  <c r="O108" i="10"/>
  <c r="P121" i="10"/>
  <c r="O141" i="10"/>
  <c r="R152" i="10"/>
  <c r="Q152" i="10"/>
  <c r="O191" i="10"/>
  <c r="P191" i="10"/>
  <c r="P284" i="10"/>
  <c r="R334" i="10"/>
  <c r="Q334" i="10"/>
  <c r="O366" i="10"/>
  <c r="P366" i="10"/>
  <c r="P106" i="10"/>
  <c r="O106" i="10"/>
  <c r="O223" i="10"/>
  <c r="O179" i="10"/>
  <c r="P179" i="10"/>
  <c r="O199" i="10"/>
  <c r="Q225" i="10"/>
  <c r="R225" i="10"/>
  <c r="P279" i="10"/>
  <c r="O279" i="10"/>
  <c r="P334" i="10"/>
  <c r="P257" i="10"/>
  <c r="O257" i="10"/>
  <c r="O270" i="10"/>
  <c r="P270" i="10"/>
  <c r="O390" i="10"/>
  <c r="P390" i="10"/>
  <c r="O396" i="10"/>
  <c r="P396" i="10"/>
  <c r="P188" i="10"/>
  <c r="O188" i="10"/>
  <c r="P262" i="10"/>
  <c r="P296" i="10"/>
  <c r="O327" i="10"/>
  <c r="P333" i="10"/>
  <c r="O333" i="10"/>
  <c r="P355" i="10"/>
  <c r="O355" i="10"/>
  <c r="O16" i="10"/>
  <c r="O28" i="10"/>
  <c r="O40" i="10"/>
  <c r="O52" i="10"/>
  <c r="O64" i="10"/>
  <c r="O75" i="10"/>
  <c r="O87" i="10"/>
  <c r="O99" i="10"/>
  <c r="O114" i="10"/>
  <c r="O122" i="10"/>
  <c r="O130" i="10"/>
  <c r="O139" i="10"/>
  <c r="O147" i="10"/>
  <c r="O155" i="10"/>
  <c r="O163" i="10"/>
  <c r="P197" i="10"/>
  <c r="O197" i="10"/>
  <c r="P211" i="10"/>
  <c r="O211" i="10"/>
  <c r="P243" i="10"/>
  <c r="O243" i="10"/>
  <c r="P273" i="10"/>
  <c r="O273" i="10"/>
  <c r="P276" i="10"/>
  <c r="P308" i="10"/>
  <c r="O339" i="10"/>
  <c r="P343" i="10"/>
  <c r="O343" i="10"/>
  <c r="R187" i="10"/>
  <c r="S187" i="10" s="1"/>
  <c r="Q276" i="10"/>
  <c r="S276" i="10" s="1"/>
  <c r="Q308" i="10"/>
  <c r="S308" i="10" s="1"/>
  <c r="O362" i="10"/>
  <c r="P362" i="10"/>
  <c r="O374" i="10"/>
  <c r="P374" i="10"/>
  <c r="P399" i="10"/>
  <c r="O399" i="10"/>
  <c r="P321" i="10"/>
  <c r="O321" i="10"/>
  <c r="O13" i="10"/>
  <c r="O26" i="10"/>
  <c r="O38" i="10"/>
  <c r="O50" i="10"/>
  <c r="O62" i="10"/>
  <c r="O73" i="10"/>
  <c r="O85" i="10"/>
  <c r="O97" i="10"/>
  <c r="O169" i="10"/>
  <c r="O177" i="10"/>
  <c r="R200" i="10"/>
  <c r="S200" i="10" s="1"/>
  <c r="O203" i="10"/>
  <c r="Q214" i="10"/>
  <c r="S214" i="10" s="1"/>
  <c r="P221" i="10"/>
  <c r="O221" i="10"/>
  <c r="O227" i="10"/>
  <c r="P248" i="10"/>
  <c r="O268" i="10"/>
  <c r="P268" i="10"/>
  <c r="O330" i="10"/>
  <c r="P330" i="10"/>
  <c r="P367" i="10"/>
  <c r="O367" i="10"/>
  <c r="P379" i="10"/>
  <c r="O379" i="10"/>
  <c r="Q166" i="10"/>
  <c r="S166" i="10" s="1"/>
  <c r="P215" i="10"/>
  <c r="O215" i="10"/>
  <c r="Q248" i="10"/>
  <c r="S248" i="10" s="1"/>
  <c r="R212" i="10"/>
  <c r="Q212" i="10"/>
  <c r="O3" i="10"/>
  <c r="O17" i="10"/>
  <c r="O29" i="10"/>
  <c r="O41" i="10"/>
  <c r="O53" i="10"/>
  <c r="O76" i="10"/>
  <c r="O88" i="10"/>
  <c r="O100" i="10"/>
  <c r="P175" i="10"/>
  <c r="O245" i="10"/>
  <c r="R253" i="10"/>
  <c r="S253" i="10" s="1"/>
  <c r="O265" i="10"/>
  <c r="P337" i="10"/>
  <c r="O337" i="10"/>
  <c r="O363" i="10"/>
  <c r="O375" i="10"/>
  <c r="O395" i="10"/>
  <c r="O246" i="10"/>
  <c r="P246" i="10"/>
  <c r="P249" i="10"/>
  <c r="O249" i="10"/>
  <c r="O282" i="10"/>
  <c r="P282" i="10"/>
  <c r="P285" i="10"/>
  <c r="O285" i="10"/>
  <c r="O288" i="10"/>
  <c r="P288" i="10"/>
  <c r="P309" i="10"/>
  <c r="O309" i="10"/>
  <c r="O318" i="10"/>
  <c r="P318" i="10"/>
  <c r="P353" i="10"/>
  <c r="O353" i="10"/>
  <c r="P297" i="10"/>
  <c r="O297" i="10"/>
  <c r="O300" i="10"/>
  <c r="P300" i="10"/>
  <c r="P331" i="10"/>
  <c r="O331" i="10"/>
  <c r="P347" i="10"/>
  <c r="O347" i="10"/>
  <c r="O368" i="10"/>
  <c r="P368" i="10"/>
  <c r="P397" i="10"/>
  <c r="O397" i="10"/>
  <c r="R409" i="10"/>
  <c r="Q409" i="10"/>
  <c r="O294" i="10"/>
  <c r="P294" i="10"/>
  <c r="O306" i="10"/>
  <c r="P306" i="10"/>
  <c r="R195" i="10"/>
  <c r="S195" i="10" s="1"/>
  <c r="O239" i="10"/>
  <c r="O277" i="10"/>
  <c r="O303" i="10"/>
  <c r="P310" i="10"/>
  <c r="P319" i="10"/>
  <c r="O319" i="10"/>
  <c r="P328" i="10"/>
  <c r="P344" i="10"/>
  <c r="Q360" i="10"/>
  <c r="S360" i="10" s="1"/>
  <c r="Q372" i="10"/>
  <c r="S372" i="10" s="1"/>
  <c r="Q388" i="10"/>
  <c r="S388" i="10" s="1"/>
  <c r="Q402" i="10"/>
  <c r="S402" i="10" s="1"/>
  <c r="P406" i="10"/>
  <c r="O258" i="10"/>
  <c r="P258" i="10"/>
  <c r="P261" i="10"/>
  <c r="O261" i="10"/>
  <c r="Q310" i="10"/>
  <c r="S310" i="10" s="1"/>
  <c r="R328" i="10"/>
  <c r="S328" i="10" s="1"/>
  <c r="Q344" i="10"/>
  <c r="S344" i="10" s="1"/>
  <c r="P393" i="10"/>
  <c r="O393" i="10"/>
  <c r="R406" i="10"/>
  <c r="S406" i="10" s="1"/>
  <c r="O235" i="10"/>
  <c r="P250" i="10"/>
  <c r="P272" i="10"/>
  <c r="O289" i="10"/>
  <c r="P298" i="10"/>
  <c r="P307" i="10"/>
  <c r="O307" i="10"/>
  <c r="P316" i="10"/>
  <c r="P332" i="10"/>
  <c r="O369" i="10"/>
  <c r="O394" i="10"/>
  <c r="P394" i="10"/>
  <c r="R213" i="10"/>
  <c r="S213" i="10" s="1"/>
  <c r="R237" i="10"/>
  <c r="S237" i="10" s="1"/>
  <c r="P264" i="10"/>
  <c r="Q272" i="10"/>
  <c r="S272" i="10" s="1"/>
  <c r="P292" i="10"/>
  <c r="O295" i="10"/>
  <c r="O301" i="10"/>
  <c r="R316" i="10"/>
  <c r="S316" i="10" s="1"/>
  <c r="Q332" i="10"/>
  <c r="S332" i="10" s="1"/>
  <c r="P345" i="10"/>
  <c r="O345" i="10"/>
  <c r="O361" i="10"/>
  <c r="O373" i="10"/>
  <c r="O403" i="10"/>
  <c r="P312" i="10"/>
  <c r="P324" i="10"/>
  <c r="P336" i="10"/>
  <c r="O351" i="10"/>
  <c r="O359" i="10"/>
  <c r="O365" i="10"/>
  <c r="O371" i="10"/>
  <c r="O377" i="10"/>
  <c r="P384" i="10"/>
  <c r="O387" i="10"/>
  <c r="P408" i="10"/>
  <c r="O411" i="10"/>
  <c r="O104" i="9"/>
  <c r="R104" i="9" s="1"/>
  <c r="P117" i="9"/>
  <c r="P56" i="9"/>
  <c r="O79" i="9"/>
  <c r="R79" i="9" s="1"/>
  <c r="R133" i="9"/>
  <c r="S133" i="9" s="1"/>
  <c r="O27" i="9"/>
  <c r="R27" i="9" s="1"/>
  <c r="R28" i="9"/>
  <c r="S28" i="9" s="1"/>
  <c r="O122" i="9"/>
  <c r="P92" i="9"/>
  <c r="O55" i="9"/>
  <c r="R55" i="9" s="1"/>
  <c r="O83" i="9"/>
  <c r="R83" i="9" s="1"/>
  <c r="R92" i="9"/>
  <c r="S92" i="9" s="1"/>
  <c r="Q99" i="9"/>
  <c r="S99" i="9" s="1"/>
  <c r="Q123" i="9"/>
  <c r="O44" i="9"/>
  <c r="R44" i="9" s="1"/>
  <c r="O61" i="9"/>
  <c r="R61" i="9" s="1"/>
  <c r="O3" i="9"/>
  <c r="O23" i="9"/>
  <c r="R23" i="9" s="1"/>
  <c r="R39" i="9"/>
  <c r="S39" i="9" s="1"/>
  <c r="R154" i="9"/>
  <c r="S154" i="9" s="1"/>
  <c r="R45" i="9"/>
  <c r="S45" i="9" s="1"/>
  <c r="O21" i="9"/>
  <c r="R21" i="9" s="1"/>
  <c r="O72" i="9"/>
  <c r="O114" i="9"/>
  <c r="R114" i="9" s="1"/>
  <c r="Q5" i="9"/>
  <c r="S5" i="9" s="1"/>
  <c r="Q32" i="9"/>
  <c r="S32" i="9" s="1"/>
  <c r="Q56" i="9"/>
  <c r="S56" i="9" s="1"/>
  <c r="P66" i="9"/>
  <c r="R109" i="9"/>
  <c r="S109" i="9" s="1"/>
  <c r="R117" i="9"/>
  <c r="S117" i="9" s="1"/>
  <c r="Q140" i="9"/>
  <c r="S140" i="9" s="1"/>
  <c r="Q82" i="9"/>
  <c r="S82" i="9" s="1"/>
  <c r="R105" i="9"/>
  <c r="S105" i="9" s="1"/>
  <c r="O29" i="9"/>
  <c r="R29" i="9" s="1"/>
  <c r="R16" i="9"/>
  <c r="S16" i="9" s="1"/>
  <c r="R66" i="9"/>
  <c r="P28" i="9"/>
  <c r="P113" i="9"/>
  <c r="P2" i="9"/>
  <c r="P4" i="9" s="1"/>
  <c r="O42" i="9"/>
  <c r="R42" i="9" s="1"/>
  <c r="O128" i="9"/>
  <c r="R128" i="9" s="1"/>
  <c r="S50" i="9"/>
  <c r="P119" i="9"/>
  <c r="P5" i="9"/>
  <c r="O11" i="9"/>
  <c r="R11" i="9" s="1"/>
  <c r="O17" i="9"/>
  <c r="R17" i="9" s="1"/>
  <c r="O33" i="9"/>
  <c r="R33" i="9" s="1"/>
  <c r="O51" i="9"/>
  <c r="R51" i="9" s="1"/>
  <c r="O67" i="9"/>
  <c r="R67" i="9" s="1"/>
  <c r="O89" i="9"/>
  <c r="Q100" i="9"/>
  <c r="S100" i="9" s="1"/>
  <c r="O110" i="9"/>
  <c r="O118" i="9"/>
  <c r="P148" i="9"/>
  <c r="P154" i="9"/>
  <c r="P115" i="9"/>
  <c r="O40" i="9"/>
  <c r="R40" i="9" s="1"/>
  <c r="O57" i="9"/>
  <c r="R57" i="9" s="1"/>
  <c r="P156" i="9"/>
  <c r="O19" i="9"/>
  <c r="R19" i="9" s="1"/>
  <c r="Q26" i="9"/>
  <c r="S26" i="9" s="1"/>
  <c r="R30" i="9"/>
  <c r="S30" i="9" s="1"/>
  <c r="Q36" i="9"/>
  <c r="S36" i="9" s="1"/>
  <c r="Q41" i="9"/>
  <c r="S41" i="9" s="1"/>
  <c r="O53" i="9"/>
  <c r="R53" i="9" s="1"/>
  <c r="R64" i="9"/>
  <c r="S64" i="9" s="1"/>
  <c r="O70" i="9"/>
  <c r="R70" i="9" s="1"/>
  <c r="Q76" i="9"/>
  <c r="O81" i="9"/>
  <c r="R90" i="9"/>
  <c r="S90" i="9" s="1"/>
  <c r="Q94" i="9"/>
  <c r="S94" i="9" s="1"/>
  <c r="O116" i="9"/>
  <c r="R129" i="9"/>
  <c r="S129" i="9" s="1"/>
  <c r="R135" i="9"/>
  <c r="S135" i="9" s="1"/>
  <c r="Q150" i="9"/>
  <c r="S150" i="9" s="1"/>
  <c r="O63" i="9"/>
  <c r="R63" i="9" s="1"/>
  <c r="Q80" i="9"/>
  <c r="S80" i="9" s="1"/>
  <c r="O96" i="9"/>
  <c r="P90" i="9"/>
  <c r="O7" i="9"/>
  <c r="P26" i="9"/>
  <c r="O112" i="9"/>
  <c r="P150" i="9"/>
  <c r="P8" i="9"/>
  <c r="R86" i="9"/>
  <c r="S86" i="9" s="1"/>
  <c r="O98" i="9"/>
  <c r="Q103" i="9"/>
  <c r="S103" i="9" s="1"/>
  <c r="O120" i="9"/>
  <c r="Q69" i="9"/>
  <c r="O35" i="9"/>
  <c r="R35" i="9" s="1"/>
  <c r="R52" i="9"/>
  <c r="S52" i="9" s="1"/>
  <c r="O85" i="9"/>
  <c r="O102" i="9"/>
  <c r="Q144" i="9"/>
  <c r="S144" i="9" s="1"/>
  <c r="Q8" i="9"/>
  <c r="S8" i="9" s="1"/>
  <c r="O31" i="9"/>
  <c r="R31" i="9" s="1"/>
  <c r="O37" i="9"/>
  <c r="R37" i="9" s="1"/>
  <c r="P54" i="9"/>
  <c r="O59" i="9"/>
  <c r="R59" i="9" s="1"/>
  <c r="O65" i="9"/>
  <c r="R65" i="9" s="1"/>
  <c r="P71" i="9"/>
  <c r="O77" i="9"/>
  <c r="O91" i="9"/>
  <c r="O108" i="9"/>
  <c r="O126" i="9"/>
  <c r="O130" i="9"/>
  <c r="P146" i="9"/>
  <c r="P158" i="9"/>
  <c r="O25" i="9"/>
  <c r="R25" i="9" s="1"/>
  <c r="R18" i="9"/>
  <c r="S18" i="9" s="1"/>
  <c r="O106" i="9"/>
  <c r="R115" i="9"/>
  <c r="S115" i="9" s="1"/>
  <c r="O124" i="9"/>
  <c r="R2" i="9"/>
  <c r="S2" i="9" s="1"/>
  <c r="Q54" i="9"/>
  <c r="S54" i="9" s="1"/>
  <c r="S66" i="9"/>
  <c r="R71" i="9"/>
  <c r="S71" i="9" s="1"/>
  <c r="Q113" i="9"/>
  <c r="S113" i="9" s="1"/>
  <c r="Q146" i="9"/>
  <c r="S146" i="9" s="1"/>
  <c r="Q158" i="9"/>
  <c r="S158" i="9" s="1"/>
  <c r="Q12" i="9"/>
  <c r="S12" i="9" s="1"/>
  <c r="O74" i="9"/>
  <c r="O46" i="9"/>
  <c r="R46" i="9" s="1"/>
  <c r="P144" i="9"/>
  <c r="O9" i="9"/>
  <c r="R9" i="9" s="1"/>
  <c r="P32" i="9"/>
  <c r="Q60" i="9"/>
  <c r="S60" i="9" s="1"/>
  <c r="P152" i="9"/>
  <c r="P52" i="9"/>
  <c r="P30" i="9"/>
  <c r="O13" i="9"/>
  <c r="R13" i="9" s="1"/>
  <c r="P94" i="9"/>
  <c r="Q119" i="9"/>
  <c r="S119" i="9" s="1"/>
  <c r="P12" i="8"/>
  <c r="P2" i="8"/>
  <c r="P81" i="8"/>
  <c r="P66" i="8"/>
  <c r="P78" i="8"/>
  <c r="O41" i="8"/>
  <c r="Q41" i="8" s="1"/>
  <c r="P143" i="8"/>
  <c r="P156" i="8"/>
  <c r="P61" i="8"/>
  <c r="R220" i="8"/>
  <c r="S220" i="8" s="1"/>
  <c r="P242" i="8"/>
  <c r="O45" i="8"/>
  <c r="Q45" i="8" s="1"/>
  <c r="P19" i="8"/>
  <c r="R214" i="8"/>
  <c r="S214" i="8" s="1"/>
  <c r="R234" i="8"/>
  <c r="S234" i="8" s="1"/>
  <c r="R40" i="8"/>
  <c r="S40" i="8" s="1"/>
  <c r="R48" i="8"/>
  <c r="S48" i="8" s="1"/>
  <c r="O37" i="8"/>
  <c r="Q37" i="8" s="1"/>
  <c r="P202" i="8"/>
  <c r="P27" i="8"/>
  <c r="P214" i="8"/>
  <c r="O33" i="8"/>
  <c r="Q33" i="8" s="1"/>
  <c r="P59" i="8"/>
  <c r="P51" i="8"/>
  <c r="P83" i="8"/>
  <c r="Q112" i="8"/>
  <c r="S112" i="8" s="1"/>
  <c r="Q186" i="8"/>
  <c r="S186" i="8" s="1"/>
  <c r="P194" i="8"/>
  <c r="R412" i="8"/>
  <c r="S412" i="8" s="1"/>
  <c r="R6" i="8"/>
  <c r="O7" i="8"/>
  <c r="R16" i="8"/>
  <c r="P29" i="8"/>
  <c r="P43" i="8"/>
  <c r="O57" i="8"/>
  <c r="Q57" i="8" s="1"/>
  <c r="R64" i="8"/>
  <c r="S64" i="8" s="1"/>
  <c r="P106" i="8"/>
  <c r="P180" i="8"/>
  <c r="Q404" i="8"/>
  <c r="S404" i="8" s="1"/>
  <c r="P88" i="8"/>
  <c r="Q150" i="8"/>
  <c r="Q208" i="8"/>
  <c r="S208" i="8" s="1"/>
  <c r="P35" i="8"/>
  <c r="P76" i="8"/>
  <c r="O17" i="8"/>
  <c r="R24" i="8"/>
  <c r="S24" i="8" s="1"/>
  <c r="O65" i="8"/>
  <c r="Q65" i="8" s="1"/>
  <c r="R71" i="8"/>
  <c r="S71" i="8" s="1"/>
  <c r="R88" i="8"/>
  <c r="S88" i="8" s="1"/>
  <c r="P118" i="8"/>
  <c r="P191" i="8"/>
  <c r="O68" i="8"/>
  <c r="Q68" i="8" s="1"/>
  <c r="P21" i="8"/>
  <c r="O49" i="8"/>
  <c r="Q49" i="8" s="1"/>
  <c r="P94" i="8"/>
  <c r="Q196" i="8"/>
  <c r="S196" i="8" s="1"/>
  <c r="Q162" i="8"/>
  <c r="S162" i="8" s="1"/>
  <c r="P206" i="8"/>
  <c r="P10" i="8"/>
  <c r="O25" i="8"/>
  <c r="Q25" i="8" s="1"/>
  <c r="R32" i="8"/>
  <c r="S32" i="8" s="1"/>
  <c r="O72" i="8"/>
  <c r="Q72" i="8" s="1"/>
  <c r="P89" i="8"/>
  <c r="P130" i="8"/>
  <c r="P220" i="8"/>
  <c r="Q124" i="8"/>
  <c r="S124" i="8" s="1"/>
  <c r="R56" i="8"/>
  <c r="S56" i="8" s="1"/>
  <c r="P168" i="8"/>
  <c r="Q136" i="8"/>
  <c r="S136" i="8" s="1"/>
  <c r="Q100" i="8"/>
  <c r="S100" i="8" s="1"/>
  <c r="Q174" i="8"/>
  <c r="S174" i="8" s="1"/>
  <c r="Q27" i="8"/>
  <c r="R27" i="8"/>
  <c r="Q43" i="8"/>
  <c r="R43" i="8"/>
  <c r="Q35" i="8"/>
  <c r="R35" i="8"/>
  <c r="Q51" i="8"/>
  <c r="R51" i="8"/>
  <c r="Q10" i="8"/>
  <c r="R10" i="8"/>
  <c r="Q59" i="8"/>
  <c r="R59" i="8"/>
  <c r="Q19" i="8"/>
  <c r="R19" i="8"/>
  <c r="Q66" i="8"/>
  <c r="R66" i="8"/>
  <c r="Q120" i="8"/>
  <c r="S120" i="8" s="1"/>
  <c r="R94" i="8"/>
  <c r="S94" i="8" s="1"/>
  <c r="R106" i="8"/>
  <c r="S106" i="8" s="1"/>
  <c r="R118" i="8"/>
  <c r="S118" i="8" s="1"/>
  <c r="R130" i="8"/>
  <c r="S130" i="8" s="1"/>
  <c r="R143" i="8"/>
  <c r="S143" i="8" s="1"/>
  <c r="R156" i="8"/>
  <c r="S156" i="8" s="1"/>
  <c r="R168" i="8"/>
  <c r="S168" i="8" s="1"/>
  <c r="R180" i="8"/>
  <c r="S180" i="8" s="1"/>
  <c r="R191" i="8"/>
  <c r="S191" i="8" s="1"/>
  <c r="R202" i="8"/>
  <c r="S202" i="8" s="1"/>
  <c r="Q228" i="8"/>
  <c r="S228" i="8" s="1"/>
  <c r="S242" i="8"/>
  <c r="R61" i="8"/>
  <c r="S61" i="8" s="1"/>
  <c r="Q96" i="8"/>
  <c r="S96" i="8" s="1"/>
  <c r="Q132" i="8"/>
  <c r="S132" i="8" s="1"/>
  <c r="P176" i="8"/>
  <c r="P210" i="8"/>
  <c r="Q230" i="8"/>
  <c r="S230" i="8" s="1"/>
  <c r="R114" i="8"/>
  <c r="S114" i="8" s="1"/>
  <c r="R170" i="8"/>
  <c r="S170" i="8" s="1"/>
  <c r="P9" i="8"/>
  <c r="P18" i="8"/>
  <c r="P26" i="8"/>
  <c r="P34" i="8"/>
  <c r="P42" i="8"/>
  <c r="P50" i="8"/>
  <c r="P58" i="8"/>
  <c r="P73" i="8"/>
  <c r="P85" i="8"/>
  <c r="R216" i="8"/>
  <c r="S216" i="8" s="1"/>
  <c r="R238" i="8"/>
  <c r="S238" i="8" s="1"/>
  <c r="P244" i="8"/>
  <c r="Q408" i="8"/>
  <c r="S408" i="8" s="1"/>
  <c r="R84" i="8"/>
  <c r="S84" i="8" s="1"/>
  <c r="P126" i="8"/>
  <c r="Q158" i="8"/>
  <c r="S158" i="8" s="1"/>
  <c r="Q192" i="8"/>
  <c r="S192" i="8" s="1"/>
  <c r="R90" i="8"/>
  <c r="S90" i="8" s="1"/>
  <c r="R126" i="8"/>
  <c r="S126" i="8" s="1"/>
  <c r="R188" i="8"/>
  <c r="S188" i="8" s="1"/>
  <c r="R210" i="8"/>
  <c r="S210" i="8" s="1"/>
  <c r="O4" i="8"/>
  <c r="O5" i="8" s="1"/>
  <c r="R9" i="8"/>
  <c r="O14" i="8"/>
  <c r="O15" i="8" s="1"/>
  <c r="R18" i="8"/>
  <c r="S18" i="8" s="1"/>
  <c r="O23" i="8"/>
  <c r="R26" i="8"/>
  <c r="S26" i="8" s="1"/>
  <c r="O31" i="8"/>
  <c r="R34" i="8"/>
  <c r="S34" i="8" s="1"/>
  <c r="O39" i="8"/>
  <c r="R42" i="8"/>
  <c r="S42" i="8" s="1"/>
  <c r="O47" i="8"/>
  <c r="R50" i="8"/>
  <c r="S50" i="8" s="1"/>
  <c r="O55" i="8"/>
  <c r="R58" i="8"/>
  <c r="S58" i="8" s="1"/>
  <c r="O63" i="8"/>
  <c r="O70" i="8"/>
  <c r="R73" i="8"/>
  <c r="S73" i="8" s="1"/>
  <c r="R244" i="8"/>
  <c r="S244" i="8" s="1"/>
  <c r="R400" i="8"/>
  <c r="S400" i="8" s="1"/>
  <c r="Q77" i="8"/>
  <c r="S77" i="8" s="1"/>
  <c r="P114" i="8"/>
  <c r="Q145" i="8"/>
  <c r="S145" i="8" s="1"/>
  <c r="Q204" i="8"/>
  <c r="S204" i="8" s="1"/>
  <c r="R108" i="8"/>
  <c r="S108" i="8" s="1"/>
  <c r="R138" i="8"/>
  <c r="S138" i="8" s="1"/>
  <c r="R176" i="8"/>
  <c r="S176" i="8" s="1"/>
  <c r="Q92" i="8"/>
  <c r="S92" i="8" s="1"/>
  <c r="P98" i="8"/>
  <c r="Q104" i="8"/>
  <c r="S104" i="8" s="1"/>
  <c r="P110" i="8"/>
  <c r="Q116" i="8"/>
  <c r="S116" i="8" s="1"/>
  <c r="P122" i="8"/>
  <c r="Q128" i="8"/>
  <c r="S128" i="8" s="1"/>
  <c r="P134" i="8"/>
  <c r="Q141" i="8"/>
  <c r="S141" i="8" s="1"/>
  <c r="P147" i="8"/>
  <c r="Q154" i="8"/>
  <c r="S154" i="8" s="1"/>
  <c r="P160" i="8"/>
  <c r="Q166" i="8"/>
  <c r="S166" i="8" s="1"/>
  <c r="P172" i="8"/>
  <c r="Q178" i="8"/>
  <c r="S178" i="8" s="1"/>
  <c r="P184" i="8"/>
  <c r="Q190" i="8"/>
  <c r="S190" i="8" s="1"/>
  <c r="Q200" i="8"/>
  <c r="S200" i="8" s="1"/>
  <c r="Q212" i="8"/>
  <c r="S212" i="8" s="1"/>
  <c r="R224" i="8"/>
  <c r="S224" i="8" s="1"/>
  <c r="R21" i="8"/>
  <c r="S21" i="8" s="1"/>
  <c r="R53" i="8"/>
  <c r="S53" i="8" s="1"/>
  <c r="P90" i="8"/>
  <c r="P138" i="8"/>
  <c r="Q182" i="8"/>
  <c r="S182" i="8" s="1"/>
  <c r="R102" i="8"/>
  <c r="S102" i="8" s="1"/>
  <c r="R164" i="8"/>
  <c r="S164" i="8" s="1"/>
  <c r="R198" i="8"/>
  <c r="S198" i="8" s="1"/>
  <c r="P238" i="8"/>
  <c r="P414" i="8"/>
  <c r="O74" i="8"/>
  <c r="Q79" i="8"/>
  <c r="S79" i="8" s="1"/>
  <c r="P87" i="8"/>
  <c r="R98" i="8"/>
  <c r="S98" i="8" s="1"/>
  <c r="R110" i="8"/>
  <c r="S110" i="8" s="1"/>
  <c r="R122" i="8"/>
  <c r="S122" i="8" s="1"/>
  <c r="R134" i="8"/>
  <c r="S134" i="8" s="1"/>
  <c r="R147" i="8"/>
  <c r="S147" i="8" s="1"/>
  <c r="R160" i="8"/>
  <c r="S160" i="8" s="1"/>
  <c r="R172" i="8"/>
  <c r="S172" i="8" s="1"/>
  <c r="R184" i="8"/>
  <c r="S184" i="8" s="1"/>
  <c r="R194" i="8"/>
  <c r="S194" i="8" s="1"/>
  <c r="R206" i="8"/>
  <c r="S206" i="8" s="1"/>
  <c r="P218" i="8"/>
  <c r="P240" i="8"/>
  <c r="R12" i="8"/>
  <c r="S12" i="8" s="1"/>
  <c r="P102" i="8"/>
  <c r="P152" i="8"/>
  <c r="P188" i="8"/>
  <c r="R152" i="8"/>
  <c r="S152" i="8" s="1"/>
  <c r="Q218" i="8"/>
  <c r="S218" i="8" s="1"/>
  <c r="P234" i="8"/>
  <c r="Q240" i="8"/>
  <c r="S240" i="8" s="1"/>
  <c r="R2" i="8"/>
  <c r="R29" i="8"/>
  <c r="S29" i="8" s="1"/>
  <c r="P164" i="8"/>
  <c r="P198" i="8"/>
  <c r="P6" i="8"/>
  <c r="P8" i="8" s="1"/>
  <c r="P16" i="8"/>
  <c r="P24" i="8"/>
  <c r="P32" i="8"/>
  <c r="P40" i="8"/>
  <c r="P48" i="8"/>
  <c r="P56" i="8"/>
  <c r="P64" i="8"/>
  <c r="P71" i="8"/>
  <c r="P84" i="9"/>
  <c r="P142" i="9"/>
  <c r="R22" i="9"/>
  <c r="S22" i="9" s="1"/>
  <c r="S123" i="9"/>
  <c r="P16" i="9"/>
  <c r="P39" i="9"/>
  <c r="P64" i="9"/>
  <c r="P69" i="9"/>
  <c r="P80" i="9"/>
  <c r="P103" i="9"/>
  <c r="P127" i="9"/>
  <c r="P135" i="9"/>
  <c r="P73" i="9"/>
  <c r="P107" i="9"/>
  <c r="Q20" i="9"/>
  <c r="S20" i="9" s="1"/>
  <c r="Q107" i="9"/>
  <c r="S107" i="9" s="1"/>
  <c r="Q10" i="9"/>
  <c r="S10" i="9" s="1"/>
  <c r="R73" i="9"/>
  <c r="S73" i="9" s="1"/>
  <c r="R84" i="9"/>
  <c r="S84" i="9" s="1"/>
  <c r="R156" i="9"/>
  <c r="S156" i="9" s="1"/>
  <c r="P14" i="9"/>
  <c r="Q24" i="9"/>
  <c r="S24" i="9" s="1"/>
  <c r="R34" i="9"/>
  <c r="S34" i="9" s="1"/>
  <c r="P38" i="9"/>
  <c r="Q48" i="9"/>
  <c r="R58" i="9"/>
  <c r="S58" i="9" s="1"/>
  <c r="P62" i="9"/>
  <c r="P78" i="9"/>
  <c r="Q88" i="9"/>
  <c r="S88" i="9" s="1"/>
  <c r="R97" i="9"/>
  <c r="S97" i="9" s="1"/>
  <c r="P101" i="9"/>
  <c r="Q111" i="9"/>
  <c r="S111" i="9" s="1"/>
  <c r="R121" i="9"/>
  <c r="S121" i="9" s="1"/>
  <c r="P125" i="9"/>
  <c r="P138" i="9"/>
  <c r="R142" i="9"/>
  <c r="S142" i="9" s="1"/>
  <c r="Q152" i="9"/>
  <c r="S152" i="9" s="1"/>
  <c r="P20" i="9"/>
  <c r="P34" i="9"/>
  <c r="Q43" i="9"/>
  <c r="S43" i="9" s="1"/>
  <c r="P97" i="9"/>
  <c r="P24" i="9"/>
  <c r="P88" i="9"/>
  <c r="Q14" i="9"/>
  <c r="S14" i="9" s="1"/>
  <c r="Q38" i="9"/>
  <c r="S38" i="9" s="1"/>
  <c r="Q62" i="9"/>
  <c r="S62" i="9" s="1"/>
  <c r="Q78" i="9"/>
  <c r="S78" i="9" s="1"/>
  <c r="Q101" i="9"/>
  <c r="S101" i="9" s="1"/>
  <c r="Q125" i="9"/>
  <c r="S125" i="9" s="1"/>
  <c r="Q138" i="9"/>
  <c r="P10" i="9"/>
  <c r="P58" i="9"/>
  <c r="P121" i="9"/>
  <c r="P48" i="9"/>
  <c r="P111" i="9"/>
  <c r="R131" i="9"/>
  <c r="S131" i="9" s="1"/>
  <c r="P18" i="9"/>
  <c r="P41" i="9"/>
  <c r="P82" i="9"/>
  <c r="P105" i="9"/>
  <c r="P129" i="9"/>
  <c r="P133" i="9"/>
  <c r="P43" i="9"/>
  <c r="P131" i="9"/>
  <c r="P22" i="9"/>
  <c r="P45" i="9"/>
  <c r="P86" i="9"/>
  <c r="P109" i="9"/>
  <c r="P12" i="9"/>
  <c r="P36" i="9"/>
  <c r="P60" i="9"/>
  <c r="P76" i="9"/>
  <c r="P99" i="9"/>
  <c r="P123" i="9"/>
  <c r="P140" i="9"/>
  <c r="O132" i="9"/>
  <c r="O134" i="9"/>
  <c r="O136" i="9"/>
  <c r="O139" i="9"/>
  <c r="O141" i="9"/>
  <c r="O143" i="9"/>
  <c r="O145" i="9"/>
  <c r="O147" i="9"/>
  <c r="O149" i="9"/>
  <c r="O151" i="9"/>
  <c r="O153" i="9"/>
  <c r="O155" i="9"/>
  <c r="O157" i="9"/>
  <c r="O159" i="9"/>
  <c r="Q15" i="9"/>
  <c r="S15" i="9" s="1"/>
  <c r="Q31" i="9"/>
  <c r="S31" i="9" s="1"/>
  <c r="Q53" i="9"/>
  <c r="S53" i="9" s="1"/>
  <c r="R81" i="8"/>
  <c r="Q81" i="8"/>
  <c r="O251" i="8"/>
  <c r="P251" i="8"/>
  <c r="O300" i="8"/>
  <c r="P300" i="8"/>
  <c r="O348" i="8"/>
  <c r="P348" i="8"/>
  <c r="O396" i="8"/>
  <c r="P396" i="8"/>
  <c r="P77" i="8"/>
  <c r="P92" i="8"/>
  <c r="P96" i="8"/>
  <c r="P100" i="8"/>
  <c r="P104" i="8"/>
  <c r="P108" i="8"/>
  <c r="P112" i="8"/>
  <c r="P116" i="8"/>
  <c r="P120" i="8"/>
  <c r="P124" i="8"/>
  <c r="P128" i="8"/>
  <c r="P132" i="8"/>
  <c r="P136" i="8"/>
  <c r="P141" i="8"/>
  <c r="P145" i="8"/>
  <c r="P150" i="8"/>
  <c r="P154" i="8"/>
  <c r="P158" i="8"/>
  <c r="P162" i="8"/>
  <c r="P166" i="8"/>
  <c r="P170" i="8"/>
  <c r="P174" i="8"/>
  <c r="P178" i="8"/>
  <c r="P182" i="8"/>
  <c r="P186" i="8"/>
  <c r="P190" i="8"/>
  <c r="P192" i="8"/>
  <c r="P196" i="8"/>
  <c r="P200" i="8"/>
  <c r="P204" i="8"/>
  <c r="P208" i="8"/>
  <c r="P212" i="8"/>
  <c r="P216" i="8"/>
  <c r="P230" i="8"/>
  <c r="O280" i="8"/>
  <c r="P280" i="8"/>
  <c r="O328" i="8"/>
  <c r="P328" i="8"/>
  <c r="O376" i="8"/>
  <c r="P376" i="8"/>
  <c r="P38" i="8"/>
  <c r="P54" i="8"/>
  <c r="P69" i="8"/>
  <c r="P82" i="8"/>
  <c r="O288" i="8"/>
  <c r="P288" i="8"/>
  <c r="Q38" i="8"/>
  <c r="S38" i="8" s="1"/>
  <c r="Q46" i="8"/>
  <c r="S46" i="8" s="1"/>
  <c r="Q62" i="8"/>
  <c r="S62" i="8" s="1"/>
  <c r="Q69" i="8"/>
  <c r="S69" i="8" s="1"/>
  <c r="Q82" i="8"/>
  <c r="S82" i="8" s="1"/>
  <c r="O316" i="8"/>
  <c r="P316" i="8"/>
  <c r="P397" i="8"/>
  <c r="O397" i="8"/>
  <c r="R30" i="8"/>
  <c r="S30" i="8" s="1"/>
  <c r="R54" i="8"/>
  <c r="S54" i="8" s="1"/>
  <c r="P222" i="8"/>
  <c r="R226" i="8"/>
  <c r="S226" i="8" s="1"/>
  <c r="Q236" i="8"/>
  <c r="S236" i="8" s="1"/>
  <c r="O247" i="8"/>
  <c r="P247" i="8"/>
  <c r="O344" i="8"/>
  <c r="P344" i="8"/>
  <c r="O392" i="8"/>
  <c r="P392" i="8"/>
  <c r="P11" i="8"/>
  <c r="P20" i="8"/>
  <c r="P28" i="8"/>
  <c r="P36" i="8"/>
  <c r="P44" i="8"/>
  <c r="P52" i="8"/>
  <c r="P60" i="8"/>
  <c r="P67" i="8"/>
  <c r="P75" i="8"/>
  <c r="Q86" i="8"/>
  <c r="S86" i="8" s="1"/>
  <c r="Q222" i="8"/>
  <c r="S222" i="8" s="1"/>
  <c r="P232" i="8"/>
  <c r="O275" i="8"/>
  <c r="P275" i="8"/>
  <c r="O324" i="8"/>
  <c r="P324" i="8"/>
  <c r="O372" i="8"/>
  <c r="P372" i="8"/>
  <c r="P46" i="8"/>
  <c r="Q3" i="8"/>
  <c r="S3" i="8" s="1"/>
  <c r="Q22" i="8"/>
  <c r="S22" i="8" s="1"/>
  <c r="O267" i="8"/>
  <c r="P267" i="8"/>
  <c r="O364" i="8"/>
  <c r="P364" i="8"/>
  <c r="P86" i="8"/>
  <c r="O296" i="8"/>
  <c r="P296" i="8"/>
  <c r="Q11" i="8"/>
  <c r="S11" i="8" s="1"/>
  <c r="Q20" i="8"/>
  <c r="S20" i="8" s="1"/>
  <c r="Q28" i="8"/>
  <c r="S28" i="8" s="1"/>
  <c r="Q36" i="8"/>
  <c r="S36" i="8" s="1"/>
  <c r="Q44" i="8"/>
  <c r="S44" i="8" s="1"/>
  <c r="Q52" i="8"/>
  <c r="S52" i="8" s="1"/>
  <c r="Q60" i="8"/>
  <c r="S60" i="8" s="1"/>
  <c r="Q67" i="8"/>
  <c r="S67" i="8" s="1"/>
  <c r="Q75" i="8"/>
  <c r="S75" i="8" s="1"/>
  <c r="R83" i="8"/>
  <c r="Q83" i="8"/>
  <c r="Q232" i="8"/>
  <c r="S232" i="8" s="1"/>
  <c r="O255" i="8"/>
  <c r="P255" i="8"/>
  <c r="O304" i="8"/>
  <c r="P304" i="8"/>
  <c r="O352" i="8"/>
  <c r="P352" i="8"/>
  <c r="O308" i="8"/>
  <c r="P308" i="8"/>
  <c r="O356" i="8"/>
  <c r="P356" i="8"/>
  <c r="P13" i="8"/>
  <c r="P22" i="8"/>
  <c r="P30" i="8"/>
  <c r="P62" i="8"/>
  <c r="O336" i="8"/>
  <c r="P336" i="8"/>
  <c r="Q13" i="8"/>
  <c r="S13" i="8" s="1"/>
  <c r="R89" i="8"/>
  <c r="Q89" i="8"/>
  <c r="P236" i="8"/>
  <c r="R78" i="8"/>
  <c r="Q78" i="8"/>
  <c r="P79" i="8"/>
  <c r="P228" i="8"/>
  <c r="O284" i="8"/>
  <c r="P284" i="8"/>
  <c r="O332" i="8"/>
  <c r="P332" i="8"/>
  <c r="O380" i="8"/>
  <c r="P380" i="8"/>
  <c r="R87" i="8"/>
  <c r="Q87" i="8"/>
  <c r="O263" i="8"/>
  <c r="P263" i="8"/>
  <c r="O312" i="8"/>
  <c r="P312" i="8"/>
  <c r="O360" i="8"/>
  <c r="P360" i="8"/>
  <c r="P393" i="8"/>
  <c r="O393" i="8"/>
  <c r="O259" i="8"/>
  <c r="P259" i="8"/>
  <c r="O384" i="8"/>
  <c r="P384" i="8"/>
  <c r="R76" i="8"/>
  <c r="Q76" i="8"/>
  <c r="P84" i="8"/>
  <c r="P224" i="8"/>
  <c r="O292" i="8"/>
  <c r="P292" i="8"/>
  <c r="O340" i="8"/>
  <c r="P340" i="8"/>
  <c r="O388" i="8"/>
  <c r="P388" i="8"/>
  <c r="R85" i="8"/>
  <c r="Q85" i="8"/>
  <c r="P3" i="8"/>
  <c r="P226" i="8"/>
  <c r="O271" i="8"/>
  <c r="P271" i="8"/>
  <c r="O320" i="8"/>
  <c r="P320" i="8"/>
  <c r="O368" i="8"/>
  <c r="P368" i="8"/>
  <c r="P400" i="8"/>
  <c r="P404" i="8"/>
  <c r="P408" i="8"/>
  <c r="P412" i="8"/>
  <c r="P248" i="8"/>
  <c r="O248" i="8"/>
  <c r="P264" i="8"/>
  <c r="O264" i="8"/>
  <c r="P276" i="8"/>
  <c r="O276" i="8"/>
  <c r="P285" i="8"/>
  <c r="O285" i="8"/>
  <c r="P297" i="8"/>
  <c r="O297" i="8"/>
  <c r="P309" i="8"/>
  <c r="O309" i="8"/>
  <c r="P321" i="8"/>
  <c r="O321" i="8"/>
  <c r="P333" i="8"/>
  <c r="O333" i="8"/>
  <c r="P345" i="8"/>
  <c r="O345" i="8"/>
  <c r="P357" i="8"/>
  <c r="O357" i="8"/>
  <c r="P373" i="8"/>
  <c r="O373" i="8"/>
  <c r="P385" i="8"/>
  <c r="O385" i="8"/>
  <c r="P413" i="8"/>
  <c r="O413" i="8"/>
  <c r="P256" i="8"/>
  <c r="O256" i="8"/>
  <c r="P272" i="8"/>
  <c r="O272" i="8"/>
  <c r="P289" i="8"/>
  <c r="O289" i="8"/>
  <c r="P301" i="8"/>
  <c r="O301" i="8"/>
  <c r="P317" i="8"/>
  <c r="O317" i="8"/>
  <c r="P329" i="8"/>
  <c r="O329" i="8"/>
  <c r="P337" i="8"/>
  <c r="O337" i="8"/>
  <c r="P349" i="8"/>
  <c r="O349" i="8"/>
  <c r="P361" i="8"/>
  <c r="O361" i="8"/>
  <c r="P369" i="8"/>
  <c r="O369" i="8"/>
  <c r="P377" i="8"/>
  <c r="O377" i="8"/>
  <c r="P389" i="8"/>
  <c r="O389" i="8"/>
  <c r="P405" i="8"/>
  <c r="O405" i="8"/>
  <c r="O91" i="8"/>
  <c r="O93" i="8"/>
  <c r="O95" i="8"/>
  <c r="O97" i="8"/>
  <c r="O99" i="8"/>
  <c r="O101" i="8"/>
  <c r="O103" i="8"/>
  <c r="O105" i="8"/>
  <c r="O107" i="8"/>
  <c r="O109" i="8"/>
  <c r="O111" i="8"/>
  <c r="O113" i="8"/>
  <c r="O115" i="8"/>
  <c r="O117" i="8"/>
  <c r="O119" i="8"/>
  <c r="O121" i="8"/>
  <c r="O123" i="8"/>
  <c r="O125" i="8"/>
  <c r="O127" i="8"/>
  <c r="O129" i="8"/>
  <c r="O131" i="8"/>
  <c r="O133" i="8"/>
  <c r="O135" i="8"/>
  <c r="O137" i="8"/>
  <c r="O140" i="8"/>
  <c r="O142" i="8"/>
  <c r="O144" i="8"/>
  <c r="O146" i="8"/>
  <c r="O148" i="8"/>
  <c r="O151" i="8"/>
  <c r="O153" i="8"/>
  <c r="O155" i="8"/>
  <c r="O157" i="8"/>
  <c r="O159" i="8"/>
  <c r="O161" i="8"/>
  <c r="O163" i="8"/>
  <c r="O165" i="8"/>
  <c r="O167" i="8"/>
  <c r="O169" i="8"/>
  <c r="O171" i="8"/>
  <c r="O173" i="8"/>
  <c r="O175" i="8"/>
  <c r="O177" i="8"/>
  <c r="O179" i="8"/>
  <c r="O181" i="8"/>
  <c r="O183" i="8"/>
  <c r="O185" i="8"/>
  <c r="O187" i="8"/>
  <c r="O189" i="8"/>
  <c r="O193" i="8"/>
  <c r="O195" i="8"/>
  <c r="O197" i="8"/>
  <c r="O199" i="8"/>
  <c r="O201" i="8"/>
  <c r="O203" i="8"/>
  <c r="O205" i="8"/>
  <c r="O207" i="8"/>
  <c r="O209" i="8"/>
  <c r="O211" i="8"/>
  <c r="O213" i="8"/>
  <c r="O215" i="8"/>
  <c r="O217" i="8"/>
  <c r="O219" i="8"/>
  <c r="O221" i="8"/>
  <c r="O223" i="8"/>
  <c r="O225" i="8"/>
  <c r="O227" i="8"/>
  <c r="O229" i="8"/>
  <c r="O231" i="8"/>
  <c r="O233" i="8"/>
  <c r="O235" i="8"/>
  <c r="O237" i="8"/>
  <c r="O239" i="8"/>
  <c r="O241" i="8"/>
  <c r="O243" i="8"/>
  <c r="P245" i="8"/>
  <c r="P249" i="8"/>
  <c r="P253" i="8"/>
  <c r="P257" i="8"/>
  <c r="P261" i="8"/>
  <c r="P265" i="8"/>
  <c r="P269" i="8"/>
  <c r="P273" i="8"/>
  <c r="P277" i="8"/>
  <c r="P282" i="8"/>
  <c r="P286" i="8"/>
  <c r="P290" i="8"/>
  <c r="P294" i="8"/>
  <c r="P298" i="8"/>
  <c r="P302" i="8"/>
  <c r="P306" i="8"/>
  <c r="P310" i="8"/>
  <c r="P314" i="8"/>
  <c r="P318" i="8"/>
  <c r="P322" i="8"/>
  <c r="P326" i="8"/>
  <c r="P330" i="8"/>
  <c r="P334" i="8"/>
  <c r="P338" i="8"/>
  <c r="P342" i="8"/>
  <c r="P346" i="8"/>
  <c r="P350" i="8"/>
  <c r="P354" i="8"/>
  <c r="P358" i="8"/>
  <c r="P362" i="8"/>
  <c r="P366" i="8"/>
  <c r="P370" i="8"/>
  <c r="P374" i="8"/>
  <c r="P378" i="8"/>
  <c r="P382" i="8"/>
  <c r="P386" i="8"/>
  <c r="P390" i="8"/>
  <c r="P394" i="8"/>
  <c r="P398" i="8"/>
  <c r="P402" i="8"/>
  <c r="P406" i="8"/>
  <c r="P410" i="8"/>
  <c r="P260" i="8"/>
  <c r="O260" i="8"/>
  <c r="P305" i="8"/>
  <c r="O305" i="8"/>
  <c r="P409" i="8"/>
  <c r="O409" i="8"/>
  <c r="Q245" i="8"/>
  <c r="S245" i="8" s="1"/>
  <c r="Q249" i="8"/>
  <c r="S249" i="8" s="1"/>
  <c r="Q253" i="8"/>
  <c r="S253" i="8" s="1"/>
  <c r="Q257" i="8"/>
  <c r="S257" i="8" s="1"/>
  <c r="Q261" i="8"/>
  <c r="S261" i="8" s="1"/>
  <c r="Q265" i="8"/>
  <c r="S265" i="8" s="1"/>
  <c r="Q269" i="8"/>
  <c r="S269" i="8" s="1"/>
  <c r="Q273" i="8"/>
  <c r="S273" i="8" s="1"/>
  <c r="Q277" i="8"/>
  <c r="S277" i="8" s="1"/>
  <c r="Q282" i="8"/>
  <c r="S282" i="8" s="1"/>
  <c r="Q286" i="8"/>
  <c r="S286" i="8" s="1"/>
  <c r="Q290" i="8"/>
  <c r="S290" i="8" s="1"/>
  <c r="Q294" i="8"/>
  <c r="S294" i="8" s="1"/>
  <c r="Q298" i="8"/>
  <c r="S298" i="8" s="1"/>
  <c r="Q302" i="8"/>
  <c r="S302" i="8" s="1"/>
  <c r="Q306" i="8"/>
  <c r="S306" i="8" s="1"/>
  <c r="Q310" i="8"/>
  <c r="S310" i="8" s="1"/>
  <c r="Q314" i="8"/>
  <c r="S314" i="8" s="1"/>
  <c r="Q318" i="8"/>
  <c r="S318" i="8" s="1"/>
  <c r="Q322" i="8"/>
  <c r="S322" i="8" s="1"/>
  <c r="Q326" i="8"/>
  <c r="S326" i="8" s="1"/>
  <c r="Q330" i="8"/>
  <c r="S330" i="8" s="1"/>
  <c r="Q334" i="8"/>
  <c r="S334" i="8" s="1"/>
  <c r="Q338" i="8"/>
  <c r="S338" i="8" s="1"/>
  <c r="Q342" i="8"/>
  <c r="S342" i="8" s="1"/>
  <c r="Q346" i="8"/>
  <c r="S346" i="8" s="1"/>
  <c r="Q350" i="8"/>
  <c r="S350" i="8" s="1"/>
  <c r="Q354" i="8"/>
  <c r="S354" i="8" s="1"/>
  <c r="Q358" i="8"/>
  <c r="S358" i="8" s="1"/>
  <c r="Q362" i="8"/>
  <c r="S362" i="8" s="1"/>
  <c r="Q366" i="8"/>
  <c r="S366" i="8" s="1"/>
  <c r="Q370" i="8"/>
  <c r="S370" i="8" s="1"/>
  <c r="Q374" i="8"/>
  <c r="S374" i="8" s="1"/>
  <c r="Q378" i="8"/>
  <c r="S378" i="8" s="1"/>
  <c r="Q382" i="8"/>
  <c r="S382" i="8" s="1"/>
  <c r="Q386" i="8"/>
  <c r="S386" i="8" s="1"/>
  <c r="Q390" i="8"/>
  <c r="S390" i="8" s="1"/>
  <c r="Q394" i="8"/>
  <c r="S394" i="8" s="1"/>
  <c r="Q398" i="8"/>
  <c r="S398" i="8" s="1"/>
  <c r="Q402" i="8"/>
  <c r="S402" i="8" s="1"/>
  <c r="Q406" i="8"/>
  <c r="S406" i="8" s="1"/>
  <c r="Q410" i="8"/>
  <c r="S410" i="8" s="1"/>
  <c r="Q414" i="8"/>
  <c r="S414" i="8" s="1"/>
  <c r="P252" i="8"/>
  <c r="O252" i="8"/>
  <c r="P268" i="8"/>
  <c r="O268" i="8"/>
  <c r="P281" i="8"/>
  <c r="O281" i="8"/>
  <c r="P293" i="8"/>
  <c r="O293" i="8"/>
  <c r="P313" i="8"/>
  <c r="O313" i="8"/>
  <c r="P325" i="8"/>
  <c r="O325" i="8"/>
  <c r="P341" i="8"/>
  <c r="O341" i="8"/>
  <c r="P353" i="8"/>
  <c r="O353" i="8"/>
  <c r="P365" i="8"/>
  <c r="O365" i="8"/>
  <c r="P381" i="8"/>
  <c r="O381" i="8"/>
  <c r="P401" i="8"/>
  <c r="O401" i="8"/>
  <c r="P246" i="8"/>
  <c r="O246" i="8"/>
  <c r="P250" i="8"/>
  <c r="O250" i="8"/>
  <c r="P254" i="8"/>
  <c r="O254" i="8"/>
  <c r="P258" i="8"/>
  <c r="O258" i="8"/>
  <c r="P262" i="8"/>
  <c r="O262" i="8"/>
  <c r="P266" i="8"/>
  <c r="O266" i="8"/>
  <c r="P270" i="8"/>
  <c r="O270" i="8"/>
  <c r="P274" i="8"/>
  <c r="O274" i="8"/>
  <c r="P279" i="8"/>
  <c r="O279" i="8"/>
  <c r="P283" i="8"/>
  <c r="O283" i="8"/>
  <c r="P287" i="8"/>
  <c r="O287" i="8"/>
  <c r="P291" i="8"/>
  <c r="O291" i="8"/>
  <c r="P295" i="8"/>
  <c r="O295" i="8"/>
  <c r="P299" i="8"/>
  <c r="O299" i="8"/>
  <c r="P303" i="8"/>
  <c r="O303" i="8"/>
  <c r="P307" i="8"/>
  <c r="O307" i="8"/>
  <c r="P311" i="8"/>
  <c r="O311" i="8"/>
  <c r="P315" i="8"/>
  <c r="O315" i="8"/>
  <c r="P319" i="8"/>
  <c r="O319" i="8"/>
  <c r="P323" i="8"/>
  <c r="O323" i="8"/>
  <c r="P327" i="8"/>
  <c r="O327" i="8"/>
  <c r="P331" i="8"/>
  <c r="O331" i="8"/>
  <c r="P335" i="8"/>
  <c r="O335" i="8"/>
  <c r="P339" i="8"/>
  <c r="O339" i="8"/>
  <c r="P343" i="8"/>
  <c r="O343" i="8"/>
  <c r="P347" i="8"/>
  <c r="O347" i="8"/>
  <c r="P351" i="8"/>
  <c r="O351" i="8"/>
  <c r="P355" i="8"/>
  <c r="O355" i="8"/>
  <c r="P359" i="8"/>
  <c r="O359" i="8"/>
  <c r="P363" i="8"/>
  <c r="O363" i="8"/>
  <c r="P367" i="8"/>
  <c r="O367" i="8"/>
  <c r="P371" i="8"/>
  <c r="O371" i="8"/>
  <c r="P375" i="8"/>
  <c r="O375" i="8"/>
  <c r="P379" i="8"/>
  <c r="O379" i="8"/>
  <c r="P383" i="8"/>
  <c r="O383" i="8"/>
  <c r="P387" i="8"/>
  <c r="O387" i="8"/>
  <c r="P391" i="8"/>
  <c r="O391" i="8"/>
  <c r="P395" i="8"/>
  <c r="O395" i="8"/>
  <c r="P399" i="8"/>
  <c r="O399" i="8"/>
  <c r="P403" i="8"/>
  <c r="O403" i="8"/>
  <c r="P407" i="8"/>
  <c r="O407" i="8"/>
  <c r="P411" i="8"/>
  <c r="O411" i="8"/>
  <c r="P415" i="8"/>
  <c r="O415" i="8"/>
  <c r="P137" i="7"/>
  <c r="P9" i="7"/>
  <c r="P129" i="7"/>
  <c r="P95" i="7"/>
  <c r="P45" i="7"/>
  <c r="P59" i="7"/>
  <c r="P50" i="7"/>
  <c r="P38" i="7"/>
  <c r="P97" i="7"/>
  <c r="P81" i="7"/>
  <c r="P11" i="7"/>
  <c r="P121" i="7"/>
  <c r="P29" i="7"/>
  <c r="P89" i="7"/>
  <c r="P13" i="7"/>
  <c r="P34" i="7"/>
  <c r="P43" i="7"/>
  <c r="P63" i="7"/>
  <c r="P93" i="7"/>
  <c r="P113" i="7"/>
  <c r="P146" i="7"/>
  <c r="P3" i="7"/>
  <c r="P4" i="7" s="1"/>
  <c r="P54" i="7"/>
  <c r="P85" i="7"/>
  <c r="P72" i="7"/>
  <c r="P76" i="7"/>
  <c r="P21" i="7"/>
  <c r="P61" i="7"/>
  <c r="P154" i="7"/>
  <c r="P105" i="7"/>
  <c r="P27" i="7"/>
  <c r="P87" i="7"/>
  <c r="P79" i="7"/>
  <c r="P15" i="7"/>
  <c r="P83" i="7"/>
  <c r="P115" i="7"/>
  <c r="P23" i="7"/>
  <c r="P74" i="7"/>
  <c r="P99" i="7"/>
  <c r="P131" i="7"/>
  <c r="P17" i="7"/>
  <c r="P25" i="7"/>
  <c r="P41" i="7"/>
  <c r="P67" i="7"/>
  <c r="P101" i="7"/>
  <c r="P109" i="7"/>
  <c r="P117" i="7"/>
  <c r="P125" i="7"/>
  <c r="P133" i="7"/>
  <c r="P142" i="7"/>
  <c r="P150" i="7"/>
  <c r="P158" i="7"/>
  <c r="P148" i="7"/>
  <c r="P47" i="7"/>
  <c r="P123" i="7"/>
  <c r="P31" i="7"/>
  <c r="P91" i="7"/>
  <c r="P139" i="7"/>
  <c r="P19" i="7"/>
  <c r="P36" i="7"/>
  <c r="P52" i="7"/>
  <c r="P69" i="7"/>
  <c r="P103" i="7"/>
  <c r="P111" i="7"/>
  <c r="P119" i="7"/>
  <c r="P127" i="7"/>
  <c r="P135" i="7"/>
  <c r="P144" i="7"/>
  <c r="P152" i="7"/>
  <c r="P160" i="7"/>
  <c r="P65" i="7"/>
  <c r="P107" i="7"/>
  <c r="P7" i="7"/>
  <c r="P57" i="7"/>
  <c r="P156" i="7"/>
  <c r="P42" i="6"/>
  <c r="R262" i="6"/>
  <c r="S262" i="6" s="1"/>
  <c r="Q375" i="6"/>
  <c r="S375" i="6" s="1"/>
  <c r="P359" i="6"/>
  <c r="O79" i="6"/>
  <c r="Q79" i="6" s="1"/>
  <c r="P61" i="6"/>
  <c r="R338" i="6"/>
  <c r="S338" i="6" s="1"/>
  <c r="R359" i="6"/>
  <c r="S359" i="6" s="1"/>
  <c r="P92" i="6"/>
  <c r="P314" i="6"/>
  <c r="O132" i="6"/>
  <c r="R132" i="6" s="1"/>
  <c r="P225" i="6"/>
  <c r="R330" i="6"/>
  <c r="S330" i="6" s="1"/>
  <c r="P22" i="6"/>
  <c r="O149" i="6"/>
  <c r="R149" i="6" s="1"/>
  <c r="R336" i="6"/>
  <c r="S336" i="6" s="1"/>
  <c r="O192" i="6"/>
  <c r="R192" i="6" s="1"/>
  <c r="Q255" i="6"/>
  <c r="S255" i="6" s="1"/>
  <c r="R368" i="6"/>
  <c r="S368" i="6" s="1"/>
  <c r="O123" i="6"/>
  <c r="Q123" i="6" s="1"/>
  <c r="P133" i="6"/>
  <c r="Q353" i="6"/>
  <c r="S353" i="6" s="1"/>
  <c r="O115" i="6"/>
  <c r="Q115" i="6" s="1"/>
  <c r="O70" i="6"/>
  <c r="R70" i="6" s="1"/>
  <c r="O103" i="6"/>
  <c r="Q103" i="6" s="1"/>
  <c r="P206" i="6"/>
  <c r="P227" i="6"/>
  <c r="R296" i="6"/>
  <c r="S296" i="6" s="1"/>
  <c r="P330" i="6"/>
  <c r="P198" i="6"/>
  <c r="O17" i="6"/>
  <c r="Q17" i="6" s="1"/>
  <c r="O240" i="6"/>
  <c r="Q240" i="6" s="1"/>
  <c r="O116" i="6"/>
  <c r="R116" i="6" s="1"/>
  <c r="P148" i="6"/>
  <c r="Q250" i="6"/>
  <c r="S250" i="6" s="1"/>
  <c r="R278" i="6"/>
  <c r="S278" i="6" s="1"/>
  <c r="R290" i="6"/>
  <c r="S290" i="6" s="1"/>
  <c r="P72" i="6"/>
  <c r="P167" i="6"/>
  <c r="O232" i="6"/>
  <c r="Q232" i="6" s="1"/>
  <c r="P241" i="6"/>
  <c r="Q270" i="6"/>
  <c r="S270" i="6" s="1"/>
  <c r="R378" i="6"/>
  <c r="S378" i="6" s="1"/>
  <c r="O4" i="6"/>
  <c r="R4" i="6" s="1"/>
  <c r="P157" i="6"/>
  <c r="P250" i="6"/>
  <c r="P360" i="6"/>
  <c r="O109" i="6"/>
  <c r="Q109" i="6" s="1"/>
  <c r="P343" i="6"/>
  <c r="O166" i="6"/>
  <c r="R166" i="6" s="1"/>
  <c r="O199" i="6"/>
  <c r="R199" i="6" s="1"/>
  <c r="O139" i="6"/>
  <c r="Q139" i="6" s="1"/>
  <c r="P336" i="6"/>
  <c r="P378" i="6"/>
  <c r="O215" i="6"/>
  <c r="Q215" i="6" s="1"/>
  <c r="O43" i="6"/>
  <c r="R43" i="6" s="1"/>
  <c r="O168" i="6"/>
  <c r="Q168" i="6" s="1"/>
  <c r="O209" i="6"/>
  <c r="P217" i="6"/>
  <c r="Q321" i="6"/>
  <c r="S321" i="6" s="1"/>
  <c r="P375" i="6"/>
  <c r="P9" i="6"/>
  <c r="P20" i="6"/>
  <c r="O47" i="6"/>
  <c r="R47" i="6" s="1"/>
  <c r="P78" i="6"/>
  <c r="O105" i="6"/>
  <c r="Q105" i="6" s="1"/>
  <c r="O147" i="6"/>
  <c r="R147" i="6" s="1"/>
  <c r="O156" i="6"/>
  <c r="O164" i="6"/>
  <c r="R164" i="6" s="1"/>
  <c r="P181" i="6"/>
  <c r="O189" i="6"/>
  <c r="Q189" i="6" s="1"/>
  <c r="O244" i="6"/>
  <c r="P293" i="6"/>
  <c r="R310" i="6"/>
  <c r="S310" i="6" s="1"/>
  <c r="R349" i="6"/>
  <c r="S349" i="6" s="1"/>
  <c r="R369" i="6"/>
  <c r="S369" i="6" s="1"/>
  <c r="P377" i="6"/>
  <c r="P383" i="6"/>
  <c r="R401" i="6"/>
  <c r="S401" i="6" s="1"/>
  <c r="Q416" i="6"/>
  <c r="S416" i="6" s="1"/>
  <c r="O104" i="6"/>
  <c r="R104" i="6" s="1"/>
  <c r="O188" i="6"/>
  <c r="P264" i="6"/>
  <c r="O37" i="6"/>
  <c r="Q264" i="6"/>
  <c r="S264" i="6" s="1"/>
  <c r="Q408" i="6"/>
  <c r="S408" i="6" s="1"/>
  <c r="O31" i="6"/>
  <c r="R31" i="6" s="1"/>
  <c r="O173" i="6"/>
  <c r="Q173" i="6" s="1"/>
  <c r="O197" i="6"/>
  <c r="R197" i="6" s="1"/>
  <c r="O231" i="6"/>
  <c r="P261" i="6"/>
  <c r="Q293" i="6"/>
  <c r="S293" i="6" s="1"/>
  <c r="P318" i="6"/>
  <c r="Q377" i="6"/>
  <c r="S377" i="6" s="1"/>
  <c r="Q383" i="6"/>
  <c r="S383" i="6" s="1"/>
  <c r="Q394" i="6"/>
  <c r="S394" i="6" s="1"/>
  <c r="R409" i="6"/>
  <c r="S409" i="6" s="1"/>
  <c r="P85" i="6"/>
  <c r="P362" i="6"/>
  <c r="P110" i="6"/>
  <c r="R362" i="6"/>
  <c r="S362" i="6" s="1"/>
  <c r="P30" i="6"/>
  <c r="O182" i="6"/>
  <c r="R182" i="6" s="1"/>
  <c r="R261" i="6"/>
  <c r="S261" i="6" s="1"/>
  <c r="Q287" i="6"/>
  <c r="S287" i="6" s="1"/>
  <c r="Q303" i="6"/>
  <c r="S303" i="6" s="1"/>
  <c r="P311" i="6"/>
  <c r="Q318" i="6"/>
  <c r="S318" i="6" s="1"/>
  <c r="Q327" i="6"/>
  <c r="S327" i="6" s="1"/>
  <c r="P350" i="6"/>
  <c r="P365" i="6"/>
  <c r="P402" i="6"/>
  <c r="O195" i="6"/>
  <c r="O10" i="6"/>
  <c r="Q10" i="6" s="1"/>
  <c r="R235" i="6"/>
  <c r="S235" i="6" s="1"/>
  <c r="P3" i="6"/>
  <c r="P5" i="6" s="1"/>
  <c r="O32" i="6"/>
  <c r="Q32" i="6" s="1"/>
  <c r="O114" i="6"/>
  <c r="R114" i="6" s="1"/>
  <c r="O122" i="6"/>
  <c r="O130" i="6"/>
  <c r="R130" i="6" s="1"/>
  <c r="P278" i="6"/>
  <c r="Q311" i="6"/>
  <c r="S311" i="6" s="1"/>
  <c r="Q350" i="6"/>
  <c r="S350" i="6" s="1"/>
  <c r="Q365" i="6"/>
  <c r="S365" i="6" s="1"/>
  <c r="Q402" i="6"/>
  <c r="S402" i="6" s="1"/>
  <c r="P410" i="6"/>
  <c r="P220" i="6"/>
  <c r="Q251" i="6"/>
  <c r="S251" i="6" s="1"/>
  <c r="P349" i="6"/>
  <c r="P416" i="6"/>
  <c r="P91" i="6"/>
  <c r="P255" i="6"/>
  <c r="P262" i="6"/>
  <c r="R343" i="6"/>
  <c r="S343" i="6" s="1"/>
  <c r="Q410" i="6"/>
  <c r="S410" i="6" s="1"/>
  <c r="O134" i="6"/>
  <c r="R134" i="6" s="1"/>
  <c r="O180" i="6"/>
  <c r="R180" i="6" s="1"/>
  <c r="P235" i="6"/>
  <c r="P369" i="6"/>
  <c r="O97" i="6"/>
  <c r="Q97" i="6" s="1"/>
  <c r="P204" i="6"/>
  <c r="P310" i="6"/>
  <c r="R217" i="6"/>
  <c r="Q217" i="6"/>
  <c r="R233" i="6"/>
  <c r="Q233" i="6"/>
  <c r="R219" i="6"/>
  <c r="Q219" i="6"/>
  <c r="Q92" i="6"/>
  <c r="R92" i="6"/>
  <c r="O54" i="6"/>
  <c r="P142" i="6"/>
  <c r="P175" i="6"/>
  <c r="P251" i="6"/>
  <c r="P280" i="6"/>
  <c r="P338" i="6"/>
  <c r="P394" i="6"/>
  <c r="O33" i="6"/>
  <c r="R33" i="6" s="1"/>
  <c r="O49" i="6"/>
  <c r="O246" i="6"/>
  <c r="Q246" i="6" s="1"/>
  <c r="P334" i="6"/>
  <c r="P389" i="6"/>
  <c r="O23" i="6"/>
  <c r="R23" i="6" s="1"/>
  <c r="Q74" i="6"/>
  <c r="S74" i="6" s="1"/>
  <c r="P222" i="6"/>
  <c r="P269" i="6"/>
  <c r="P6" i="6"/>
  <c r="P8" i="6" s="1"/>
  <c r="P44" i="6"/>
  <c r="O124" i="6"/>
  <c r="R124" i="6" s="1"/>
  <c r="O165" i="6"/>
  <c r="Q165" i="6" s="1"/>
  <c r="O190" i="6"/>
  <c r="R190" i="6" s="1"/>
  <c r="O196" i="6"/>
  <c r="Q196" i="6" s="1"/>
  <c r="Q269" i="6"/>
  <c r="S269" i="6" s="1"/>
  <c r="Q411" i="6"/>
  <c r="S411" i="6" s="1"/>
  <c r="P131" i="6"/>
  <c r="O239" i="6"/>
  <c r="Q289" i="6"/>
  <c r="S289" i="6" s="1"/>
  <c r="P319" i="6"/>
  <c r="P395" i="6"/>
  <c r="R400" i="6"/>
  <c r="S400" i="6" s="1"/>
  <c r="O7" i="6"/>
  <c r="O14" i="6"/>
  <c r="O25" i="6"/>
  <c r="O45" i="6"/>
  <c r="R45" i="6" s="1"/>
  <c r="O51" i="6"/>
  <c r="O58" i="6"/>
  <c r="O64" i="6"/>
  <c r="O95" i="6"/>
  <c r="O107" i="6"/>
  <c r="P125" i="6"/>
  <c r="P159" i="6"/>
  <c r="P191" i="6"/>
  <c r="O214" i="6"/>
  <c r="Q214" i="6" s="1"/>
  <c r="P219" i="6"/>
  <c r="P224" i="6"/>
  <c r="O230" i="6"/>
  <c r="Q230" i="6" s="1"/>
  <c r="P233" i="6"/>
  <c r="Q252" i="6"/>
  <c r="S252" i="6" s="1"/>
  <c r="Q285" i="6"/>
  <c r="S285" i="6" s="1"/>
  <c r="P295" i="6"/>
  <c r="Q319" i="6"/>
  <c r="S319" i="6" s="1"/>
  <c r="R335" i="6"/>
  <c r="S335" i="6" s="1"/>
  <c r="Q351" i="6"/>
  <c r="S351" i="6" s="1"/>
  <c r="R357" i="6"/>
  <c r="S357" i="6" s="1"/>
  <c r="P367" i="6"/>
  <c r="P370" i="6"/>
  <c r="R376" i="6"/>
  <c r="S376" i="6" s="1"/>
  <c r="P381" i="6"/>
  <c r="P385" i="6"/>
  <c r="P392" i="6"/>
  <c r="R395" i="6"/>
  <c r="S395" i="6" s="1"/>
  <c r="P412" i="6"/>
  <c r="P418" i="6"/>
  <c r="O143" i="6"/>
  <c r="P242" i="6"/>
  <c r="O62" i="6"/>
  <c r="Q62" i="6" s="1"/>
  <c r="Q298" i="6"/>
  <c r="S298" i="6" s="1"/>
  <c r="Q322" i="6"/>
  <c r="S322" i="6" s="1"/>
  <c r="P306" i="6"/>
  <c r="P335" i="6"/>
  <c r="P357" i="6"/>
  <c r="P417" i="6"/>
  <c r="O118" i="6"/>
  <c r="R118" i="6" s="1"/>
  <c r="P285" i="6"/>
  <c r="P351" i="6"/>
  <c r="O2" i="6"/>
  <c r="O35" i="6"/>
  <c r="R35" i="6" s="1"/>
  <c r="O41" i="6"/>
  <c r="O77" i="6"/>
  <c r="Q77" i="6" s="1"/>
  <c r="O82" i="6"/>
  <c r="R224" i="6"/>
  <c r="S224" i="6" s="1"/>
  <c r="P270" i="6"/>
  <c r="P290" i="6"/>
  <c r="Q295" i="6"/>
  <c r="S295" i="6" s="1"/>
  <c r="P342" i="6"/>
  <c r="Q367" i="6"/>
  <c r="S367" i="6" s="1"/>
  <c r="Q381" i="6"/>
  <c r="S381" i="6" s="1"/>
  <c r="Q385" i="6"/>
  <c r="S385" i="6" s="1"/>
  <c r="Q392" i="6"/>
  <c r="P401" i="6"/>
  <c r="P408" i="6"/>
  <c r="R412" i="6"/>
  <c r="S412" i="6" s="1"/>
  <c r="R418" i="6"/>
  <c r="S418" i="6" s="1"/>
  <c r="O12" i="6"/>
  <c r="P74" i="6"/>
  <c r="O176" i="6"/>
  <c r="R176" i="6" s="1"/>
  <c r="R288" i="6"/>
  <c r="S288" i="6" s="1"/>
  <c r="O34" i="6"/>
  <c r="Q34" i="6" s="1"/>
  <c r="O106" i="6"/>
  <c r="R106" i="6" s="1"/>
  <c r="O158" i="6"/>
  <c r="R158" i="6" s="1"/>
  <c r="O213" i="6"/>
  <c r="R213" i="6" s="1"/>
  <c r="R328" i="6"/>
  <c r="S328" i="6" s="1"/>
  <c r="P88" i="6"/>
  <c r="O46" i="6"/>
  <c r="Q46" i="6" s="1"/>
  <c r="O126" i="6"/>
  <c r="R126" i="6" s="1"/>
  <c r="O160" i="6"/>
  <c r="R160" i="6" s="1"/>
  <c r="O39" i="6"/>
  <c r="P298" i="6"/>
  <c r="P322" i="6"/>
  <c r="O29" i="6"/>
  <c r="O67" i="6"/>
  <c r="R67" i="6" s="1"/>
  <c r="P100" i="6"/>
  <c r="P328" i="6"/>
  <c r="R389" i="6"/>
  <c r="S389" i="6" s="1"/>
  <c r="O94" i="6"/>
  <c r="O172" i="6"/>
  <c r="O208" i="6"/>
  <c r="P257" i="6"/>
  <c r="P289" i="6"/>
  <c r="Q361" i="6"/>
  <c r="S361" i="6" s="1"/>
  <c r="O19" i="6"/>
  <c r="R19" i="6" s="1"/>
  <c r="O71" i="6"/>
  <c r="Q71" i="6" s="1"/>
  <c r="O96" i="6"/>
  <c r="R96" i="6" s="1"/>
  <c r="P413" i="6"/>
  <c r="P207" i="6"/>
  <c r="P345" i="6"/>
  <c r="P18" i="6"/>
  <c r="O56" i="6"/>
  <c r="Q56" i="6" s="1"/>
  <c r="P117" i="6"/>
  <c r="P150" i="6"/>
  <c r="P183" i="6"/>
  <c r="P361" i="6"/>
  <c r="P384" i="6"/>
  <c r="P400" i="6"/>
  <c r="O138" i="6"/>
  <c r="O203" i="6"/>
  <c r="O229" i="6"/>
  <c r="R229" i="6" s="1"/>
  <c r="O243" i="6"/>
  <c r="P346" i="6"/>
  <c r="R384" i="6"/>
  <c r="S384" i="6" s="1"/>
  <c r="O80" i="6"/>
  <c r="R80" i="6" s="1"/>
  <c r="O152" i="6"/>
  <c r="O184" i="6"/>
  <c r="Q184" i="6" s="1"/>
  <c r="P252" i="6"/>
  <c r="P263" i="6"/>
  <c r="Q346" i="6"/>
  <c r="S346" i="6" s="1"/>
  <c r="P376" i="6"/>
  <c r="O21" i="6"/>
  <c r="R21" i="6" s="1"/>
  <c r="O27" i="6"/>
  <c r="R52" i="6"/>
  <c r="S52" i="6" s="1"/>
  <c r="O60" i="6"/>
  <c r="O66" i="6"/>
  <c r="O84" i="6"/>
  <c r="O140" i="6"/>
  <c r="R140" i="6" s="1"/>
  <c r="O174" i="6"/>
  <c r="R174" i="6" s="1"/>
  <c r="P287" i="6"/>
  <c r="P296" i="6"/>
  <c r="P303" i="6"/>
  <c r="P321" i="6"/>
  <c r="P327" i="6"/>
  <c r="P353" i="6"/>
  <c r="P368" i="6"/>
  <c r="Q373" i="6"/>
  <c r="S373" i="6" s="1"/>
  <c r="P386" i="6"/>
  <c r="P393" i="6"/>
  <c r="P398" i="6"/>
  <c r="R7" i="7"/>
  <c r="Q7" i="7"/>
  <c r="R15" i="7"/>
  <c r="Q15" i="7"/>
  <c r="R23" i="7"/>
  <c r="Q23" i="7"/>
  <c r="R31" i="7"/>
  <c r="Q31" i="7"/>
  <c r="R47" i="7"/>
  <c r="Q47" i="7"/>
  <c r="R57" i="7"/>
  <c r="Q57" i="7"/>
  <c r="R65" i="7"/>
  <c r="Q65" i="7"/>
  <c r="R74" i="7"/>
  <c r="Q74" i="7"/>
  <c r="R83" i="7"/>
  <c r="Q83" i="7"/>
  <c r="R91" i="7"/>
  <c r="Q91" i="7"/>
  <c r="R99" i="7"/>
  <c r="Q99" i="7"/>
  <c r="R107" i="7"/>
  <c r="Q107" i="7"/>
  <c r="R115" i="7"/>
  <c r="Q115" i="7"/>
  <c r="R123" i="7"/>
  <c r="Q123" i="7"/>
  <c r="R131" i="7"/>
  <c r="Q131" i="7"/>
  <c r="R139" i="7"/>
  <c r="Q139" i="7"/>
  <c r="R148" i="7"/>
  <c r="Q148" i="7"/>
  <c r="R156" i="7"/>
  <c r="Q156" i="7"/>
  <c r="R9" i="7"/>
  <c r="Q9" i="7"/>
  <c r="R17" i="7"/>
  <c r="Q17" i="7"/>
  <c r="R25" i="7"/>
  <c r="Q25" i="7"/>
  <c r="R34" i="7"/>
  <c r="Q34" i="7"/>
  <c r="R41" i="7"/>
  <c r="Q41" i="7"/>
  <c r="R50" i="7"/>
  <c r="Q50" i="7"/>
  <c r="R59" i="7"/>
  <c r="Q59" i="7"/>
  <c r="R67" i="7"/>
  <c r="Q67" i="7"/>
  <c r="R76" i="7"/>
  <c r="Q76" i="7"/>
  <c r="R85" i="7"/>
  <c r="Q85" i="7"/>
  <c r="R93" i="7"/>
  <c r="Q93" i="7"/>
  <c r="R101" i="7"/>
  <c r="Q101" i="7"/>
  <c r="R109" i="7"/>
  <c r="Q109" i="7"/>
  <c r="R117" i="7"/>
  <c r="Q117" i="7"/>
  <c r="R125" i="7"/>
  <c r="Q125" i="7"/>
  <c r="R133" i="7"/>
  <c r="Q133" i="7"/>
  <c r="R142" i="7"/>
  <c r="Q142" i="7"/>
  <c r="R150" i="7"/>
  <c r="Q150" i="7"/>
  <c r="R158" i="7"/>
  <c r="Q158" i="7"/>
  <c r="R11" i="7"/>
  <c r="Q11" i="7"/>
  <c r="R19" i="7"/>
  <c r="Q19" i="7"/>
  <c r="R27" i="7"/>
  <c r="Q27" i="7"/>
  <c r="R36" i="7"/>
  <c r="Q36" i="7"/>
  <c r="R43" i="7"/>
  <c r="Q43" i="7"/>
  <c r="R52" i="7"/>
  <c r="Q52" i="7"/>
  <c r="R61" i="7"/>
  <c r="Q61" i="7"/>
  <c r="R69" i="7"/>
  <c r="Q69" i="7"/>
  <c r="R79" i="7"/>
  <c r="Q79" i="7"/>
  <c r="R87" i="7"/>
  <c r="Q87" i="7"/>
  <c r="R95" i="7"/>
  <c r="Q95" i="7"/>
  <c r="R103" i="7"/>
  <c r="Q103" i="7"/>
  <c r="R111" i="7"/>
  <c r="Q111" i="7"/>
  <c r="R119" i="7"/>
  <c r="Q119" i="7"/>
  <c r="R127" i="7"/>
  <c r="Q127" i="7"/>
  <c r="R135" i="7"/>
  <c r="Q135" i="7"/>
  <c r="R144" i="7"/>
  <c r="Q144" i="7"/>
  <c r="R152" i="7"/>
  <c r="Q152" i="7"/>
  <c r="R160" i="7"/>
  <c r="Q160" i="7"/>
  <c r="R3" i="7"/>
  <c r="Q3" i="7"/>
  <c r="R13" i="7"/>
  <c r="Q13" i="7"/>
  <c r="R21" i="7"/>
  <c r="Q21" i="7"/>
  <c r="R29" i="7"/>
  <c r="Q29" i="7"/>
  <c r="R38" i="7"/>
  <c r="Q38" i="7"/>
  <c r="R45" i="7"/>
  <c r="Q45" i="7"/>
  <c r="R54" i="7"/>
  <c r="Q54" i="7"/>
  <c r="R63" i="7"/>
  <c r="Q63" i="7"/>
  <c r="R72" i="7"/>
  <c r="Q72" i="7"/>
  <c r="R81" i="7"/>
  <c r="Q81" i="7"/>
  <c r="R89" i="7"/>
  <c r="Q89" i="7"/>
  <c r="R97" i="7"/>
  <c r="Q97" i="7"/>
  <c r="R105" i="7"/>
  <c r="Q105" i="7"/>
  <c r="R113" i="7"/>
  <c r="Q113" i="7"/>
  <c r="R121" i="7"/>
  <c r="Q121" i="7"/>
  <c r="R129" i="7"/>
  <c r="Q129" i="7"/>
  <c r="R137" i="7"/>
  <c r="Q137" i="7"/>
  <c r="R146" i="7"/>
  <c r="Q146" i="7"/>
  <c r="R154" i="7"/>
  <c r="Q154" i="7"/>
  <c r="O2" i="7"/>
  <c r="O4" i="7" s="1"/>
  <c r="O5" i="7"/>
  <c r="O8" i="7"/>
  <c r="O10" i="7"/>
  <c r="O12" i="7"/>
  <c r="O14" i="7"/>
  <c r="O16" i="7"/>
  <c r="O18" i="7"/>
  <c r="O20" i="7"/>
  <c r="O22" i="7"/>
  <c r="O24" i="7"/>
  <c r="O26" i="7"/>
  <c r="O28" i="7"/>
  <c r="O30" i="7"/>
  <c r="O32" i="7"/>
  <c r="O35" i="7"/>
  <c r="O37" i="7"/>
  <c r="O39" i="7"/>
  <c r="O40" i="7"/>
  <c r="O42" i="7"/>
  <c r="O44" i="7"/>
  <c r="O46" i="7"/>
  <c r="O49" i="7"/>
  <c r="O51" i="7"/>
  <c r="O53" i="7"/>
  <c r="O56" i="7"/>
  <c r="O58" i="7"/>
  <c r="O60" i="7"/>
  <c r="O62" i="7"/>
  <c r="O64" i="7"/>
  <c r="O66" i="7"/>
  <c r="O68" i="7"/>
  <c r="O71" i="7"/>
  <c r="O73" i="7"/>
  <c r="O75" i="7"/>
  <c r="O78" i="7"/>
  <c r="O80" i="7"/>
  <c r="O82" i="7"/>
  <c r="O84" i="7"/>
  <c r="O86" i="7"/>
  <c r="O88" i="7"/>
  <c r="O90" i="7"/>
  <c r="O92" i="7"/>
  <c r="O94" i="7"/>
  <c r="O96" i="7"/>
  <c r="O100" i="7"/>
  <c r="O102" i="7"/>
  <c r="O104" i="7"/>
  <c r="O106" i="7"/>
  <c r="O108" i="7"/>
  <c r="O110" i="7"/>
  <c r="O112" i="7"/>
  <c r="O114" i="7"/>
  <c r="O116" i="7"/>
  <c r="O118" i="7"/>
  <c r="O120" i="7"/>
  <c r="O122" i="7"/>
  <c r="O124" i="7"/>
  <c r="O126" i="7"/>
  <c r="O128" i="7"/>
  <c r="O130" i="7"/>
  <c r="O132" i="7"/>
  <c r="O134" i="7"/>
  <c r="O136" i="7"/>
  <c r="O138" i="7"/>
  <c r="O141" i="7"/>
  <c r="O143" i="7"/>
  <c r="O145" i="7"/>
  <c r="O147" i="7"/>
  <c r="O149" i="7"/>
  <c r="O151" i="7"/>
  <c r="O153" i="7"/>
  <c r="O155" i="7"/>
  <c r="O157" i="7"/>
  <c r="O159" i="7"/>
  <c r="O161" i="7"/>
  <c r="O162" i="7"/>
  <c r="R85" i="6"/>
  <c r="Q85" i="6"/>
  <c r="Q16" i="6"/>
  <c r="R16" i="6"/>
  <c r="Q3" i="6"/>
  <c r="R3" i="6"/>
  <c r="Q42" i="6"/>
  <c r="R42" i="6"/>
  <c r="R72" i="6"/>
  <c r="Q72" i="6"/>
  <c r="Q18" i="6"/>
  <c r="R18" i="6"/>
  <c r="Q13" i="6"/>
  <c r="R13" i="6"/>
  <c r="R207" i="6"/>
  <c r="Q207" i="6"/>
  <c r="Q30" i="6"/>
  <c r="R30" i="6"/>
  <c r="Q242" i="6"/>
  <c r="R242" i="6"/>
  <c r="P144" i="6"/>
  <c r="O144" i="6"/>
  <c r="O28" i="6"/>
  <c r="R59" i="6"/>
  <c r="Q59" i="6"/>
  <c r="O90" i="6"/>
  <c r="R89" i="6"/>
  <c r="Q89" i="6"/>
  <c r="P221" i="6"/>
  <c r="O221" i="6"/>
  <c r="O323" i="6"/>
  <c r="P323" i="6"/>
  <c r="R341" i="6"/>
  <c r="Q341" i="6"/>
  <c r="O358" i="6"/>
  <c r="P358" i="6"/>
  <c r="R6" i="6"/>
  <c r="R20" i="6"/>
  <c r="S20" i="6" s="1"/>
  <c r="R44" i="6"/>
  <c r="S44" i="6" s="1"/>
  <c r="P52" i="6"/>
  <c r="P89" i="6"/>
  <c r="Q100" i="6"/>
  <c r="S100" i="6" s="1"/>
  <c r="Q110" i="6"/>
  <c r="S110" i="6" s="1"/>
  <c r="P210" i="6"/>
  <c r="O210" i="6"/>
  <c r="O218" i="6"/>
  <c r="R225" i="6"/>
  <c r="Q225" i="6"/>
  <c r="O279" i="6"/>
  <c r="P279" i="6"/>
  <c r="P341" i="6"/>
  <c r="R370" i="6"/>
  <c r="Q370" i="6"/>
  <c r="P153" i="6"/>
  <c r="O153" i="6"/>
  <c r="P177" i="6"/>
  <c r="O177" i="6"/>
  <c r="Q204" i="6"/>
  <c r="R204" i="6"/>
  <c r="O253" i="6"/>
  <c r="P253" i="6"/>
  <c r="Q304" i="6"/>
  <c r="R304" i="6"/>
  <c r="P304" i="6"/>
  <c r="P101" i="6"/>
  <c r="R157" i="6"/>
  <c r="S157" i="6" s="1"/>
  <c r="O316" i="6"/>
  <c r="P316" i="6"/>
  <c r="O406" i="6"/>
  <c r="P406" i="6"/>
  <c r="O26" i="6"/>
  <c r="O38" i="6"/>
  <c r="Q75" i="6"/>
  <c r="R75" i="6"/>
  <c r="P112" i="6"/>
  <c r="P186" i="6"/>
  <c r="P216" i="6"/>
  <c r="O216" i="6"/>
  <c r="O226" i="6"/>
  <c r="P326" i="6"/>
  <c r="P13" i="6"/>
  <c r="O98" i="6"/>
  <c r="P102" i="6"/>
  <c r="Q112" i="6"/>
  <c r="S112" i="6" s="1"/>
  <c r="Q120" i="6"/>
  <c r="S120" i="6" s="1"/>
  <c r="Q128" i="6"/>
  <c r="S128" i="6" s="1"/>
  <c r="Q136" i="6"/>
  <c r="S136" i="6" s="1"/>
  <c r="Q145" i="6"/>
  <c r="S145" i="6" s="1"/>
  <c r="Q154" i="6"/>
  <c r="S154" i="6" s="1"/>
  <c r="Q162" i="6"/>
  <c r="S162" i="6" s="1"/>
  <c r="Q170" i="6"/>
  <c r="S170" i="6" s="1"/>
  <c r="Q178" i="6"/>
  <c r="S178" i="6" s="1"/>
  <c r="Q186" i="6"/>
  <c r="S186" i="6" s="1"/>
  <c r="Q193" i="6"/>
  <c r="S193" i="6" s="1"/>
  <c r="Q201" i="6"/>
  <c r="S201" i="6" s="1"/>
  <c r="P205" i="6"/>
  <c r="O212" i="6"/>
  <c r="Q282" i="6"/>
  <c r="Q326" i="6"/>
  <c r="S326" i="6" s="1"/>
  <c r="Q329" i="6"/>
  <c r="S329" i="6" s="1"/>
  <c r="P135" i="6"/>
  <c r="O135" i="6"/>
  <c r="P161" i="6"/>
  <c r="O161" i="6"/>
  <c r="O211" i="6"/>
  <c r="P211" i="6"/>
  <c r="O40" i="6"/>
  <c r="R65" i="6"/>
  <c r="Q65" i="6"/>
  <c r="O266" i="6"/>
  <c r="P266" i="6"/>
  <c r="O108" i="6"/>
  <c r="P128" i="6"/>
  <c r="P145" i="6"/>
  <c r="P162" i="6"/>
  <c r="P178" i="6"/>
  <c r="R205" i="6"/>
  <c r="Q205" i="6"/>
  <c r="O236" i="6"/>
  <c r="O276" i="6"/>
  <c r="P276" i="6"/>
  <c r="Q286" i="6"/>
  <c r="S286" i="6" s="1"/>
  <c r="O300" i="6"/>
  <c r="P300" i="6"/>
  <c r="O333" i="6"/>
  <c r="P333" i="6"/>
  <c r="P75" i="6"/>
  <c r="O11" i="6"/>
  <c r="O24" i="6"/>
  <c r="O36" i="6"/>
  <c r="P48" i="6"/>
  <c r="P57" i="6"/>
  <c r="R63" i="6"/>
  <c r="Q63" i="6"/>
  <c r="R68" i="6"/>
  <c r="Q68" i="6"/>
  <c r="R76" i="6"/>
  <c r="Q76" i="6"/>
  <c r="O83" i="6"/>
  <c r="P87" i="6"/>
  <c r="P237" i="6"/>
  <c r="O237" i="6"/>
  <c r="O247" i="6"/>
  <c r="O271" i="6"/>
  <c r="P271" i="6"/>
  <c r="P277" i="6"/>
  <c r="O301" i="6"/>
  <c r="P301" i="6"/>
  <c r="O307" i="6"/>
  <c r="P307" i="6"/>
  <c r="P127" i="6"/>
  <c r="O127" i="6"/>
  <c r="P86" i="6"/>
  <c r="O86" i="6"/>
  <c r="R148" i="6"/>
  <c r="S148" i="6" s="1"/>
  <c r="P286" i="6"/>
  <c r="O363" i="6"/>
  <c r="P363" i="6"/>
  <c r="R50" i="6"/>
  <c r="S50" i="6" s="1"/>
  <c r="R102" i="6"/>
  <c r="Q102" i="6"/>
  <c r="P120" i="6"/>
  <c r="P136" i="6"/>
  <c r="P154" i="6"/>
  <c r="P170" i="6"/>
  <c r="P193" i="6"/>
  <c r="P201" i="6"/>
  <c r="R222" i="6"/>
  <c r="S222" i="6" s="1"/>
  <c r="P282" i="6"/>
  <c r="P329" i="6"/>
  <c r="R48" i="6"/>
  <c r="S48" i="6" s="1"/>
  <c r="R57" i="6"/>
  <c r="S57" i="6" s="1"/>
  <c r="P63" i="6"/>
  <c r="P68" i="6"/>
  <c r="P76" i="6"/>
  <c r="Q87" i="6"/>
  <c r="S87" i="6" s="1"/>
  <c r="O113" i="6"/>
  <c r="Q117" i="6"/>
  <c r="R117" i="6"/>
  <c r="O121" i="6"/>
  <c r="Q125" i="6"/>
  <c r="R125" i="6"/>
  <c r="O129" i="6"/>
  <c r="Q133" i="6"/>
  <c r="R133" i="6"/>
  <c r="O137" i="6"/>
  <c r="Q142" i="6"/>
  <c r="R142" i="6"/>
  <c r="O146" i="6"/>
  <c r="Q150" i="6"/>
  <c r="R150" i="6"/>
  <c r="O155" i="6"/>
  <c r="Q159" i="6"/>
  <c r="R159" i="6"/>
  <c r="O163" i="6"/>
  <c r="Q167" i="6"/>
  <c r="R167" i="6"/>
  <c r="O171" i="6"/>
  <c r="Q175" i="6"/>
  <c r="R175" i="6"/>
  <c r="O179" i="6"/>
  <c r="Q183" i="6"/>
  <c r="R183" i="6"/>
  <c r="O187" i="6"/>
  <c r="Q191" i="6"/>
  <c r="R191" i="6"/>
  <c r="Q198" i="6"/>
  <c r="R198" i="6"/>
  <c r="O202" i="6"/>
  <c r="O223" i="6"/>
  <c r="O260" i="6"/>
  <c r="P260" i="6"/>
  <c r="O268" i="6"/>
  <c r="P268" i="6"/>
  <c r="O272" i="6"/>
  <c r="P272" i="6"/>
  <c r="Q277" i="6"/>
  <c r="S277" i="6" s="1"/>
  <c r="O292" i="6"/>
  <c r="P292" i="6"/>
  <c r="O348" i="6"/>
  <c r="P348" i="6"/>
  <c r="P111" i="6"/>
  <c r="O111" i="6"/>
  <c r="P16" i="6"/>
  <c r="P59" i="6"/>
  <c r="O337" i="6"/>
  <c r="P337" i="6"/>
  <c r="P99" i="6"/>
  <c r="O99" i="6"/>
  <c r="Q238" i="6"/>
  <c r="R238" i="6"/>
  <c r="O248" i="6"/>
  <c r="P248" i="6"/>
  <c r="O312" i="6"/>
  <c r="P312" i="6"/>
  <c r="O339" i="6"/>
  <c r="P339" i="6"/>
  <c r="P119" i="6"/>
  <c r="O119" i="6"/>
  <c r="P185" i="6"/>
  <c r="O185" i="6"/>
  <c r="P200" i="6"/>
  <c r="O200" i="6"/>
  <c r="P50" i="6"/>
  <c r="R131" i="6"/>
  <c r="S131" i="6" s="1"/>
  <c r="R181" i="6"/>
  <c r="S181" i="6" s="1"/>
  <c r="P55" i="6"/>
  <c r="P69" i="6"/>
  <c r="Q88" i="6"/>
  <c r="R88" i="6"/>
  <c r="Q228" i="6"/>
  <c r="R228" i="6"/>
  <c r="P238" i="6"/>
  <c r="O249" i="6"/>
  <c r="P249" i="6"/>
  <c r="O256" i="6"/>
  <c r="P256" i="6"/>
  <c r="O297" i="6"/>
  <c r="P297" i="6"/>
  <c r="O308" i="6"/>
  <c r="P308" i="6"/>
  <c r="O340" i="6"/>
  <c r="P340" i="6"/>
  <c r="P344" i="6"/>
  <c r="O352" i="6"/>
  <c r="P352" i="6"/>
  <c r="P169" i="6"/>
  <c r="O169" i="6"/>
  <c r="O354" i="6"/>
  <c r="P354" i="6"/>
  <c r="Q101" i="6"/>
  <c r="R101" i="6"/>
  <c r="P65" i="6"/>
  <c r="O254" i="6"/>
  <c r="P254" i="6"/>
  <c r="R9" i="6"/>
  <c r="R22" i="6"/>
  <c r="S22" i="6" s="1"/>
  <c r="R55" i="6"/>
  <c r="S55" i="6" s="1"/>
  <c r="R61" i="6"/>
  <c r="Q61" i="6"/>
  <c r="R69" i="6"/>
  <c r="S69" i="6" s="1"/>
  <c r="P73" i="6"/>
  <c r="O73" i="6"/>
  <c r="R220" i="6"/>
  <c r="S220" i="6" s="1"/>
  <c r="P228" i="6"/>
  <c r="O273" i="6"/>
  <c r="P273" i="6"/>
  <c r="O309" i="6"/>
  <c r="P309" i="6"/>
  <c r="R344" i="6"/>
  <c r="S344" i="6" s="1"/>
  <c r="R206" i="6"/>
  <c r="S206" i="6" s="1"/>
  <c r="Q241" i="6"/>
  <c r="S241" i="6" s="1"/>
  <c r="O265" i="6"/>
  <c r="P265" i="6"/>
  <c r="Q280" i="6"/>
  <c r="S280" i="6" s="1"/>
  <c r="O315" i="6"/>
  <c r="P315" i="6"/>
  <c r="O332" i="6"/>
  <c r="P332" i="6"/>
  <c r="P234" i="6"/>
  <c r="O234" i="6"/>
  <c r="P245" i="6"/>
  <c r="O245" i="6"/>
  <c r="O274" i="6"/>
  <c r="P274" i="6"/>
  <c r="O283" i="6"/>
  <c r="P283" i="6"/>
  <c r="R345" i="6"/>
  <c r="Q345" i="6"/>
  <c r="O356" i="6"/>
  <c r="P356" i="6"/>
  <c r="R386" i="6"/>
  <c r="Q386" i="6"/>
  <c r="R417" i="6"/>
  <c r="Q417" i="6"/>
  <c r="O294" i="6"/>
  <c r="P294" i="6"/>
  <c r="O305" i="6"/>
  <c r="P305" i="6"/>
  <c r="Q320" i="6"/>
  <c r="R320" i="6"/>
  <c r="O379" i="6"/>
  <c r="P379" i="6"/>
  <c r="R403" i="6"/>
  <c r="Q403" i="6"/>
  <c r="Q257" i="6"/>
  <c r="S257" i="6" s="1"/>
  <c r="R263" i="6"/>
  <c r="S263" i="6" s="1"/>
  <c r="O284" i="6"/>
  <c r="P284" i="6"/>
  <c r="P313" i="6"/>
  <c r="P317" i="6"/>
  <c r="P320" i="6"/>
  <c r="R334" i="6"/>
  <c r="S334" i="6" s="1"/>
  <c r="R342" i="6"/>
  <c r="Q342" i="6"/>
  <c r="R360" i="6"/>
  <c r="S360" i="6" s="1"/>
  <c r="O364" i="6"/>
  <c r="P364" i="6"/>
  <c r="O372" i="6"/>
  <c r="P372" i="6"/>
  <c r="O396" i="6"/>
  <c r="P396" i="6"/>
  <c r="P403" i="6"/>
  <c r="O275" i="6"/>
  <c r="P275" i="6"/>
  <c r="O302" i="6"/>
  <c r="P302" i="6"/>
  <c r="Q313" i="6"/>
  <c r="S313" i="6" s="1"/>
  <c r="Q317" i="6"/>
  <c r="S317" i="6" s="1"/>
  <c r="O388" i="6"/>
  <c r="P388" i="6"/>
  <c r="R413" i="6"/>
  <c r="Q413" i="6"/>
  <c r="O331" i="6"/>
  <c r="P331" i="6"/>
  <c r="O380" i="6"/>
  <c r="P380" i="6"/>
  <c r="O405" i="6"/>
  <c r="P405" i="6"/>
  <c r="Q78" i="6"/>
  <c r="S78" i="6" s="1"/>
  <c r="Q91" i="6"/>
  <c r="S91" i="6" s="1"/>
  <c r="Q227" i="6"/>
  <c r="S227" i="6" s="1"/>
  <c r="P288" i="6"/>
  <c r="R306" i="6"/>
  <c r="S306" i="6" s="1"/>
  <c r="R314" i="6"/>
  <c r="Q314" i="6"/>
  <c r="O325" i="6"/>
  <c r="P325" i="6"/>
  <c r="O347" i="6"/>
  <c r="P347" i="6"/>
  <c r="P373" i="6"/>
  <c r="R393" i="6"/>
  <c r="O397" i="6"/>
  <c r="P397" i="6"/>
  <c r="P409" i="6"/>
  <c r="O414" i="6"/>
  <c r="P414" i="6"/>
  <c r="O259" i="6"/>
  <c r="P259" i="6"/>
  <c r="O291" i="6"/>
  <c r="P291" i="6"/>
  <c r="O366" i="6"/>
  <c r="P366" i="6"/>
  <c r="O382" i="6"/>
  <c r="P382" i="6"/>
  <c r="O399" i="6"/>
  <c r="P399" i="6"/>
  <c r="O374" i="6"/>
  <c r="P374" i="6"/>
  <c r="O390" i="6"/>
  <c r="P390" i="6"/>
  <c r="O407" i="6"/>
  <c r="P407" i="6"/>
  <c r="O267" i="6"/>
  <c r="P267" i="6"/>
  <c r="O299" i="6"/>
  <c r="P299" i="6"/>
  <c r="O258" i="6"/>
  <c r="P258" i="6"/>
  <c r="O324" i="6"/>
  <c r="P324" i="6"/>
  <c r="O355" i="6"/>
  <c r="P355" i="6"/>
  <c r="O371" i="6"/>
  <c r="P371" i="6"/>
  <c r="O387" i="6"/>
  <c r="P387" i="6"/>
  <c r="O404" i="6"/>
  <c r="P404" i="6"/>
  <c r="P411" i="6"/>
  <c r="O415" i="6"/>
  <c r="P415" i="6"/>
  <c r="O419" i="6"/>
  <c r="P171" i="3"/>
  <c r="R62" i="3"/>
  <c r="S62" i="3" s="1"/>
  <c r="R171" i="3"/>
  <c r="S171" i="3" s="1"/>
  <c r="Q32" i="3"/>
  <c r="S32" i="3" s="1"/>
  <c r="S91" i="3"/>
  <c r="P153" i="3"/>
  <c r="Q118" i="3"/>
  <c r="S118" i="3" s="1"/>
  <c r="R13" i="3"/>
  <c r="S13" i="3" s="1"/>
  <c r="R64" i="3"/>
  <c r="P136" i="3"/>
  <c r="Q92" i="3"/>
  <c r="S92" i="3" s="1"/>
  <c r="Q57" i="3"/>
  <c r="S57" i="3" s="1"/>
  <c r="Q117" i="3"/>
  <c r="S117" i="3" s="1"/>
  <c r="P27" i="3"/>
  <c r="P9" i="3"/>
  <c r="P32" i="3"/>
  <c r="Q142" i="3"/>
  <c r="S142" i="3" s="1"/>
  <c r="P57" i="3"/>
  <c r="P96" i="3"/>
  <c r="P222" i="2"/>
  <c r="O136" i="2"/>
  <c r="Q136" i="2" s="1"/>
  <c r="P307" i="2"/>
  <c r="O241" i="2"/>
  <c r="Q241" i="2" s="1"/>
  <c r="O320" i="2"/>
  <c r="Q320" i="2" s="1"/>
  <c r="P110" i="2"/>
  <c r="P305" i="2"/>
  <c r="O355" i="2"/>
  <c r="Q355" i="2" s="1"/>
  <c r="O416" i="2"/>
  <c r="P208" i="2"/>
  <c r="P98" i="2"/>
  <c r="O361" i="2"/>
  <c r="Q361" i="2" s="1"/>
  <c r="O147" i="2"/>
  <c r="R147" i="2" s="1"/>
  <c r="O440" i="2"/>
  <c r="R440" i="2" s="1"/>
  <c r="P75" i="2"/>
  <c r="O290" i="2"/>
  <c r="Q290" i="2" s="1"/>
  <c r="P431" i="2"/>
  <c r="P8" i="5"/>
  <c r="O9" i="5"/>
  <c r="R9" i="5" s="1"/>
  <c r="P11" i="5"/>
  <c r="P12" i="5"/>
  <c r="O3" i="5"/>
  <c r="R3" i="5" s="1"/>
  <c r="O14" i="5"/>
  <c r="R14" i="5" s="1"/>
  <c r="P14" i="5"/>
  <c r="P2" i="5"/>
  <c r="O13" i="5"/>
  <c r="R6" i="5"/>
  <c r="Q6" i="5"/>
  <c r="O15" i="5"/>
  <c r="R15" i="5" s="1"/>
  <c r="P7" i="5"/>
  <c r="O7" i="5"/>
  <c r="R7" i="5" s="1"/>
  <c r="R8" i="5"/>
  <c r="Q8" i="5"/>
  <c r="O4" i="5"/>
  <c r="R4" i="5" s="1"/>
  <c r="R10" i="5"/>
  <c r="Q10" i="5"/>
  <c r="P10" i="5"/>
  <c r="Q3" i="5"/>
  <c r="S3" i="5" s="1"/>
  <c r="Q2" i="5"/>
  <c r="S2" i="5" s="1"/>
  <c r="R11" i="5"/>
  <c r="Q11" i="5"/>
  <c r="O5" i="5"/>
  <c r="Q9" i="5"/>
  <c r="S9" i="5" s="1"/>
  <c r="R12" i="5"/>
  <c r="Q12" i="5"/>
  <c r="P172" i="3"/>
  <c r="P24" i="3"/>
  <c r="P78" i="3"/>
  <c r="R139" i="3"/>
  <c r="S139" i="3" s="1"/>
  <c r="R172" i="3"/>
  <c r="S172" i="3" s="1"/>
  <c r="Q5" i="3"/>
  <c r="S5" i="3" s="1"/>
  <c r="P18" i="3"/>
  <c r="R78" i="3"/>
  <c r="S78" i="3" s="1"/>
  <c r="P95" i="3"/>
  <c r="R132" i="3"/>
  <c r="S132" i="3" s="1"/>
  <c r="P160" i="3"/>
  <c r="P121" i="3"/>
  <c r="Q24" i="3"/>
  <c r="S24" i="3" s="1"/>
  <c r="R147" i="3"/>
  <c r="S147" i="3" s="1"/>
  <c r="Q18" i="3"/>
  <c r="S18" i="3" s="1"/>
  <c r="R95" i="3"/>
  <c r="S95" i="3" s="1"/>
  <c r="Q160" i="3"/>
  <c r="R76" i="3"/>
  <c r="S76" i="3" s="1"/>
  <c r="P112" i="3"/>
  <c r="P5" i="3"/>
  <c r="R166" i="3"/>
  <c r="S166" i="3" s="1"/>
  <c r="P13" i="3"/>
  <c r="R71" i="3"/>
  <c r="S71" i="3" s="1"/>
  <c r="R106" i="3"/>
  <c r="S106" i="3" s="1"/>
  <c r="R123" i="3"/>
  <c r="S123" i="3" s="1"/>
  <c r="P86" i="3"/>
  <c r="Q51" i="3"/>
  <c r="S51" i="3" s="1"/>
  <c r="P64" i="3"/>
  <c r="P175" i="3"/>
  <c r="P166" i="3"/>
  <c r="Q10" i="3"/>
  <c r="S10" i="3" s="1"/>
  <c r="P23" i="3"/>
  <c r="R67" i="3"/>
  <c r="S67" i="3" s="1"/>
  <c r="P17" i="3"/>
  <c r="R86" i="3"/>
  <c r="S86" i="3" s="1"/>
  <c r="Q112" i="3"/>
  <c r="S112" i="3" s="1"/>
  <c r="P132" i="3"/>
  <c r="P84" i="3"/>
  <c r="R108" i="3"/>
  <c r="S108" i="3" s="1"/>
  <c r="P144" i="3"/>
  <c r="P67" i="3"/>
  <c r="P10" i="3"/>
  <c r="Q46" i="3"/>
  <c r="S46" i="3" s="1"/>
  <c r="P147" i="3"/>
  <c r="P103" i="3"/>
  <c r="R121" i="3"/>
  <c r="S121" i="3" s="1"/>
  <c r="R9" i="3"/>
  <c r="S9" i="3" s="1"/>
  <c r="R84" i="3"/>
  <c r="R137" i="3"/>
  <c r="S137" i="3" s="1"/>
  <c r="Q144" i="3"/>
  <c r="S144" i="3" s="1"/>
  <c r="P50" i="2"/>
  <c r="P113" i="2"/>
  <c r="P162" i="2"/>
  <c r="P182" i="2"/>
  <c r="P268" i="2"/>
  <c r="O331" i="2"/>
  <c r="Q331" i="2" s="1"/>
  <c r="P183" i="2"/>
  <c r="P124" i="2"/>
  <c r="P164" i="2"/>
  <c r="P70" i="2"/>
  <c r="O125" i="2"/>
  <c r="R125" i="2" s="1"/>
  <c r="P135" i="2"/>
  <c r="P177" i="2"/>
  <c r="O196" i="2"/>
  <c r="Q196" i="2" s="1"/>
  <c r="P216" i="2"/>
  <c r="P250" i="2"/>
  <c r="O273" i="2"/>
  <c r="P389" i="2"/>
  <c r="O427" i="2"/>
  <c r="R427" i="2" s="1"/>
  <c r="P300" i="2"/>
  <c r="Q300" i="2"/>
  <c r="S300" i="2" s="1"/>
  <c r="P205" i="2"/>
  <c r="O154" i="2"/>
  <c r="Q154" i="2" s="1"/>
  <c r="P79" i="2"/>
  <c r="O118" i="2"/>
  <c r="Q118" i="2" s="1"/>
  <c r="P167" i="2"/>
  <c r="P168" i="2" s="1"/>
  <c r="P294" i="2"/>
  <c r="O317" i="2"/>
  <c r="Q317" i="2" s="1"/>
  <c r="R175" i="2"/>
  <c r="S175" i="2" s="1"/>
  <c r="O88" i="2"/>
  <c r="R88" i="2" s="1"/>
  <c r="P314" i="2"/>
  <c r="P90" i="2"/>
  <c r="P176" i="2"/>
  <c r="O366" i="2"/>
  <c r="Q366" i="2" s="1"/>
  <c r="P62" i="2"/>
  <c r="P370" i="2"/>
  <c r="P115" i="2"/>
  <c r="O141" i="2"/>
  <c r="P42" i="2"/>
  <c r="P120" i="2"/>
  <c r="O189" i="2"/>
  <c r="R189" i="2" s="1"/>
  <c r="R179" i="3"/>
  <c r="S179" i="3" s="1"/>
  <c r="Q105" i="3"/>
  <c r="R7" i="3"/>
  <c r="P12" i="3"/>
  <c r="Q16" i="3"/>
  <c r="S16" i="3" s="1"/>
  <c r="R25" i="3"/>
  <c r="S25" i="3" s="1"/>
  <c r="P33" i="3"/>
  <c r="R43" i="3"/>
  <c r="P48" i="3"/>
  <c r="P55" i="3"/>
  <c r="R81" i="3"/>
  <c r="S81" i="3" s="1"/>
  <c r="P89" i="3"/>
  <c r="Q93" i="3"/>
  <c r="S93" i="3" s="1"/>
  <c r="P99" i="3"/>
  <c r="Q111" i="3"/>
  <c r="S111" i="3" s="1"/>
  <c r="P126" i="3"/>
  <c r="P131" i="3"/>
  <c r="Q151" i="3"/>
  <c r="S151" i="3" s="1"/>
  <c r="R159" i="3"/>
  <c r="R164" i="3"/>
  <c r="S164" i="3" s="1"/>
  <c r="Q170" i="3"/>
  <c r="S170" i="3" s="1"/>
  <c r="P174" i="3"/>
  <c r="P74" i="3"/>
  <c r="R149" i="3"/>
  <c r="S149" i="3" s="1"/>
  <c r="Q53" i="3"/>
  <c r="S53" i="3" s="1"/>
  <c r="P7" i="3"/>
  <c r="R47" i="3"/>
  <c r="S47" i="3" s="1"/>
  <c r="Q75" i="3"/>
  <c r="S75" i="3" s="1"/>
  <c r="P151" i="3"/>
  <c r="Q12" i="3"/>
  <c r="S12" i="3" s="1"/>
  <c r="Q33" i="3"/>
  <c r="S33" i="3" s="1"/>
  <c r="Q48" i="3"/>
  <c r="S48" i="3" s="1"/>
  <c r="R55" i="3"/>
  <c r="S55" i="3" s="1"/>
  <c r="P62" i="3"/>
  <c r="P71" i="3"/>
  <c r="P76" i="3"/>
  <c r="Q99" i="3"/>
  <c r="S99" i="3" s="1"/>
  <c r="P106" i="3"/>
  <c r="P117" i="3"/>
  <c r="Q126" i="3"/>
  <c r="Q131" i="3"/>
  <c r="S131" i="3" s="1"/>
  <c r="R174" i="3"/>
  <c r="S174" i="3" s="1"/>
  <c r="Q69" i="3"/>
  <c r="S69" i="3" s="1"/>
  <c r="R97" i="3"/>
  <c r="S97" i="3" s="1"/>
  <c r="P130" i="3"/>
  <c r="P134" i="3"/>
  <c r="R134" i="3"/>
  <c r="S134" i="3" s="1"/>
  <c r="P65" i="3"/>
  <c r="P124" i="3"/>
  <c r="R162" i="3"/>
  <c r="S162" i="3" s="1"/>
  <c r="P75" i="3"/>
  <c r="Q116" i="3"/>
  <c r="S116" i="3" s="1"/>
  <c r="P170" i="3"/>
  <c r="P47" i="3"/>
  <c r="P162" i="3"/>
  <c r="P60" i="3"/>
  <c r="P145" i="3"/>
  <c r="Q11" i="3"/>
  <c r="S11" i="3" s="1"/>
  <c r="P43" i="3"/>
  <c r="Q124" i="3"/>
  <c r="S124" i="3" s="1"/>
  <c r="Q145" i="3"/>
  <c r="S145" i="3" s="1"/>
  <c r="R19" i="3"/>
  <c r="S19" i="3" s="1"/>
  <c r="R65" i="3"/>
  <c r="S65" i="3" s="1"/>
  <c r="P93" i="3"/>
  <c r="P111" i="3"/>
  <c r="P141" i="3"/>
  <c r="P118" i="3"/>
  <c r="P19" i="3"/>
  <c r="P105" i="3"/>
  <c r="P119" i="3"/>
  <c r="Q169" i="3"/>
  <c r="S169" i="3" s="1"/>
  <c r="P25" i="3"/>
  <c r="Q119" i="3"/>
  <c r="S119" i="3" s="1"/>
  <c r="P159" i="3"/>
  <c r="P16" i="3"/>
  <c r="P61" i="3"/>
  <c r="R176" i="3"/>
  <c r="S176" i="3" s="1"/>
  <c r="P69" i="3"/>
  <c r="Q130" i="3"/>
  <c r="S130" i="3" s="1"/>
  <c r="P81" i="3"/>
  <c r="Q39" i="3"/>
  <c r="P51" i="3"/>
  <c r="P68" i="3"/>
  <c r="P92" i="3"/>
  <c r="P108" i="3"/>
  <c r="Q129" i="3"/>
  <c r="S129" i="3" s="1"/>
  <c r="P139" i="3"/>
  <c r="P148" i="3"/>
  <c r="Q155" i="3"/>
  <c r="S155" i="3" s="1"/>
  <c r="R421" i="2"/>
  <c r="Q421" i="2"/>
  <c r="R185" i="2"/>
  <c r="Q185" i="2"/>
  <c r="Q186" i="2"/>
  <c r="R186" i="2"/>
  <c r="Q294" i="2"/>
  <c r="R294" i="2"/>
  <c r="R110" i="2"/>
  <c r="Q110" i="2"/>
  <c r="R305" i="2"/>
  <c r="Q305" i="2"/>
  <c r="R314" i="2"/>
  <c r="Q314" i="2"/>
  <c r="R188" i="2"/>
  <c r="Q188" i="2"/>
  <c r="Q370" i="2"/>
  <c r="R370" i="2"/>
  <c r="R98" i="2"/>
  <c r="Q98" i="2"/>
  <c r="Q431" i="2"/>
  <c r="R431" i="2"/>
  <c r="O171" i="2"/>
  <c r="P81" i="2"/>
  <c r="P131" i="2"/>
  <c r="O200" i="2"/>
  <c r="Q200" i="2" s="1"/>
  <c r="O246" i="2"/>
  <c r="Q246" i="2" s="1"/>
  <c r="P327" i="2"/>
  <c r="O403" i="2"/>
  <c r="R403" i="2" s="1"/>
  <c r="O117" i="2"/>
  <c r="O323" i="2"/>
  <c r="O96" i="2"/>
  <c r="O138" i="2"/>
  <c r="R138" i="2" s="1"/>
  <c r="R178" i="2"/>
  <c r="S178" i="2" s="1"/>
  <c r="O248" i="2"/>
  <c r="O74" i="2"/>
  <c r="R74" i="2" s="1"/>
  <c r="O80" i="2"/>
  <c r="P130" i="2"/>
  <c r="P163" i="2"/>
  <c r="P169" i="2"/>
  <c r="R182" i="2"/>
  <c r="S182" i="2" s="1"/>
  <c r="P186" i="2"/>
  <c r="O190" i="2"/>
  <c r="R190" i="2" s="1"/>
  <c r="P197" i="2"/>
  <c r="P243" i="2"/>
  <c r="O274" i="2"/>
  <c r="R274" i="2" s="1"/>
  <c r="O281" i="2"/>
  <c r="Q281" i="2" s="1"/>
  <c r="O365" i="2"/>
  <c r="R365" i="2" s="1"/>
  <c r="Q394" i="2"/>
  <c r="S394" i="2" s="1"/>
  <c r="P445" i="2"/>
  <c r="O54" i="2"/>
  <c r="R54" i="2" s="1"/>
  <c r="O218" i="2"/>
  <c r="R218" i="2" s="1"/>
  <c r="P270" i="2"/>
  <c r="O301" i="2"/>
  <c r="R301" i="2" s="1"/>
  <c r="P384" i="2"/>
  <c r="O122" i="2"/>
  <c r="R159" i="2"/>
  <c r="O207" i="2"/>
  <c r="O285" i="2"/>
  <c r="Q285" i="2" s="1"/>
  <c r="P421" i="2"/>
  <c r="R130" i="2"/>
  <c r="S130" i="2" s="1"/>
  <c r="Q169" i="2"/>
  <c r="S169" i="2" s="1"/>
  <c r="P231" i="2"/>
  <c r="O326" i="2"/>
  <c r="R326" i="2" s="1"/>
  <c r="O333" i="2"/>
  <c r="O382" i="2"/>
  <c r="R382" i="2" s="1"/>
  <c r="O211" i="2"/>
  <c r="O239" i="2"/>
  <c r="O276" i="2"/>
  <c r="O166" i="2"/>
  <c r="O168" i="2" s="1"/>
  <c r="O357" i="2"/>
  <c r="R357" i="2" s="1"/>
  <c r="R389" i="2"/>
  <c r="S389" i="2" s="1"/>
  <c r="P312" i="2"/>
  <c r="P313" i="2" s="1"/>
  <c r="P410" i="2"/>
  <c r="O15" i="2"/>
  <c r="P56" i="2"/>
  <c r="O65" i="2"/>
  <c r="P72" i="2"/>
  <c r="O78" i="2"/>
  <c r="R78" i="2" s="1"/>
  <c r="O102" i="2"/>
  <c r="R102" i="2" s="1"/>
  <c r="P112" i="2"/>
  <c r="P127" i="2"/>
  <c r="P132" i="2"/>
  <c r="O144" i="2"/>
  <c r="P185" i="2"/>
  <c r="O195" i="2"/>
  <c r="Q195" i="2" s="1"/>
  <c r="O202" i="2"/>
  <c r="R202" i="2" s="1"/>
  <c r="O221" i="2"/>
  <c r="R221" i="2" s="1"/>
  <c r="P226" i="2"/>
  <c r="P264" i="2"/>
  <c r="P277" i="2"/>
  <c r="O286" i="2"/>
  <c r="Q286" i="2" s="1"/>
  <c r="P292" i="2"/>
  <c r="P319" i="2"/>
  <c r="O336" i="2"/>
  <c r="Q336" i="2" s="1"/>
  <c r="O358" i="2"/>
  <c r="O364" i="2"/>
  <c r="O435" i="2"/>
  <c r="P442" i="2"/>
  <c r="P100" i="2"/>
  <c r="O142" i="2"/>
  <c r="Q142" i="2" s="1"/>
  <c r="P178" i="2"/>
  <c r="O372" i="2"/>
  <c r="Q372" i="2" s="1"/>
  <c r="P63" i="2"/>
  <c r="P188" i="2"/>
  <c r="P48" i="2"/>
  <c r="P84" i="2"/>
  <c r="O152" i="2"/>
  <c r="R152" i="2" s="1"/>
  <c r="Q292" i="2"/>
  <c r="S292" i="2" s="1"/>
  <c r="O351" i="2"/>
  <c r="O380" i="2"/>
  <c r="O386" i="2"/>
  <c r="O405" i="2"/>
  <c r="Q442" i="2"/>
  <c r="S442" i="2" s="1"/>
  <c r="P159" i="2"/>
  <c r="Q378" i="2"/>
  <c r="S378" i="2" s="1"/>
  <c r="P433" i="2"/>
  <c r="O256" i="2"/>
  <c r="R256" i="2" s="1"/>
  <c r="P343" i="2"/>
  <c r="O37" i="2"/>
  <c r="Q37" i="2" s="1"/>
  <c r="O150" i="2"/>
  <c r="R150" i="2" s="1"/>
  <c r="O39" i="2"/>
  <c r="R39" i="2" s="1"/>
  <c r="O235" i="2"/>
  <c r="Q235" i="2" s="1"/>
  <c r="O298" i="2"/>
  <c r="Q298" i="2" s="1"/>
  <c r="O376" i="2"/>
  <c r="O232" i="2"/>
  <c r="P378" i="2"/>
  <c r="O263" i="2"/>
  <c r="Q263" i="2" s="1"/>
  <c r="O350" i="2"/>
  <c r="O397" i="2"/>
  <c r="Q397" i="2" s="1"/>
  <c r="P173" i="2"/>
  <c r="R343" i="2"/>
  <c r="S343" i="2" s="1"/>
  <c r="P429" i="2"/>
  <c r="O6" i="2"/>
  <c r="P73" i="2"/>
  <c r="P129" i="2"/>
  <c r="O204" i="2"/>
  <c r="Q204" i="2" s="1"/>
  <c r="O215" i="2"/>
  <c r="Q222" i="2"/>
  <c r="S222" i="2" s="1"/>
  <c r="P229" i="2"/>
  <c r="O259" i="2"/>
  <c r="Q337" i="2"/>
  <c r="S337" i="2" s="1"/>
  <c r="O345" i="2"/>
  <c r="R345" i="2" s="1"/>
  <c r="O401" i="2"/>
  <c r="O225" i="2"/>
  <c r="R225" i="2" s="1"/>
  <c r="R270" i="2"/>
  <c r="S270" i="2" s="1"/>
  <c r="Q384" i="2"/>
  <c r="S384" i="2" s="1"/>
  <c r="P61" i="2"/>
  <c r="R208" i="2"/>
  <c r="S208" i="2" s="1"/>
  <c r="Q250" i="2"/>
  <c r="S250" i="2" s="1"/>
  <c r="P288" i="2"/>
  <c r="P293" i="2"/>
  <c r="P325" i="2"/>
  <c r="P394" i="2"/>
  <c r="O98" i="3"/>
  <c r="P98" i="3"/>
  <c r="O31" i="3"/>
  <c r="O34" i="3" s="1"/>
  <c r="P31" i="3"/>
  <c r="O59" i="3"/>
  <c r="O63" i="3" s="1"/>
  <c r="P59" i="3"/>
  <c r="O102" i="3"/>
  <c r="P102" i="3"/>
  <c r="O120" i="3"/>
  <c r="O125" i="3" s="1"/>
  <c r="P120" i="3"/>
  <c r="O72" i="3"/>
  <c r="P72" i="3"/>
  <c r="O2" i="3"/>
  <c r="O4" i="3" s="1"/>
  <c r="P2" i="3"/>
  <c r="O14" i="3"/>
  <c r="P14" i="3"/>
  <c r="R101" i="3"/>
  <c r="Q101" i="3"/>
  <c r="R165" i="3"/>
  <c r="Q165" i="3"/>
  <c r="O113" i="3"/>
  <c r="O114" i="3" s="1"/>
  <c r="P113" i="3"/>
  <c r="P11" i="3"/>
  <c r="P101" i="3"/>
  <c r="P165" i="3"/>
  <c r="O73" i="3"/>
  <c r="P73" i="3"/>
  <c r="O40" i="3"/>
  <c r="O42" i="3" s="1"/>
  <c r="P40" i="3"/>
  <c r="O94" i="3"/>
  <c r="P94" i="3"/>
  <c r="Q110" i="3"/>
  <c r="R110" i="3"/>
  <c r="O138" i="3"/>
  <c r="P138" i="3"/>
  <c r="Q150" i="3"/>
  <c r="S150" i="3" s="1"/>
  <c r="P21" i="3"/>
  <c r="R45" i="3"/>
  <c r="Q45" i="3"/>
  <c r="P110" i="3"/>
  <c r="R115" i="3"/>
  <c r="Q115" i="3"/>
  <c r="R143" i="3"/>
  <c r="Q143" i="3"/>
  <c r="O146" i="3"/>
  <c r="P146" i="3"/>
  <c r="R168" i="3"/>
  <c r="Q168" i="3"/>
  <c r="R21" i="3"/>
  <c r="S21" i="3" s="1"/>
  <c r="P41" i="3"/>
  <c r="P45" i="3"/>
  <c r="O70" i="3"/>
  <c r="P70" i="3"/>
  <c r="O80" i="3"/>
  <c r="P80" i="3"/>
  <c r="P115" i="3"/>
  <c r="P143" i="3"/>
  <c r="O163" i="3"/>
  <c r="P163" i="3"/>
  <c r="P168" i="3"/>
  <c r="O22" i="3"/>
  <c r="P22" i="3"/>
  <c r="Q41" i="3"/>
  <c r="S41" i="3" s="1"/>
  <c r="O66" i="3"/>
  <c r="O77" i="3" s="1"/>
  <c r="P66" i="3"/>
  <c r="P150" i="3"/>
  <c r="O29" i="3"/>
  <c r="P29" i="3"/>
  <c r="O133" i="3"/>
  <c r="P133" i="3"/>
  <c r="R17" i="3"/>
  <c r="Q17" i="3"/>
  <c r="Q61" i="3"/>
  <c r="S61" i="3" s="1"/>
  <c r="O90" i="3"/>
  <c r="P90" i="3"/>
  <c r="Q96" i="3"/>
  <c r="S96" i="3" s="1"/>
  <c r="R153" i="3"/>
  <c r="Q153" i="3"/>
  <c r="R15" i="3"/>
  <c r="Q15" i="3"/>
  <c r="Q37" i="3"/>
  <c r="R37" i="3"/>
  <c r="O82" i="3"/>
  <c r="P82" i="3"/>
  <c r="O88" i="3"/>
  <c r="P88" i="3"/>
  <c r="R122" i="3"/>
  <c r="Q122" i="3"/>
  <c r="P3" i="3"/>
  <c r="O8" i="3"/>
  <c r="P8" i="3"/>
  <c r="P15" i="3"/>
  <c r="P37" i="3"/>
  <c r="P122" i="3"/>
  <c r="P157" i="3"/>
  <c r="O161" i="3"/>
  <c r="P161" i="3"/>
  <c r="P177" i="3"/>
  <c r="Q3" i="3"/>
  <c r="S3" i="3" s="1"/>
  <c r="R23" i="3"/>
  <c r="Q23" i="3"/>
  <c r="O49" i="3"/>
  <c r="P49" i="3"/>
  <c r="R74" i="3"/>
  <c r="Q74" i="3"/>
  <c r="R103" i="3"/>
  <c r="Q103" i="3"/>
  <c r="R136" i="3"/>
  <c r="Q136" i="3"/>
  <c r="Q157" i="3"/>
  <c r="S157" i="3" s="1"/>
  <c r="Q177" i="3"/>
  <c r="S177" i="3" s="1"/>
  <c r="R128" i="3"/>
  <c r="Q128" i="3"/>
  <c r="O173" i="3"/>
  <c r="P173" i="3"/>
  <c r="R27" i="3"/>
  <c r="Q27" i="3"/>
  <c r="P39" i="3"/>
  <c r="O85" i="3"/>
  <c r="O87" i="3" s="1"/>
  <c r="P85" i="3"/>
  <c r="P128" i="3"/>
  <c r="R148" i="3"/>
  <c r="Q148" i="3"/>
  <c r="O50" i="3"/>
  <c r="P50" i="3"/>
  <c r="R68" i="3"/>
  <c r="Q68" i="3"/>
  <c r="R141" i="3"/>
  <c r="Q141" i="3"/>
  <c r="R60" i="3"/>
  <c r="Q60" i="3"/>
  <c r="R89" i="3"/>
  <c r="Q89" i="3"/>
  <c r="O127" i="3"/>
  <c r="P127" i="3"/>
  <c r="O152" i="3"/>
  <c r="P152" i="3"/>
  <c r="Q175" i="3"/>
  <c r="S175" i="3" s="1"/>
  <c r="O20" i="3"/>
  <c r="P20" i="3"/>
  <c r="O26" i="3"/>
  <c r="P26" i="3"/>
  <c r="O100" i="3"/>
  <c r="P100" i="3"/>
  <c r="O107" i="3"/>
  <c r="O109" i="3" s="1"/>
  <c r="P107" i="3"/>
  <c r="O140" i="3"/>
  <c r="P140" i="3"/>
  <c r="O167" i="3"/>
  <c r="P167" i="3"/>
  <c r="O35" i="3"/>
  <c r="P35" i="3"/>
  <c r="O44" i="3"/>
  <c r="P44" i="3"/>
  <c r="P46" i="3"/>
  <c r="P53" i="3"/>
  <c r="P91" i="3"/>
  <c r="P97" i="3"/>
  <c r="P179" i="3"/>
  <c r="P123" i="3"/>
  <c r="P137" i="3"/>
  <c r="P149" i="3"/>
  <c r="P164" i="3"/>
  <c r="P176" i="3"/>
  <c r="P116" i="3"/>
  <c r="P129" i="3"/>
  <c r="P142" i="3"/>
  <c r="P155" i="3"/>
  <c r="P169" i="3"/>
  <c r="R48" i="2"/>
  <c r="Q48" i="2"/>
  <c r="R100" i="2"/>
  <c r="Q100" i="2"/>
  <c r="P67" i="2"/>
  <c r="O67" i="2"/>
  <c r="R67" i="2" s="1"/>
  <c r="R84" i="2"/>
  <c r="Q84" i="2"/>
  <c r="R113" i="2"/>
  <c r="Q113" i="2"/>
  <c r="P121" i="2"/>
  <c r="O121" i="2"/>
  <c r="Q135" i="2"/>
  <c r="S135" i="2" s="1"/>
  <c r="R77" i="2"/>
  <c r="Q77" i="2"/>
  <c r="R129" i="2"/>
  <c r="Q129" i="2"/>
  <c r="O13" i="2"/>
  <c r="O21" i="2"/>
  <c r="O41" i="2"/>
  <c r="R41" i="2" s="1"/>
  <c r="P145" i="2"/>
  <c r="O145" i="2"/>
  <c r="R293" i="2"/>
  <c r="Q293" i="2"/>
  <c r="O45" i="2"/>
  <c r="R45" i="2" s="1"/>
  <c r="O59" i="2"/>
  <c r="R59" i="2" s="1"/>
  <c r="O69" i="2"/>
  <c r="R69" i="2" s="1"/>
  <c r="O94" i="2"/>
  <c r="R94" i="2" s="1"/>
  <c r="P191" i="2"/>
  <c r="O191" i="2"/>
  <c r="Q268" i="2"/>
  <c r="R268" i="2"/>
  <c r="P68" i="2"/>
  <c r="O68" i="2"/>
  <c r="R68" i="2" s="1"/>
  <c r="P97" i="2"/>
  <c r="O97" i="2"/>
  <c r="P160" i="2"/>
  <c r="O160" i="2"/>
  <c r="O165" i="2" s="1"/>
  <c r="O38" i="2"/>
  <c r="Q63" i="2"/>
  <c r="R63" i="2"/>
  <c r="P133" i="2"/>
  <c r="O133" i="2"/>
  <c r="O18" i="2"/>
  <c r="O31" i="2"/>
  <c r="P203" i="2"/>
  <c r="O203" i="2"/>
  <c r="O49" i="2"/>
  <c r="R49" i="2" s="1"/>
  <c r="P49" i="2"/>
  <c r="Q216" i="2"/>
  <c r="R216" i="2"/>
  <c r="P82" i="2"/>
  <c r="O82" i="2"/>
  <c r="R82" i="2" s="1"/>
  <c r="O40" i="2"/>
  <c r="R40" i="2" s="1"/>
  <c r="O43" i="2"/>
  <c r="O46" i="2"/>
  <c r="R46" i="2" s="1"/>
  <c r="P46" i="2"/>
  <c r="R71" i="2"/>
  <c r="Q71" i="2"/>
  <c r="Q73" i="2"/>
  <c r="S73" i="2" s="1"/>
  <c r="R112" i="2"/>
  <c r="Q112" i="2"/>
  <c r="O52" i="2"/>
  <c r="O66" i="2"/>
  <c r="R66" i="2" s="1"/>
  <c r="O76" i="2"/>
  <c r="P99" i="2"/>
  <c r="O99" i="2"/>
  <c r="O104" i="2"/>
  <c r="Q127" i="2"/>
  <c r="S127" i="2" s="1"/>
  <c r="P139" i="2"/>
  <c r="O139" i="2"/>
  <c r="O20" i="2"/>
  <c r="P106" i="2"/>
  <c r="O106" i="2"/>
  <c r="R106" i="2" s="1"/>
  <c r="Q120" i="2"/>
  <c r="S120" i="2" s="1"/>
  <c r="Q176" i="2"/>
  <c r="S176" i="2" s="1"/>
  <c r="O220" i="2"/>
  <c r="R220" i="2" s="1"/>
  <c r="P253" i="2"/>
  <c r="O253" i="2"/>
  <c r="R277" i="2"/>
  <c r="S277" i="2" s="1"/>
  <c r="O280" i="2"/>
  <c r="Q280" i="2" s="1"/>
  <c r="P284" i="2"/>
  <c r="O284" i="2"/>
  <c r="Q288" i="2"/>
  <c r="S288" i="2" s="1"/>
  <c r="Q327" i="2"/>
  <c r="S327" i="2" s="1"/>
  <c r="P342" i="2"/>
  <c r="O342" i="2"/>
  <c r="O347" i="2"/>
  <c r="Q433" i="2"/>
  <c r="S433" i="2" s="1"/>
  <c r="O53" i="2"/>
  <c r="R53" i="2" s="1"/>
  <c r="O58" i="2"/>
  <c r="P71" i="2"/>
  <c r="P77" i="2"/>
  <c r="O92" i="2"/>
  <c r="R92" i="2" s="1"/>
  <c r="P114" i="2"/>
  <c r="Q124" i="2"/>
  <c r="S124" i="2" s="1"/>
  <c r="R132" i="2"/>
  <c r="S132" i="2" s="1"/>
  <c r="O172" i="2"/>
  <c r="P244" i="2"/>
  <c r="P275" i="2"/>
  <c r="O275" i="2"/>
  <c r="P322" i="2"/>
  <c r="O322" i="2"/>
  <c r="P353" i="2"/>
  <c r="O353" i="2"/>
  <c r="O371" i="2"/>
  <c r="R371" i="2" s="1"/>
  <c r="O140" i="2"/>
  <c r="Q140" i="2" s="1"/>
  <c r="O180" i="2"/>
  <c r="P180" i="2"/>
  <c r="R229" i="2"/>
  <c r="O11" i="2"/>
  <c r="O19" i="2"/>
  <c r="O29" i="2"/>
  <c r="O44" i="2"/>
  <c r="O83" i="2"/>
  <c r="R83" i="2" s="1"/>
  <c r="O86" i="2"/>
  <c r="O108" i="2"/>
  <c r="P116" i="2"/>
  <c r="O116" i="2"/>
  <c r="R116" i="2" s="1"/>
  <c r="O134" i="2"/>
  <c r="P137" i="2"/>
  <c r="O137" i="2"/>
  <c r="Q137" i="2" s="1"/>
  <c r="O157" i="2"/>
  <c r="P174" i="2"/>
  <c r="P181" i="2"/>
  <c r="O181" i="2"/>
  <c r="Q209" i="2"/>
  <c r="S209" i="2" s="1"/>
  <c r="O238" i="2"/>
  <c r="R264" i="2"/>
  <c r="S264" i="2" s="1"/>
  <c r="O311" i="2"/>
  <c r="O313" i="2" s="1"/>
  <c r="O391" i="2"/>
  <c r="O418" i="2"/>
  <c r="O425" i="2"/>
  <c r="P449" i="2"/>
  <c r="O449" i="2"/>
  <c r="O111" i="2"/>
  <c r="P330" i="2"/>
  <c r="O330" i="2"/>
  <c r="Q330" i="2" s="1"/>
  <c r="P119" i="2"/>
  <c r="O119" i="2"/>
  <c r="R184" i="2"/>
  <c r="S184" i="2" s="1"/>
  <c r="O224" i="2"/>
  <c r="P224" i="2"/>
  <c r="Q445" i="2"/>
  <c r="S445" i="2" s="1"/>
  <c r="O194" i="2"/>
  <c r="P201" i="2"/>
  <c r="O201" i="2"/>
  <c r="Q201" i="2" s="1"/>
  <c r="R240" i="2"/>
  <c r="S240" i="2" s="1"/>
  <c r="O245" i="2"/>
  <c r="Q245" i="2" s="1"/>
  <c r="R249" i="2"/>
  <c r="S249" i="2" s="1"/>
  <c r="O278" i="2"/>
  <c r="Q319" i="2"/>
  <c r="S319" i="2" s="1"/>
  <c r="Q325" i="2"/>
  <c r="R325" i="2"/>
  <c r="P337" i="2"/>
  <c r="P359" i="2"/>
  <c r="O359" i="2"/>
  <c r="O368" i="2"/>
  <c r="P271" i="2"/>
  <c r="O271" i="2"/>
  <c r="P328" i="2"/>
  <c r="O328" i="2"/>
  <c r="P399" i="2"/>
  <c r="O399" i="2"/>
  <c r="O299" i="2"/>
  <c r="Q299" i="2" s="1"/>
  <c r="P299" i="2"/>
  <c r="R410" i="2"/>
  <c r="Q410" i="2"/>
  <c r="P252" i="2"/>
  <c r="O265" i="2"/>
  <c r="P344" i="2"/>
  <c r="O344" i="2"/>
  <c r="Q344" i="2" s="1"/>
  <c r="P126" i="2"/>
  <c r="O126" i="2"/>
  <c r="P199" i="2"/>
  <c r="O199" i="2"/>
  <c r="O237" i="2"/>
  <c r="O262" i="2"/>
  <c r="P412" i="2"/>
  <c r="O412" i="2"/>
  <c r="R453" i="2"/>
  <c r="Q453" i="2"/>
  <c r="P101" i="2"/>
  <c r="O101" i="2"/>
  <c r="R101" i="2" s="1"/>
  <c r="O123" i="2"/>
  <c r="R123" i="2" s="1"/>
  <c r="O179" i="2"/>
  <c r="O223" i="2"/>
  <c r="O227" i="2"/>
  <c r="Q227" i="2" s="1"/>
  <c r="O258" i="2"/>
  <c r="P287" i="2"/>
  <c r="O287" i="2"/>
  <c r="R287" i="2" s="1"/>
  <c r="O291" i="2"/>
  <c r="O324" i="2"/>
  <c r="P340" i="2"/>
  <c r="O340" i="2"/>
  <c r="O432" i="2"/>
  <c r="R432" i="2" s="1"/>
  <c r="P453" i="2"/>
  <c r="P234" i="2"/>
  <c r="O234" i="2"/>
  <c r="Q234" i="2" s="1"/>
  <c r="O283" i="2"/>
  <c r="R429" i="2"/>
  <c r="Q429" i="2"/>
  <c r="P439" i="2"/>
  <c r="O439" i="2"/>
  <c r="R439" i="2" s="1"/>
  <c r="P349" i="2"/>
  <c r="O349" i="2"/>
  <c r="Q163" i="2"/>
  <c r="R163" i="2"/>
  <c r="P303" i="2"/>
  <c r="O303" i="2"/>
  <c r="P335" i="2"/>
  <c r="O335" i="2"/>
  <c r="O338" i="2"/>
  <c r="O374" i="2"/>
  <c r="O423" i="2"/>
  <c r="Q173" i="2"/>
  <c r="R173" i="2"/>
  <c r="O407" i="2"/>
  <c r="R407" i="2" s="1"/>
  <c r="O381" i="2"/>
  <c r="Q381" i="2" s="1"/>
  <c r="O451" i="2"/>
  <c r="P393" i="2"/>
  <c r="O393" i="2"/>
  <c r="R393" i="2" s="1"/>
  <c r="O438" i="2"/>
  <c r="O161" i="2"/>
  <c r="O193" i="2"/>
  <c r="Q193" i="2" s="1"/>
  <c r="O206" i="2"/>
  <c r="O210" i="2"/>
  <c r="Q210" i="2" s="1"/>
  <c r="O236" i="2"/>
  <c r="Q236" i="2" s="1"/>
  <c r="O260" i="2"/>
  <c r="O316" i="2"/>
  <c r="O242" i="2"/>
  <c r="O257" i="2"/>
  <c r="R257" i="2" s="1"/>
  <c r="O388" i="2"/>
  <c r="R388" i="2" s="1"/>
  <c r="O411" i="2"/>
  <c r="R411" i="2" s="1"/>
  <c r="O424" i="2"/>
  <c r="R424" i="2" s="1"/>
  <c r="R23" i="2"/>
  <c r="Q23" i="2"/>
  <c r="R4" i="2"/>
  <c r="Q4" i="2"/>
  <c r="R2" i="2"/>
  <c r="Q2" i="2"/>
  <c r="R25" i="2"/>
  <c r="Q25" i="2"/>
  <c r="R33" i="2"/>
  <c r="Q33" i="2"/>
  <c r="R30" i="2"/>
  <c r="Q30" i="2"/>
  <c r="Q62" i="2"/>
  <c r="S62" i="2" s="1"/>
  <c r="O36" i="2"/>
  <c r="P272" i="2"/>
  <c r="O272" i="2"/>
  <c r="O3" i="2"/>
  <c r="O5" i="2" s="1"/>
  <c r="O7" i="2"/>
  <c r="O12" i="2"/>
  <c r="O17" i="2"/>
  <c r="O22" i="2"/>
  <c r="O24" i="2"/>
  <c r="O26" i="2"/>
  <c r="O28" i="2"/>
  <c r="O32" i="2"/>
  <c r="O34" i="2"/>
  <c r="R56" i="2"/>
  <c r="Q56" i="2"/>
  <c r="P373" i="2"/>
  <c r="O373" i="2"/>
  <c r="O14" i="2"/>
  <c r="P447" i="2"/>
  <c r="O447" i="2"/>
  <c r="P383" i="2"/>
  <c r="O383" i="2"/>
  <c r="O9" i="2"/>
  <c r="O27" i="2"/>
  <c r="O35" i="2"/>
  <c r="P2" i="2"/>
  <c r="P4" i="2"/>
  <c r="P23" i="2"/>
  <c r="P25" i="2"/>
  <c r="P30" i="2"/>
  <c r="P33" i="2"/>
  <c r="R61" i="2"/>
  <c r="Q61" i="2"/>
  <c r="P297" i="2"/>
  <c r="O297" i="2"/>
  <c r="P128" i="2"/>
  <c r="O128" i="2"/>
  <c r="R70" i="2"/>
  <c r="Q70" i="2"/>
  <c r="R50" i="2"/>
  <c r="Q50" i="2"/>
  <c r="Q75" i="2"/>
  <c r="S75" i="2" s="1"/>
  <c r="Q90" i="2"/>
  <c r="S90" i="2" s="1"/>
  <c r="R231" i="2"/>
  <c r="Q231" i="2"/>
  <c r="Q79" i="2"/>
  <c r="S79" i="2" s="1"/>
  <c r="P251" i="2"/>
  <c r="O251" i="2"/>
  <c r="P267" i="2"/>
  <c r="O267" i="2"/>
  <c r="R42" i="2"/>
  <c r="Q42" i="2"/>
  <c r="R81" i="2"/>
  <c r="Q81" i="2"/>
  <c r="P198" i="2"/>
  <c r="O198" i="2"/>
  <c r="P329" i="2"/>
  <c r="O329" i="2"/>
  <c r="R255" i="2"/>
  <c r="Q255" i="2"/>
  <c r="P356" i="2"/>
  <c r="O356" i="2"/>
  <c r="P441" i="2"/>
  <c r="O441" i="2"/>
  <c r="O187" i="2"/>
  <c r="P187" i="2"/>
  <c r="Q197" i="2"/>
  <c r="R197" i="2"/>
  <c r="P255" i="2"/>
  <c r="O363" i="2"/>
  <c r="O302" i="2"/>
  <c r="P302" i="2"/>
  <c r="O148" i="2"/>
  <c r="P318" i="2"/>
  <c r="O318" i="2"/>
  <c r="P402" i="2"/>
  <c r="O402" i="2"/>
  <c r="O452" i="2"/>
  <c r="R131" i="2"/>
  <c r="Q131" i="2"/>
  <c r="P149" i="2"/>
  <c r="O149" i="2"/>
  <c r="P156" i="2"/>
  <c r="P158" i="2" s="1"/>
  <c r="O156" i="2"/>
  <c r="P409" i="2"/>
  <c r="O409" i="2"/>
  <c r="Q205" i="2"/>
  <c r="R205" i="2"/>
  <c r="O213" i="2"/>
  <c r="O214" i="2" s="1"/>
  <c r="P213" i="2"/>
  <c r="P214" i="2" s="1"/>
  <c r="Q332" i="2"/>
  <c r="R332" i="2"/>
  <c r="P396" i="2"/>
  <c r="O396" i="2"/>
  <c r="Q115" i="2"/>
  <c r="S115" i="2" s="1"/>
  <c r="O192" i="2"/>
  <c r="P192" i="2"/>
  <c r="O230" i="2"/>
  <c r="R252" i="2"/>
  <c r="Q252" i="2"/>
  <c r="P296" i="2"/>
  <c r="O296" i="2"/>
  <c r="P332" i="2"/>
  <c r="O406" i="2"/>
  <c r="P146" i="2"/>
  <c r="O146" i="2"/>
  <c r="R183" i="2"/>
  <c r="S183" i="2" s="1"/>
  <c r="P266" i="2"/>
  <c r="O266" i="2"/>
  <c r="P414" i="2"/>
  <c r="O414" i="2"/>
  <c r="Q72" i="2"/>
  <c r="S72" i="2" s="1"/>
  <c r="Q114" i="2"/>
  <c r="S114" i="2" s="1"/>
  <c r="R162" i="2"/>
  <c r="Q162" i="2"/>
  <c r="R167" i="2"/>
  <c r="Q167" i="2"/>
  <c r="R174" i="2"/>
  <c r="Q174" i="2"/>
  <c r="Q226" i="2"/>
  <c r="R226" i="2"/>
  <c r="O289" i="2"/>
  <c r="P346" i="2"/>
  <c r="O346" i="2"/>
  <c r="P352" i="2"/>
  <c r="O352" i="2"/>
  <c r="P360" i="2"/>
  <c r="O360" i="2"/>
  <c r="O400" i="2"/>
  <c r="O219" i="2"/>
  <c r="P249" i="2"/>
  <c r="P341" i="2"/>
  <c r="O341" i="2"/>
  <c r="P369" i="2"/>
  <c r="O369" i="2"/>
  <c r="P379" i="2"/>
  <c r="O379" i="2"/>
  <c r="R164" i="2"/>
  <c r="Q164" i="2"/>
  <c r="P375" i="2"/>
  <c r="O375" i="2"/>
  <c r="P261" i="2"/>
  <c r="O261" i="2"/>
  <c r="R282" i="2"/>
  <c r="Q282" i="2"/>
  <c r="P348" i="2"/>
  <c r="O348" i="2"/>
  <c r="P354" i="2"/>
  <c r="O354" i="2"/>
  <c r="P395" i="2"/>
  <c r="O395" i="2"/>
  <c r="O269" i="2"/>
  <c r="P282" i="2"/>
  <c r="O321" i="2"/>
  <c r="P377" i="2"/>
  <c r="O377" i="2"/>
  <c r="P419" i="2"/>
  <c r="P420" i="2" s="1"/>
  <c r="O419" i="2"/>
  <c r="O143" i="2"/>
  <c r="P175" i="2"/>
  <c r="R177" i="2"/>
  <c r="Q177" i="2"/>
  <c r="P209" i="2"/>
  <c r="Q244" i="2"/>
  <c r="R244" i="2"/>
  <c r="O339" i="2"/>
  <c r="P392" i="2"/>
  <c r="O392" i="2"/>
  <c r="P398" i="2"/>
  <c r="O398" i="2"/>
  <c r="P436" i="2"/>
  <c r="O436" i="2"/>
  <c r="P450" i="2"/>
  <c r="O450" i="2"/>
  <c r="O387" i="2"/>
  <c r="O430" i="2"/>
  <c r="Q312" i="2"/>
  <c r="R312" i="2"/>
  <c r="P309" i="2"/>
  <c r="O309" i="2"/>
  <c r="P362" i="2"/>
  <c r="O362" i="2"/>
  <c r="P367" i="2"/>
  <c r="O367" i="2"/>
  <c r="P385" i="2"/>
  <c r="O385" i="2"/>
  <c r="P390" i="2"/>
  <c r="O390" i="2"/>
  <c r="P404" i="2"/>
  <c r="O404" i="2"/>
  <c r="P408" i="2"/>
  <c r="O408" i="2"/>
  <c r="P428" i="2"/>
  <c r="O428" i="2"/>
  <c r="P184" i="2"/>
  <c r="O217" i="2"/>
  <c r="O233" i="2"/>
  <c r="P240" i="2"/>
  <c r="P279" i="2"/>
  <c r="O279" i="2"/>
  <c r="O295" i="2"/>
  <c r="O334" i="2"/>
  <c r="Q243" i="2"/>
  <c r="R243" i="2"/>
  <c r="R307" i="2"/>
  <c r="S307" i="2" s="1"/>
  <c r="O417" i="2"/>
  <c r="O426" i="2"/>
  <c r="O434" i="2"/>
  <c r="O443" i="2"/>
  <c r="O454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2" i="1"/>
  <c r="Q371" i="14" l="1"/>
  <c r="Q248" i="14"/>
  <c r="S248" i="14" s="1"/>
  <c r="R335" i="12"/>
  <c r="Q130" i="12"/>
  <c r="S130" i="12" s="1"/>
  <c r="S7" i="12"/>
  <c r="Q31" i="10"/>
  <c r="S31" i="10" s="1"/>
  <c r="Q104" i="10"/>
  <c r="S104" i="10" s="1"/>
  <c r="T35" i="16"/>
  <c r="T6" i="16"/>
  <c r="T84" i="16"/>
  <c r="T39" i="16"/>
  <c r="T50" i="16"/>
  <c r="T27" i="16"/>
  <c r="T20" i="16"/>
  <c r="T60" i="16"/>
  <c r="T70" i="16"/>
  <c r="T43" i="16"/>
  <c r="T54" i="16"/>
  <c r="T49" i="16"/>
  <c r="T62" i="16"/>
  <c r="T32" i="16"/>
  <c r="T71" i="16"/>
  <c r="T45" i="16"/>
  <c r="T47" i="16"/>
  <c r="T74" i="16"/>
  <c r="T58" i="16"/>
  <c r="T56" i="16"/>
  <c r="T51" i="16"/>
  <c r="T48" i="16"/>
  <c r="T78" i="16"/>
  <c r="T40" i="16"/>
  <c r="T33" i="16"/>
  <c r="T28" i="16"/>
  <c r="T99" i="16"/>
  <c r="T66" i="16"/>
  <c r="T44" i="16"/>
  <c r="T7" i="16"/>
  <c r="T83" i="16"/>
  <c r="T14" i="16"/>
  <c r="T41" i="16"/>
  <c r="T87" i="16"/>
  <c r="T94" i="16"/>
  <c r="T95" i="16"/>
  <c r="T85" i="16"/>
  <c r="T76" i="16"/>
  <c r="T25" i="16"/>
  <c r="T30" i="16"/>
  <c r="T59" i="16"/>
  <c r="T96" i="16"/>
  <c r="T93" i="16"/>
  <c r="T57" i="16"/>
  <c r="T12" i="16"/>
  <c r="T53" i="16"/>
  <c r="T92" i="16"/>
  <c r="T52" i="16"/>
  <c r="T29" i="16"/>
  <c r="T21" i="16"/>
  <c r="T77" i="16"/>
  <c r="T46" i="16"/>
  <c r="T23" i="16"/>
  <c r="T17" i="16"/>
  <c r="T24" i="16"/>
  <c r="T65" i="16"/>
  <c r="Q150" i="15"/>
  <c r="S150" i="15" s="1"/>
  <c r="S82" i="14"/>
  <c r="S244" i="14"/>
  <c r="Q379" i="14"/>
  <c r="S379" i="14" s="1"/>
  <c r="S391" i="14"/>
  <c r="Q227" i="14"/>
  <c r="S227" i="14" s="1"/>
  <c r="Q11" i="14"/>
  <c r="S11" i="14" s="1"/>
  <c r="Q181" i="14"/>
  <c r="S181" i="14" s="1"/>
  <c r="Q75" i="13"/>
  <c r="S75" i="13" s="1"/>
  <c r="Q10" i="13"/>
  <c r="S10" i="13" s="1"/>
  <c r="Q51" i="13"/>
  <c r="S51" i="13" s="1"/>
  <c r="Q136" i="13"/>
  <c r="S136" i="13" s="1"/>
  <c r="Q98" i="13"/>
  <c r="S98" i="13" s="1"/>
  <c r="Q130" i="13"/>
  <c r="S130" i="13" s="1"/>
  <c r="Q92" i="13"/>
  <c r="S92" i="13" s="1"/>
  <c r="S143" i="13"/>
  <c r="S117" i="13"/>
  <c r="S56" i="13"/>
  <c r="S74" i="13"/>
  <c r="S68" i="13"/>
  <c r="Q34" i="13"/>
  <c r="S34" i="13" s="1"/>
  <c r="Q128" i="13"/>
  <c r="S128" i="13" s="1"/>
  <c r="Q63" i="13"/>
  <c r="S63" i="13" s="1"/>
  <c r="Q18" i="13"/>
  <c r="S18" i="13" s="1"/>
  <c r="Q126" i="13"/>
  <c r="S126" i="13" s="1"/>
  <c r="Q89" i="13"/>
  <c r="S89" i="13" s="1"/>
  <c r="R393" i="12"/>
  <c r="S393" i="12" s="1"/>
  <c r="S403" i="12"/>
  <c r="R230" i="12"/>
  <c r="S305" i="12"/>
  <c r="S376" i="12"/>
  <c r="R65" i="12"/>
  <c r="S65" i="12" s="1"/>
  <c r="S54" i="12"/>
  <c r="Q93" i="11"/>
  <c r="S93" i="11" s="1"/>
  <c r="Q311" i="10"/>
  <c r="S311" i="10" s="1"/>
  <c r="R329" i="10"/>
  <c r="S329" i="10" s="1"/>
  <c r="Q69" i="10"/>
  <c r="S69" i="10" s="1"/>
  <c r="S334" i="10"/>
  <c r="Q79" i="9"/>
  <c r="S79" i="9" s="1"/>
  <c r="Q63" i="9"/>
  <c r="S63" i="9" s="1"/>
  <c r="Q59" i="9"/>
  <c r="S59" i="9" s="1"/>
  <c r="Q65" i="9"/>
  <c r="S65" i="9" s="1"/>
  <c r="P81" i="6"/>
  <c r="O135" i="3"/>
  <c r="P103" i="2"/>
  <c r="P455" i="2"/>
  <c r="P154" i="15"/>
  <c r="S138" i="15"/>
  <c r="S32" i="15"/>
  <c r="Q57" i="15"/>
  <c r="S57" i="15" s="1"/>
  <c r="O154" i="15"/>
  <c r="Q34" i="15"/>
  <c r="S34" i="15" s="1"/>
  <c r="S12" i="15"/>
  <c r="Q132" i="15"/>
  <c r="S132" i="15" s="1"/>
  <c r="Q81" i="15"/>
  <c r="S81" i="15" s="1"/>
  <c r="R58" i="14"/>
  <c r="S58" i="14" s="1"/>
  <c r="Q240" i="14"/>
  <c r="S240" i="14" s="1"/>
  <c r="S377" i="14"/>
  <c r="Q75" i="14"/>
  <c r="S75" i="14" s="1"/>
  <c r="S246" i="14"/>
  <c r="Q56" i="14"/>
  <c r="S56" i="14" s="1"/>
  <c r="R48" i="14"/>
  <c r="S48" i="14" s="1"/>
  <c r="P409" i="14"/>
  <c r="R239" i="14"/>
  <c r="S239" i="14" s="1"/>
  <c r="R34" i="14"/>
  <c r="S34" i="14" s="1"/>
  <c r="Q91" i="14"/>
  <c r="S91" i="14" s="1"/>
  <c r="R78" i="14"/>
  <c r="S78" i="14" s="1"/>
  <c r="Q403" i="14"/>
  <c r="S403" i="14" s="1"/>
  <c r="R99" i="14"/>
  <c r="S99" i="14" s="1"/>
  <c r="S387" i="14"/>
  <c r="S179" i="14"/>
  <c r="R145" i="14"/>
  <c r="Q335" i="14"/>
  <c r="S335" i="14" s="1"/>
  <c r="Q395" i="14"/>
  <c r="R213" i="14"/>
  <c r="S213" i="14" s="1"/>
  <c r="S308" i="14"/>
  <c r="Q54" i="14"/>
  <c r="S54" i="14" s="1"/>
  <c r="R355" i="14"/>
  <c r="S355" i="14" s="1"/>
  <c r="R273" i="14"/>
  <c r="S273" i="14" s="1"/>
  <c r="O409" i="14"/>
  <c r="Q108" i="14"/>
  <c r="S108" i="14" s="1"/>
  <c r="R313" i="14"/>
  <c r="S313" i="14" s="1"/>
  <c r="Q2" i="14"/>
  <c r="S2" i="14" s="1"/>
  <c r="Q102" i="14"/>
  <c r="S102" i="14" s="1"/>
  <c r="Q407" i="14"/>
  <c r="R110" i="14"/>
  <c r="S110" i="14" s="1"/>
  <c r="R85" i="14"/>
  <c r="S85" i="14" s="1"/>
  <c r="Q24" i="14"/>
  <c r="S24" i="14" s="1"/>
  <c r="Q116" i="14"/>
  <c r="S116" i="14" s="1"/>
  <c r="R77" i="14"/>
  <c r="Q77" i="14"/>
  <c r="Q39" i="13"/>
  <c r="S39" i="13" s="1"/>
  <c r="S62" i="13"/>
  <c r="S99" i="13"/>
  <c r="S35" i="13"/>
  <c r="S9" i="13"/>
  <c r="S151" i="13"/>
  <c r="Q55" i="13"/>
  <c r="S55" i="13" s="1"/>
  <c r="Q22" i="13"/>
  <c r="S22" i="13" s="1"/>
  <c r="Q152" i="13"/>
  <c r="S152" i="13" s="1"/>
  <c r="Q20" i="13"/>
  <c r="S20" i="13" s="1"/>
  <c r="Q146" i="13"/>
  <c r="S146" i="13" s="1"/>
  <c r="Q144" i="13"/>
  <c r="S144" i="13" s="1"/>
  <c r="Q45" i="13"/>
  <c r="S45" i="13" s="1"/>
  <c r="S109" i="13"/>
  <c r="S105" i="13"/>
  <c r="S40" i="13"/>
  <c r="S38" i="13"/>
  <c r="S50" i="13"/>
  <c r="S44" i="13"/>
  <c r="Q67" i="13"/>
  <c r="S67" i="13" s="1"/>
  <c r="P155" i="13"/>
  <c r="Q145" i="13"/>
  <c r="S145" i="13" s="1"/>
  <c r="R145" i="13"/>
  <c r="R6" i="13"/>
  <c r="O155" i="13"/>
  <c r="Q138" i="13"/>
  <c r="S138" i="13" s="1"/>
  <c r="Q102" i="13"/>
  <c r="S102" i="13" s="1"/>
  <c r="Q47" i="13"/>
  <c r="S47" i="13" s="1"/>
  <c r="Q108" i="13"/>
  <c r="S108" i="13" s="1"/>
  <c r="S2" i="13"/>
  <c r="Q43" i="13"/>
  <c r="S43" i="13" s="1"/>
  <c r="Q16" i="13"/>
  <c r="S16" i="13" s="1"/>
  <c r="S88" i="13"/>
  <c r="P410" i="12"/>
  <c r="R283" i="12"/>
  <c r="S283" i="12" s="1"/>
  <c r="Q156" i="12"/>
  <c r="S156" i="12" s="1"/>
  <c r="Q138" i="12"/>
  <c r="S138" i="12" s="1"/>
  <c r="Q96" i="12"/>
  <c r="S96" i="12" s="1"/>
  <c r="S121" i="12"/>
  <c r="S323" i="12"/>
  <c r="S241" i="12"/>
  <c r="S134" i="12"/>
  <c r="R243" i="12"/>
  <c r="S243" i="12" s="1"/>
  <c r="S395" i="12"/>
  <c r="R79" i="12"/>
  <c r="S79" i="12" s="1"/>
  <c r="R222" i="12"/>
  <c r="Q58" i="12"/>
  <c r="S58" i="12" s="1"/>
  <c r="S129" i="12"/>
  <c r="O410" i="12"/>
  <c r="Q90" i="12"/>
  <c r="R90" i="12"/>
  <c r="S406" i="12"/>
  <c r="S91" i="12"/>
  <c r="Q257" i="12"/>
  <c r="S257" i="12" s="1"/>
  <c r="R120" i="12"/>
  <c r="Q40" i="12"/>
  <c r="S40" i="12" s="1"/>
  <c r="R52" i="12"/>
  <c r="S52" i="12" s="1"/>
  <c r="Q193" i="12"/>
  <c r="S193" i="12" s="1"/>
  <c r="S316" i="12"/>
  <c r="Q357" i="12"/>
  <c r="S357" i="12" s="1"/>
  <c r="O13" i="12"/>
  <c r="S103" i="12"/>
  <c r="S382" i="12"/>
  <c r="S205" i="12"/>
  <c r="S401" i="12"/>
  <c r="Q216" i="12"/>
  <c r="R216" i="12"/>
  <c r="S218" i="12"/>
  <c r="R387" i="12"/>
  <c r="S387" i="12" s="1"/>
  <c r="S371" i="12"/>
  <c r="R234" i="12"/>
  <c r="S234" i="12" s="1"/>
  <c r="Q8" i="11"/>
  <c r="S8" i="11" s="1"/>
  <c r="Q88" i="11"/>
  <c r="S88" i="11" s="1"/>
  <c r="P5" i="11"/>
  <c r="S143" i="11"/>
  <c r="S123" i="11"/>
  <c r="P156" i="11"/>
  <c r="Q76" i="11"/>
  <c r="S76" i="11" s="1"/>
  <c r="P66" i="11"/>
  <c r="R6" i="11"/>
  <c r="R66" i="11" s="1"/>
  <c r="O66" i="11"/>
  <c r="Q18" i="11"/>
  <c r="S18" i="11" s="1"/>
  <c r="O5" i="11"/>
  <c r="S67" i="11"/>
  <c r="S2" i="11"/>
  <c r="R70" i="11"/>
  <c r="O156" i="11"/>
  <c r="S226" i="10"/>
  <c r="P412" i="10"/>
  <c r="R110" i="10"/>
  <c r="S110" i="10" s="1"/>
  <c r="Q234" i="10"/>
  <c r="Q101" i="10"/>
  <c r="S101" i="10" s="1"/>
  <c r="O412" i="10"/>
  <c r="Q182" i="10"/>
  <c r="S182" i="10" s="1"/>
  <c r="R109" i="10"/>
  <c r="S109" i="10" s="1"/>
  <c r="Q299" i="10"/>
  <c r="S299" i="10" s="1"/>
  <c r="O7" i="10"/>
  <c r="S140" i="10"/>
  <c r="Q33" i="10"/>
  <c r="S33" i="10" s="1"/>
  <c r="R8" i="10"/>
  <c r="O14" i="10"/>
  <c r="O137" i="10"/>
  <c r="S212" i="10"/>
  <c r="Q8" i="10"/>
  <c r="P137" i="10"/>
  <c r="S232" i="10"/>
  <c r="S198" i="10"/>
  <c r="Q27" i="9"/>
  <c r="S27" i="9" s="1"/>
  <c r="O160" i="9"/>
  <c r="Q87" i="9"/>
  <c r="S87" i="9" s="1"/>
  <c r="O137" i="9"/>
  <c r="R68" i="9"/>
  <c r="Q35" i="9"/>
  <c r="S35" i="9" s="1"/>
  <c r="O75" i="9"/>
  <c r="Q33" i="9"/>
  <c r="S33" i="9" s="1"/>
  <c r="P47" i="9"/>
  <c r="Q25" i="9"/>
  <c r="S25" i="9" s="1"/>
  <c r="Q23" i="9"/>
  <c r="S23" i="9" s="1"/>
  <c r="Q37" i="9"/>
  <c r="S37" i="9" s="1"/>
  <c r="P137" i="9"/>
  <c r="S138" i="9"/>
  <c r="R3" i="9"/>
  <c r="R4" i="9" s="1"/>
  <c r="O4" i="9"/>
  <c r="R7" i="9"/>
  <c r="R47" i="9" s="1"/>
  <c r="O47" i="9"/>
  <c r="P160" i="9"/>
  <c r="O68" i="9"/>
  <c r="P68" i="9"/>
  <c r="P75" i="9"/>
  <c r="Q93" i="9"/>
  <c r="S93" i="9" s="1"/>
  <c r="S76" i="9"/>
  <c r="S69" i="9"/>
  <c r="S48" i="9"/>
  <c r="Q49" i="9"/>
  <c r="S49" i="9" s="1"/>
  <c r="Q95" i="9"/>
  <c r="S95" i="9" s="1"/>
  <c r="P149" i="8"/>
  <c r="R41" i="8"/>
  <c r="S41" i="8" s="1"/>
  <c r="O278" i="8"/>
  <c r="R65" i="8"/>
  <c r="S65" i="8" s="1"/>
  <c r="O139" i="8"/>
  <c r="S2" i="8"/>
  <c r="P15" i="8"/>
  <c r="P139" i="8"/>
  <c r="O416" i="8"/>
  <c r="P80" i="8"/>
  <c r="S16" i="8"/>
  <c r="Q17" i="8"/>
  <c r="O80" i="8"/>
  <c r="P416" i="8"/>
  <c r="Q7" i="8"/>
  <c r="Q8" i="8" s="1"/>
  <c r="O8" i="8"/>
  <c r="S6" i="8"/>
  <c r="P5" i="8"/>
  <c r="S9" i="8"/>
  <c r="P278" i="8"/>
  <c r="O149" i="8"/>
  <c r="S150" i="8"/>
  <c r="P70" i="7"/>
  <c r="P163" i="7"/>
  <c r="S105" i="7"/>
  <c r="S54" i="7"/>
  <c r="S3" i="7"/>
  <c r="S119" i="7"/>
  <c r="S69" i="7"/>
  <c r="S19" i="7"/>
  <c r="S125" i="7"/>
  <c r="P55" i="7"/>
  <c r="O48" i="7"/>
  <c r="O77" i="7"/>
  <c r="O33" i="7"/>
  <c r="P98" i="7"/>
  <c r="P77" i="7"/>
  <c r="O140" i="7"/>
  <c r="O55" i="7"/>
  <c r="P48" i="7"/>
  <c r="O70" i="7"/>
  <c r="P140" i="7"/>
  <c r="P33" i="7"/>
  <c r="O98" i="7"/>
  <c r="O163" i="7"/>
  <c r="P53" i="6"/>
  <c r="P281" i="6"/>
  <c r="P93" i="6"/>
  <c r="Q199" i="6"/>
  <c r="S199" i="6" s="1"/>
  <c r="P194" i="6"/>
  <c r="P141" i="6"/>
  <c r="O391" i="6"/>
  <c r="Q54" i="6"/>
  <c r="O81" i="6"/>
  <c r="O420" i="6"/>
  <c r="S282" i="6"/>
  <c r="P420" i="6"/>
  <c r="S6" i="6"/>
  <c r="P151" i="6"/>
  <c r="R195" i="6"/>
  <c r="O281" i="6"/>
  <c r="Q152" i="6"/>
  <c r="O194" i="6"/>
  <c r="O53" i="6"/>
  <c r="Q82" i="6"/>
  <c r="O93" i="6"/>
  <c r="P15" i="6"/>
  <c r="R94" i="6"/>
  <c r="O141" i="6"/>
  <c r="R7" i="6"/>
  <c r="R8" i="6" s="1"/>
  <c r="O8" i="6"/>
  <c r="O15" i="6"/>
  <c r="S393" i="6"/>
  <c r="S392" i="6"/>
  <c r="S9" i="6"/>
  <c r="P391" i="6"/>
  <c r="O5" i="6"/>
  <c r="Q143" i="6"/>
  <c r="O151" i="6"/>
  <c r="P83" i="3"/>
  <c r="O28" i="3"/>
  <c r="O83" i="3"/>
  <c r="P42" i="3"/>
  <c r="O154" i="3"/>
  <c r="P125" i="3"/>
  <c r="S7" i="3"/>
  <c r="O52" i="3"/>
  <c r="P178" i="3"/>
  <c r="P28" i="3"/>
  <c r="S105" i="3"/>
  <c r="P114" i="3"/>
  <c r="P63" i="3"/>
  <c r="S39" i="3"/>
  <c r="P109" i="3"/>
  <c r="P77" i="3"/>
  <c r="S64" i="3"/>
  <c r="S160" i="3"/>
  <c r="S43" i="3"/>
  <c r="P104" i="3"/>
  <c r="P34" i="3"/>
  <c r="S159" i="3"/>
  <c r="P87" i="3"/>
  <c r="P52" i="3"/>
  <c r="O104" i="3"/>
  <c r="P154" i="3"/>
  <c r="O178" i="3"/>
  <c r="P4" i="3"/>
  <c r="S84" i="3"/>
  <c r="S126" i="3"/>
  <c r="P135" i="3"/>
  <c r="P47" i="2"/>
  <c r="P64" i="2"/>
  <c r="P228" i="2"/>
  <c r="O247" i="2"/>
  <c r="O51" i="2"/>
  <c r="P212" i="2"/>
  <c r="P254" i="2"/>
  <c r="P444" i="2"/>
  <c r="Q125" i="2"/>
  <c r="S125" i="2" s="1"/>
  <c r="P151" i="2"/>
  <c r="R64" i="2"/>
  <c r="O151" i="2"/>
  <c r="P165" i="2"/>
  <c r="P413" i="2"/>
  <c r="O55" i="2"/>
  <c r="P85" i="2"/>
  <c r="R215" i="2"/>
  <c r="O228" i="2"/>
  <c r="Q96" i="2"/>
  <c r="O103" i="2"/>
  <c r="S229" i="2"/>
  <c r="R51" i="2"/>
  <c r="Q248" i="2"/>
  <c r="O254" i="2"/>
  <c r="Q171" i="2"/>
  <c r="O212" i="2"/>
  <c r="O47" i="2"/>
  <c r="P247" i="2"/>
  <c r="S159" i="2"/>
  <c r="S71" i="2"/>
  <c r="O8" i="2"/>
  <c r="O455" i="2"/>
  <c r="P437" i="2"/>
  <c r="O158" i="2"/>
  <c r="O444" i="2"/>
  <c r="O413" i="2"/>
  <c r="P5" i="2"/>
  <c r="O304" i="2"/>
  <c r="O16" i="2"/>
  <c r="R65" i="2"/>
  <c r="O85" i="2"/>
  <c r="O437" i="2"/>
  <c r="P304" i="2"/>
  <c r="Q64" i="2"/>
  <c r="R58" i="2"/>
  <c r="R60" i="2" s="1"/>
  <c r="O60" i="2"/>
  <c r="P51" i="2"/>
  <c r="R320" i="2"/>
  <c r="S320" i="2" s="1"/>
  <c r="Q416" i="2"/>
  <c r="O420" i="2"/>
  <c r="P510" i="1"/>
  <c r="O510" i="1"/>
  <c r="O438" i="1"/>
  <c r="P438" i="1"/>
  <c r="O378" i="1"/>
  <c r="P378" i="1"/>
  <c r="O306" i="1"/>
  <c r="P306" i="1"/>
  <c r="O249" i="1"/>
  <c r="P249" i="1"/>
  <c r="P177" i="1"/>
  <c r="O177" i="1"/>
  <c r="O117" i="1"/>
  <c r="P117" i="1"/>
  <c r="P45" i="1"/>
  <c r="O45" i="1"/>
  <c r="P533" i="1"/>
  <c r="O533" i="1"/>
  <c r="P473" i="1"/>
  <c r="O473" i="1"/>
  <c r="P413" i="1"/>
  <c r="O413" i="1"/>
  <c r="P365" i="1"/>
  <c r="O365" i="1"/>
  <c r="P305" i="1"/>
  <c r="O305" i="1"/>
  <c r="P260" i="1"/>
  <c r="O260" i="1"/>
  <c r="P176" i="1"/>
  <c r="O176" i="1"/>
  <c r="P92" i="1"/>
  <c r="O92" i="1"/>
  <c r="P56" i="1"/>
  <c r="O56" i="1"/>
  <c r="O532" i="1"/>
  <c r="P532" i="1"/>
  <c r="P472" i="1"/>
  <c r="O472" i="1"/>
  <c r="P424" i="1"/>
  <c r="O424" i="1"/>
  <c r="P340" i="1"/>
  <c r="O340" i="1"/>
  <c r="P304" i="1"/>
  <c r="O304" i="1"/>
  <c r="P247" i="1"/>
  <c r="O247" i="1"/>
  <c r="P211" i="1"/>
  <c r="O211" i="1"/>
  <c r="O151" i="1"/>
  <c r="P151" i="1"/>
  <c r="O115" i="1"/>
  <c r="P115" i="1"/>
  <c r="O67" i="1"/>
  <c r="P67" i="1"/>
  <c r="P7" i="1"/>
  <c r="O7" i="1"/>
  <c r="P565" i="1"/>
  <c r="O565" i="1"/>
  <c r="P541" i="1"/>
  <c r="O541" i="1"/>
  <c r="O505" i="1"/>
  <c r="P505" i="1"/>
  <c r="P493" i="1"/>
  <c r="O493" i="1"/>
  <c r="O457" i="1"/>
  <c r="P457" i="1"/>
  <c r="P433" i="1"/>
  <c r="O433" i="1"/>
  <c r="P397" i="1"/>
  <c r="O397" i="1"/>
  <c r="O337" i="1"/>
  <c r="P337" i="1"/>
  <c r="O196" i="1"/>
  <c r="P196" i="1"/>
  <c r="P572" i="1"/>
  <c r="O572" i="1"/>
  <c r="P560" i="1"/>
  <c r="O560" i="1"/>
  <c r="P548" i="1"/>
  <c r="O548" i="1"/>
  <c r="P536" i="1"/>
  <c r="O536" i="1"/>
  <c r="O524" i="1"/>
  <c r="P524" i="1"/>
  <c r="O512" i="1"/>
  <c r="P512" i="1"/>
  <c r="O500" i="1"/>
  <c r="P500" i="1"/>
  <c r="O488" i="1"/>
  <c r="P488" i="1"/>
  <c r="O476" i="1"/>
  <c r="P476" i="1"/>
  <c r="O464" i="1"/>
  <c r="P464" i="1"/>
  <c r="O452" i="1"/>
  <c r="P452" i="1"/>
  <c r="O440" i="1"/>
  <c r="P440" i="1"/>
  <c r="O428" i="1"/>
  <c r="P428" i="1"/>
  <c r="O416" i="1"/>
  <c r="P416" i="1"/>
  <c r="O404" i="1"/>
  <c r="P404" i="1"/>
  <c r="O392" i="1"/>
  <c r="P392" i="1"/>
  <c r="O380" i="1"/>
  <c r="P380" i="1"/>
  <c r="O368" i="1"/>
  <c r="P368" i="1"/>
  <c r="O356" i="1"/>
  <c r="P356" i="1"/>
  <c r="P344" i="1"/>
  <c r="O344" i="1"/>
  <c r="P332" i="1"/>
  <c r="O332" i="1"/>
  <c r="P320" i="1"/>
  <c r="O320" i="1"/>
  <c r="P308" i="1"/>
  <c r="O308" i="1"/>
  <c r="P296" i="1"/>
  <c r="O296" i="1"/>
  <c r="P286" i="1"/>
  <c r="O286" i="1"/>
  <c r="P275" i="1"/>
  <c r="O275" i="1"/>
  <c r="P263" i="1"/>
  <c r="O263" i="1"/>
  <c r="P251" i="1"/>
  <c r="O251" i="1"/>
  <c r="P239" i="1"/>
  <c r="O239" i="1"/>
  <c r="P227" i="1"/>
  <c r="O227" i="1"/>
  <c r="P215" i="1"/>
  <c r="O215" i="1"/>
  <c r="P203" i="1"/>
  <c r="O203" i="1"/>
  <c r="P191" i="1"/>
  <c r="O191" i="1"/>
  <c r="P179" i="1"/>
  <c r="O179" i="1"/>
  <c r="P167" i="1"/>
  <c r="O167" i="1"/>
  <c r="P155" i="1"/>
  <c r="O155" i="1"/>
  <c r="P143" i="1"/>
  <c r="O143" i="1"/>
  <c r="P131" i="1"/>
  <c r="O131" i="1"/>
  <c r="P119" i="1"/>
  <c r="O119" i="1"/>
  <c r="P107" i="1"/>
  <c r="O107" i="1"/>
  <c r="P95" i="1"/>
  <c r="O95" i="1"/>
  <c r="P83" i="1"/>
  <c r="O83" i="1"/>
  <c r="P71" i="1"/>
  <c r="O71" i="1"/>
  <c r="P59" i="1"/>
  <c r="O59" i="1"/>
  <c r="P47" i="1"/>
  <c r="O47" i="1"/>
  <c r="P35" i="1"/>
  <c r="O35" i="1"/>
  <c r="P23" i="1"/>
  <c r="O23" i="1"/>
  <c r="P11" i="1"/>
  <c r="O11" i="1"/>
  <c r="P571" i="1"/>
  <c r="O571" i="1"/>
  <c r="P559" i="1"/>
  <c r="O559" i="1"/>
  <c r="P547" i="1"/>
  <c r="O547" i="1"/>
  <c r="P535" i="1"/>
  <c r="O535" i="1"/>
  <c r="P523" i="1"/>
  <c r="O523" i="1"/>
  <c r="P511" i="1"/>
  <c r="O511" i="1"/>
  <c r="P499" i="1"/>
  <c r="O499" i="1"/>
  <c r="P487" i="1"/>
  <c r="O487" i="1"/>
  <c r="P475" i="1"/>
  <c r="O475" i="1"/>
  <c r="P463" i="1"/>
  <c r="O463" i="1"/>
  <c r="P451" i="1"/>
  <c r="O451" i="1"/>
  <c r="P439" i="1"/>
  <c r="O439" i="1"/>
  <c r="P427" i="1"/>
  <c r="O427" i="1"/>
  <c r="P415" i="1"/>
  <c r="O415" i="1"/>
  <c r="P403" i="1"/>
  <c r="O403" i="1"/>
  <c r="P391" i="1"/>
  <c r="O391" i="1"/>
  <c r="P379" i="1"/>
  <c r="O379" i="1"/>
  <c r="P367" i="1"/>
  <c r="O367" i="1"/>
  <c r="P355" i="1"/>
  <c r="O355" i="1"/>
  <c r="P343" i="1"/>
  <c r="O343" i="1"/>
  <c r="P331" i="1"/>
  <c r="O331" i="1"/>
  <c r="P319" i="1"/>
  <c r="O319" i="1"/>
  <c r="P307" i="1"/>
  <c r="O307" i="1"/>
  <c r="P295" i="1"/>
  <c r="O295" i="1"/>
  <c r="P285" i="1"/>
  <c r="O285" i="1"/>
  <c r="P274" i="1"/>
  <c r="O274" i="1"/>
  <c r="P262" i="1"/>
  <c r="O262" i="1"/>
  <c r="P250" i="1"/>
  <c r="O250" i="1"/>
  <c r="P238" i="1"/>
  <c r="O238" i="1"/>
  <c r="P226" i="1"/>
  <c r="O226" i="1"/>
  <c r="P214" i="1"/>
  <c r="O214" i="1"/>
  <c r="P202" i="1"/>
  <c r="O202" i="1"/>
  <c r="P190" i="1"/>
  <c r="O190" i="1"/>
  <c r="P178" i="1"/>
  <c r="O178" i="1"/>
  <c r="P166" i="1"/>
  <c r="O166" i="1"/>
  <c r="P154" i="1"/>
  <c r="O154" i="1"/>
  <c r="P142" i="1"/>
  <c r="O142" i="1"/>
  <c r="P130" i="1"/>
  <c r="O130" i="1"/>
  <c r="P118" i="1"/>
  <c r="O118" i="1"/>
  <c r="P106" i="1"/>
  <c r="O106" i="1"/>
  <c r="P94" i="1"/>
  <c r="O94" i="1"/>
  <c r="P82" i="1"/>
  <c r="O82" i="1"/>
  <c r="P70" i="1"/>
  <c r="O70" i="1"/>
  <c r="P58" i="1"/>
  <c r="O58" i="1"/>
  <c r="P46" i="1"/>
  <c r="O46" i="1"/>
  <c r="P34" i="1"/>
  <c r="O34" i="1"/>
  <c r="P22" i="1"/>
  <c r="O22" i="1"/>
  <c r="P10" i="1"/>
  <c r="O10" i="1"/>
  <c r="P570" i="1"/>
  <c r="O570" i="1"/>
  <c r="O486" i="1"/>
  <c r="P486" i="1"/>
  <c r="O414" i="1"/>
  <c r="P414" i="1"/>
  <c r="O318" i="1"/>
  <c r="P318" i="1"/>
  <c r="P225" i="1"/>
  <c r="O225" i="1"/>
  <c r="O153" i="1"/>
  <c r="P153" i="1"/>
  <c r="P93" i="1"/>
  <c r="O93" i="1"/>
  <c r="P21" i="1"/>
  <c r="O21" i="1"/>
  <c r="P557" i="1"/>
  <c r="O557" i="1"/>
  <c r="P497" i="1"/>
  <c r="O497" i="1"/>
  <c r="P437" i="1"/>
  <c r="O437" i="1"/>
  <c r="P377" i="1"/>
  <c r="O377" i="1"/>
  <c r="O317" i="1"/>
  <c r="P317" i="1"/>
  <c r="P272" i="1"/>
  <c r="O272" i="1"/>
  <c r="P212" i="1"/>
  <c r="O212" i="1"/>
  <c r="P164" i="1"/>
  <c r="O164" i="1"/>
  <c r="P80" i="1"/>
  <c r="O80" i="1"/>
  <c r="O556" i="1"/>
  <c r="P556" i="1"/>
  <c r="P460" i="1"/>
  <c r="O460" i="1"/>
  <c r="P388" i="1"/>
  <c r="O388" i="1"/>
  <c r="P328" i="1"/>
  <c r="O328" i="1"/>
  <c r="O292" i="1"/>
  <c r="P292" i="1"/>
  <c r="P223" i="1"/>
  <c r="O223" i="1"/>
  <c r="P175" i="1"/>
  <c r="O175" i="1"/>
  <c r="P127" i="1"/>
  <c r="O127" i="1"/>
  <c r="P79" i="1"/>
  <c r="O79" i="1"/>
  <c r="P55" i="1"/>
  <c r="O55" i="1"/>
  <c r="O19" i="1"/>
  <c r="P19" i="1"/>
  <c r="O567" i="1"/>
  <c r="P567" i="1"/>
  <c r="O555" i="1"/>
  <c r="P555" i="1"/>
  <c r="O543" i="1"/>
  <c r="P543" i="1"/>
  <c r="O531" i="1"/>
  <c r="P531" i="1"/>
  <c r="P519" i="1"/>
  <c r="O519" i="1"/>
  <c r="O507" i="1"/>
  <c r="P507" i="1"/>
  <c r="P495" i="1"/>
  <c r="O495" i="1"/>
  <c r="O483" i="1"/>
  <c r="P483" i="1"/>
  <c r="P471" i="1"/>
  <c r="O471" i="1"/>
  <c r="O459" i="1"/>
  <c r="P459" i="1"/>
  <c r="P447" i="1"/>
  <c r="O447" i="1"/>
  <c r="O435" i="1"/>
  <c r="P435" i="1"/>
  <c r="P423" i="1"/>
  <c r="O423" i="1"/>
  <c r="P411" i="1"/>
  <c r="O411" i="1"/>
  <c r="O399" i="1"/>
  <c r="P399" i="1"/>
  <c r="P387" i="1"/>
  <c r="O387" i="1"/>
  <c r="O375" i="1"/>
  <c r="P375" i="1"/>
  <c r="O363" i="1"/>
  <c r="P363" i="1"/>
  <c r="P351" i="1"/>
  <c r="O351" i="1"/>
  <c r="O339" i="1"/>
  <c r="P339" i="1"/>
  <c r="P327" i="1"/>
  <c r="O327" i="1"/>
  <c r="P315" i="1"/>
  <c r="O315" i="1"/>
  <c r="O303" i="1"/>
  <c r="P303" i="1"/>
  <c r="O291" i="1"/>
  <c r="P291" i="1"/>
  <c r="P282" i="1"/>
  <c r="O282" i="1"/>
  <c r="P270" i="1"/>
  <c r="O270" i="1"/>
  <c r="P258" i="1"/>
  <c r="O258" i="1"/>
  <c r="P246" i="1"/>
  <c r="O246" i="1"/>
  <c r="P234" i="1"/>
  <c r="O234" i="1"/>
  <c r="P222" i="1"/>
  <c r="O222" i="1"/>
  <c r="P210" i="1"/>
  <c r="O210" i="1"/>
  <c r="P198" i="1"/>
  <c r="O198" i="1"/>
  <c r="P186" i="1"/>
  <c r="O186" i="1"/>
  <c r="P174" i="1"/>
  <c r="O174" i="1"/>
  <c r="P162" i="1"/>
  <c r="O162" i="1"/>
  <c r="O150" i="1"/>
  <c r="P150" i="1"/>
  <c r="P138" i="1"/>
  <c r="O138" i="1"/>
  <c r="P126" i="1"/>
  <c r="O126" i="1"/>
  <c r="P114" i="1"/>
  <c r="O114" i="1"/>
  <c r="P102" i="1"/>
  <c r="O102" i="1"/>
  <c r="P90" i="1"/>
  <c r="O90" i="1"/>
  <c r="P78" i="1"/>
  <c r="O78" i="1"/>
  <c r="P66" i="1"/>
  <c r="O66" i="1"/>
  <c r="O54" i="1"/>
  <c r="P54" i="1"/>
  <c r="P42" i="1"/>
  <c r="O42" i="1"/>
  <c r="O30" i="1"/>
  <c r="P30" i="1"/>
  <c r="P18" i="1"/>
  <c r="O18" i="1"/>
  <c r="P6" i="1"/>
  <c r="O6" i="1"/>
  <c r="O566" i="1"/>
  <c r="P566" i="1"/>
  <c r="O554" i="1"/>
  <c r="P554" i="1"/>
  <c r="O542" i="1"/>
  <c r="P542" i="1"/>
  <c r="O530" i="1"/>
  <c r="P530" i="1"/>
  <c r="O518" i="1"/>
  <c r="P518" i="1"/>
  <c r="P506" i="1"/>
  <c r="O506" i="1"/>
  <c r="P494" i="1"/>
  <c r="O494" i="1"/>
  <c r="O482" i="1"/>
  <c r="P482" i="1"/>
  <c r="P470" i="1"/>
  <c r="O470" i="1"/>
  <c r="P458" i="1"/>
  <c r="O458" i="1"/>
  <c r="P446" i="1"/>
  <c r="O446" i="1"/>
  <c r="P434" i="1"/>
  <c r="O434" i="1"/>
  <c r="P422" i="1"/>
  <c r="O422" i="1"/>
  <c r="O410" i="1"/>
  <c r="P410" i="1"/>
  <c r="P398" i="1"/>
  <c r="O398" i="1"/>
  <c r="P386" i="1"/>
  <c r="O386" i="1"/>
  <c r="P374" i="1"/>
  <c r="O374" i="1"/>
  <c r="P362" i="1"/>
  <c r="O362" i="1"/>
  <c r="P350" i="1"/>
  <c r="O350" i="1"/>
  <c r="P338" i="1"/>
  <c r="O338" i="1"/>
  <c r="P326" i="1"/>
  <c r="O326" i="1"/>
  <c r="P314" i="1"/>
  <c r="O314" i="1"/>
  <c r="P302" i="1"/>
  <c r="O302" i="1"/>
  <c r="P290" i="1"/>
  <c r="O290" i="1"/>
  <c r="P281" i="1"/>
  <c r="O281" i="1"/>
  <c r="P269" i="1"/>
  <c r="O269" i="1"/>
  <c r="P257" i="1"/>
  <c r="O257" i="1"/>
  <c r="O245" i="1"/>
  <c r="P245" i="1"/>
  <c r="O233" i="1"/>
  <c r="P233" i="1"/>
  <c r="P221" i="1"/>
  <c r="O221" i="1"/>
  <c r="P209" i="1"/>
  <c r="O209" i="1"/>
  <c r="P197" i="1"/>
  <c r="O197" i="1"/>
  <c r="P185" i="1"/>
  <c r="O185" i="1"/>
  <c r="P173" i="1"/>
  <c r="O173" i="1"/>
  <c r="P161" i="1"/>
  <c r="O161" i="1"/>
  <c r="P149" i="1"/>
  <c r="O149" i="1"/>
  <c r="P137" i="1"/>
  <c r="O137" i="1"/>
  <c r="P125" i="1"/>
  <c r="O125" i="1"/>
  <c r="P113" i="1"/>
  <c r="O113" i="1"/>
  <c r="P101" i="1"/>
  <c r="O101" i="1"/>
  <c r="O89" i="1"/>
  <c r="P89" i="1"/>
  <c r="P77" i="1"/>
  <c r="O77" i="1"/>
  <c r="P65" i="1"/>
  <c r="O65" i="1"/>
  <c r="P53" i="1"/>
  <c r="O53" i="1"/>
  <c r="O41" i="1"/>
  <c r="P41" i="1"/>
  <c r="P29" i="1"/>
  <c r="O29" i="1"/>
  <c r="O17" i="1"/>
  <c r="P17" i="1"/>
  <c r="P5" i="1"/>
  <c r="O5" i="1"/>
  <c r="P485" i="1"/>
  <c r="O485" i="1"/>
  <c r="P389" i="1"/>
  <c r="O389" i="1"/>
  <c r="P283" i="1"/>
  <c r="O283" i="1"/>
  <c r="P188" i="1"/>
  <c r="O188" i="1"/>
  <c r="P104" i="1"/>
  <c r="O104" i="1"/>
  <c r="P32" i="1"/>
  <c r="O32" i="1"/>
  <c r="O568" i="1"/>
  <c r="P568" i="1"/>
  <c r="O484" i="1"/>
  <c r="P484" i="1"/>
  <c r="O436" i="1"/>
  <c r="P436" i="1"/>
  <c r="O364" i="1"/>
  <c r="P364" i="1"/>
  <c r="P316" i="1"/>
  <c r="O316" i="1"/>
  <c r="O259" i="1"/>
  <c r="P259" i="1"/>
  <c r="P199" i="1"/>
  <c r="O199" i="1"/>
  <c r="P139" i="1"/>
  <c r="O139" i="1"/>
  <c r="P103" i="1"/>
  <c r="O103" i="1"/>
  <c r="P43" i="1"/>
  <c r="O43" i="1"/>
  <c r="P529" i="1"/>
  <c r="O529" i="1"/>
  <c r="P469" i="1"/>
  <c r="O469" i="1"/>
  <c r="P421" i="1"/>
  <c r="O421" i="1"/>
  <c r="P361" i="1"/>
  <c r="O361" i="1"/>
  <c r="O268" i="1"/>
  <c r="P268" i="1"/>
  <c r="P76" i="1"/>
  <c r="O76" i="1"/>
  <c r="O558" i="1"/>
  <c r="P558" i="1"/>
  <c r="P474" i="1"/>
  <c r="O474" i="1"/>
  <c r="O390" i="1"/>
  <c r="P390" i="1"/>
  <c r="P330" i="1"/>
  <c r="O330" i="1"/>
  <c r="P284" i="1"/>
  <c r="O284" i="1"/>
  <c r="O201" i="1"/>
  <c r="P201" i="1"/>
  <c r="O105" i="1"/>
  <c r="P105" i="1"/>
  <c r="O33" i="1"/>
  <c r="P33" i="1"/>
  <c r="P521" i="1"/>
  <c r="O521" i="1"/>
  <c r="P425" i="1"/>
  <c r="O425" i="1"/>
  <c r="P329" i="1"/>
  <c r="O329" i="1"/>
  <c r="P236" i="1"/>
  <c r="O236" i="1"/>
  <c r="P128" i="1"/>
  <c r="O128" i="1"/>
  <c r="P20" i="1"/>
  <c r="O20" i="1"/>
  <c r="O544" i="1"/>
  <c r="P544" i="1"/>
  <c r="P448" i="1"/>
  <c r="O448" i="1"/>
  <c r="P352" i="1"/>
  <c r="O352" i="1"/>
  <c r="O187" i="1"/>
  <c r="P187" i="1"/>
  <c r="O91" i="1"/>
  <c r="P91" i="1"/>
  <c r="P553" i="1"/>
  <c r="O553" i="1"/>
  <c r="P517" i="1"/>
  <c r="O517" i="1"/>
  <c r="P481" i="1"/>
  <c r="O481" i="1"/>
  <c r="P445" i="1"/>
  <c r="O445" i="1"/>
  <c r="P409" i="1"/>
  <c r="O409" i="1"/>
  <c r="O385" i="1"/>
  <c r="P385" i="1"/>
  <c r="P373" i="1"/>
  <c r="O373" i="1"/>
  <c r="P349" i="1"/>
  <c r="O349" i="1"/>
  <c r="P325" i="1"/>
  <c r="O325" i="1"/>
  <c r="P313" i="1"/>
  <c r="O313" i="1"/>
  <c r="P301" i="1"/>
  <c r="O301" i="1"/>
  <c r="O289" i="1"/>
  <c r="P289" i="1"/>
  <c r="O280" i="1"/>
  <c r="P280" i="1"/>
  <c r="P256" i="1"/>
  <c r="O256" i="1"/>
  <c r="O244" i="1"/>
  <c r="P244" i="1"/>
  <c r="P232" i="1"/>
  <c r="O232" i="1"/>
  <c r="P220" i="1"/>
  <c r="O220" i="1"/>
  <c r="P208" i="1"/>
  <c r="O208" i="1"/>
  <c r="P184" i="1"/>
  <c r="O184" i="1"/>
  <c r="O172" i="1"/>
  <c r="P172" i="1"/>
  <c r="P160" i="1"/>
  <c r="O160" i="1"/>
  <c r="P148" i="1"/>
  <c r="O148" i="1"/>
  <c r="P136" i="1"/>
  <c r="O136" i="1"/>
  <c r="O124" i="1"/>
  <c r="P124" i="1"/>
  <c r="P112" i="1"/>
  <c r="O112" i="1"/>
  <c r="O100" i="1"/>
  <c r="P100" i="1"/>
  <c r="P88" i="1"/>
  <c r="O88" i="1"/>
  <c r="P64" i="1"/>
  <c r="O64" i="1"/>
  <c r="P52" i="1"/>
  <c r="O52" i="1"/>
  <c r="P40" i="1"/>
  <c r="O40" i="1"/>
  <c r="P28" i="1"/>
  <c r="O28" i="1"/>
  <c r="P16" i="1"/>
  <c r="O16" i="1"/>
  <c r="P4" i="1"/>
  <c r="O4" i="1"/>
  <c r="O564" i="1"/>
  <c r="P564" i="1"/>
  <c r="P552" i="1"/>
  <c r="O552" i="1"/>
  <c r="O540" i="1"/>
  <c r="P540" i="1"/>
  <c r="P528" i="1"/>
  <c r="O528" i="1"/>
  <c r="O516" i="1"/>
  <c r="P516" i="1"/>
  <c r="O504" i="1"/>
  <c r="P504" i="1"/>
  <c r="O492" i="1"/>
  <c r="P492" i="1"/>
  <c r="P480" i="1"/>
  <c r="O480" i="1"/>
  <c r="O468" i="1"/>
  <c r="P468" i="1"/>
  <c r="O456" i="1"/>
  <c r="P456" i="1"/>
  <c r="O444" i="1"/>
  <c r="P444" i="1"/>
  <c r="P432" i="1"/>
  <c r="O432" i="1"/>
  <c r="O420" i="1"/>
  <c r="P420" i="1"/>
  <c r="P408" i="1"/>
  <c r="O408" i="1"/>
  <c r="P396" i="1"/>
  <c r="O396" i="1"/>
  <c r="O384" i="1"/>
  <c r="P384" i="1"/>
  <c r="O372" i="1"/>
  <c r="P372" i="1"/>
  <c r="P360" i="1"/>
  <c r="O360" i="1"/>
  <c r="P348" i="1"/>
  <c r="O348" i="1"/>
  <c r="O336" i="1"/>
  <c r="P336" i="1"/>
  <c r="P324" i="1"/>
  <c r="O324" i="1"/>
  <c r="P312" i="1"/>
  <c r="O312" i="1"/>
  <c r="P300" i="1"/>
  <c r="O300" i="1"/>
  <c r="P288" i="1"/>
  <c r="O288" i="1"/>
  <c r="O279" i="1"/>
  <c r="P279" i="1"/>
  <c r="P267" i="1"/>
  <c r="O267" i="1"/>
  <c r="P255" i="1"/>
  <c r="O255" i="1"/>
  <c r="P243" i="1"/>
  <c r="O243" i="1"/>
  <c r="P231" i="1"/>
  <c r="O231" i="1"/>
  <c r="P219" i="1"/>
  <c r="O219" i="1"/>
  <c r="P207" i="1"/>
  <c r="O207" i="1"/>
  <c r="P195" i="1"/>
  <c r="O195" i="1"/>
  <c r="P183" i="1"/>
  <c r="O183" i="1"/>
  <c r="P171" i="1"/>
  <c r="O171" i="1"/>
  <c r="P159" i="1"/>
  <c r="O159" i="1"/>
  <c r="P147" i="1"/>
  <c r="O147" i="1"/>
  <c r="P135" i="1"/>
  <c r="O135" i="1"/>
  <c r="O123" i="1"/>
  <c r="P123" i="1"/>
  <c r="P111" i="1"/>
  <c r="O111" i="1"/>
  <c r="P99" i="1"/>
  <c r="O99" i="1"/>
  <c r="O87" i="1"/>
  <c r="P87" i="1"/>
  <c r="O75" i="1"/>
  <c r="P75" i="1"/>
  <c r="P63" i="1"/>
  <c r="O63" i="1"/>
  <c r="P51" i="1"/>
  <c r="O51" i="1"/>
  <c r="O39" i="1"/>
  <c r="P39" i="1"/>
  <c r="P27" i="1"/>
  <c r="O27" i="1"/>
  <c r="O15" i="1"/>
  <c r="P15" i="1"/>
  <c r="P3" i="1"/>
  <c r="O3" i="1"/>
  <c r="P546" i="1"/>
  <c r="O546" i="1"/>
  <c r="O498" i="1"/>
  <c r="P498" i="1"/>
  <c r="P462" i="1"/>
  <c r="O462" i="1"/>
  <c r="O402" i="1"/>
  <c r="P402" i="1"/>
  <c r="P354" i="1"/>
  <c r="O354" i="1"/>
  <c r="P294" i="1"/>
  <c r="O294" i="1"/>
  <c r="P237" i="1"/>
  <c r="O237" i="1"/>
  <c r="P189" i="1"/>
  <c r="O189" i="1"/>
  <c r="P141" i="1"/>
  <c r="O141" i="1"/>
  <c r="O69" i="1"/>
  <c r="P69" i="1"/>
  <c r="P569" i="1"/>
  <c r="O569" i="1"/>
  <c r="P461" i="1"/>
  <c r="O461" i="1"/>
  <c r="O353" i="1"/>
  <c r="P353" i="1"/>
  <c r="P248" i="1"/>
  <c r="O248" i="1"/>
  <c r="P140" i="1"/>
  <c r="O140" i="1"/>
  <c r="P44" i="1"/>
  <c r="O44" i="1"/>
  <c r="P496" i="1"/>
  <c r="O496" i="1"/>
  <c r="P376" i="1"/>
  <c r="O376" i="1"/>
  <c r="O163" i="1"/>
  <c r="P163" i="1"/>
  <c r="P563" i="1"/>
  <c r="O563" i="1"/>
  <c r="P551" i="1"/>
  <c r="O551" i="1"/>
  <c r="P539" i="1"/>
  <c r="O539" i="1"/>
  <c r="P527" i="1"/>
  <c r="O527" i="1"/>
  <c r="P515" i="1"/>
  <c r="O515" i="1"/>
  <c r="P503" i="1"/>
  <c r="O503" i="1"/>
  <c r="P491" i="1"/>
  <c r="O491" i="1"/>
  <c r="P479" i="1"/>
  <c r="O479" i="1"/>
  <c r="P467" i="1"/>
  <c r="O467" i="1"/>
  <c r="P455" i="1"/>
  <c r="O455" i="1"/>
  <c r="P443" i="1"/>
  <c r="O443" i="1"/>
  <c r="P431" i="1"/>
  <c r="O431" i="1"/>
  <c r="P419" i="1"/>
  <c r="O419" i="1"/>
  <c r="P407" i="1"/>
  <c r="O407" i="1"/>
  <c r="P395" i="1"/>
  <c r="O395" i="1"/>
  <c r="P383" i="1"/>
  <c r="O383" i="1"/>
  <c r="P371" i="1"/>
  <c r="O371" i="1"/>
  <c r="P359" i="1"/>
  <c r="O359" i="1"/>
  <c r="O347" i="1"/>
  <c r="P347" i="1"/>
  <c r="P335" i="1"/>
  <c r="O335" i="1"/>
  <c r="P323" i="1"/>
  <c r="O323" i="1"/>
  <c r="O311" i="1"/>
  <c r="P311" i="1"/>
  <c r="P299" i="1"/>
  <c r="O299" i="1"/>
  <c r="O278" i="1"/>
  <c r="P278" i="1"/>
  <c r="P266" i="1"/>
  <c r="O266" i="1"/>
  <c r="P254" i="1"/>
  <c r="O254" i="1"/>
  <c r="P242" i="1"/>
  <c r="O242" i="1"/>
  <c r="P230" i="1"/>
  <c r="O230" i="1"/>
  <c r="P218" i="1"/>
  <c r="O218" i="1"/>
  <c r="P206" i="1"/>
  <c r="O206" i="1"/>
  <c r="P194" i="1"/>
  <c r="O194" i="1"/>
  <c r="O182" i="1"/>
  <c r="P182" i="1"/>
  <c r="O170" i="1"/>
  <c r="P170" i="1"/>
  <c r="P158" i="1"/>
  <c r="O158" i="1"/>
  <c r="P146" i="1"/>
  <c r="O146" i="1"/>
  <c r="P134" i="1"/>
  <c r="O134" i="1"/>
  <c r="O122" i="1"/>
  <c r="P122" i="1"/>
  <c r="P110" i="1"/>
  <c r="O110" i="1"/>
  <c r="P98" i="1"/>
  <c r="O98" i="1"/>
  <c r="O86" i="1"/>
  <c r="P86" i="1"/>
  <c r="O74" i="1"/>
  <c r="P74" i="1"/>
  <c r="P62" i="1"/>
  <c r="O62" i="1"/>
  <c r="P50" i="1"/>
  <c r="O50" i="1"/>
  <c r="P38" i="1"/>
  <c r="O38" i="1"/>
  <c r="P26" i="1"/>
  <c r="O26" i="1"/>
  <c r="P14" i="1"/>
  <c r="O14" i="1"/>
  <c r="O522" i="1"/>
  <c r="P522" i="1"/>
  <c r="O426" i="1"/>
  <c r="P426" i="1"/>
  <c r="P342" i="1"/>
  <c r="O342" i="1"/>
  <c r="P273" i="1"/>
  <c r="O273" i="1"/>
  <c r="O213" i="1"/>
  <c r="P213" i="1"/>
  <c r="P129" i="1"/>
  <c r="O129" i="1"/>
  <c r="O57" i="1"/>
  <c r="P57" i="1"/>
  <c r="P509" i="1"/>
  <c r="O509" i="1"/>
  <c r="P401" i="1"/>
  <c r="O401" i="1"/>
  <c r="O293" i="1"/>
  <c r="P293" i="1"/>
  <c r="P200" i="1"/>
  <c r="O200" i="1"/>
  <c r="P116" i="1"/>
  <c r="O116" i="1"/>
  <c r="P8" i="1"/>
  <c r="O8" i="1"/>
  <c r="O508" i="1"/>
  <c r="P508" i="1"/>
  <c r="P412" i="1"/>
  <c r="O412" i="1"/>
  <c r="P271" i="1"/>
  <c r="O271" i="1"/>
  <c r="P31" i="1"/>
  <c r="O31" i="1"/>
  <c r="P574" i="1"/>
  <c r="O574" i="1"/>
  <c r="P562" i="1"/>
  <c r="O562" i="1"/>
  <c r="P550" i="1"/>
  <c r="O550" i="1"/>
  <c r="P538" i="1"/>
  <c r="O538" i="1"/>
  <c r="P526" i="1"/>
  <c r="O526" i="1"/>
  <c r="O514" i="1"/>
  <c r="P514" i="1"/>
  <c r="O502" i="1"/>
  <c r="P502" i="1"/>
  <c r="O490" i="1"/>
  <c r="P490" i="1"/>
  <c r="O478" i="1"/>
  <c r="P478" i="1"/>
  <c r="O466" i="1"/>
  <c r="P466" i="1"/>
  <c r="O454" i="1"/>
  <c r="P454" i="1"/>
  <c r="O442" i="1"/>
  <c r="P442" i="1"/>
  <c r="O430" i="1"/>
  <c r="P430" i="1"/>
  <c r="O418" i="1"/>
  <c r="P418" i="1"/>
  <c r="O406" i="1"/>
  <c r="P406" i="1"/>
  <c r="O394" i="1"/>
  <c r="P394" i="1"/>
  <c r="O382" i="1"/>
  <c r="P382" i="1"/>
  <c r="O370" i="1"/>
  <c r="P370" i="1"/>
  <c r="O358" i="1"/>
  <c r="P358" i="1"/>
  <c r="O346" i="1"/>
  <c r="P346" i="1"/>
  <c r="O334" i="1"/>
  <c r="P334" i="1"/>
  <c r="O322" i="1"/>
  <c r="P322" i="1"/>
  <c r="O310" i="1"/>
  <c r="P310" i="1"/>
  <c r="P298" i="1"/>
  <c r="O298" i="1"/>
  <c r="O277" i="1"/>
  <c r="P277" i="1"/>
  <c r="O265" i="1"/>
  <c r="P265" i="1"/>
  <c r="O253" i="1"/>
  <c r="P253" i="1"/>
  <c r="P241" i="1"/>
  <c r="O241" i="1"/>
  <c r="O229" i="1"/>
  <c r="P229" i="1"/>
  <c r="O217" i="1"/>
  <c r="P217" i="1"/>
  <c r="O205" i="1"/>
  <c r="P205" i="1"/>
  <c r="P193" i="1"/>
  <c r="O193" i="1"/>
  <c r="O181" i="1"/>
  <c r="P181" i="1"/>
  <c r="O169" i="1"/>
  <c r="P169" i="1"/>
  <c r="O157" i="1"/>
  <c r="P157" i="1"/>
  <c r="P145" i="1"/>
  <c r="O145" i="1"/>
  <c r="O133" i="1"/>
  <c r="P133" i="1"/>
  <c r="O121" i="1"/>
  <c r="P121" i="1"/>
  <c r="O109" i="1"/>
  <c r="P109" i="1"/>
  <c r="P97" i="1"/>
  <c r="O97" i="1"/>
  <c r="O85" i="1"/>
  <c r="P85" i="1"/>
  <c r="O73" i="1"/>
  <c r="P73" i="1"/>
  <c r="O61" i="1"/>
  <c r="P61" i="1"/>
  <c r="O49" i="1"/>
  <c r="P49" i="1"/>
  <c r="O37" i="1"/>
  <c r="P37" i="1"/>
  <c r="P25" i="1"/>
  <c r="O25" i="1"/>
  <c r="O13" i="1"/>
  <c r="P13" i="1"/>
  <c r="O534" i="1"/>
  <c r="P534" i="1"/>
  <c r="O450" i="1"/>
  <c r="P450" i="1"/>
  <c r="O366" i="1"/>
  <c r="P366" i="1"/>
  <c r="O261" i="1"/>
  <c r="P261" i="1"/>
  <c r="O165" i="1"/>
  <c r="P165" i="1"/>
  <c r="P81" i="1"/>
  <c r="O81" i="1"/>
  <c r="O9" i="1"/>
  <c r="P9" i="1"/>
  <c r="P545" i="1"/>
  <c r="O545" i="1"/>
  <c r="P449" i="1"/>
  <c r="O449" i="1"/>
  <c r="P341" i="1"/>
  <c r="O341" i="1"/>
  <c r="P224" i="1"/>
  <c r="O224" i="1"/>
  <c r="P152" i="1"/>
  <c r="O152" i="1"/>
  <c r="P68" i="1"/>
  <c r="O68" i="1"/>
  <c r="P520" i="1"/>
  <c r="O520" i="1"/>
  <c r="O400" i="1"/>
  <c r="P400" i="1"/>
  <c r="O235" i="1"/>
  <c r="P235" i="1"/>
  <c r="P573" i="1"/>
  <c r="O573" i="1"/>
  <c r="P561" i="1"/>
  <c r="O561" i="1"/>
  <c r="P549" i="1"/>
  <c r="O549" i="1"/>
  <c r="P537" i="1"/>
  <c r="O537" i="1"/>
  <c r="O525" i="1"/>
  <c r="P525" i="1"/>
  <c r="O513" i="1"/>
  <c r="P513" i="1"/>
  <c r="O501" i="1"/>
  <c r="P501" i="1"/>
  <c r="O489" i="1"/>
  <c r="P489" i="1"/>
  <c r="O477" i="1"/>
  <c r="P477" i="1"/>
  <c r="O465" i="1"/>
  <c r="P465" i="1"/>
  <c r="O453" i="1"/>
  <c r="P453" i="1"/>
  <c r="O441" i="1"/>
  <c r="P441" i="1"/>
  <c r="O429" i="1"/>
  <c r="P429" i="1"/>
  <c r="O417" i="1"/>
  <c r="P417" i="1"/>
  <c r="O405" i="1"/>
  <c r="P405" i="1"/>
  <c r="O393" i="1"/>
  <c r="P393" i="1"/>
  <c r="O381" i="1"/>
  <c r="P381" i="1"/>
  <c r="O369" i="1"/>
  <c r="P369" i="1"/>
  <c r="O357" i="1"/>
  <c r="P357" i="1"/>
  <c r="O345" i="1"/>
  <c r="P345" i="1"/>
  <c r="O333" i="1"/>
  <c r="P333" i="1"/>
  <c r="O321" i="1"/>
  <c r="P321" i="1"/>
  <c r="O309" i="1"/>
  <c r="P309" i="1"/>
  <c r="O297" i="1"/>
  <c r="P297" i="1"/>
  <c r="P287" i="1"/>
  <c r="O287" i="1"/>
  <c r="O276" i="1"/>
  <c r="P276" i="1"/>
  <c r="O264" i="1"/>
  <c r="P264" i="1"/>
  <c r="O252" i="1"/>
  <c r="P252" i="1"/>
  <c r="P240" i="1"/>
  <c r="O240" i="1"/>
  <c r="O228" i="1"/>
  <c r="P228" i="1"/>
  <c r="O216" i="1"/>
  <c r="P216" i="1"/>
  <c r="O204" i="1"/>
  <c r="P204" i="1"/>
  <c r="P192" i="1"/>
  <c r="O192" i="1"/>
  <c r="O180" i="1"/>
  <c r="P180" i="1"/>
  <c r="O168" i="1"/>
  <c r="P168" i="1"/>
  <c r="O156" i="1"/>
  <c r="P156" i="1"/>
  <c r="P144" i="1"/>
  <c r="O144" i="1"/>
  <c r="O132" i="1"/>
  <c r="P132" i="1"/>
  <c r="O120" i="1"/>
  <c r="P120" i="1"/>
  <c r="O108" i="1"/>
  <c r="P108" i="1"/>
  <c r="P96" i="1"/>
  <c r="O96" i="1"/>
  <c r="O84" i="1"/>
  <c r="P84" i="1"/>
  <c r="O72" i="1"/>
  <c r="P72" i="1"/>
  <c r="O60" i="1"/>
  <c r="P60" i="1"/>
  <c r="P48" i="1"/>
  <c r="O48" i="1"/>
  <c r="P36" i="1"/>
  <c r="O36" i="1"/>
  <c r="P24" i="1"/>
  <c r="O24" i="1"/>
  <c r="P12" i="1"/>
  <c r="O12" i="1"/>
  <c r="S75" i="15"/>
  <c r="Q108" i="15"/>
  <c r="S108" i="15" s="1"/>
  <c r="Q77" i="15"/>
  <c r="S77" i="15" s="1"/>
  <c r="Q53" i="15"/>
  <c r="S53" i="15" s="1"/>
  <c r="Q142" i="15"/>
  <c r="S142" i="15" s="1"/>
  <c r="Q4" i="15"/>
  <c r="S4" i="15" s="1"/>
  <c r="Q14" i="15"/>
  <c r="S14" i="15" s="1"/>
  <c r="Q261" i="14"/>
  <c r="S261" i="14" s="1"/>
  <c r="Q5" i="14"/>
  <c r="S5" i="14" s="1"/>
  <c r="S135" i="14"/>
  <c r="S208" i="14"/>
  <c r="Q30" i="14"/>
  <c r="S30" i="14" s="1"/>
  <c r="Q6" i="14"/>
  <c r="S6" i="14" s="1"/>
  <c r="Q50" i="14"/>
  <c r="S50" i="14" s="1"/>
  <c r="S395" i="14"/>
  <c r="S296" i="14"/>
  <c r="S253" i="14"/>
  <c r="S4" i="14"/>
  <c r="Q12" i="14"/>
  <c r="R12" i="14"/>
  <c r="S375" i="14"/>
  <c r="S147" i="14"/>
  <c r="R262" i="14"/>
  <c r="S262" i="14" s="1"/>
  <c r="Q269" i="14"/>
  <c r="R269" i="14"/>
  <c r="S357" i="14"/>
  <c r="S329" i="14"/>
  <c r="S314" i="14"/>
  <c r="R347" i="14"/>
  <c r="S347" i="14" s="1"/>
  <c r="S158" i="14"/>
  <c r="S258" i="14"/>
  <c r="Q60" i="14"/>
  <c r="R60" i="14"/>
  <c r="Q36" i="14"/>
  <c r="R36" i="14"/>
  <c r="Q279" i="14"/>
  <c r="R279" i="14"/>
  <c r="R187" i="14"/>
  <c r="Q187" i="14"/>
  <c r="S393" i="14"/>
  <c r="S369" i="14"/>
  <c r="S399" i="14"/>
  <c r="Q14" i="14"/>
  <c r="S14" i="14" s="1"/>
  <c r="S139" i="14"/>
  <c r="R69" i="14"/>
  <c r="Q69" i="14"/>
  <c r="Q44" i="14"/>
  <c r="R44" i="14"/>
  <c r="S309" i="14"/>
  <c r="R301" i="14"/>
  <c r="S301" i="14" s="1"/>
  <c r="Q40" i="14"/>
  <c r="R40" i="14"/>
  <c r="Q255" i="14"/>
  <c r="R255" i="14"/>
  <c r="R151" i="14"/>
  <c r="Q151" i="14"/>
  <c r="S345" i="14"/>
  <c r="S383" i="14"/>
  <c r="Q20" i="14"/>
  <c r="R20" i="14"/>
  <c r="S127" i="14"/>
  <c r="S92" i="14"/>
  <c r="R267" i="14"/>
  <c r="S267" i="14" s="1"/>
  <c r="Q16" i="14"/>
  <c r="R16" i="14"/>
  <c r="Q353" i="14"/>
  <c r="R353" i="14"/>
  <c r="R93" i="14"/>
  <c r="Q93" i="14"/>
  <c r="S363" i="14"/>
  <c r="Q159" i="14"/>
  <c r="S159" i="14" s="1"/>
  <c r="S292" i="14"/>
  <c r="Q46" i="14"/>
  <c r="S46" i="14" s="1"/>
  <c r="Q8" i="14"/>
  <c r="R8" i="14"/>
  <c r="Q52" i="14"/>
  <c r="S52" i="14" s="1"/>
  <c r="S64" i="14"/>
  <c r="R18" i="14"/>
  <c r="Q18" i="14"/>
  <c r="R62" i="14"/>
  <c r="S62" i="14" s="1"/>
  <c r="Q81" i="14"/>
  <c r="S81" i="14" s="1"/>
  <c r="Q191" i="14"/>
  <c r="S191" i="14" s="1"/>
  <c r="S407" i="14"/>
  <c r="S134" i="14"/>
  <c r="Q68" i="14"/>
  <c r="R68" i="14"/>
  <c r="R42" i="14"/>
  <c r="Q42" i="14"/>
  <c r="Q17" i="15"/>
  <c r="R17" i="15"/>
  <c r="Q139" i="15"/>
  <c r="R139" i="15"/>
  <c r="Q115" i="15"/>
  <c r="R115" i="15"/>
  <c r="Q91" i="15"/>
  <c r="R91" i="15"/>
  <c r="Q68" i="15"/>
  <c r="R68" i="15"/>
  <c r="Q44" i="15"/>
  <c r="R44" i="15"/>
  <c r="Q21" i="15"/>
  <c r="R21" i="15"/>
  <c r="R28" i="15"/>
  <c r="Q28" i="15"/>
  <c r="R118" i="15"/>
  <c r="Q118" i="15"/>
  <c r="R71" i="15"/>
  <c r="Q71" i="15"/>
  <c r="Q88" i="15"/>
  <c r="R88" i="15"/>
  <c r="R39" i="15"/>
  <c r="Q39" i="15"/>
  <c r="Q137" i="15"/>
  <c r="R137" i="15"/>
  <c r="Q113" i="15"/>
  <c r="R113" i="15"/>
  <c r="Q90" i="15"/>
  <c r="R90" i="15"/>
  <c r="Q66" i="15"/>
  <c r="R66" i="15"/>
  <c r="Q42" i="15"/>
  <c r="R42" i="15"/>
  <c r="Q19" i="15"/>
  <c r="R19" i="15"/>
  <c r="R8" i="15"/>
  <c r="Q8" i="15"/>
  <c r="S8" i="15" s="1"/>
  <c r="R102" i="15"/>
  <c r="Q102" i="15"/>
  <c r="R55" i="15"/>
  <c r="Q55" i="15"/>
  <c r="S51" i="15"/>
  <c r="Q135" i="15"/>
  <c r="R135" i="15"/>
  <c r="Q40" i="15"/>
  <c r="R40" i="15"/>
  <c r="Q133" i="15"/>
  <c r="R133" i="15"/>
  <c r="Q62" i="15"/>
  <c r="R62" i="15"/>
  <c r="Q15" i="15"/>
  <c r="R15" i="15"/>
  <c r="Q107" i="15"/>
  <c r="R107" i="15"/>
  <c r="R152" i="15"/>
  <c r="Q152" i="15"/>
  <c r="Q105" i="15"/>
  <c r="R105" i="15"/>
  <c r="Q35" i="15"/>
  <c r="R35" i="15"/>
  <c r="Q103" i="15"/>
  <c r="R103" i="15"/>
  <c r="Q33" i="15"/>
  <c r="R33" i="15"/>
  <c r="R110" i="15"/>
  <c r="Q110" i="15"/>
  <c r="Q149" i="15"/>
  <c r="R149" i="15"/>
  <c r="Q125" i="15"/>
  <c r="R125" i="15"/>
  <c r="Q101" i="15"/>
  <c r="R101" i="15"/>
  <c r="Q78" i="15"/>
  <c r="R78" i="15"/>
  <c r="Q54" i="15"/>
  <c r="R54" i="15"/>
  <c r="Q31" i="15"/>
  <c r="R31" i="15"/>
  <c r="Q7" i="15"/>
  <c r="R7" i="15"/>
  <c r="R98" i="15"/>
  <c r="Q98" i="15"/>
  <c r="R2" i="15"/>
  <c r="Q2" i="15"/>
  <c r="S130" i="15"/>
  <c r="S140" i="15"/>
  <c r="Q64" i="15"/>
  <c r="R64" i="15"/>
  <c r="Q86" i="15"/>
  <c r="R86" i="15"/>
  <c r="Q38" i="15"/>
  <c r="R38" i="15"/>
  <c r="R24" i="15"/>
  <c r="Q24" i="15"/>
  <c r="Q131" i="15"/>
  <c r="R131" i="15"/>
  <c r="Q60" i="15"/>
  <c r="R60" i="15"/>
  <c r="R134" i="15"/>
  <c r="Q134" i="15"/>
  <c r="Q129" i="15"/>
  <c r="R129" i="15"/>
  <c r="Q58" i="15"/>
  <c r="R58" i="15"/>
  <c r="R122" i="15"/>
  <c r="Q122" i="15"/>
  <c r="Q127" i="15"/>
  <c r="R127" i="15"/>
  <c r="Q56" i="15"/>
  <c r="R56" i="15"/>
  <c r="Q147" i="15"/>
  <c r="R147" i="15"/>
  <c r="Q123" i="15"/>
  <c r="R123" i="15"/>
  <c r="Q99" i="15"/>
  <c r="R99" i="15"/>
  <c r="Q76" i="15"/>
  <c r="R76" i="15"/>
  <c r="Q52" i="15"/>
  <c r="R52" i="15"/>
  <c r="Q29" i="15"/>
  <c r="R29" i="15"/>
  <c r="Q5" i="15"/>
  <c r="R5" i="15"/>
  <c r="R87" i="15"/>
  <c r="Q87" i="15"/>
  <c r="R94" i="15"/>
  <c r="Q94" i="15"/>
  <c r="Q111" i="15"/>
  <c r="R111" i="15"/>
  <c r="Q109" i="15"/>
  <c r="R109" i="15"/>
  <c r="Q84" i="15"/>
  <c r="R84" i="15"/>
  <c r="Q13" i="15"/>
  <c r="R13" i="15"/>
  <c r="Q153" i="15"/>
  <c r="R153" i="15"/>
  <c r="Q82" i="15"/>
  <c r="R82" i="15"/>
  <c r="Q11" i="15"/>
  <c r="R11" i="15"/>
  <c r="Q151" i="15"/>
  <c r="R151" i="15"/>
  <c r="Q80" i="15"/>
  <c r="R80" i="15"/>
  <c r="Q9" i="15"/>
  <c r="R9" i="15"/>
  <c r="R16" i="15"/>
  <c r="Q16" i="15"/>
  <c r="Q145" i="15"/>
  <c r="R145" i="15"/>
  <c r="Q121" i="15"/>
  <c r="R121" i="15"/>
  <c r="Q97" i="15"/>
  <c r="R97" i="15"/>
  <c r="Q74" i="15"/>
  <c r="R74" i="15"/>
  <c r="Q50" i="15"/>
  <c r="R50" i="15"/>
  <c r="Q27" i="15"/>
  <c r="R27" i="15"/>
  <c r="R79" i="15"/>
  <c r="Q79" i="15"/>
  <c r="R59" i="15"/>
  <c r="Q59" i="15"/>
  <c r="R146" i="15"/>
  <c r="Q146" i="15"/>
  <c r="S106" i="15"/>
  <c r="R83" i="15"/>
  <c r="Q83" i="15"/>
  <c r="R67" i="15"/>
  <c r="Q67" i="15"/>
  <c r="R47" i="15"/>
  <c r="Q47" i="15"/>
  <c r="Q143" i="15"/>
  <c r="R143" i="15"/>
  <c r="Q119" i="15"/>
  <c r="R119" i="15"/>
  <c r="Q95" i="15"/>
  <c r="R95" i="15"/>
  <c r="Q72" i="15"/>
  <c r="R72" i="15"/>
  <c r="Q48" i="15"/>
  <c r="R48" i="15"/>
  <c r="Q25" i="15"/>
  <c r="R25" i="15"/>
  <c r="R63" i="15"/>
  <c r="Q63" i="15"/>
  <c r="R20" i="15"/>
  <c r="Q20" i="15"/>
  <c r="R114" i="15"/>
  <c r="Q114" i="15"/>
  <c r="S114" i="15" s="1"/>
  <c r="S148" i="15"/>
  <c r="R126" i="15"/>
  <c r="Q126" i="15"/>
  <c r="R144" i="15"/>
  <c r="Q144" i="15"/>
  <c r="R36" i="15"/>
  <c r="Q36" i="15"/>
  <c r="Q141" i="15"/>
  <c r="R141" i="15"/>
  <c r="Q117" i="15"/>
  <c r="R117" i="15"/>
  <c r="Q93" i="15"/>
  <c r="R93" i="15"/>
  <c r="Q70" i="15"/>
  <c r="R70" i="15"/>
  <c r="Q46" i="15"/>
  <c r="R46" i="15"/>
  <c r="Q23" i="15"/>
  <c r="R23" i="15"/>
  <c r="R43" i="15"/>
  <c r="Q43" i="15"/>
  <c r="Q311" i="14"/>
  <c r="R311" i="14"/>
  <c r="Q370" i="14"/>
  <c r="R370" i="14"/>
  <c r="R232" i="14"/>
  <c r="Q232" i="14"/>
  <c r="R114" i="14"/>
  <c r="Q114" i="14"/>
  <c r="Q368" i="14"/>
  <c r="R368" i="14"/>
  <c r="Q400" i="14"/>
  <c r="R400" i="14"/>
  <c r="Q376" i="14"/>
  <c r="R376" i="14"/>
  <c r="Q352" i="14"/>
  <c r="R352" i="14"/>
  <c r="Q328" i="14"/>
  <c r="R328" i="14"/>
  <c r="Q325" i="14"/>
  <c r="R325" i="14"/>
  <c r="Q318" i="14"/>
  <c r="R318" i="14"/>
  <c r="Q89" i="14"/>
  <c r="R89" i="14"/>
  <c r="Q303" i="14"/>
  <c r="R303" i="14"/>
  <c r="R71" i="14"/>
  <c r="Q71" i="14"/>
  <c r="R117" i="14"/>
  <c r="Q117" i="14"/>
  <c r="Q113" i="14"/>
  <c r="R113" i="14"/>
  <c r="R155" i="14"/>
  <c r="Q155" i="14"/>
  <c r="R373" i="14"/>
  <c r="Q373" i="14"/>
  <c r="R59" i="14"/>
  <c r="Q59" i="14"/>
  <c r="R202" i="14"/>
  <c r="Q202" i="14"/>
  <c r="R66" i="14"/>
  <c r="Q66" i="14"/>
  <c r="Q361" i="14"/>
  <c r="R361" i="14"/>
  <c r="Q271" i="14"/>
  <c r="R271" i="14"/>
  <c r="Q398" i="14"/>
  <c r="R398" i="14"/>
  <c r="Q374" i="14"/>
  <c r="R374" i="14"/>
  <c r="Q350" i="14"/>
  <c r="R350" i="14"/>
  <c r="Q326" i="14"/>
  <c r="R326" i="14"/>
  <c r="R389" i="14"/>
  <c r="Q389" i="14"/>
  <c r="R87" i="14"/>
  <c r="Q87" i="14"/>
  <c r="R218" i="14"/>
  <c r="Q218" i="14"/>
  <c r="Q291" i="14"/>
  <c r="R291" i="14"/>
  <c r="R206" i="14"/>
  <c r="Q206" i="14"/>
  <c r="S401" i="14"/>
  <c r="R268" i="14"/>
  <c r="Q268" i="14"/>
  <c r="R131" i="14"/>
  <c r="Q131" i="14"/>
  <c r="Q166" i="14"/>
  <c r="R166" i="14"/>
  <c r="R29" i="14"/>
  <c r="Q29" i="14"/>
  <c r="R51" i="14"/>
  <c r="Q51" i="14"/>
  <c r="Q173" i="14"/>
  <c r="R173" i="14"/>
  <c r="R31" i="14"/>
  <c r="Q31" i="14"/>
  <c r="S231" i="14"/>
  <c r="R33" i="14"/>
  <c r="Q33" i="14"/>
  <c r="S90" i="14"/>
  <c r="Q348" i="14"/>
  <c r="R348" i="14"/>
  <c r="R63" i="14"/>
  <c r="Q63" i="14"/>
  <c r="R280" i="14"/>
  <c r="Q280" i="14"/>
  <c r="R238" i="14"/>
  <c r="Q238" i="14"/>
  <c r="R45" i="14"/>
  <c r="Q45" i="14"/>
  <c r="S359" i="14"/>
  <c r="R233" i="14"/>
  <c r="Q233" i="14"/>
  <c r="Q392" i="14"/>
  <c r="R392" i="14"/>
  <c r="R397" i="14"/>
  <c r="Q397" i="14"/>
  <c r="Q201" i="14"/>
  <c r="R201" i="14"/>
  <c r="Q390" i="14"/>
  <c r="R390" i="14"/>
  <c r="Q342" i="14"/>
  <c r="R342" i="14"/>
  <c r="S315" i="14"/>
  <c r="Q320" i="14"/>
  <c r="R320" i="14"/>
  <c r="R274" i="14"/>
  <c r="Q274" i="14"/>
  <c r="Q118" i="14"/>
  <c r="R118" i="14"/>
  <c r="Q293" i="14"/>
  <c r="R293" i="14"/>
  <c r="S339" i="14"/>
  <c r="S174" i="14"/>
  <c r="R217" i="14"/>
  <c r="Q217" i="14"/>
  <c r="S242" i="14"/>
  <c r="Q388" i="14"/>
  <c r="R388" i="14"/>
  <c r="Q364" i="14"/>
  <c r="R364" i="14"/>
  <c r="Q340" i="14"/>
  <c r="R340" i="14"/>
  <c r="Q305" i="14"/>
  <c r="R305" i="14"/>
  <c r="S275" i="14"/>
  <c r="Q299" i="14"/>
  <c r="R299" i="14"/>
  <c r="Q189" i="14"/>
  <c r="R189" i="14"/>
  <c r="R115" i="14"/>
  <c r="Q115" i="14"/>
  <c r="Q156" i="14"/>
  <c r="R156" i="14"/>
  <c r="R264" i="14"/>
  <c r="Q264" i="14"/>
  <c r="R193" i="14"/>
  <c r="Q193" i="14"/>
  <c r="R49" i="14"/>
  <c r="Q49" i="14"/>
  <c r="R27" i="14"/>
  <c r="Q27" i="14"/>
  <c r="R111" i="14"/>
  <c r="Q111" i="14"/>
  <c r="R177" i="14"/>
  <c r="Q177" i="14"/>
  <c r="R200" i="14"/>
  <c r="Q200" i="14"/>
  <c r="Q372" i="14"/>
  <c r="R372" i="14"/>
  <c r="Q266" i="14"/>
  <c r="R266" i="14"/>
  <c r="R101" i="14"/>
  <c r="Q101" i="14"/>
  <c r="R17" i="14"/>
  <c r="Q17" i="14"/>
  <c r="Q322" i="14"/>
  <c r="R322" i="14"/>
  <c r="Q344" i="14"/>
  <c r="R344" i="14"/>
  <c r="Q195" i="14"/>
  <c r="R195" i="14"/>
  <c r="Q288" i="14"/>
  <c r="R288" i="14"/>
  <c r="Q366" i="14"/>
  <c r="R366" i="14"/>
  <c r="Q294" i="14"/>
  <c r="R294" i="14"/>
  <c r="Q249" i="14"/>
  <c r="R249" i="14"/>
  <c r="S207" i="14"/>
  <c r="R43" i="14"/>
  <c r="Q43" i="14"/>
  <c r="Q251" i="14"/>
  <c r="R251" i="14"/>
  <c r="R61" i="14"/>
  <c r="Q61" i="14"/>
  <c r="Q386" i="14"/>
  <c r="R386" i="14"/>
  <c r="Q362" i="14"/>
  <c r="R362" i="14"/>
  <c r="Q338" i="14"/>
  <c r="R338" i="14"/>
  <c r="S290" i="14"/>
  <c r="S371" i="14"/>
  <c r="S385" i="14"/>
  <c r="Q229" i="14"/>
  <c r="R229" i="14"/>
  <c r="R107" i="14"/>
  <c r="Q107" i="14"/>
  <c r="Q132" i="14"/>
  <c r="R132" i="14"/>
  <c r="Q321" i="14"/>
  <c r="R321" i="14"/>
  <c r="R198" i="14"/>
  <c r="Q198" i="14"/>
  <c r="S343" i="14"/>
  <c r="S190" i="14"/>
  <c r="R381" i="14"/>
  <c r="Q381" i="14"/>
  <c r="R19" i="14"/>
  <c r="Q19" i="14"/>
  <c r="R216" i="14"/>
  <c r="Q216" i="14"/>
  <c r="R39" i="14"/>
  <c r="Q39" i="14"/>
  <c r="R126" i="14"/>
  <c r="Q126" i="14"/>
  <c r="R119" i="14"/>
  <c r="Q119" i="14"/>
  <c r="S145" i="14"/>
  <c r="Q263" i="14"/>
  <c r="R263" i="14"/>
  <c r="R123" i="14"/>
  <c r="Q123" i="14"/>
  <c r="Q394" i="14"/>
  <c r="R394" i="14"/>
  <c r="S302" i="14"/>
  <c r="Q287" i="14"/>
  <c r="R287" i="14"/>
  <c r="R209" i="14"/>
  <c r="Q209" i="14"/>
  <c r="Q65" i="14"/>
  <c r="R65" i="14"/>
  <c r="S281" i="14"/>
  <c r="Q408" i="14"/>
  <c r="R408" i="14"/>
  <c r="Q384" i="14"/>
  <c r="R384" i="14"/>
  <c r="Q360" i="14"/>
  <c r="R360" i="14"/>
  <c r="Q336" i="14"/>
  <c r="R336" i="14"/>
  <c r="R224" i="14"/>
  <c r="Q224" i="14"/>
  <c r="Q265" i="14"/>
  <c r="R265" i="14"/>
  <c r="R184" i="14"/>
  <c r="Q184" i="14"/>
  <c r="R282" i="14"/>
  <c r="Q282" i="14"/>
  <c r="S282" i="14" s="1"/>
  <c r="R252" i="14"/>
  <c r="Q252" i="14"/>
  <c r="R167" i="14"/>
  <c r="Q167" i="14"/>
  <c r="Q307" i="14"/>
  <c r="R307" i="14"/>
  <c r="R25" i="14"/>
  <c r="Q25" i="14"/>
  <c r="Q245" i="14"/>
  <c r="R245" i="14"/>
  <c r="R212" i="14"/>
  <c r="Q212" i="14"/>
  <c r="S212" i="14" s="1"/>
  <c r="R149" i="14"/>
  <c r="Q149" i="14"/>
  <c r="Q337" i="14"/>
  <c r="R337" i="14"/>
  <c r="R13" i="14"/>
  <c r="Q13" i="14"/>
  <c r="Q324" i="14"/>
  <c r="R324" i="14"/>
  <c r="R76" i="14"/>
  <c r="Q76" i="14"/>
  <c r="R79" i="14"/>
  <c r="Q79" i="14"/>
  <c r="Q346" i="14"/>
  <c r="R346" i="14"/>
  <c r="Q133" i="14"/>
  <c r="R133" i="14"/>
  <c r="Q317" i="14"/>
  <c r="R317" i="14"/>
  <c r="R104" i="14"/>
  <c r="Q104" i="14"/>
  <c r="Q83" i="14"/>
  <c r="R83" i="14"/>
  <c r="R23" i="14"/>
  <c r="Q23" i="14"/>
  <c r="Q406" i="14"/>
  <c r="R406" i="14"/>
  <c r="Q382" i="14"/>
  <c r="R382" i="14"/>
  <c r="Q358" i="14"/>
  <c r="R358" i="14"/>
  <c r="Q334" i="14"/>
  <c r="R334" i="14"/>
  <c r="Q316" i="14"/>
  <c r="R316" i="14"/>
  <c r="Q300" i="14"/>
  <c r="R300" i="14"/>
  <c r="R172" i="14"/>
  <c r="Q172" i="14"/>
  <c r="Q257" i="14"/>
  <c r="R257" i="14"/>
  <c r="Q327" i="14"/>
  <c r="R327" i="14"/>
  <c r="Q297" i="14"/>
  <c r="R297" i="14"/>
  <c r="R109" i="14"/>
  <c r="Q109" i="14"/>
  <c r="S169" i="14"/>
  <c r="R235" i="14"/>
  <c r="Q235" i="14"/>
  <c r="R37" i="14"/>
  <c r="Q37" i="14"/>
  <c r="R15" i="14"/>
  <c r="Q15" i="14"/>
  <c r="Q285" i="14"/>
  <c r="R285" i="14"/>
  <c r="R84" i="14"/>
  <c r="Q84" i="14"/>
  <c r="R122" i="14"/>
  <c r="Q122" i="14"/>
  <c r="R106" i="14"/>
  <c r="Q106" i="14"/>
  <c r="R97" i="14"/>
  <c r="Q97" i="14"/>
  <c r="S97" i="14" s="1"/>
  <c r="S205" i="14"/>
  <c r="Q396" i="14"/>
  <c r="R396" i="14"/>
  <c r="R272" i="14"/>
  <c r="Q272" i="14"/>
  <c r="R103" i="14"/>
  <c r="Q103" i="14"/>
  <c r="R73" i="14"/>
  <c r="Q73" i="14"/>
  <c r="R214" i="14"/>
  <c r="Q214" i="14"/>
  <c r="R35" i="14"/>
  <c r="Q35" i="14"/>
  <c r="R47" i="14"/>
  <c r="Q47" i="14"/>
  <c r="R256" i="14"/>
  <c r="Q256" i="14"/>
  <c r="Q121" i="14"/>
  <c r="R121" i="14"/>
  <c r="R143" i="14"/>
  <c r="Q143" i="14"/>
  <c r="Q404" i="14"/>
  <c r="R404" i="14"/>
  <c r="Q380" i="14"/>
  <c r="R380" i="14"/>
  <c r="Q356" i="14"/>
  <c r="R356" i="14"/>
  <c r="Q332" i="14"/>
  <c r="R332" i="14"/>
  <c r="Q295" i="14"/>
  <c r="R295" i="14"/>
  <c r="R405" i="14"/>
  <c r="Q405" i="14"/>
  <c r="R194" i="14"/>
  <c r="Q194" i="14"/>
  <c r="Q241" i="14"/>
  <c r="R241" i="14"/>
  <c r="R100" i="14"/>
  <c r="Q100" i="14"/>
  <c r="R236" i="14"/>
  <c r="Q236" i="14"/>
  <c r="R284" i="14"/>
  <c r="Q284" i="14"/>
  <c r="R53" i="14"/>
  <c r="Q53" i="14"/>
  <c r="R41" i="14"/>
  <c r="Q41" i="14"/>
  <c r="Q247" i="14"/>
  <c r="R247" i="14"/>
  <c r="R55" i="14"/>
  <c r="Q55" i="14"/>
  <c r="R88" i="14"/>
  <c r="Q88" i="14"/>
  <c r="S88" i="14" s="1"/>
  <c r="Q365" i="14"/>
  <c r="R365" i="14"/>
  <c r="Q142" i="14"/>
  <c r="R142" i="14"/>
  <c r="R138" i="14"/>
  <c r="Q138" i="14"/>
  <c r="R21" i="14"/>
  <c r="Q21" i="14"/>
  <c r="Q402" i="14"/>
  <c r="R402" i="14"/>
  <c r="Q378" i="14"/>
  <c r="R378" i="14"/>
  <c r="Q354" i="14"/>
  <c r="R354" i="14"/>
  <c r="Q330" i="14"/>
  <c r="R330" i="14"/>
  <c r="Q331" i="14"/>
  <c r="R331" i="14"/>
  <c r="Q349" i="14"/>
  <c r="R349" i="14"/>
  <c r="Q277" i="14"/>
  <c r="R277" i="14"/>
  <c r="Q341" i="14"/>
  <c r="R341" i="14"/>
  <c r="R105" i="14"/>
  <c r="Q105" i="14"/>
  <c r="Q351" i="14"/>
  <c r="R351" i="14"/>
  <c r="S260" i="14"/>
  <c r="Q221" i="14"/>
  <c r="R221" i="14"/>
  <c r="R95" i="14"/>
  <c r="Q95" i="14"/>
  <c r="S95" i="14" s="1"/>
  <c r="R150" i="14"/>
  <c r="Q150" i="14"/>
  <c r="R250" i="14"/>
  <c r="Q250" i="14"/>
  <c r="R160" i="14"/>
  <c r="Q160" i="14"/>
  <c r="Q289" i="14"/>
  <c r="R289" i="14"/>
  <c r="S243" i="14"/>
  <c r="Q120" i="14"/>
  <c r="R120" i="14"/>
  <c r="R230" i="14"/>
  <c r="Q230" i="14"/>
  <c r="R86" i="14"/>
  <c r="Q86" i="14"/>
  <c r="S86" i="14" s="1"/>
  <c r="R57" i="14"/>
  <c r="Q57" i="14"/>
  <c r="Q114" i="13"/>
  <c r="S114" i="13" s="1"/>
  <c r="Q120" i="13"/>
  <c r="S120" i="13" s="1"/>
  <c r="Q96" i="13"/>
  <c r="S96" i="13" s="1"/>
  <c r="Q73" i="13"/>
  <c r="S73" i="13" s="1"/>
  <c r="Q49" i="13"/>
  <c r="S49" i="13" s="1"/>
  <c r="S33" i="13"/>
  <c r="S15" i="13"/>
  <c r="Q132" i="13"/>
  <c r="S132" i="13" s="1"/>
  <c r="Q61" i="13"/>
  <c r="S61" i="13" s="1"/>
  <c r="S86" i="13"/>
  <c r="Q110" i="13"/>
  <c r="S110" i="13" s="1"/>
  <c r="Q154" i="13"/>
  <c r="S154" i="13" s="1"/>
  <c r="Q104" i="13"/>
  <c r="S104" i="13" s="1"/>
  <c r="Q150" i="13"/>
  <c r="S150" i="13" s="1"/>
  <c r="Q32" i="13"/>
  <c r="S32" i="13" s="1"/>
  <c r="Q8" i="13"/>
  <c r="S8" i="13" s="1"/>
  <c r="Q148" i="13"/>
  <c r="S148" i="13" s="1"/>
  <c r="R363" i="12"/>
  <c r="Q363" i="12"/>
  <c r="S215" i="12"/>
  <c r="S204" i="12"/>
  <c r="S247" i="12"/>
  <c r="S81" i="12"/>
  <c r="Q202" i="12"/>
  <c r="R202" i="12"/>
  <c r="Q227" i="12"/>
  <c r="S227" i="12" s="1"/>
  <c r="Q301" i="12"/>
  <c r="S301" i="12" s="1"/>
  <c r="Q128" i="12"/>
  <c r="R128" i="12"/>
  <c r="S272" i="12"/>
  <c r="S112" i="12"/>
  <c r="S190" i="12"/>
  <c r="S194" i="12"/>
  <c r="S322" i="12"/>
  <c r="S293" i="12"/>
  <c r="R168" i="12"/>
  <c r="S168" i="12" s="1"/>
  <c r="R42" i="12"/>
  <c r="Q42" i="12"/>
  <c r="Q73" i="12"/>
  <c r="R73" i="12"/>
  <c r="R285" i="12"/>
  <c r="Q285" i="12"/>
  <c r="S102" i="12"/>
  <c r="R184" i="12"/>
  <c r="S184" i="12" s="1"/>
  <c r="R178" i="12"/>
  <c r="R176" i="12"/>
  <c r="S176" i="12" s="1"/>
  <c r="S312" i="12"/>
  <c r="R16" i="12"/>
  <c r="Q16" i="12"/>
  <c r="S16" i="12" s="1"/>
  <c r="R46" i="12"/>
  <c r="Q46" i="12"/>
  <c r="R140" i="12"/>
  <c r="S140" i="12" s="1"/>
  <c r="S110" i="12"/>
  <c r="R78" i="12"/>
  <c r="Q78" i="12"/>
  <c r="R377" i="12"/>
  <c r="Q377" i="12"/>
  <c r="S295" i="12"/>
  <c r="S124" i="12"/>
  <c r="Q3" i="12"/>
  <c r="R3" i="12"/>
  <c r="Q265" i="12"/>
  <c r="R265" i="12"/>
  <c r="R279" i="12"/>
  <c r="Q279" i="12"/>
  <c r="R207" i="12"/>
  <c r="Q207" i="12"/>
  <c r="Q228" i="12"/>
  <c r="R228" i="12"/>
  <c r="R127" i="12"/>
  <c r="Q127" i="12"/>
  <c r="R87" i="12"/>
  <c r="Q87" i="12"/>
  <c r="R94" i="12"/>
  <c r="Q94" i="12"/>
  <c r="R192" i="12"/>
  <c r="S192" i="12" s="1"/>
  <c r="Q186" i="12"/>
  <c r="S186" i="12" s="1"/>
  <c r="Q116" i="12"/>
  <c r="S116" i="12" s="1"/>
  <c r="R30" i="12"/>
  <c r="Q30" i="12"/>
  <c r="R142" i="12"/>
  <c r="Q142" i="12"/>
  <c r="R84" i="12"/>
  <c r="Q84" i="12"/>
  <c r="Q152" i="12"/>
  <c r="R152" i="12"/>
  <c r="Q339" i="12"/>
  <c r="R339" i="12"/>
  <c r="Q330" i="12"/>
  <c r="R330" i="12"/>
  <c r="R18" i="12"/>
  <c r="Q18" i="12"/>
  <c r="Q179" i="12"/>
  <c r="S179" i="12" s="1"/>
  <c r="R125" i="12"/>
  <c r="Q125" i="12"/>
  <c r="R89" i="12"/>
  <c r="Q89" i="12"/>
  <c r="R48" i="12"/>
  <c r="Q48" i="12"/>
  <c r="R99" i="12"/>
  <c r="Q99" i="12"/>
  <c r="R108" i="12"/>
  <c r="Q108" i="12"/>
  <c r="R317" i="12"/>
  <c r="S317" i="12" s="1"/>
  <c r="S36" i="12"/>
  <c r="Q351" i="12"/>
  <c r="S351" i="12" s="1"/>
  <c r="Q183" i="12"/>
  <c r="S183" i="12" s="1"/>
  <c r="Q245" i="12"/>
  <c r="S245" i="12" s="1"/>
  <c r="S120" i="12"/>
  <c r="R26" i="12"/>
  <c r="Q26" i="12"/>
  <c r="R365" i="12"/>
  <c r="Q365" i="12"/>
  <c r="R9" i="12"/>
  <c r="Q9" i="12"/>
  <c r="R98" i="12"/>
  <c r="Q98" i="12"/>
  <c r="R22" i="12"/>
  <c r="Q22" i="12"/>
  <c r="R5" i="12"/>
  <c r="Q5" i="12"/>
  <c r="R115" i="12"/>
  <c r="Q115" i="12"/>
  <c r="R44" i="12"/>
  <c r="Q44" i="12"/>
  <c r="R111" i="12"/>
  <c r="Q111" i="12"/>
  <c r="R60" i="12"/>
  <c r="Q60" i="12"/>
  <c r="S60" i="12" s="1"/>
  <c r="R146" i="12"/>
  <c r="Q146" i="12"/>
  <c r="S278" i="12"/>
  <c r="Q385" i="12"/>
  <c r="S385" i="12" s="1"/>
  <c r="S370" i="12"/>
  <c r="R233" i="12"/>
  <c r="S233" i="12" s="1"/>
  <c r="R169" i="12"/>
  <c r="S169" i="12" s="1"/>
  <c r="R104" i="12"/>
  <c r="Q104" i="12"/>
  <c r="R14" i="12"/>
  <c r="Q14" i="12"/>
  <c r="R82" i="12"/>
  <c r="Q82" i="12"/>
  <c r="R113" i="12"/>
  <c r="Q113" i="12"/>
  <c r="Q93" i="12"/>
  <c r="R93" i="12"/>
  <c r="R135" i="12"/>
  <c r="Q135" i="12"/>
  <c r="R203" i="12"/>
  <c r="Q203" i="12"/>
  <c r="S335" i="12"/>
  <c r="Q353" i="12"/>
  <c r="R353" i="12"/>
  <c r="S291" i="12"/>
  <c r="R92" i="12"/>
  <c r="Q92" i="12"/>
  <c r="R75" i="12"/>
  <c r="Q75" i="12"/>
  <c r="R105" i="12"/>
  <c r="Q105" i="12"/>
  <c r="Q262" i="12"/>
  <c r="R262" i="12"/>
  <c r="Q160" i="12"/>
  <c r="R160" i="12"/>
  <c r="S28" i="12"/>
  <c r="R171" i="12"/>
  <c r="Q171" i="12"/>
  <c r="Q199" i="12"/>
  <c r="S199" i="12" s="1"/>
  <c r="Q122" i="12"/>
  <c r="S122" i="12" s="1"/>
  <c r="R80" i="12"/>
  <c r="Q80" i="12"/>
  <c r="Q208" i="12"/>
  <c r="R208" i="12"/>
  <c r="R71" i="12"/>
  <c r="Q71" i="12"/>
  <c r="Q306" i="12"/>
  <c r="R306" i="12"/>
  <c r="R133" i="12"/>
  <c r="Q133" i="12"/>
  <c r="R32" i="12"/>
  <c r="Q32" i="12"/>
  <c r="S32" i="12" s="1"/>
  <c r="R77" i="12"/>
  <c r="Q77" i="12"/>
  <c r="S394" i="12"/>
  <c r="R106" i="12"/>
  <c r="Q106" i="12"/>
  <c r="R20" i="12"/>
  <c r="Q20" i="12"/>
  <c r="Q213" i="12"/>
  <c r="S213" i="12" s="1"/>
  <c r="Q269" i="12"/>
  <c r="S269" i="12" s="1"/>
  <c r="S358" i="12"/>
  <c r="S226" i="12"/>
  <c r="S324" i="12"/>
  <c r="S399" i="12"/>
  <c r="S145" i="12"/>
  <c r="R34" i="12"/>
  <c r="Q34" i="12"/>
  <c r="R189" i="12"/>
  <c r="Q189" i="12"/>
  <c r="R67" i="12"/>
  <c r="Q67" i="12"/>
  <c r="R333" i="12"/>
  <c r="Q333" i="12"/>
  <c r="R56" i="12"/>
  <c r="Q56" i="12"/>
  <c r="Q389" i="12"/>
  <c r="R389" i="12"/>
  <c r="R119" i="12"/>
  <c r="Q119" i="12"/>
  <c r="R101" i="12"/>
  <c r="Q101" i="12"/>
  <c r="S11" i="12"/>
  <c r="Q17" i="13"/>
  <c r="R17" i="13"/>
  <c r="Q113" i="13"/>
  <c r="R113" i="13"/>
  <c r="Q37" i="13"/>
  <c r="R37" i="13"/>
  <c r="Q101" i="13"/>
  <c r="R101" i="13"/>
  <c r="Q4" i="13"/>
  <c r="Q5" i="13" s="1"/>
  <c r="R4" i="13"/>
  <c r="R5" i="13" s="1"/>
  <c r="Q66" i="13"/>
  <c r="R66" i="13"/>
  <c r="Q29" i="13"/>
  <c r="R29" i="13"/>
  <c r="Q125" i="13"/>
  <c r="R125" i="13"/>
  <c r="Q31" i="13"/>
  <c r="R31" i="13"/>
  <c r="R131" i="13"/>
  <c r="Q131" i="13"/>
  <c r="Q60" i="13"/>
  <c r="R60" i="13"/>
  <c r="R46" i="13"/>
  <c r="Q46" i="13"/>
  <c r="R11" i="13"/>
  <c r="Q11" i="13"/>
  <c r="Q48" i="13"/>
  <c r="R48" i="13"/>
  <c r="R123" i="13"/>
  <c r="Q123" i="13"/>
  <c r="Q95" i="13"/>
  <c r="R95" i="13"/>
  <c r="R93" i="13"/>
  <c r="Q93" i="13"/>
  <c r="Q90" i="13"/>
  <c r="R90" i="13"/>
  <c r="Q19" i="13"/>
  <c r="R19" i="13"/>
  <c r="R76" i="13"/>
  <c r="Q76" i="13"/>
  <c r="S27" i="13"/>
  <c r="S127" i="13"/>
  <c r="Q54" i="13"/>
  <c r="R54" i="13"/>
  <c r="Q119" i="13"/>
  <c r="R119" i="13"/>
  <c r="S52" i="13"/>
  <c r="R137" i="13"/>
  <c r="Q137" i="13"/>
  <c r="Q25" i="13"/>
  <c r="R25" i="13"/>
  <c r="R111" i="13"/>
  <c r="Q111" i="13"/>
  <c r="Q84" i="13"/>
  <c r="R84" i="13"/>
  <c r="Q13" i="13"/>
  <c r="R13" i="13"/>
  <c r="R23" i="13"/>
  <c r="Q23" i="13"/>
  <c r="S23" i="13" s="1"/>
  <c r="S149" i="13"/>
  <c r="Q78" i="13"/>
  <c r="R78" i="13"/>
  <c r="Q7" i="13"/>
  <c r="R7" i="13"/>
  <c r="Q82" i="13"/>
  <c r="R82" i="13"/>
  <c r="R153" i="13"/>
  <c r="Q153" i="13"/>
  <c r="R147" i="13"/>
  <c r="Q147" i="13"/>
  <c r="Q42" i="13"/>
  <c r="R42" i="13"/>
  <c r="Q107" i="13"/>
  <c r="R107" i="13"/>
  <c r="Q72" i="13"/>
  <c r="R72" i="13"/>
  <c r="R70" i="13"/>
  <c r="Q70" i="13"/>
  <c r="Q380" i="12"/>
  <c r="R380" i="12"/>
  <c r="Q210" i="12"/>
  <c r="R210" i="12"/>
  <c r="Q260" i="12"/>
  <c r="R260" i="12"/>
  <c r="R61" i="12"/>
  <c r="Q61" i="12"/>
  <c r="R37" i="12"/>
  <c r="Q37" i="12"/>
  <c r="S37" i="12" s="1"/>
  <c r="R12" i="12"/>
  <c r="Q12" i="12"/>
  <c r="Q368" i="12"/>
  <c r="R368" i="12"/>
  <c r="Q345" i="12"/>
  <c r="R345" i="12"/>
  <c r="R284" i="12"/>
  <c r="Q284" i="12"/>
  <c r="R367" i="12"/>
  <c r="Q367" i="12"/>
  <c r="R373" i="12"/>
  <c r="Q373" i="12"/>
  <c r="S373" i="12" s="1"/>
  <c r="R344" i="12"/>
  <c r="Q344" i="12"/>
  <c r="Q310" i="12"/>
  <c r="R310" i="12"/>
  <c r="R255" i="12"/>
  <c r="Q255" i="12"/>
  <c r="R268" i="12"/>
  <c r="Q268" i="12"/>
  <c r="R59" i="12"/>
  <c r="Q59" i="12"/>
  <c r="R35" i="12"/>
  <c r="Q35" i="12"/>
  <c r="S35" i="12" s="1"/>
  <c r="R10" i="12"/>
  <c r="Q10" i="12"/>
  <c r="S230" i="12"/>
  <c r="S223" i="12"/>
  <c r="R311" i="12"/>
  <c r="Q311" i="12"/>
  <c r="R219" i="12"/>
  <c r="Q219" i="12"/>
  <c r="R337" i="12"/>
  <c r="Q337" i="12"/>
  <c r="S178" i="12"/>
  <c r="R303" i="12"/>
  <c r="Q303" i="12"/>
  <c r="R57" i="12"/>
  <c r="Q57" i="12"/>
  <c r="R33" i="12"/>
  <c r="Q33" i="12"/>
  <c r="R8" i="12"/>
  <c r="Q8" i="12"/>
  <c r="S334" i="12"/>
  <c r="Q232" i="12"/>
  <c r="R232" i="12"/>
  <c r="Q259" i="12"/>
  <c r="R259" i="12"/>
  <c r="Q392" i="12"/>
  <c r="R392" i="12"/>
  <c r="Q174" i="12"/>
  <c r="R174" i="12"/>
  <c r="Q238" i="12"/>
  <c r="R238" i="12"/>
  <c r="S236" i="12"/>
  <c r="Q198" i="12"/>
  <c r="R198" i="12"/>
  <c r="Q177" i="12"/>
  <c r="R177" i="12"/>
  <c r="R253" i="12"/>
  <c r="Q253" i="12"/>
  <c r="R55" i="12"/>
  <c r="Q55" i="12"/>
  <c r="R31" i="12"/>
  <c r="Q31" i="12"/>
  <c r="R6" i="12"/>
  <c r="Q6" i="12"/>
  <c r="S212" i="12"/>
  <c r="R355" i="12"/>
  <c r="Q355" i="12"/>
  <c r="S355" i="12" s="1"/>
  <c r="R361" i="12"/>
  <c r="Q361" i="12"/>
  <c r="Q320" i="12"/>
  <c r="R320" i="12"/>
  <c r="Q405" i="12"/>
  <c r="R405" i="12"/>
  <c r="R273" i="12"/>
  <c r="Q273" i="12"/>
  <c r="Q188" i="12"/>
  <c r="R188" i="12"/>
  <c r="R217" i="12"/>
  <c r="Q217" i="12"/>
  <c r="S217" i="12" s="1"/>
  <c r="Q343" i="12"/>
  <c r="R343" i="12"/>
  <c r="S350" i="12"/>
  <c r="R53" i="12"/>
  <c r="Q53" i="12"/>
  <c r="R29" i="12"/>
  <c r="Q29" i="12"/>
  <c r="R4" i="12"/>
  <c r="Q4" i="12"/>
  <c r="Q369" i="12"/>
  <c r="R369" i="12"/>
  <c r="S201" i="12"/>
  <c r="R165" i="12"/>
  <c r="Q165" i="12"/>
  <c r="R375" i="12"/>
  <c r="Q375" i="12"/>
  <c r="R321" i="12"/>
  <c r="Q321" i="12"/>
  <c r="Q166" i="12"/>
  <c r="R166" i="12"/>
  <c r="R254" i="12"/>
  <c r="Q254" i="12"/>
  <c r="R296" i="12"/>
  <c r="Q296" i="12"/>
  <c r="S296" i="12" s="1"/>
  <c r="Q214" i="12"/>
  <c r="R214" i="12"/>
  <c r="R74" i="12"/>
  <c r="Q74" i="12"/>
  <c r="R51" i="12"/>
  <c r="Q51" i="12"/>
  <c r="R27" i="12"/>
  <c r="Q27" i="12"/>
  <c r="R2" i="12"/>
  <c r="Q2" i="12"/>
  <c r="R347" i="12"/>
  <c r="Q347" i="12"/>
  <c r="S347" i="12" s="1"/>
  <c r="Q185" i="12"/>
  <c r="R185" i="12"/>
  <c r="R267" i="12"/>
  <c r="Q267" i="12"/>
  <c r="R41" i="12"/>
  <c r="Q41" i="12"/>
  <c r="R409" i="12"/>
  <c r="Q409" i="12"/>
  <c r="R39" i="12"/>
  <c r="Q39" i="12"/>
  <c r="S118" i="12"/>
  <c r="Q404" i="12"/>
  <c r="R404" i="12"/>
  <c r="R211" i="12"/>
  <c r="Q211" i="12"/>
  <c r="Q359" i="12"/>
  <c r="R359" i="12"/>
  <c r="Q239" i="12"/>
  <c r="R239" i="12"/>
  <c r="Q332" i="12"/>
  <c r="R332" i="12"/>
  <c r="Q200" i="12"/>
  <c r="R200" i="12"/>
  <c r="R391" i="12"/>
  <c r="Q391" i="12"/>
  <c r="Q196" i="12"/>
  <c r="R196" i="12"/>
  <c r="S298" i="12"/>
  <c r="R231" i="12"/>
  <c r="Q231" i="12"/>
  <c r="R235" i="12"/>
  <c r="Q235" i="12"/>
  <c r="R72" i="12"/>
  <c r="Q72" i="12"/>
  <c r="R49" i="12"/>
  <c r="Q49" i="12"/>
  <c r="R25" i="12"/>
  <c r="Q25" i="12"/>
  <c r="R281" i="12"/>
  <c r="Q281" i="12"/>
  <c r="S158" i="12"/>
  <c r="R64" i="12"/>
  <c r="Q64" i="12"/>
  <c r="R289" i="12"/>
  <c r="Q289" i="12"/>
  <c r="Q346" i="12"/>
  <c r="R346" i="12"/>
  <c r="Q197" i="12"/>
  <c r="R197" i="12"/>
  <c r="Q225" i="12"/>
  <c r="R225" i="12"/>
  <c r="R308" i="12"/>
  <c r="Q308" i="12"/>
  <c r="R70" i="12"/>
  <c r="Q70" i="12"/>
  <c r="R47" i="12"/>
  <c r="Q47" i="12"/>
  <c r="R23" i="12"/>
  <c r="Q23" i="12"/>
  <c r="S23" i="12" s="1"/>
  <c r="Q161" i="12"/>
  <c r="R161" i="12"/>
  <c r="Q164" i="12"/>
  <c r="R164" i="12"/>
  <c r="R17" i="12"/>
  <c r="Q17" i="12"/>
  <c r="R15" i="12"/>
  <c r="Q15" i="12"/>
  <c r="R397" i="12"/>
  <c r="Q397" i="12"/>
  <c r="S222" i="12"/>
  <c r="R381" i="12"/>
  <c r="Q381" i="12"/>
  <c r="Q297" i="12"/>
  <c r="R297" i="12"/>
  <c r="R277" i="12"/>
  <c r="Q277" i="12"/>
  <c r="Q356" i="12"/>
  <c r="R356" i="12"/>
  <c r="Q220" i="12"/>
  <c r="R220" i="12"/>
  <c r="R163" i="12"/>
  <c r="Q163" i="12"/>
  <c r="R276" i="12"/>
  <c r="Q276" i="12"/>
  <c r="R313" i="12"/>
  <c r="Q313" i="12"/>
  <c r="R68" i="12"/>
  <c r="Q68" i="12"/>
  <c r="R45" i="12"/>
  <c r="Q45" i="12"/>
  <c r="R21" i="12"/>
  <c r="Q21" i="12"/>
  <c r="S150" i="12"/>
  <c r="Q263" i="12"/>
  <c r="R263" i="12"/>
  <c r="S187" i="12"/>
  <c r="R349" i="12"/>
  <c r="Q349" i="12"/>
  <c r="Q249" i="12"/>
  <c r="R249" i="12"/>
  <c r="R327" i="12"/>
  <c r="Q327" i="12"/>
  <c r="R63" i="12"/>
  <c r="Q63" i="12"/>
  <c r="R288" i="12"/>
  <c r="Q288" i="12"/>
  <c r="R175" i="12"/>
  <c r="Q175" i="12"/>
  <c r="Q206" i="12"/>
  <c r="R206" i="12"/>
  <c r="R396" i="12"/>
  <c r="Q396" i="12"/>
  <c r="R364" i="12"/>
  <c r="Q364" i="12"/>
  <c r="Q224" i="12"/>
  <c r="R224" i="12"/>
  <c r="Q180" i="12"/>
  <c r="R180" i="12"/>
  <c r="R66" i="12"/>
  <c r="Q66" i="12"/>
  <c r="R43" i="12"/>
  <c r="Q43" i="12"/>
  <c r="R19" i="12"/>
  <c r="Q19" i="12"/>
  <c r="Q51" i="11"/>
  <c r="S51" i="11" s="1"/>
  <c r="Q16" i="11"/>
  <c r="S16" i="11" s="1"/>
  <c r="Q65" i="11"/>
  <c r="S65" i="11" s="1"/>
  <c r="Q43" i="11"/>
  <c r="S43" i="11" s="1"/>
  <c r="Q34" i="11"/>
  <c r="S34" i="11" s="1"/>
  <c r="Q55" i="11"/>
  <c r="S55" i="11" s="1"/>
  <c r="Q26" i="11"/>
  <c r="S26" i="11" s="1"/>
  <c r="S113" i="11"/>
  <c r="Q57" i="11"/>
  <c r="S57" i="11" s="1"/>
  <c r="S137" i="11"/>
  <c r="S153" i="11"/>
  <c r="S131" i="11"/>
  <c r="Q101" i="11"/>
  <c r="S101" i="11" s="1"/>
  <c r="Q95" i="11"/>
  <c r="S95" i="11" s="1"/>
  <c r="Q6" i="11"/>
  <c r="Q109" i="11"/>
  <c r="S109" i="11" s="1"/>
  <c r="S133" i="11"/>
  <c r="R149" i="11"/>
  <c r="Q149" i="11"/>
  <c r="R145" i="11"/>
  <c r="Q145" i="11"/>
  <c r="Q127" i="11"/>
  <c r="R127" i="11"/>
  <c r="R139" i="11"/>
  <c r="Q139" i="11"/>
  <c r="S155" i="11"/>
  <c r="S121" i="11"/>
  <c r="Q24" i="11"/>
  <c r="S24" i="11" s="1"/>
  <c r="Q30" i="11"/>
  <c r="S30" i="11" s="1"/>
  <c r="Q74" i="11"/>
  <c r="S74" i="11" s="1"/>
  <c r="Q70" i="11"/>
  <c r="S70" i="11" s="1"/>
  <c r="Q22" i="11"/>
  <c r="S22" i="11" s="1"/>
  <c r="R129" i="11"/>
  <c r="Q129" i="11"/>
  <c r="S129" i="11" s="1"/>
  <c r="S119" i="11"/>
  <c r="Q97" i="11"/>
  <c r="S97" i="11" s="1"/>
  <c r="Q20" i="11"/>
  <c r="S20" i="11" s="1"/>
  <c r="S147" i="11"/>
  <c r="Q99" i="11"/>
  <c r="S99" i="11" s="1"/>
  <c r="Q3" i="11"/>
  <c r="S3" i="11" s="1"/>
  <c r="Q90" i="11"/>
  <c r="S90" i="11" s="1"/>
  <c r="Q41" i="11"/>
  <c r="S41" i="11" s="1"/>
  <c r="Q141" i="11"/>
  <c r="R141" i="11"/>
  <c r="Q115" i="11"/>
  <c r="R115" i="11"/>
  <c r="R151" i="11"/>
  <c r="Q151" i="11"/>
  <c r="S151" i="11" s="1"/>
  <c r="R135" i="11"/>
  <c r="Q135" i="11"/>
  <c r="Q389" i="10"/>
  <c r="S389" i="10" s="1"/>
  <c r="Q144" i="10"/>
  <c r="S144" i="10" s="1"/>
  <c r="Q112" i="10"/>
  <c r="S112" i="10" s="1"/>
  <c r="Q21" i="10"/>
  <c r="S21" i="10" s="1"/>
  <c r="S158" i="10"/>
  <c r="Q236" i="10"/>
  <c r="S236" i="10" s="1"/>
  <c r="Q381" i="10"/>
  <c r="S381" i="10" s="1"/>
  <c r="R159" i="10"/>
  <c r="S159" i="10" s="1"/>
  <c r="Q229" i="10"/>
  <c r="S229" i="10" s="1"/>
  <c r="R325" i="10"/>
  <c r="S325" i="10" s="1"/>
  <c r="Q173" i="10"/>
  <c r="S173" i="10" s="1"/>
  <c r="Q247" i="10"/>
  <c r="S247" i="10" s="1"/>
  <c r="Q317" i="10"/>
  <c r="S317" i="10" s="1"/>
  <c r="Q43" i="10"/>
  <c r="S43" i="10" s="1"/>
  <c r="R151" i="10"/>
  <c r="S151" i="10" s="1"/>
  <c r="R127" i="10"/>
  <c r="Q4" i="10"/>
  <c r="S4" i="10" s="1"/>
  <c r="S56" i="10"/>
  <c r="S196" i="10"/>
  <c r="Q92" i="10"/>
  <c r="S92" i="10" s="1"/>
  <c r="R134" i="10"/>
  <c r="S134" i="10" s="1"/>
  <c r="Q228" i="10"/>
  <c r="S228" i="10" s="1"/>
  <c r="Q405" i="10"/>
  <c r="S405" i="10" s="1"/>
  <c r="R168" i="10"/>
  <c r="S168" i="10" s="1"/>
  <c r="Q305" i="10"/>
  <c r="S305" i="10" s="1"/>
  <c r="Q48" i="10"/>
  <c r="S48" i="10" s="1"/>
  <c r="Q136" i="10"/>
  <c r="S136" i="10" s="1"/>
  <c r="Q341" i="10"/>
  <c r="S341" i="10" s="1"/>
  <c r="Q263" i="10"/>
  <c r="S263" i="10" s="1"/>
  <c r="Q385" i="10"/>
  <c r="S385" i="10" s="1"/>
  <c r="Q22" i="10"/>
  <c r="S22" i="10" s="1"/>
  <c r="Q19" i="10"/>
  <c r="S19" i="10" s="1"/>
  <c r="Q57" i="10"/>
  <c r="S57" i="10" s="1"/>
  <c r="Q6" i="10"/>
  <c r="S6" i="10" s="1"/>
  <c r="Q293" i="10"/>
  <c r="S293" i="10" s="1"/>
  <c r="Q36" i="10"/>
  <c r="S36" i="10" s="1"/>
  <c r="S146" i="10"/>
  <c r="Q269" i="10"/>
  <c r="S269" i="10" s="1"/>
  <c r="R219" i="10"/>
  <c r="S219" i="10" s="1"/>
  <c r="Q383" i="10"/>
  <c r="S383" i="10" s="1"/>
  <c r="R184" i="10"/>
  <c r="S184" i="10" s="1"/>
  <c r="Q105" i="10"/>
  <c r="S105" i="10" s="1"/>
  <c r="Q275" i="10"/>
  <c r="S275" i="10" s="1"/>
  <c r="S185" i="10"/>
  <c r="S174" i="10"/>
  <c r="R67" i="10"/>
  <c r="Q67" i="10"/>
  <c r="R217" i="10"/>
  <c r="S217" i="10" s="1"/>
  <c r="R143" i="10"/>
  <c r="S143" i="10" s="1"/>
  <c r="Q55" i="10"/>
  <c r="S55" i="10" s="1"/>
  <c r="Q224" i="10"/>
  <c r="R224" i="10"/>
  <c r="S135" i="10"/>
  <c r="Q401" i="10"/>
  <c r="S401" i="10" s="1"/>
  <c r="Q149" i="10"/>
  <c r="S149" i="10" s="1"/>
  <c r="Q68" i="10"/>
  <c r="S68" i="10" s="1"/>
  <c r="Q167" i="10"/>
  <c r="S167" i="10" s="1"/>
  <c r="Q34" i="10"/>
  <c r="S34" i="10" s="1"/>
  <c r="S190" i="10"/>
  <c r="Q170" i="10"/>
  <c r="R170" i="10"/>
  <c r="R186" i="10"/>
  <c r="Q186" i="10"/>
  <c r="R218" i="10"/>
  <c r="S218" i="10" s="1"/>
  <c r="Q255" i="10"/>
  <c r="S255" i="10" s="1"/>
  <c r="S234" i="10"/>
  <c r="S152" i="10"/>
  <c r="R156" i="10"/>
  <c r="Q156" i="10"/>
  <c r="Q357" i="10"/>
  <c r="S357" i="10" s="1"/>
  <c r="Q157" i="10"/>
  <c r="S157" i="10" s="1"/>
  <c r="Q30" i="10"/>
  <c r="S30" i="10" s="1"/>
  <c r="S160" i="10"/>
  <c r="R241" i="10"/>
  <c r="S241" i="10" s="1"/>
  <c r="Q96" i="10"/>
  <c r="S96" i="10" s="1"/>
  <c r="Q93" i="10"/>
  <c r="S93" i="10" s="1"/>
  <c r="Q391" i="10"/>
  <c r="S391" i="10" s="1"/>
  <c r="R164" i="10"/>
  <c r="Q164" i="10"/>
  <c r="Q335" i="10"/>
  <c r="S335" i="10" s="1"/>
  <c r="S284" i="10"/>
  <c r="Q58" i="10"/>
  <c r="S58" i="10" s="1"/>
  <c r="Q61" i="10"/>
  <c r="S61" i="10" s="1"/>
  <c r="Q240" i="10"/>
  <c r="R240" i="10"/>
  <c r="R107" i="10"/>
  <c r="Q107" i="10"/>
  <c r="Q9" i="10"/>
  <c r="R9" i="10"/>
  <c r="R202" i="10"/>
  <c r="Q202" i="10"/>
  <c r="R103" i="10"/>
  <c r="Q103" i="10"/>
  <c r="Q283" i="10"/>
  <c r="S283" i="10" s="1"/>
  <c r="Q80" i="10"/>
  <c r="S80" i="10" s="1"/>
  <c r="R287" i="10"/>
  <c r="Q287" i="10"/>
  <c r="R5" i="10"/>
  <c r="Q5" i="10"/>
  <c r="Q162" i="10"/>
  <c r="R162" i="10"/>
  <c r="R83" i="10"/>
  <c r="Q83" i="10"/>
  <c r="R102" i="10"/>
  <c r="Q102" i="10"/>
  <c r="S231" i="10"/>
  <c r="S133" i="10"/>
  <c r="R315" i="10"/>
  <c r="Q315" i="10"/>
  <c r="R128" i="10"/>
  <c r="Q128" i="10"/>
  <c r="Q349" i="10"/>
  <c r="S349" i="10" s="1"/>
  <c r="S192" i="10"/>
  <c r="R95" i="10"/>
  <c r="Q95" i="10"/>
  <c r="R161" i="10"/>
  <c r="Q161" i="10"/>
  <c r="Q45" i="10"/>
  <c r="S45" i="10" s="1"/>
  <c r="R193" i="10"/>
  <c r="S193" i="10" s="1"/>
  <c r="Q25" i="10"/>
  <c r="S25" i="10" s="1"/>
  <c r="R115" i="10"/>
  <c r="Q115" i="10"/>
  <c r="R138" i="10"/>
  <c r="Q138" i="10"/>
  <c r="Q207" i="10"/>
  <c r="R207" i="10"/>
  <c r="R129" i="10"/>
  <c r="Q129" i="10"/>
  <c r="R153" i="10"/>
  <c r="Q153" i="10"/>
  <c r="S153" i="10" s="1"/>
  <c r="R78" i="10"/>
  <c r="Q78" i="10"/>
  <c r="R11" i="10"/>
  <c r="Q11" i="10"/>
  <c r="S222" i="10"/>
  <c r="S220" i="10"/>
  <c r="Q251" i="10"/>
  <c r="S251" i="10" s="1"/>
  <c r="Q150" i="10"/>
  <c r="R150" i="10"/>
  <c r="R180" i="10"/>
  <c r="Q180" i="10"/>
  <c r="R118" i="10"/>
  <c r="S118" i="10" s="1"/>
  <c r="Q126" i="10"/>
  <c r="R126" i="10"/>
  <c r="Q216" i="10"/>
  <c r="R216" i="10"/>
  <c r="R313" i="10"/>
  <c r="S313" i="10" s="1"/>
  <c r="S409" i="10"/>
  <c r="Q44" i="10"/>
  <c r="S44" i="10" s="1"/>
  <c r="R60" i="10"/>
  <c r="Q60" i="10"/>
  <c r="S60" i="10" s="1"/>
  <c r="R20" i="10"/>
  <c r="Q20" i="10"/>
  <c r="Q81" i="10"/>
  <c r="R81" i="10"/>
  <c r="R145" i="10"/>
  <c r="Q145" i="10"/>
  <c r="S32" i="10"/>
  <c r="Q65" i="10"/>
  <c r="S65" i="10" s="1"/>
  <c r="Q291" i="10"/>
  <c r="S291" i="10" s="1"/>
  <c r="R189" i="10"/>
  <c r="S189" i="10" s="1"/>
  <c r="Q281" i="10"/>
  <c r="S281" i="10" s="1"/>
  <c r="R90" i="10"/>
  <c r="Q90" i="10"/>
  <c r="R71" i="10"/>
  <c r="Q71" i="10"/>
  <c r="R123" i="10"/>
  <c r="Q123" i="10"/>
  <c r="Q172" i="10"/>
  <c r="R172" i="10"/>
  <c r="Q46" i="10"/>
  <c r="R46" i="10"/>
  <c r="Q407" i="10"/>
  <c r="S407" i="10" s="1"/>
  <c r="Q238" i="10"/>
  <c r="S238" i="10" s="1"/>
  <c r="R210" i="10"/>
  <c r="S210" i="10" s="1"/>
  <c r="R323" i="10"/>
  <c r="Q323" i="10"/>
  <c r="R66" i="10"/>
  <c r="Q66" i="10"/>
  <c r="R176" i="10"/>
  <c r="Q176" i="10"/>
  <c r="R24" i="10"/>
  <c r="Q24" i="10"/>
  <c r="Q117" i="10"/>
  <c r="R117" i="10"/>
  <c r="R154" i="10"/>
  <c r="Q154" i="10"/>
  <c r="Q230" i="10"/>
  <c r="R230" i="10"/>
  <c r="R120" i="10"/>
  <c r="Q120" i="10"/>
  <c r="Q142" i="10"/>
  <c r="R142" i="10"/>
  <c r="S208" i="10"/>
  <c r="S206" i="10"/>
  <c r="S125" i="10"/>
  <c r="R2" i="10"/>
  <c r="Q2" i="10"/>
  <c r="R403" i="10"/>
  <c r="Q403" i="10"/>
  <c r="R303" i="10"/>
  <c r="Q303" i="10"/>
  <c r="R373" i="10"/>
  <c r="Q373" i="10"/>
  <c r="Q215" i="10"/>
  <c r="R215" i="10"/>
  <c r="Q197" i="10"/>
  <c r="R197" i="10"/>
  <c r="R52" i="10"/>
  <c r="Q52" i="10"/>
  <c r="R345" i="10"/>
  <c r="Q345" i="10"/>
  <c r="Q289" i="10"/>
  <c r="R289" i="10"/>
  <c r="R395" i="10"/>
  <c r="Q395" i="10"/>
  <c r="R88" i="10"/>
  <c r="Q88" i="10"/>
  <c r="R169" i="10"/>
  <c r="Q169" i="10"/>
  <c r="R38" i="10"/>
  <c r="Q38" i="10"/>
  <c r="R339" i="10"/>
  <c r="Q339" i="10"/>
  <c r="R163" i="10"/>
  <c r="Q163" i="10"/>
  <c r="R40" i="10"/>
  <c r="Q40" i="10"/>
  <c r="S225" i="10"/>
  <c r="R108" i="10"/>
  <c r="Q108" i="10"/>
  <c r="R23" i="10"/>
  <c r="Q23" i="10"/>
  <c r="R119" i="10"/>
  <c r="Q119" i="10"/>
  <c r="R124" i="10"/>
  <c r="Q124" i="10"/>
  <c r="S183" i="10"/>
  <c r="R377" i="10"/>
  <c r="Q377" i="10"/>
  <c r="Q394" i="10"/>
  <c r="R394" i="10"/>
  <c r="Q239" i="10"/>
  <c r="R239" i="10"/>
  <c r="R300" i="10"/>
  <c r="Q300" i="10"/>
  <c r="R76" i="10"/>
  <c r="Q76" i="10"/>
  <c r="Q362" i="10"/>
  <c r="R362" i="10"/>
  <c r="R155" i="10"/>
  <c r="Q155" i="10"/>
  <c r="R28" i="10"/>
  <c r="Q28" i="10"/>
  <c r="Q270" i="10"/>
  <c r="R270" i="10"/>
  <c r="Q199" i="10"/>
  <c r="R199" i="10"/>
  <c r="R77" i="10"/>
  <c r="Q77" i="10"/>
  <c r="R98" i="10"/>
  <c r="Q98" i="10"/>
  <c r="R35" i="10"/>
  <c r="Q35" i="10"/>
  <c r="Q382" i="10"/>
  <c r="R382" i="10"/>
  <c r="R39" i="10"/>
  <c r="Q39" i="10"/>
  <c r="R62" i="10"/>
  <c r="Q62" i="10"/>
  <c r="Q74" i="10"/>
  <c r="R74" i="10"/>
  <c r="R318" i="10"/>
  <c r="Q318" i="10"/>
  <c r="R51" i="10"/>
  <c r="Q51" i="10"/>
  <c r="R309" i="10"/>
  <c r="Q309" i="10"/>
  <c r="Q177" i="10"/>
  <c r="R177" i="10"/>
  <c r="R366" i="10"/>
  <c r="Q366" i="10"/>
  <c r="R47" i="10"/>
  <c r="Q47" i="10"/>
  <c r="R371" i="10"/>
  <c r="Q371" i="10"/>
  <c r="R369" i="10"/>
  <c r="Q369" i="10"/>
  <c r="R397" i="10"/>
  <c r="Q397" i="10"/>
  <c r="R297" i="10"/>
  <c r="Q297" i="10"/>
  <c r="R288" i="10"/>
  <c r="Q288" i="10"/>
  <c r="R97" i="10"/>
  <c r="Q97" i="10"/>
  <c r="R26" i="10"/>
  <c r="Q26" i="10"/>
  <c r="R147" i="10"/>
  <c r="Q147" i="10"/>
  <c r="R16" i="10"/>
  <c r="Q16" i="10"/>
  <c r="R257" i="10"/>
  <c r="Q257" i="10"/>
  <c r="R72" i="10"/>
  <c r="Q72" i="10"/>
  <c r="R15" i="10"/>
  <c r="Q15" i="10"/>
  <c r="R342" i="10"/>
  <c r="Q342" i="10"/>
  <c r="R89" i="10"/>
  <c r="Q89" i="10"/>
  <c r="R267" i="10"/>
  <c r="Q267" i="10"/>
  <c r="R18" i="10"/>
  <c r="Q18" i="10"/>
  <c r="R411" i="10"/>
  <c r="Q411" i="10"/>
  <c r="R12" i="10"/>
  <c r="Q12" i="10"/>
  <c r="Q331" i="10"/>
  <c r="R331" i="10"/>
  <c r="Q343" i="10"/>
  <c r="R343" i="10"/>
  <c r="R141" i="10"/>
  <c r="Q141" i="10"/>
  <c r="R294" i="10"/>
  <c r="Q294" i="10"/>
  <c r="R75" i="10"/>
  <c r="Q75" i="10"/>
  <c r="R330" i="10"/>
  <c r="Q330" i="10"/>
  <c r="R64" i="10"/>
  <c r="Q64" i="10"/>
  <c r="R387" i="10"/>
  <c r="Q387" i="10"/>
  <c r="R365" i="10"/>
  <c r="Q365" i="10"/>
  <c r="R261" i="10"/>
  <c r="Q261" i="10"/>
  <c r="S261" i="10" s="1"/>
  <c r="R285" i="10"/>
  <c r="Q285" i="10"/>
  <c r="R375" i="10"/>
  <c r="Q375" i="10"/>
  <c r="R53" i="10"/>
  <c r="Q53" i="10"/>
  <c r="Q268" i="10"/>
  <c r="R268" i="10"/>
  <c r="R139" i="10"/>
  <c r="Q139" i="10"/>
  <c r="Q179" i="10"/>
  <c r="R179" i="10"/>
  <c r="R42" i="10"/>
  <c r="Q42" i="10"/>
  <c r="R259" i="10"/>
  <c r="Q259" i="10"/>
  <c r="R84" i="10"/>
  <c r="Q84" i="10"/>
  <c r="R27" i="10"/>
  <c r="Q27" i="10"/>
  <c r="R10" i="10"/>
  <c r="Q10" i="10"/>
  <c r="R359" i="10"/>
  <c r="Q359" i="10"/>
  <c r="S359" i="10" s="1"/>
  <c r="R363" i="10"/>
  <c r="Q363" i="10"/>
  <c r="R41" i="10"/>
  <c r="Q41" i="10"/>
  <c r="R85" i="10"/>
  <c r="Q85" i="10"/>
  <c r="R13" i="10"/>
  <c r="Q13" i="10"/>
  <c r="R273" i="10"/>
  <c r="Q273" i="10"/>
  <c r="R130" i="10"/>
  <c r="Q130" i="10"/>
  <c r="Q188" i="10"/>
  <c r="R188" i="10"/>
  <c r="Q223" i="10"/>
  <c r="R223" i="10"/>
  <c r="Q191" i="10"/>
  <c r="R191" i="10"/>
  <c r="R37" i="10"/>
  <c r="Q37" i="10"/>
  <c r="R94" i="10"/>
  <c r="Q94" i="10"/>
  <c r="R132" i="10"/>
  <c r="Q132" i="10"/>
  <c r="S132" i="10" s="1"/>
  <c r="R352" i="10"/>
  <c r="Q352" i="10"/>
  <c r="Q205" i="10"/>
  <c r="R205" i="10"/>
  <c r="R347" i="10"/>
  <c r="Q347" i="10"/>
  <c r="R59" i="10"/>
  <c r="Q59" i="10"/>
  <c r="R393" i="10"/>
  <c r="Q393" i="10"/>
  <c r="R396" i="10"/>
  <c r="Q396" i="10"/>
  <c r="S396" i="10" s="1"/>
  <c r="R50" i="10"/>
  <c r="Q50" i="10"/>
  <c r="Q171" i="10"/>
  <c r="R171" i="10"/>
  <c r="R351" i="10"/>
  <c r="Q351" i="10"/>
  <c r="Q301" i="10"/>
  <c r="R301" i="10"/>
  <c r="Q337" i="10"/>
  <c r="R337" i="10"/>
  <c r="R29" i="10"/>
  <c r="Q29" i="10"/>
  <c r="S29" i="10" s="1"/>
  <c r="R379" i="10"/>
  <c r="Q379" i="10"/>
  <c r="Q227" i="10"/>
  <c r="R227" i="10"/>
  <c r="R122" i="10"/>
  <c r="Q122" i="10"/>
  <c r="R355" i="10"/>
  <c r="Q355" i="10"/>
  <c r="R106" i="10"/>
  <c r="Q106" i="10"/>
  <c r="R116" i="10"/>
  <c r="Q116" i="10"/>
  <c r="S116" i="10" s="1"/>
  <c r="R271" i="10"/>
  <c r="Q271" i="10"/>
  <c r="R54" i="10"/>
  <c r="Q54" i="10"/>
  <c r="R399" i="10"/>
  <c r="Q399" i="10"/>
  <c r="R87" i="10"/>
  <c r="Q87" i="10"/>
  <c r="R245" i="10"/>
  <c r="Q245" i="10"/>
  <c r="Q295" i="10"/>
  <c r="R295" i="10"/>
  <c r="R258" i="10"/>
  <c r="Q258" i="10"/>
  <c r="Q319" i="10"/>
  <c r="R319" i="10"/>
  <c r="R353" i="10"/>
  <c r="Q353" i="10"/>
  <c r="R282" i="10"/>
  <c r="Q282" i="10"/>
  <c r="R17" i="10"/>
  <c r="Q17" i="10"/>
  <c r="Q221" i="10"/>
  <c r="R221" i="10"/>
  <c r="R73" i="10"/>
  <c r="Q73" i="10"/>
  <c r="R321" i="10"/>
  <c r="Q321" i="10"/>
  <c r="R243" i="10"/>
  <c r="Q243" i="10"/>
  <c r="R114" i="10"/>
  <c r="Q114" i="10"/>
  <c r="R378" i="10"/>
  <c r="Q378" i="10"/>
  <c r="R86" i="10"/>
  <c r="Q86" i="10"/>
  <c r="S86" i="10" s="1"/>
  <c r="R63" i="10"/>
  <c r="Q63" i="10"/>
  <c r="S201" i="10"/>
  <c r="S194" i="10"/>
  <c r="R49" i="10"/>
  <c r="Q49" i="10"/>
  <c r="Q211" i="10"/>
  <c r="R211" i="10"/>
  <c r="R111" i="10"/>
  <c r="Q111" i="10"/>
  <c r="Q307" i="10"/>
  <c r="R307" i="10"/>
  <c r="Q203" i="10"/>
  <c r="R203" i="10"/>
  <c r="R327" i="10"/>
  <c r="Q327" i="10"/>
  <c r="R246" i="10"/>
  <c r="Q246" i="10"/>
  <c r="R361" i="10"/>
  <c r="Q361" i="10"/>
  <c r="Q277" i="10"/>
  <c r="R277" i="10"/>
  <c r="R100" i="10"/>
  <c r="Q100" i="10"/>
  <c r="Q374" i="10"/>
  <c r="R374" i="10"/>
  <c r="R390" i="10"/>
  <c r="Q390" i="10"/>
  <c r="R70" i="10"/>
  <c r="Q70" i="10"/>
  <c r="Q235" i="10"/>
  <c r="R235" i="10"/>
  <c r="R306" i="10"/>
  <c r="Q306" i="10"/>
  <c r="Q368" i="10"/>
  <c r="R368" i="10"/>
  <c r="R249" i="10"/>
  <c r="Q249" i="10"/>
  <c r="Q265" i="10"/>
  <c r="R265" i="10"/>
  <c r="R3" i="10"/>
  <c r="Q3" i="10"/>
  <c r="R367" i="10"/>
  <c r="Q367" i="10"/>
  <c r="R99" i="10"/>
  <c r="Q99" i="10"/>
  <c r="R333" i="10"/>
  <c r="Q333" i="10"/>
  <c r="R279" i="10"/>
  <c r="Q279" i="10"/>
  <c r="R165" i="10"/>
  <c r="Q165" i="10"/>
  <c r="S127" i="10"/>
  <c r="Q181" i="10"/>
  <c r="R181" i="10"/>
  <c r="R82" i="10"/>
  <c r="Q82" i="10"/>
  <c r="Q83" i="9"/>
  <c r="S83" i="9" s="1"/>
  <c r="Q51" i="9"/>
  <c r="S51" i="9" s="1"/>
  <c r="Q13" i="9"/>
  <c r="S13" i="9" s="1"/>
  <c r="Q9" i="9"/>
  <c r="S9" i="9" s="1"/>
  <c r="Q40" i="9"/>
  <c r="S40" i="9" s="1"/>
  <c r="Q7" i="9"/>
  <c r="Q104" i="9"/>
  <c r="S104" i="9" s="1"/>
  <c r="Q3" i="9"/>
  <c r="Q61" i="9"/>
  <c r="S61" i="9" s="1"/>
  <c r="Q57" i="9"/>
  <c r="S57" i="9" s="1"/>
  <c r="Q55" i="9"/>
  <c r="S55" i="9" s="1"/>
  <c r="Q29" i="9"/>
  <c r="S29" i="9" s="1"/>
  <c r="Q128" i="9"/>
  <c r="S128" i="9" s="1"/>
  <c r="Q44" i="9"/>
  <c r="S44" i="9" s="1"/>
  <c r="Q21" i="9"/>
  <c r="S21" i="9" s="1"/>
  <c r="R122" i="9"/>
  <c r="Q122" i="9"/>
  <c r="Q42" i="9"/>
  <c r="S42" i="9" s="1"/>
  <c r="Q114" i="9"/>
  <c r="S114" i="9" s="1"/>
  <c r="R72" i="9"/>
  <c r="Q72" i="9"/>
  <c r="R116" i="9"/>
  <c r="Q116" i="9"/>
  <c r="S116" i="9" s="1"/>
  <c r="R124" i="9"/>
  <c r="Q124" i="9"/>
  <c r="R81" i="9"/>
  <c r="Q81" i="9"/>
  <c r="R130" i="9"/>
  <c r="Q130" i="9"/>
  <c r="R112" i="9"/>
  <c r="Q112" i="9"/>
  <c r="R74" i="9"/>
  <c r="Q74" i="9"/>
  <c r="R77" i="9"/>
  <c r="Q77" i="9"/>
  <c r="S77" i="9" s="1"/>
  <c r="R89" i="9"/>
  <c r="Q89" i="9"/>
  <c r="R120" i="9"/>
  <c r="Q120" i="9"/>
  <c r="S120" i="9" s="1"/>
  <c r="R96" i="9"/>
  <c r="Q96" i="9"/>
  <c r="R126" i="9"/>
  <c r="Q126" i="9"/>
  <c r="R108" i="9"/>
  <c r="Q108" i="9"/>
  <c r="R91" i="9"/>
  <c r="Q91" i="9"/>
  <c r="S91" i="9" s="1"/>
  <c r="Q46" i="9"/>
  <c r="S46" i="9" s="1"/>
  <c r="R98" i="9"/>
  <c r="Q98" i="9"/>
  <c r="S98" i="9" s="1"/>
  <c r="Q11" i="9"/>
  <c r="S11" i="9" s="1"/>
  <c r="Q70" i="9"/>
  <c r="S70" i="9" s="1"/>
  <c r="R110" i="9"/>
  <c r="Q110" i="9"/>
  <c r="R85" i="9"/>
  <c r="Q85" i="9"/>
  <c r="Q67" i="9"/>
  <c r="S67" i="9" s="1"/>
  <c r="Q19" i="9"/>
  <c r="S19" i="9" s="1"/>
  <c r="R102" i="9"/>
  <c r="Q102" i="9"/>
  <c r="R106" i="9"/>
  <c r="Q106" i="9"/>
  <c r="S106" i="9" s="1"/>
  <c r="Q17" i="9"/>
  <c r="S17" i="9" s="1"/>
  <c r="R118" i="9"/>
  <c r="Q118" i="9"/>
  <c r="R37" i="8"/>
  <c r="S37" i="8" s="1"/>
  <c r="S83" i="8"/>
  <c r="R45" i="8"/>
  <c r="S45" i="8" s="1"/>
  <c r="R33" i="8"/>
  <c r="S33" i="8" s="1"/>
  <c r="R7" i="8"/>
  <c r="R17" i="8"/>
  <c r="R25" i="8"/>
  <c r="S25" i="8" s="1"/>
  <c r="R72" i="8"/>
  <c r="S72" i="8" s="1"/>
  <c r="S10" i="8"/>
  <c r="R57" i="8"/>
  <c r="S57" i="8" s="1"/>
  <c r="R49" i="8"/>
  <c r="S49" i="8" s="1"/>
  <c r="S78" i="8"/>
  <c r="S85" i="8"/>
  <c r="R68" i="8"/>
  <c r="S68" i="8" s="1"/>
  <c r="Q74" i="8"/>
  <c r="R74" i="8"/>
  <c r="Q47" i="8"/>
  <c r="R47" i="8"/>
  <c r="Q70" i="8"/>
  <c r="R70" i="8"/>
  <c r="Q23" i="8"/>
  <c r="R23" i="8"/>
  <c r="S66" i="8"/>
  <c r="S35" i="8"/>
  <c r="S87" i="8"/>
  <c r="Q63" i="8"/>
  <c r="R63" i="8"/>
  <c r="Q14" i="8"/>
  <c r="Q15" i="8" s="1"/>
  <c r="R14" i="8"/>
  <c r="R15" i="8" s="1"/>
  <c r="S19" i="8"/>
  <c r="S89" i="8"/>
  <c r="S43" i="8"/>
  <c r="Q39" i="8"/>
  <c r="R39" i="8"/>
  <c r="S51" i="8"/>
  <c r="Q31" i="8"/>
  <c r="R31" i="8"/>
  <c r="S81" i="8"/>
  <c r="Q55" i="8"/>
  <c r="R55" i="8"/>
  <c r="Q4" i="8"/>
  <c r="Q5" i="8" s="1"/>
  <c r="R4" i="8"/>
  <c r="R5" i="8" s="1"/>
  <c r="S59" i="8"/>
  <c r="S27" i="8"/>
  <c r="R141" i="9"/>
  <c r="Q141" i="9"/>
  <c r="R139" i="9"/>
  <c r="Q139" i="9"/>
  <c r="R153" i="9"/>
  <c r="Q153" i="9"/>
  <c r="R136" i="9"/>
  <c r="Q136" i="9"/>
  <c r="R155" i="9"/>
  <c r="Q155" i="9"/>
  <c r="R151" i="9"/>
  <c r="Q151" i="9"/>
  <c r="R159" i="9"/>
  <c r="Q159" i="9"/>
  <c r="R134" i="9"/>
  <c r="Q134" i="9"/>
  <c r="R157" i="9"/>
  <c r="Q157" i="9"/>
  <c r="R132" i="9"/>
  <c r="Q132" i="9"/>
  <c r="R149" i="9"/>
  <c r="Q149" i="9"/>
  <c r="R147" i="9"/>
  <c r="Q147" i="9"/>
  <c r="R145" i="9"/>
  <c r="Q145" i="9"/>
  <c r="S145" i="9" s="1"/>
  <c r="R143" i="9"/>
  <c r="Q143" i="9"/>
  <c r="R131" i="8"/>
  <c r="Q131" i="8"/>
  <c r="R296" i="8"/>
  <c r="Q296" i="8"/>
  <c r="R287" i="8"/>
  <c r="Q287" i="8"/>
  <c r="R377" i="8"/>
  <c r="Q377" i="8"/>
  <c r="R199" i="8"/>
  <c r="Q199" i="8"/>
  <c r="R397" i="8"/>
  <c r="Q397" i="8"/>
  <c r="R283" i="8"/>
  <c r="Q283" i="8"/>
  <c r="R151" i="8"/>
  <c r="Q151" i="8"/>
  <c r="S151" i="8" s="1"/>
  <c r="R297" i="8"/>
  <c r="Q297" i="8"/>
  <c r="R231" i="8"/>
  <c r="Q231" i="8"/>
  <c r="R207" i="8"/>
  <c r="Q207" i="8"/>
  <c r="R185" i="8"/>
  <c r="Q185" i="8"/>
  <c r="R161" i="8"/>
  <c r="Q161" i="8"/>
  <c r="R135" i="8"/>
  <c r="Q135" i="8"/>
  <c r="S135" i="8" s="1"/>
  <c r="R111" i="8"/>
  <c r="Q111" i="8"/>
  <c r="R271" i="8"/>
  <c r="Q271" i="8"/>
  <c r="R312" i="8"/>
  <c r="Q312" i="8"/>
  <c r="R255" i="8"/>
  <c r="Q255" i="8"/>
  <c r="R372" i="8"/>
  <c r="Q372" i="8"/>
  <c r="R280" i="8"/>
  <c r="Q280" i="8"/>
  <c r="S280" i="8" s="1"/>
  <c r="R396" i="8"/>
  <c r="Q396" i="8"/>
  <c r="R311" i="8"/>
  <c r="Q311" i="8"/>
  <c r="R179" i="8"/>
  <c r="Q179" i="8"/>
  <c r="R309" i="8"/>
  <c r="Q309" i="8"/>
  <c r="R153" i="8"/>
  <c r="Q153" i="8"/>
  <c r="R379" i="8"/>
  <c r="Q379" i="8"/>
  <c r="R175" i="8"/>
  <c r="Q175" i="8"/>
  <c r="R392" i="8"/>
  <c r="Q392" i="8"/>
  <c r="R411" i="8"/>
  <c r="Q411" i="8"/>
  <c r="R387" i="8"/>
  <c r="Q387" i="8"/>
  <c r="R363" i="8"/>
  <c r="Q363" i="8"/>
  <c r="R339" i="8"/>
  <c r="Q339" i="8"/>
  <c r="S339" i="8" s="1"/>
  <c r="R315" i="8"/>
  <c r="Q315" i="8"/>
  <c r="R291" i="8"/>
  <c r="Q291" i="8"/>
  <c r="R266" i="8"/>
  <c r="Q266" i="8"/>
  <c r="R401" i="8"/>
  <c r="Q401" i="8"/>
  <c r="R313" i="8"/>
  <c r="Q313" i="8"/>
  <c r="R229" i="8"/>
  <c r="Q229" i="8"/>
  <c r="S229" i="8" s="1"/>
  <c r="R205" i="8"/>
  <c r="Q205" i="8"/>
  <c r="R183" i="8"/>
  <c r="Q183" i="8"/>
  <c r="R159" i="8"/>
  <c r="Q159" i="8"/>
  <c r="R133" i="8"/>
  <c r="Q133" i="8"/>
  <c r="R109" i="8"/>
  <c r="Q109" i="8"/>
  <c r="R389" i="8"/>
  <c r="Q389" i="8"/>
  <c r="R329" i="8"/>
  <c r="Q329" i="8"/>
  <c r="R413" i="8"/>
  <c r="Q413" i="8"/>
  <c r="R321" i="8"/>
  <c r="Q321" i="8"/>
  <c r="R248" i="8"/>
  <c r="Q248" i="8"/>
  <c r="S76" i="8"/>
  <c r="R181" i="8"/>
  <c r="Q181" i="8"/>
  <c r="R263" i="8"/>
  <c r="Q263" i="8"/>
  <c r="R324" i="8"/>
  <c r="Q324" i="8"/>
  <c r="R407" i="8"/>
  <c r="Q407" i="8"/>
  <c r="R381" i="8"/>
  <c r="Q381" i="8"/>
  <c r="R129" i="8"/>
  <c r="Q129" i="8"/>
  <c r="R223" i="8"/>
  <c r="Q223" i="8"/>
  <c r="R103" i="8"/>
  <c r="Q103" i="8"/>
  <c r="Q384" i="8"/>
  <c r="R384" i="8"/>
  <c r="R403" i="8"/>
  <c r="Q403" i="8"/>
  <c r="R258" i="8"/>
  <c r="Q258" i="8"/>
  <c r="R221" i="8"/>
  <c r="Q221" i="8"/>
  <c r="R369" i="8"/>
  <c r="Q369" i="8"/>
  <c r="R409" i="8"/>
  <c r="Q409" i="8"/>
  <c r="R219" i="8"/>
  <c r="Q219" i="8"/>
  <c r="R123" i="8"/>
  <c r="Q123" i="8"/>
  <c r="Q259" i="8"/>
  <c r="R259" i="8"/>
  <c r="R251" i="8"/>
  <c r="Q251" i="8"/>
  <c r="R399" i="8"/>
  <c r="Q399" i="8"/>
  <c r="R375" i="8"/>
  <c r="Q375" i="8"/>
  <c r="R351" i="8"/>
  <c r="Q351" i="8"/>
  <c r="R327" i="8"/>
  <c r="Q327" i="8"/>
  <c r="R303" i="8"/>
  <c r="Q303" i="8"/>
  <c r="R279" i="8"/>
  <c r="Q279" i="8"/>
  <c r="R254" i="8"/>
  <c r="Q254" i="8"/>
  <c r="R353" i="8"/>
  <c r="Q353" i="8"/>
  <c r="R268" i="8"/>
  <c r="Q268" i="8"/>
  <c r="R241" i="8"/>
  <c r="Q241" i="8"/>
  <c r="R217" i="8"/>
  <c r="Q217" i="8"/>
  <c r="R193" i="8"/>
  <c r="Q193" i="8"/>
  <c r="R171" i="8"/>
  <c r="Q171" i="8"/>
  <c r="R146" i="8"/>
  <c r="Q146" i="8"/>
  <c r="R121" i="8"/>
  <c r="Q121" i="8"/>
  <c r="R97" i="8"/>
  <c r="Q97" i="8"/>
  <c r="R361" i="8"/>
  <c r="Q361" i="8"/>
  <c r="R289" i="8"/>
  <c r="Q289" i="8"/>
  <c r="R357" i="8"/>
  <c r="Q357" i="8"/>
  <c r="R285" i="8"/>
  <c r="Q285" i="8"/>
  <c r="R393" i="8"/>
  <c r="Q393" i="8"/>
  <c r="R380" i="8"/>
  <c r="Q380" i="8"/>
  <c r="Q267" i="8"/>
  <c r="R267" i="8"/>
  <c r="R316" i="8"/>
  <c r="Q316" i="8"/>
  <c r="R203" i="8"/>
  <c r="Q203" i="8"/>
  <c r="R383" i="8"/>
  <c r="Q383" i="8"/>
  <c r="R201" i="8"/>
  <c r="Q201" i="8"/>
  <c r="R385" i="8"/>
  <c r="Q385" i="8"/>
  <c r="R177" i="8"/>
  <c r="Q177" i="8"/>
  <c r="R300" i="8"/>
  <c r="Q300" i="8"/>
  <c r="R307" i="8"/>
  <c r="Q307" i="8"/>
  <c r="R125" i="8"/>
  <c r="Q125" i="8"/>
  <c r="R364" i="8"/>
  <c r="Q364" i="8"/>
  <c r="R305" i="8"/>
  <c r="Q305" i="8"/>
  <c r="R239" i="8"/>
  <c r="Q239" i="8"/>
  <c r="R215" i="8"/>
  <c r="Q215" i="8"/>
  <c r="R169" i="8"/>
  <c r="Q169" i="8"/>
  <c r="R144" i="8"/>
  <c r="Q144" i="8"/>
  <c r="R119" i="8"/>
  <c r="Q119" i="8"/>
  <c r="R95" i="8"/>
  <c r="Q95" i="8"/>
  <c r="R368" i="8"/>
  <c r="Q368" i="8"/>
  <c r="Q340" i="8"/>
  <c r="R340" i="8"/>
  <c r="R352" i="8"/>
  <c r="Q352" i="8"/>
  <c r="R344" i="8"/>
  <c r="Q344" i="8"/>
  <c r="Q376" i="8"/>
  <c r="R376" i="8"/>
  <c r="R157" i="8"/>
  <c r="Q157" i="8"/>
  <c r="Q288" i="8"/>
  <c r="R288" i="8"/>
  <c r="R335" i="8"/>
  <c r="Q335" i="8"/>
  <c r="R225" i="8"/>
  <c r="Q225" i="8"/>
  <c r="R317" i="8"/>
  <c r="Q317" i="8"/>
  <c r="R355" i="8"/>
  <c r="Q355" i="8"/>
  <c r="R281" i="8"/>
  <c r="Q281" i="8"/>
  <c r="R197" i="8"/>
  <c r="Q197" i="8"/>
  <c r="R373" i="8"/>
  <c r="Q373" i="8"/>
  <c r="R195" i="8"/>
  <c r="Q195" i="8"/>
  <c r="R148" i="8"/>
  <c r="Q148" i="8"/>
  <c r="Q388" i="8"/>
  <c r="R388" i="8"/>
  <c r="Q308" i="8"/>
  <c r="R308" i="8"/>
  <c r="R395" i="8"/>
  <c r="Q395" i="8"/>
  <c r="R371" i="8"/>
  <c r="Q371" i="8"/>
  <c r="R347" i="8"/>
  <c r="Q347" i="8"/>
  <c r="R323" i="8"/>
  <c r="Q323" i="8"/>
  <c r="R299" i="8"/>
  <c r="Q299" i="8"/>
  <c r="R274" i="8"/>
  <c r="Q274" i="8"/>
  <c r="R250" i="8"/>
  <c r="Q250" i="8"/>
  <c r="R341" i="8"/>
  <c r="Q341" i="8"/>
  <c r="R252" i="8"/>
  <c r="Q252" i="8"/>
  <c r="R237" i="8"/>
  <c r="Q237" i="8"/>
  <c r="R213" i="8"/>
  <c r="Q213" i="8"/>
  <c r="R167" i="8"/>
  <c r="Q167" i="8"/>
  <c r="S167" i="8" s="1"/>
  <c r="R142" i="8"/>
  <c r="Q142" i="8"/>
  <c r="R117" i="8"/>
  <c r="Q117" i="8"/>
  <c r="R93" i="8"/>
  <c r="Q93" i="8"/>
  <c r="R349" i="8"/>
  <c r="Q349" i="8"/>
  <c r="R272" i="8"/>
  <c r="Q272" i="8"/>
  <c r="R345" i="8"/>
  <c r="Q345" i="8"/>
  <c r="S345" i="8" s="1"/>
  <c r="R276" i="8"/>
  <c r="Q276" i="8"/>
  <c r="R332" i="8"/>
  <c r="Q332" i="8"/>
  <c r="R107" i="8"/>
  <c r="Q107" i="8"/>
  <c r="R348" i="8"/>
  <c r="Q348" i="8"/>
  <c r="R262" i="8"/>
  <c r="Q262" i="8"/>
  <c r="R155" i="8"/>
  <c r="Q155" i="8"/>
  <c r="S155" i="8" s="1"/>
  <c r="Q356" i="8"/>
  <c r="R356" i="8"/>
  <c r="R331" i="8"/>
  <c r="Q331" i="8"/>
  <c r="R301" i="8"/>
  <c r="Q301" i="8"/>
  <c r="R173" i="8"/>
  <c r="Q173" i="8"/>
  <c r="R99" i="8"/>
  <c r="Q99" i="8"/>
  <c r="R260" i="8"/>
  <c r="Q260" i="8"/>
  <c r="S260" i="8" s="1"/>
  <c r="R235" i="8"/>
  <c r="Q235" i="8"/>
  <c r="R211" i="8"/>
  <c r="Q211" i="8"/>
  <c r="R189" i="8"/>
  <c r="Q189" i="8"/>
  <c r="R165" i="8"/>
  <c r="Q165" i="8"/>
  <c r="R140" i="8"/>
  <c r="Q140" i="8"/>
  <c r="R115" i="8"/>
  <c r="Q115" i="8"/>
  <c r="S115" i="8" s="1"/>
  <c r="R91" i="8"/>
  <c r="Q91" i="8"/>
  <c r="R320" i="8"/>
  <c r="Q320" i="8"/>
  <c r="Q292" i="8"/>
  <c r="R292" i="8"/>
  <c r="R360" i="8"/>
  <c r="Q360" i="8"/>
  <c r="R336" i="8"/>
  <c r="Q336" i="8"/>
  <c r="R304" i="8"/>
  <c r="Q304" i="8"/>
  <c r="S304" i="8" s="1"/>
  <c r="R247" i="8"/>
  <c r="Q247" i="8"/>
  <c r="Q328" i="8"/>
  <c r="R328" i="8"/>
  <c r="R227" i="8"/>
  <c r="Q227" i="8"/>
  <c r="R359" i="8"/>
  <c r="Q359" i="8"/>
  <c r="R293" i="8"/>
  <c r="Q293" i="8"/>
  <c r="R105" i="8"/>
  <c r="Q105" i="8"/>
  <c r="S105" i="8" s="1"/>
  <c r="R127" i="8"/>
  <c r="Q127" i="8"/>
  <c r="R275" i="8"/>
  <c r="Q275" i="8"/>
  <c r="R365" i="8"/>
  <c r="Q365" i="8"/>
  <c r="R101" i="8"/>
  <c r="Q101" i="8"/>
  <c r="R243" i="8"/>
  <c r="Q243" i="8"/>
  <c r="R415" i="8"/>
  <c r="Q415" i="8"/>
  <c r="S415" i="8" s="1"/>
  <c r="R391" i="8"/>
  <c r="Q391" i="8"/>
  <c r="R367" i="8"/>
  <c r="Q367" i="8"/>
  <c r="R343" i="8"/>
  <c r="Q343" i="8"/>
  <c r="R319" i="8"/>
  <c r="Q319" i="8"/>
  <c r="R295" i="8"/>
  <c r="Q295" i="8"/>
  <c r="R270" i="8"/>
  <c r="Q270" i="8"/>
  <c r="S270" i="8" s="1"/>
  <c r="R246" i="8"/>
  <c r="Q246" i="8"/>
  <c r="R325" i="8"/>
  <c r="Q325" i="8"/>
  <c r="R233" i="8"/>
  <c r="Q233" i="8"/>
  <c r="R209" i="8"/>
  <c r="Q209" i="8"/>
  <c r="R187" i="8"/>
  <c r="Q187" i="8"/>
  <c r="R163" i="8"/>
  <c r="Q163" i="8"/>
  <c r="S163" i="8" s="1"/>
  <c r="R137" i="8"/>
  <c r="Q137" i="8"/>
  <c r="R113" i="8"/>
  <c r="Q113" i="8"/>
  <c r="R405" i="8"/>
  <c r="Q405" i="8"/>
  <c r="R337" i="8"/>
  <c r="Q337" i="8"/>
  <c r="R256" i="8"/>
  <c r="Q256" i="8"/>
  <c r="R333" i="8"/>
  <c r="Q333" i="8"/>
  <c r="S333" i="8" s="1"/>
  <c r="R264" i="8"/>
  <c r="Q264" i="8"/>
  <c r="R284" i="8"/>
  <c r="Q284" i="8"/>
  <c r="S76" i="7"/>
  <c r="S154" i="7"/>
  <c r="S131" i="7"/>
  <c r="S83" i="7"/>
  <c r="S25" i="7"/>
  <c r="S129" i="7"/>
  <c r="S81" i="7"/>
  <c r="S29" i="7"/>
  <c r="S144" i="7"/>
  <c r="S95" i="7"/>
  <c r="S43" i="7"/>
  <c r="S150" i="7"/>
  <c r="S101" i="7"/>
  <c r="S50" i="7"/>
  <c r="S156" i="7"/>
  <c r="S107" i="7"/>
  <c r="S57" i="7"/>
  <c r="S31" i="7"/>
  <c r="S146" i="7"/>
  <c r="S97" i="7"/>
  <c r="S45" i="7"/>
  <c r="S160" i="7"/>
  <c r="S111" i="7"/>
  <c r="S61" i="7"/>
  <c r="S11" i="7"/>
  <c r="S117" i="7"/>
  <c r="S67" i="7"/>
  <c r="S17" i="7"/>
  <c r="S123" i="7"/>
  <c r="S74" i="7"/>
  <c r="S23" i="7"/>
  <c r="S7" i="7"/>
  <c r="S113" i="7"/>
  <c r="S63" i="7"/>
  <c r="S13" i="7"/>
  <c r="S127" i="7"/>
  <c r="S79" i="7"/>
  <c r="S27" i="7"/>
  <c r="S133" i="7"/>
  <c r="S85" i="7"/>
  <c r="S34" i="7"/>
  <c r="S139" i="7"/>
  <c r="S91" i="7"/>
  <c r="S121" i="7"/>
  <c r="S72" i="7"/>
  <c r="S21" i="7"/>
  <c r="S135" i="7"/>
  <c r="S87" i="7"/>
  <c r="S36" i="7"/>
  <c r="S142" i="7"/>
  <c r="S93" i="7"/>
  <c r="S41" i="7"/>
  <c r="S148" i="7"/>
  <c r="S99" i="7"/>
  <c r="S47" i="7"/>
  <c r="R103" i="6"/>
  <c r="S103" i="6" s="1"/>
  <c r="R139" i="6"/>
  <c r="S139" i="6" s="1"/>
  <c r="S85" i="6"/>
  <c r="R56" i="6"/>
  <c r="S56" i="6" s="1"/>
  <c r="Q70" i="6"/>
  <c r="S70" i="6" s="1"/>
  <c r="R152" i="6"/>
  <c r="Q114" i="6"/>
  <c r="S114" i="6" s="1"/>
  <c r="R184" i="6"/>
  <c r="S184" i="6" s="1"/>
  <c r="S61" i="6"/>
  <c r="R79" i="6"/>
  <c r="S79" i="6" s="1"/>
  <c r="R173" i="6"/>
  <c r="S173" i="6" s="1"/>
  <c r="Q182" i="6"/>
  <c r="S182" i="6" s="1"/>
  <c r="Q80" i="6"/>
  <c r="S80" i="6" s="1"/>
  <c r="Q106" i="6"/>
  <c r="S106" i="6" s="1"/>
  <c r="Q229" i="6"/>
  <c r="S229" i="6" s="1"/>
  <c r="S219" i="6"/>
  <c r="R109" i="6"/>
  <c r="S109" i="6" s="1"/>
  <c r="Q213" i="6"/>
  <c r="S213" i="6" s="1"/>
  <c r="Q35" i="6"/>
  <c r="S35" i="6" s="1"/>
  <c r="Q174" i="6"/>
  <c r="S174" i="6" s="1"/>
  <c r="Q192" i="6"/>
  <c r="S192" i="6" s="1"/>
  <c r="S413" i="6"/>
  <c r="Q124" i="6"/>
  <c r="S124" i="6" s="1"/>
  <c r="S92" i="6"/>
  <c r="Q116" i="6"/>
  <c r="S116" i="6" s="1"/>
  <c r="Q43" i="6"/>
  <c r="S43" i="6" s="1"/>
  <c r="Q147" i="6"/>
  <c r="S147" i="6" s="1"/>
  <c r="S207" i="6"/>
  <c r="R123" i="6"/>
  <c r="S123" i="6" s="1"/>
  <c r="Q149" i="6"/>
  <c r="S149" i="6" s="1"/>
  <c r="S341" i="6"/>
  <c r="R168" i="6"/>
  <c r="S168" i="6" s="1"/>
  <c r="R10" i="6"/>
  <c r="S10" i="6" s="1"/>
  <c r="S314" i="6"/>
  <c r="S72" i="6"/>
  <c r="Q164" i="6"/>
  <c r="S164" i="6" s="1"/>
  <c r="Q132" i="6"/>
  <c r="S132" i="6" s="1"/>
  <c r="Q134" i="6"/>
  <c r="S134" i="6" s="1"/>
  <c r="Q67" i="6"/>
  <c r="S67" i="6" s="1"/>
  <c r="R115" i="6"/>
  <c r="S115" i="6" s="1"/>
  <c r="Q180" i="6"/>
  <c r="S180" i="6" s="1"/>
  <c r="Q190" i="6"/>
  <c r="S190" i="6" s="1"/>
  <c r="R17" i="6"/>
  <c r="S17" i="6" s="1"/>
  <c r="S63" i="6"/>
  <c r="R46" i="6"/>
  <c r="S46" i="6" s="1"/>
  <c r="Q166" i="6"/>
  <c r="S166" i="6" s="1"/>
  <c r="R105" i="6"/>
  <c r="S105" i="6" s="1"/>
  <c r="R82" i="6"/>
  <c r="R240" i="6"/>
  <c r="S240" i="6" s="1"/>
  <c r="Q31" i="6"/>
  <c r="S31" i="6" s="1"/>
  <c r="R77" i="6"/>
  <c r="S77" i="6" s="1"/>
  <c r="Q47" i="6"/>
  <c r="S47" i="6" s="1"/>
  <c r="R230" i="6"/>
  <c r="S230" i="6" s="1"/>
  <c r="S76" i="6"/>
  <c r="Q19" i="6"/>
  <c r="S19" i="6" s="1"/>
  <c r="Q45" i="6"/>
  <c r="S45" i="6" s="1"/>
  <c r="R246" i="6"/>
  <c r="S246" i="6" s="1"/>
  <c r="R215" i="6"/>
  <c r="S215" i="6" s="1"/>
  <c r="Q197" i="6"/>
  <c r="S197" i="6" s="1"/>
  <c r="Q140" i="6"/>
  <c r="S140" i="6" s="1"/>
  <c r="R232" i="6"/>
  <c r="S232" i="6" s="1"/>
  <c r="S16" i="6"/>
  <c r="R165" i="6"/>
  <c r="S165" i="6" s="1"/>
  <c r="R196" i="6"/>
  <c r="S196" i="6" s="1"/>
  <c r="Q4" i="6"/>
  <c r="S4" i="6" s="1"/>
  <c r="R71" i="6"/>
  <c r="S71" i="6" s="1"/>
  <c r="R214" i="6"/>
  <c r="S214" i="6" s="1"/>
  <c r="R122" i="6"/>
  <c r="Q122" i="6"/>
  <c r="Q33" i="6"/>
  <c r="S33" i="6" s="1"/>
  <c r="S370" i="6"/>
  <c r="S59" i="6"/>
  <c r="Q37" i="6"/>
  <c r="R37" i="6"/>
  <c r="R32" i="6"/>
  <c r="S32" i="6" s="1"/>
  <c r="R156" i="6"/>
  <c r="Q156" i="6"/>
  <c r="Q209" i="6"/>
  <c r="R209" i="6"/>
  <c r="R97" i="6"/>
  <c r="S97" i="6" s="1"/>
  <c r="R62" i="6"/>
  <c r="S62" i="6" s="1"/>
  <c r="R189" i="6"/>
  <c r="S189" i="6" s="1"/>
  <c r="Q231" i="6"/>
  <c r="R231" i="6"/>
  <c r="S204" i="6"/>
  <c r="R188" i="6"/>
  <c r="Q188" i="6"/>
  <c r="Q130" i="6"/>
  <c r="S130" i="6" s="1"/>
  <c r="Q104" i="6"/>
  <c r="S104" i="6" s="1"/>
  <c r="Q195" i="6"/>
  <c r="Q244" i="6"/>
  <c r="R244" i="6"/>
  <c r="Q160" i="6"/>
  <c r="S160" i="6" s="1"/>
  <c r="R243" i="6"/>
  <c r="Q243" i="6"/>
  <c r="Q208" i="6"/>
  <c r="R208" i="6"/>
  <c r="R39" i="6"/>
  <c r="Q39" i="6"/>
  <c r="R2" i="6"/>
  <c r="R5" i="6" s="1"/>
  <c r="Q2" i="6"/>
  <c r="Q5" i="6" s="1"/>
  <c r="S225" i="6"/>
  <c r="S242" i="6"/>
  <c r="R27" i="6"/>
  <c r="Q27" i="6"/>
  <c r="R172" i="6"/>
  <c r="Q172" i="6"/>
  <c r="S228" i="6"/>
  <c r="S125" i="6"/>
  <c r="R138" i="6"/>
  <c r="Q138" i="6"/>
  <c r="R143" i="6"/>
  <c r="Q23" i="6"/>
  <c r="S23" i="6" s="1"/>
  <c r="Q7" i="6"/>
  <c r="R54" i="6"/>
  <c r="R29" i="6"/>
  <c r="Q29" i="6"/>
  <c r="R51" i="6"/>
  <c r="Q51" i="6"/>
  <c r="S159" i="6"/>
  <c r="Q95" i="6"/>
  <c r="R95" i="6"/>
  <c r="R58" i="6"/>
  <c r="Q58" i="6"/>
  <c r="Q94" i="6"/>
  <c r="Q96" i="6"/>
  <c r="S96" i="6" s="1"/>
  <c r="Q176" i="6"/>
  <c r="S176" i="6" s="1"/>
  <c r="Q126" i="6"/>
  <c r="S126" i="6" s="1"/>
  <c r="Q84" i="6"/>
  <c r="R84" i="6"/>
  <c r="S18" i="6"/>
  <c r="Q158" i="6"/>
  <c r="S158" i="6" s="1"/>
  <c r="Q66" i="6"/>
  <c r="R66" i="6"/>
  <c r="Q25" i="6"/>
  <c r="R25" i="6"/>
  <c r="S233" i="6"/>
  <c r="R203" i="6"/>
  <c r="Q203" i="6"/>
  <c r="S191" i="6"/>
  <c r="S238" i="6"/>
  <c r="Q21" i="6"/>
  <c r="S21" i="6" s="1"/>
  <c r="Q12" i="6"/>
  <c r="R12" i="6"/>
  <c r="R34" i="6"/>
  <c r="S34" i="6" s="1"/>
  <c r="Q118" i="6"/>
  <c r="S118" i="6" s="1"/>
  <c r="Q60" i="6"/>
  <c r="R60" i="6"/>
  <c r="R41" i="6"/>
  <c r="Q41" i="6"/>
  <c r="R14" i="6"/>
  <c r="Q14" i="6"/>
  <c r="S217" i="6"/>
  <c r="Q107" i="6"/>
  <c r="R107" i="6"/>
  <c r="Q239" i="6"/>
  <c r="R239" i="6"/>
  <c r="R64" i="6"/>
  <c r="Q64" i="6"/>
  <c r="S342" i="6"/>
  <c r="S403" i="6"/>
  <c r="S386" i="6"/>
  <c r="R49" i="6"/>
  <c r="Q49" i="6"/>
  <c r="R159" i="7"/>
  <c r="Q159" i="7"/>
  <c r="R134" i="7"/>
  <c r="Q134" i="7"/>
  <c r="R110" i="7"/>
  <c r="Q110" i="7"/>
  <c r="R86" i="7"/>
  <c r="Q86" i="7"/>
  <c r="R60" i="7"/>
  <c r="Q60" i="7"/>
  <c r="R35" i="7"/>
  <c r="Q35" i="7"/>
  <c r="Q48" i="7" s="1"/>
  <c r="R10" i="7"/>
  <c r="Q10" i="7"/>
  <c r="R157" i="7"/>
  <c r="Q157" i="7"/>
  <c r="R132" i="7"/>
  <c r="Q132" i="7"/>
  <c r="R108" i="7"/>
  <c r="Q108" i="7"/>
  <c r="R84" i="7"/>
  <c r="Q84" i="7"/>
  <c r="R58" i="7"/>
  <c r="Q58" i="7"/>
  <c r="R32" i="7"/>
  <c r="Q32" i="7"/>
  <c r="R8" i="7"/>
  <c r="Q8" i="7"/>
  <c r="R130" i="7"/>
  <c r="Q130" i="7"/>
  <c r="R82" i="7"/>
  <c r="Q82" i="7"/>
  <c r="R30" i="7"/>
  <c r="Q30" i="7"/>
  <c r="R128" i="7"/>
  <c r="Q128" i="7"/>
  <c r="R80" i="7"/>
  <c r="Q80" i="7"/>
  <c r="R28" i="7"/>
  <c r="Q28" i="7"/>
  <c r="R151" i="7"/>
  <c r="Q151" i="7"/>
  <c r="R126" i="7"/>
  <c r="Q126" i="7"/>
  <c r="R102" i="7"/>
  <c r="Q102" i="7"/>
  <c r="R78" i="7"/>
  <c r="Q78" i="7"/>
  <c r="R51" i="7"/>
  <c r="Q51" i="7"/>
  <c r="R26" i="7"/>
  <c r="Q26" i="7"/>
  <c r="R155" i="7"/>
  <c r="Q155" i="7"/>
  <c r="R106" i="7"/>
  <c r="Q106" i="7"/>
  <c r="R56" i="7"/>
  <c r="Q56" i="7"/>
  <c r="R5" i="7"/>
  <c r="Q5" i="7"/>
  <c r="R153" i="7"/>
  <c r="Q153" i="7"/>
  <c r="R104" i="7"/>
  <c r="Q104" i="7"/>
  <c r="R53" i="7"/>
  <c r="Q53" i="7"/>
  <c r="R2" i="7"/>
  <c r="R4" i="7" s="1"/>
  <c r="Q2" i="7"/>
  <c r="Q4" i="7" s="1"/>
  <c r="R149" i="7"/>
  <c r="Q149" i="7"/>
  <c r="R124" i="7"/>
  <c r="Q124" i="7"/>
  <c r="R100" i="7"/>
  <c r="Q100" i="7"/>
  <c r="R75" i="7"/>
  <c r="Q75" i="7"/>
  <c r="R49" i="7"/>
  <c r="Q49" i="7"/>
  <c r="Q55" i="7" s="1"/>
  <c r="R24" i="7"/>
  <c r="Q24" i="7"/>
  <c r="R147" i="7"/>
  <c r="Q147" i="7"/>
  <c r="R122" i="7"/>
  <c r="Q122" i="7"/>
  <c r="R73" i="7"/>
  <c r="Q73" i="7"/>
  <c r="R46" i="7"/>
  <c r="Q46" i="7"/>
  <c r="R22" i="7"/>
  <c r="Q22" i="7"/>
  <c r="R145" i="7"/>
  <c r="Q145" i="7"/>
  <c r="R120" i="7"/>
  <c r="Q120" i="7"/>
  <c r="R96" i="7"/>
  <c r="Q96" i="7"/>
  <c r="R71" i="7"/>
  <c r="Q71" i="7"/>
  <c r="R44" i="7"/>
  <c r="Q44" i="7"/>
  <c r="R20" i="7"/>
  <c r="Q20" i="7"/>
  <c r="R143" i="7"/>
  <c r="Q143" i="7"/>
  <c r="R118" i="7"/>
  <c r="Q118" i="7"/>
  <c r="R94" i="7"/>
  <c r="Q94" i="7"/>
  <c r="R68" i="7"/>
  <c r="Q68" i="7"/>
  <c r="R42" i="7"/>
  <c r="Q42" i="7"/>
  <c r="R18" i="7"/>
  <c r="Q18" i="7"/>
  <c r="S137" i="7"/>
  <c r="S89" i="7"/>
  <c r="S38" i="7"/>
  <c r="S152" i="7"/>
  <c r="S103" i="7"/>
  <c r="S52" i="7"/>
  <c r="S158" i="7"/>
  <c r="S109" i="7"/>
  <c r="S59" i="7"/>
  <c r="S9" i="7"/>
  <c r="S115" i="7"/>
  <c r="S65" i="7"/>
  <c r="S15" i="7"/>
  <c r="R141" i="7"/>
  <c r="Q141" i="7"/>
  <c r="R116" i="7"/>
  <c r="Q116" i="7"/>
  <c r="R92" i="7"/>
  <c r="Q92" i="7"/>
  <c r="R66" i="7"/>
  <c r="Q66" i="7"/>
  <c r="R40" i="7"/>
  <c r="Q40" i="7"/>
  <c r="R16" i="7"/>
  <c r="Q16" i="7"/>
  <c r="R162" i="7"/>
  <c r="Q162" i="7"/>
  <c r="R114" i="7"/>
  <c r="Q114" i="7"/>
  <c r="R14" i="7"/>
  <c r="Q14" i="7"/>
  <c r="R138" i="7"/>
  <c r="Q138" i="7"/>
  <c r="R90" i="7"/>
  <c r="Q90" i="7"/>
  <c r="R64" i="7"/>
  <c r="Q64" i="7"/>
  <c r="R39" i="7"/>
  <c r="Q39" i="7"/>
  <c r="R161" i="7"/>
  <c r="Q161" i="7"/>
  <c r="R136" i="7"/>
  <c r="Q136" i="7"/>
  <c r="R112" i="7"/>
  <c r="Q112" i="7"/>
  <c r="R88" i="7"/>
  <c r="Q88" i="7"/>
  <c r="R62" i="7"/>
  <c r="Q62" i="7"/>
  <c r="R37" i="7"/>
  <c r="Q37" i="7"/>
  <c r="R12" i="7"/>
  <c r="Q12" i="7"/>
  <c r="Q273" i="6"/>
  <c r="R273" i="6"/>
  <c r="R237" i="6"/>
  <c r="Q237" i="6"/>
  <c r="Q223" i="6"/>
  <c r="R223" i="6"/>
  <c r="Q135" i="6"/>
  <c r="R135" i="6"/>
  <c r="R419" i="6"/>
  <c r="Q419" i="6"/>
  <c r="R399" i="6"/>
  <c r="Q399" i="6"/>
  <c r="Q405" i="6"/>
  <c r="R405" i="6"/>
  <c r="R284" i="6"/>
  <c r="Q284" i="6"/>
  <c r="R294" i="6"/>
  <c r="Q294" i="6"/>
  <c r="R315" i="6"/>
  <c r="Q315" i="6"/>
  <c r="R309" i="6"/>
  <c r="Q309" i="6"/>
  <c r="S101" i="6"/>
  <c r="R308" i="6"/>
  <c r="Q308" i="6"/>
  <c r="Q153" i="6"/>
  <c r="R153" i="6"/>
  <c r="Q218" i="6"/>
  <c r="R218" i="6"/>
  <c r="R371" i="6"/>
  <c r="Q371" i="6"/>
  <c r="Q299" i="6"/>
  <c r="R299" i="6"/>
  <c r="R364" i="6"/>
  <c r="Q364" i="6"/>
  <c r="S417" i="6"/>
  <c r="R283" i="6"/>
  <c r="Q283" i="6"/>
  <c r="S88" i="6"/>
  <c r="Q119" i="6"/>
  <c r="R119" i="6"/>
  <c r="Q268" i="6"/>
  <c r="R268" i="6"/>
  <c r="S183" i="6"/>
  <c r="S150" i="6"/>
  <c r="S117" i="6"/>
  <c r="Q271" i="6"/>
  <c r="R271" i="6"/>
  <c r="Q333" i="6"/>
  <c r="R333" i="6"/>
  <c r="R211" i="6"/>
  <c r="Q211" i="6"/>
  <c r="R98" i="6"/>
  <c r="Q98" i="6"/>
  <c r="Q38" i="6"/>
  <c r="R38" i="6"/>
  <c r="Q210" i="6"/>
  <c r="R210" i="6"/>
  <c r="Q90" i="6"/>
  <c r="R90" i="6"/>
  <c r="R382" i="6"/>
  <c r="Q382" i="6"/>
  <c r="Q161" i="6"/>
  <c r="R161" i="6"/>
  <c r="R265" i="6"/>
  <c r="Q265" i="6"/>
  <c r="R379" i="6"/>
  <c r="Q379" i="6"/>
  <c r="R297" i="6"/>
  <c r="Q297" i="6"/>
  <c r="Q113" i="6"/>
  <c r="R113" i="6"/>
  <c r="Q267" i="6"/>
  <c r="R267" i="6"/>
  <c r="R274" i="6"/>
  <c r="Q274" i="6"/>
  <c r="S274" i="6" s="1"/>
  <c r="R407" i="6"/>
  <c r="Q407" i="6"/>
  <c r="R339" i="6"/>
  <c r="Q339" i="6"/>
  <c r="Q171" i="6"/>
  <c r="R171" i="6"/>
  <c r="S42" i="6"/>
  <c r="R324" i="6"/>
  <c r="Q324" i="6"/>
  <c r="R348" i="6"/>
  <c r="Q348" i="6"/>
  <c r="R83" i="6"/>
  <c r="Q83" i="6"/>
  <c r="R276" i="6"/>
  <c r="Q276" i="6"/>
  <c r="Q216" i="6"/>
  <c r="R216" i="6"/>
  <c r="R404" i="6"/>
  <c r="Q404" i="6"/>
  <c r="R390" i="6"/>
  <c r="Q390" i="6"/>
  <c r="R291" i="6"/>
  <c r="Q291" i="6"/>
  <c r="Q356" i="6"/>
  <c r="R356" i="6"/>
  <c r="Q234" i="6"/>
  <c r="R234" i="6"/>
  <c r="Q73" i="6"/>
  <c r="R73" i="6"/>
  <c r="Q352" i="6"/>
  <c r="R352" i="6"/>
  <c r="Q312" i="6"/>
  <c r="R312" i="6"/>
  <c r="S198" i="6"/>
  <c r="S167" i="6"/>
  <c r="S133" i="6"/>
  <c r="Q24" i="6"/>
  <c r="R24" i="6"/>
  <c r="Q236" i="6"/>
  <c r="R236" i="6"/>
  <c r="R316" i="6"/>
  <c r="Q316" i="6"/>
  <c r="Q253" i="6"/>
  <c r="R253" i="6"/>
  <c r="R221" i="6"/>
  <c r="Q221" i="6"/>
  <c r="Q144" i="6"/>
  <c r="R144" i="6"/>
  <c r="S13" i="6"/>
  <c r="S3" i="6"/>
  <c r="R397" i="6"/>
  <c r="Q397" i="6"/>
  <c r="Q146" i="6"/>
  <c r="R146" i="6"/>
  <c r="Q111" i="6"/>
  <c r="R111" i="6"/>
  <c r="Q300" i="6"/>
  <c r="R300" i="6"/>
  <c r="Q331" i="6"/>
  <c r="R331" i="6"/>
  <c r="Q137" i="6"/>
  <c r="R137" i="6"/>
  <c r="Q127" i="6"/>
  <c r="R127" i="6"/>
  <c r="Q226" i="6"/>
  <c r="R226" i="6"/>
  <c r="S304" i="6"/>
  <c r="R249" i="6"/>
  <c r="Q249" i="6"/>
  <c r="R323" i="6"/>
  <c r="Q323" i="6"/>
  <c r="Q28" i="6"/>
  <c r="R28" i="6"/>
  <c r="R347" i="6"/>
  <c r="Q347" i="6"/>
  <c r="R396" i="6"/>
  <c r="Q396" i="6"/>
  <c r="S320" i="6"/>
  <c r="S345" i="6"/>
  <c r="Q254" i="6"/>
  <c r="R254" i="6"/>
  <c r="R337" i="6"/>
  <c r="Q337" i="6"/>
  <c r="Q292" i="6"/>
  <c r="R292" i="6"/>
  <c r="Q163" i="6"/>
  <c r="R163" i="6"/>
  <c r="Q129" i="6"/>
  <c r="R129" i="6"/>
  <c r="Q307" i="6"/>
  <c r="R307" i="6"/>
  <c r="R266" i="6"/>
  <c r="Q266" i="6"/>
  <c r="Q279" i="6"/>
  <c r="R279" i="6"/>
  <c r="R354" i="6"/>
  <c r="Q354" i="6"/>
  <c r="Q179" i="6"/>
  <c r="R179" i="6"/>
  <c r="R108" i="6"/>
  <c r="Q108" i="6"/>
  <c r="R363" i="6"/>
  <c r="Q363" i="6"/>
  <c r="R275" i="6"/>
  <c r="Q275" i="6"/>
  <c r="R245" i="6"/>
  <c r="Q245" i="6"/>
  <c r="Q99" i="6"/>
  <c r="R99" i="6"/>
  <c r="Q202" i="6"/>
  <c r="R202" i="6"/>
  <c r="Q36" i="6"/>
  <c r="R36" i="6"/>
  <c r="R406" i="6"/>
  <c r="Q406" i="6"/>
  <c r="S30" i="6"/>
  <c r="Q258" i="6"/>
  <c r="R258" i="6"/>
  <c r="R374" i="6"/>
  <c r="Q374" i="6"/>
  <c r="R259" i="6"/>
  <c r="Q259" i="6"/>
  <c r="Q200" i="6"/>
  <c r="R200" i="6"/>
  <c r="R248" i="6"/>
  <c r="Q248" i="6"/>
  <c r="S102" i="6"/>
  <c r="S68" i="6"/>
  <c r="Q11" i="6"/>
  <c r="R11" i="6"/>
  <c r="S205" i="6"/>
  <c r="S65" i="6"/>
  <c r="S89" i="6"/>
  <c r="R380" i="6"/>
  <c r="Q380" i="6"/>
  <c r="Q302" i="6"/>
  <c r="R302" i="6"/>
  <c r="Q26" i="6"/>
  <c r="R26" i="6"/>
  <c r="R355" i="6"/>
  <c r="Q355" i="6"/>
  <c r="Q256" i="6"/>
  <c r="R256" i="6"/>
  <c r="S142" i="6"/>
  <c r="R387" i="6"/>
  <c r="Q387" i="6"/>
  <c r="R325" i="6"/>
  <c r="Q325" i="6"/>
  <c r="Q388" i="6"/>
  <c r="R388" i="6"/>
  <c r="R305" i="6"/>
  <c r="Q305" i="6"/>
  <c r="Q332" i="6"/>
  <c r="R332" i="6"/>
  <c r="R340" i="6"/>
  <c r="Q340" i="6"/>
  <c r="Q86" i="6"/>
  <c r="R86" i="6"/>
  <c r="R301" i="6"/>
  <c r="Q301" i="6"/>
  <c r="Q212" i="6"/>
  <c r="R212" i="6"/>
  <c r="Q177" i="6"/>
  <c r="R177" i="6"/>
  <c r="R415" i="6"/>
  <c r="Q415" i="6"/>
  <c r="Q247" i="6"/>
  <c r="R247" i="6"/>
  <c r="R358" i="6"/>
  <c r="Q358" i="6"/>
  <c r="R260" i="6"/>
  <c r="Q260" i="6"/>
  <c r="Q366" i="6"/>
  <c r="R366" i="6"/>
  <c r="Q169" i="6"/>
  <c r="R169" i="6"/>
  <c r="S175" i="6"/>
  <c r="R414" i="6"/>
  <c r="Q414" i="6"/>
  <c r="Q372" i="6"/>
  <c r="R372" i="6"/>
  <c r="Q185" i="6"/>
  <c r="R185" i="6"/>
  <c r="R272" i="6"/>
  <c r="Q272" i="6"/>
  <c r="Q187" i="6"/>
  <c r="R187" i="6"/>
  <c r="Q155" i="6"/>
  <c r="R155" i="6"/>
  <c r="Q121" i="6"/>
  <c r="R121" i="6"/>
  <c r="Q40" i="6"/>
  <c r="R40" i="6"/>
  <c r="S75" i="6"/>
  <c r="S74" i="3"/>
  <c r="S15" i="3"/>
  <c r="S17" i="3"/>
  <c r="S103" i="3"/>
  <c r="S148" i="3"/>
  <c r="S27" i="3"/>
  <c r="S45" i="3"/>
  <c r="R136" i="2"/>
  <c r="S136" i="2" s="1"/>
  <c r="R196" i="2"/>
  <c r="S196" i="2" s="1"/>
  <c r="S110" i="2"/>
  <c r="Q220" i="2"/>
  <c r="S220" i="2" s="1"/>
  <c r="Q147" i="2"/>
  <c r="S147" i="2" s="1"/>
  <c r="S2" i="2"/>
  <c r="Q221" i="2"/>
  <c r="S221" i="2" s="1"/>
  <c r="R96" i="2"/>
  <c r="R372" i="2"/>
  <c r="S372" i="2" s="1"/>
  <c r="R281" i="2"/>
  <c r="S281" i="2" s="1"/>
  <c r="R118" i="2"/>
  <c r="S118" i="2" s="1"/>
  <c r="Q65" i="2"/>
  <c r="R137" i="2"/>
  <c r="S137" i="2" s="1"/>
  <c r="R416" i="2"/>
  <c r="R241" i="2"/>
  <c r="S241" i="2" s="1"/>
  <c r="Q440" i="2"/>
  <c r="S440" i="2" s="1"/>
  <c r="S174" i="2"/>
  <c r="Q150" i="2"/>
  <c r="S150" i="2" s="1"/>
  <c r="R200" i="2"/>
  <c r="S200" i="2" s="1"/>
  <c r="R290" i="2"/>
  <c r="S290" i="2" s="1"/>
  <c r="R263" i="2"/>
  <c r="S263" i="2" s="1"/>
  <c r="Q74" i="2"/>
  <c r="S74" i="2" s="1"/>
  <c r="R286" i="2"/>
  <c r="S286" i="2" s="1"/>
  <c r="R193" i="2"/>
  <c r="S193" i="2" s="1"/>
  <c r="R355" i="2"/>
  <c r="S355" i="2" s="1"/>
  <c r="R234" i="2"/>
  <c r="S234" i="2" s="1"/>
  <c r="R317" i="2"/>
  <c r="S317" i="2" s="1"/>
  <c r="S77" i="2"/>
  <c r="Q365" i="2"/>
  <c r="S365" i="2" s="1"/>
  <c r="Q102" i="2"/>
  <c r="S102" i="2" s="1"/>
  <c r="S48" i="2"/>
  <c r="Q92" i="2"/>
  <c r="S92" i="2" s="1"/>
  <c r="R361" i="2"/>
  <c r="S361" i="2" s="1"/>
  <c r="S314" i="2"/>
  <c r="Q45" i="2"/>
  <c r="S45" i="2" s="1"/>
  <c r="Q46" i="2"/>
  <c r="S46" i="2" s="1"/>
  <c r="R381" i="2"/>
  <c r="S381" i="2" s="1"/>
  <c r="S98" i="2"/>
  <c r="R236" i="2"/>
  <c r="S236" i="2" s="1"/>
  <c r="Q40" i="2"/>
  <c r="S40" i="2" s="1"/>
  <c r="Q382" i="2"/>
  <c r="S382" i="2" s="1"/>
  <c r="Q189" i="2"/>
  <c r="S189" i="2" s="1"/>
  <c r="Q287" i="2"/>
  <c r="S287" i="2" s="1"/>
  <c r="R331" i="2"/>
  <c r="S331" i="2" s="1"/>
  <c r="Q78" i="2"/>
  <c r="S78" i="2" s="1"/>
  <c r="R298" i="2"/>
  <c r="S298" i="2" s="1"/>
  <c r="Q94" i="2"/>
  <c r="S94" i="2" s="1"/>
  <c r="Q225" i="2"/>
  <c r="S225" i="2" s="1"/>
  <c r="S294" i="2"/>
  <c r="R171" i="2"/>
  <c r="Q274" i="2"/>
  <c r="S274" i="2" s="1"/>
  <c r="Q190" i="2"/>
  <c r="S190" i="2" s="1"/>
  <c r="Q138" i="2"/>
  <c r="S138" i="2" s="1"/>
  <c r="Q67" i="2"/>
  <c r="S67" i="2" s="1"/>
  <c r="Q66" i="2"/>
  <c r="S66" i="2" s="1"/>
  <c r="Q301" i="2"/>
  <c r="S301" i="2" s="1"/>
  <c r="S453" i="2"/>
  <c r="R142" i="2"/>
  <c r="S142" i="2" s="1"/>
  <c r="Q432" i="2"/>
  <c r="S432" i="2" s="1"/>
  <c r="R204" i="2"/>
  <c r="S204" i="2" s="1"/>
  <c r="Q53" i="2"/>
  <c r="S53" i="2" s="1"/>
  <c r="Q439" i="2"/>
  <c r="S439" i="2" s="1"/>
  <c r="Q39" i="2"/>
  <c r="S39" i="2" s="1"/>
  <c r="Q424" i="2"/>
  <c r="S424" i="2" s="1"/>
  <c r="Q326" i="2"/>
  <c r="S326" i="2" s="1"/>
  <c r="R154" i="2"/>
  <c r="S154" i="2" s="1"/>
  <c r="S186" i="2"/>
  <c r="R248" i="2"/>
  <c r="Q116" i="2"/>
  <c r="S116" i="2" s="1"/>
  <c r="S113" i="2"/>
  <c r="S188" i="2"/>
  <c r="S185" i="2"/>
  <c r="S6" i="5"/>
  <c r="Q4" i="5"/>
  <c r="S4" i="5" s="1"/>
  <c r="Q15" i="5"/>
  <c r="S15" i="5" s="1"/>
  <c r="S8" i="5"/>
  <c r="Q14" i="5"/>
  <c r="S14" i="5" s="1"/>
  <c r="S12" i="5"/>
  <c r="Q7" i="5"/>
  <c r="S7" i="5" s="1"/>
  <c r="Q13" i="5"/>
  <c r="R13" i="5"/>
  <c r="Q5" i="5"/>
  <c r="R5" i="5"/>
  <c r="S11" i="5"/>
  <c r="S10" i="5"/>
  <c r="S128" i="3"/>
  <c r="R366" i="2"/>
  <c r="S366" i="2" s="1"/>
  <c r="R201" i="2"/>
  <c r="S201" i="2" s="1"/>
  <c r="S431" i="2"/>
  <c r="Q257" i="2"/>
  <c r="S257" i="2" s="1"/>
  <c r="Q427" i="2"/>
  <c r="S427" i="2" s="1"/>
  <c r="Q256" i="2"/>
  <c r="S256" i="2" s="1"/>
  <c r="S252" i="2"/>
  <c r="S30" i="2"/>
  <c r="S293" i="2"/>
  <c r="Q273" i="2"/>
  <c r="R273" i="2"/>
  <c r="Q345" i="2"/>
  <c r="S345" i="2" s="1"/>
  <c r="R210" i="2"/>
  <c r="S210" i="2" s="1"/>
  <c r="Q388" i="2"/>
  <c r="S388" i="2" s="1"/>
  <c r="Q88" i="2"/>
  <c r="S88" i="2" s="1"/>
  <c r="R235" i="2"/>
  <c r="S235" i="2" s="1"/>
  <c r="Q41" i="2"/>
  <c r="S41" i="2" s="1"/>
  <c r="Q202" i="2"/>
  <c r="S202" i="2" s="1"/>
  <c r="R330" i="2"/>
  <c r="S330" i="2" s="1"/>
  <c r="R299" i="2"/>
  <c r="S299" i="2" s="1"/>
  <c r="Q101" i="2"/>
  <c r="S101" i="2" s="1"/>
  <c r="R285" i="2"/>
  <c r="S285" i="2" s="1"/>
  <c r="S410" i="2"/>
  <c r="S63" i="2"/>
  <c r="S129" i="2"/>
  <c r="S421" i="2"/>
  <c r="R140" i="2"/>
  <c r="S140" i="2" s="1"/>
  <c r="S4" i="2"/>
  <c r="Q68" i="2"/>
  <c r="S68" i="2" s="1"/>
  <c r="Q141" i="2"/>
  <c r="R141" i="2"/>
  <c r="S115" i="3"/>
  <c r="S101" i="3"/>
  <c r="S89" i="3"/>
  <c r="S23" i="3"/>
  <c r="S168" i="3"/>
  <c r="S37" i="3"/>
  <c r="S60" i="3"/>
  <c r="S122" i="3"/>
  <c r="S141" i="3"/>
  <c r="S165" i="3"/>
  <c r="Q403" i="2"/>
  <c r="S403" i="2" s="1"/>
  <c r="R397" i="2"/>
  <c r="S397" i="2" s="1"/>
  <c r="Q357" i="2"/>
  <c r="S357" i="2" s="1"/>
  <c r="Q215" i="2"/>
  <c r="Q152" i="2"/>
  <c r="S152" i="2" s="1"/>
  <c r="Q232" i="2"/>
  <c r="R232" i="2"/>
  <c r="R80" i="2"/>
  <c r="Q80" i="2"/>
  <c r="R364" i="2"/>
  <c r="Q364" i="2"/>
  <c r="R336" i="2"/>
  <c r="S336" i="2" s="1"/>
  <c r="Q376" i="2"/>
  <c r="R376" i="2"/>
  <c r="Q276" i="2"/>
  <c r="R276" i="2"/>
  <c r="Q207" i="2"/>
  <c r="R207" i="2"/>
  <c r="S370" i="2"/>
  <c r="R37" i="2"/>
  <c r="S37" i="2" s="1"/>
  <c r="R166" i="2"/>
  <c r="R168" i="2" s="1"/>
  <c r="Q166" i="2"/>
  <c r="Q168" i="2" s="1"/>
  <c r="R405" i="2"/>
  <c r="Q405" i="2"/>
  <c r="Q239" i="2"/>
  <c r="R239" i="2"/>
  <c r="Q49" i="2"/>
  <c r="S49" i="2" s="1"/>
  <c r="R227" i="2"/>
  <c r="S227" i="2" s="1"/>
  <c r="S163" i="2"/>
  <c r="R246" i="2"/>
  <c r="S246" i="2" s="1"/>
  <c r="R386" i="2"/>
  <c r="Q386" i="2"/>
  <c r="Q211" i="2"/>
  <c r="R211" i="2"/>
  <c r="R122" i="2"/>
  <c r="Q122" i="2"/>
  <c r="Q350" i="2"/>
  <c r="R350" i="2"/>
  <c r="R144" i="2"/>
  <c r="Q144" i="2"/>
  <c r="Q54" i="2"/>
  <c r="S54" i="2" s="1"/>
  <c r="Q218" i="2"/>
  <c r="S218" i="2" s="1"/>
  <c r="Q82" i="2"/>
  <c r="S82" i="2" s="1"/>
  <c r="Q6" i="2"/>
  <c r="R6" i="2"/>
  <c r="R380" i="2"/>
  <c r="Q380" i="2"/>
  <c r="R435" i="2"/>
  <c r="Q435" i="2"/>
  <c r="Q259" i="2"/>
  <c r="R259" i="2"/>
  <c r="R195" i="2"/>
  <c r="S195" i="2" s="1"/>
  <c r="R245" i="2"/>
  <c r="S245" i="2" s="1"/>
  <c r="R280" i="2"/>
  <c r="S280" i="2" s="1"/>
  <c r="S61" i="2"/>
  <c r="S64" i="2" s="1"/>
  <c r="S325" i="2"/>
  <c r="R401" i="2"/>
  <c r="Q401" i="2"/>
  <c r="R351" i="2"/>
  <c r="Q351" i="2"/>
  <c r="R117" i="2"/>
  <c r="Q117" i="2"/>
  <c r="R358" i="2"/>
  <c r="Q358" i="2"/>
  <c r="S50" i="2"/>
  <c r="Q15" i="2"/>
  <c r="R15" i="2"/>
  <c r="R333" i="2"/>
  <c r="Q333" i="2"/>
  <c r="R323" i="2"/>
  <c r="Q323" i="2"/>
  <c r="S305" i="2"/>
  <c r="Q44" i="3"/>
  <c r="R44" i="3"/>
  <c r="R98" i="3"/>
  <c r="Q98" i="3"/>
  <c r="Q140" i="3"/>
  <c r="R140" i="3"/>
  <c r="R152" i="3"/>
  <c r="Q152" i="3"/>
  <c r="Q50" i="3"/>
  <c r="R50" i="3"/>
  <c r="R90" i="3"/>
  <c r="Q90" i="3"/>
  <c r="R133" i="3"/>
  <c r="Q133" i="3"/>
  <c r="Q40" i="3"/>
  <c r="Q42" i="3" s="1"/>
  <c r="R40" i="3"/>
  <c r="R42" i="3" s="1"/>
  <c r="R161" i="3"/>
  <c r="Q161" i="3"/>
  <c r="S161" i="3" s="1"/>
  <c r="R138" i="3"/>
  <c r="R154" i="3" s="1"/>
  <c r="Q138" i="3"/>
  <c r="Q85" i="3"/>
  <c r="Q87" i="3" s="1"/>
  <c r="R85" i="3"/>
  <c r="R87" i="3" s="1"/>
  <c r="R163" i="3"/>
  <c r="Q163" i="3"/>
  <c r="R173" i="3"/>
  <c r="Q173" i="3"/>
  <c r="Q26" i="3"/>
  <c r="R26" i="3"/>
  <c r="R88" i="3"/>
  <c r="Q88" i="3"/>
  <c r="R22" i="3"/>
  <c r="Q22" i="3"/>
  <c r="R73" i="3"/>
  <c r="Q73" i="3"/>
  <c r="Q31" i="3"/>
  <c r="Q34" i="3" s="1"/>
  <c r="R31" i="3"/>
  <c r="R34" i="3" s="1"/>
  <c r="Q66" i="3"/>
  <c r="R66" i="3"/>
  <c r="Q8" i="3"/>
  <c r="R8" i="3"/>
  <c r="S153" i="3"/>
  <c r="S110" i="3"/>
  <c r="Q120" i="3"/>
  <c r="Q125" i="3" s="1"/>
  <c r="R120" i="3"/>
  <c r="R125" i="3" s="1"/>
  <c r="Q107" i="3"/>
  <c r="Q109" i="3" s="1"/>
  <c r="R107" i="3"/>
  <c r="R102" i="3"/>
  <c r="Q102" i="3"/>
  <c r="R29" i="3"/>
  <c r="Q29" i="3"/>
  <c r="Q49" i="3"/>
  <c r="R49" i="3"/>
  <c r="Q20" i="3"/>
  <c r="R20" i="3"/>
  <c r="S68" i="3"/>
  <c r="S136" i="3"/>
  <c r="R82" i="3"/>
  <c r="Q82" i="3"/>
  <c r="Q80" i="3"/>
  <c r="R80" i="3"/>
  <c r="R146" i="3"/>
  <c r="Q146" i="3"/>
  <c r="R2" i="3"/>
  <c r="R4" i="3" s="1"/>
  <c r="Q2" i="3"/>
  <c r="Q4" i="3" s="1"/>
  <c r="R127" i="3"/>
  <c r="Q127" i="3"/>
  <c r="R72" i="3"/>
  <c r="Q72" i="3"/>
  <c r="R59" i="3"/>
  <c r="R63" i="3" s="1"/>
  <c r="Q59" i="3"/>
  <c r="Q63" i="3" s="1"/>
  <c r="Q100" i="3"/>
  <c r="R100" i="3"/>
  <c r="Q35" i="3"/>
  <c r="R35" i="3"/>
  <c r="Q167" i="3"/>
  <c r="R167" i="3"/>
  <c r="S143" i="3"/>
  <c r="Q94" i="3"/>
  <c r="R94" i="3"/>
  <c r="R14" i="3"/>
  <c r="Q14" i="3"/>
  <c r="R113" i="3"/>
  <c r="R114" i="3" s="1"/>
  <c r="Q113" i="3"/>
  <c r="Q114" i="3" s="1"/>
  <c r="R70" i="3"/>
  <c r="Q70" i="3"/>
  <c r="S162" i="2"/>
  <c r="S70" i="2"/>
  <c r="Q260" i="2"/>
  <c r="R260" i="2"/>
  <c r="R283" i="2"/>
  <c r="Q283" i="2"/>
  <c r="R291" i="2"/>
  <c r="Q291" i="2"/>
  <c r="R199" i="2"/>
  <c r="Q199" i="2"/>
  <c r="R359" i="2"/>
  <c r="Q359" i="2"/>
  <c r="R111" i="2"/>
  <c r="Q111" i="2"/>
  <c r="Q275" i="2"/>
  <c r="R275" i="2"/>
  <c r="Q253" i="2"/>
  <c r="R253" i="2"/>
  <c r="S25" i="2"/>
  <c r="S173" i="2"/>
  <c r="Q271" i="2"/>
  <c r="R271" i="2"/>
  <c r="R449" i="2"/>
  <c r="Q449" i="2"/>
  <c r="Q238" i="2"/>
  <c r="R238" i="2"/>
  <c r="R86" i="2"/>
  <c r="Q86" i="2"/>
  <c r="Q19" i="2"/>
  <c r="R19" i="2"/>
  <c r="Q38" i="2"/>
  <c r="R38" i="2"/>
  <c r="S84" i="2"/>
  <c r="R423" i="2"/>
  <c r="Q423" i="2"/>
  <c r="Q349" i="2"/>
  <c r="R349" i="2"/>
  <c r="Q425" i="2"/>
  <c r="R425" i="2"/>
  <c r="Q21" i="2"/>
  <c r="R21" i="2"/>
  <c r="Q407" i="2"/>
  <c r="S407" i="2" s="1"/>
  <c r="Q58" i="2"/>
  <c r="R412" i="2"/>
  <c r="Q412" i="2"/>
  <c r="R399" i="2"/>
  <c r="Q399" i="2"/>
  <c r="R224" i="2"/>
  <c r="Q224" i="2"/>
  <c r="R418" i="2"/>
  <c r="Q418" i="2"/>
  <c r="R342" i="2"/>
  <c r="Q342" i="2"/>
  <c r="R52" i="2"/>
  <c r="R55" i="2" s="1"/>
  <c r="Q52" i="2"/>
  <c r="Q203" i="2"/>
  <c r="R203" i="2"/>
  <c r="R97" i="2"/>
  <c r="Q97" i="2"/>
  <c r="Q13" i="2"/>
  <c r="R13" i="2"/>
  <c r="R157" i="2"/>
  <c r="Q157" i="2"/>
  <c r="Q43" i="2"/>
  <c r="R43" i="2"/>
  <c r="Q31" i="2"/>
  <c r="R31" i="2"/>
  <c r="R374" i="2"/>
  <c r="Q374" i="2"/>
  <c r="R353" i="2"/>
  <c r="Q353" i="2"/>
  <c r="R344" i="2"/>
  <c r="S344" i="2" s="1"/>
  <c r="Q393" i="2"/>
  <c r="S393" i="2" s="1"/>
  <c r="Q123" i="2"/>
  <c r="S123" i="2" s="1"/>
  <c r="Q69" i="2"/>
  <c r="S69" i="2" s="1"/>
  <c r="Q106" i="2"/>
  <c r="S106" i="2" s="1"/>
  <c r="Q59" i="2"/>
  <c r="S59" i="2" s="1"/>
  <c r="R338" i="2"/>
  <c r="Q338" i="2"/>
  <c r="Q258" i="2"/>
  <c r="R258" i="2"/>
  <c r="Q265" i="2"/>
  <c r="R265" i="2"/>
  <c r="Q44" i="2"/>
  <c r="R44" i="2"/>
  <c r="R126" i="2"/>
  <c r="Q126" i="2"/>
  <c r="R76" i="2"/>
  <c r="Q76" i="2"/>
  <c r="Q160" i="2"/>
  <c r="R160" i="2"/>
  <c r="Q83" i="2"/>
  <c r="S83" i="2" s="1"/>
  <c r="Q11" i="2"/>
  <c r="R11" i="2"/>
  <c r="Q347" i="2"/>
  <c r="R347" i="2"/>
  <c r="Q20" i="2"/>
  <c r="R20" i="2"/>
  <c r="Q18" i="2"/>
  <c r="R18" i="2"/>
  <c r="Q411" i="2"/>
  <c r="S411" i="2" s="1"/>
  <c r="S42" i="2"/>
  <c r="S231" i="2"/>
  <c r="Q206" i="2"/>
  <c r="R206" i="2"/>
  <c r="R451" i="2"/>
  <c r="Q451" i="2"/>
  <c r="Q335" i="2"/>
  <c r="R335" i="2"/>
  <c r="R340" i="2"/>
  <c r="Q340" i="2"/>
  <c r="R194" i="2"/>
  <c r="Q194" i="2"/>
  <c r="R391" i="2"/>
  <c r="Q391" i="2"/>
  <c r="S112" i="2"/>
  <c r="S216" i="2"/>
  <c r="R242" i="2"/>
  <c r="Q242" i="2"/>
  <c r="S429" i="2"/>
  <c r="R119" i="2"/>
  <c r="Q119" i="2"/>
  <c r="Q134" i="2"/>
  <c r="R134" i="2"/>
  <c r="R322" i="2"/>
  <c r="Q322" i="2"/>
  <c r="Q139" i="2"/>
  <c r="R139" i="2"/>
  <c r="R133" i="2"/>
  <c r="Q133" i="2"/>
  <c r="R121" i="2"/>
  <c r="Q121" i="2"/>
  <c r="Q324" i="2"/>
  <c r="R324" i="2"/>
  <c r="Q278" i="2"/>
  <c r="R278" i="2"/>
  <c r="Q284" i="2"/>
  <c r="R284" i="2"/>
  <c r="S100" i="2"/>
  <c r="Q371" i="2"/>
  <c r="S371" i="2" s="1"/>
  <c r="Q161" i="2"/>
  <c r="R161" i="2"/>
  <c r="Q303" i="2"/>
  <c r="R303" i="2"/>
  <c r="Q223" i="2"/>
  <c r="R223" i="2"/>
  <c r="Q262" i="2"/>
  <c r="R262" i="2"/>
  <c r="R311" i="2"/>
  <c r="R313" i="2" s="1"/>
  <c r="Q311" i="2"/>
  <c r="Q313" i="2" s="1"/>
  <c r="Q181" i="2"/>
  <c r="R181" i="2"/>
  <c r="R180" i="2"/>
  <c r="Q180" i="2"/>
  <c r="R172" i="2"/>
  <c r="Q172" i="2"/>
  <c r="S197" i="2"/>
  <c r="R316" i="2"/>
  <c r="Q316" i="2"/>
  <c r="R179" i="2"/>
  <c r="Q179" i="2"/>
  <c r="R328" i="2"/>
  <c r="Q328" i="2"/>
  <c r="Q29" i="2"/>
  <c r="R29" i="2"/>
  <c r="Q104" i="2"/>
  <c r="R104" i="2"/>
  <c r="S268" i="2"/>
  <c r="Q145" i="2"/>
  <c r="R145" i="2"/>
  <c r="S33" i="2"/>
  <c r="S23" i="2"/>
  <c r="R438" i="2"/>
  <c r="Q438" i="2"/>
  <c r="Q237" i="2"/>
  <c r="R237" i="2"/>
  <c r="R368" i="2"/>
  <c r="Q368" i="2"/>
  <c r="R108" i="2"/>
  <c r="Q108" i="2"/>
  <c r="Q99" i="2"/>
  <c r="R99" i="2"/>
  <c r="Q191" i="2"/>
  <c r="R191" i="2"/>
  <c r="R426" i="2"/>
  <c r="Q426" i="2"/>
  <c r="R279" i="2"/>
  <c r="Q279" i="2"/>
  <c r="R408" i="2"/>
  <c r="Q408" i="2"/>
  <c r="Q309" i="2"/>
  <c r="R309" i="2"/>
  <c r="Q321" i="2"/>
  <c r="R321" i="2"/>
  <c r="R400" i="2"/>
  <c r="Q400" i="2"/>
  <c r="R148" i="2"/>
  <c r="Q148" i="2"/>
  <c r="R363" i="2"/>
  <c r="Q363" i="2"/>
  <c r="R128" i="2"/>
  <c r="Q128" i="2"/>
  <c r="R24" i="2"/>
  <c r="Q24" i="2"/>
  <c r="R417" i="2"/>
  <c r="Q417" i="2"/>
  <c r="S177" i="2"/>
  <c r="R261" i="2"/>
  <c r="Q261" i="2"/>
  <c r="S164" i="2"/>
  <c r="R406" i="2"/>
  <c r="Q406" i="2"/>
  <c r="R396" i="2"/>
  <c r="Q396" i="2"/>
  <c r="R156" i="2"/>
  <c r="Q156" i="2"/>
  <c r="R22" i="2"/>
  <c r="Q22" i="2"/>
  <c r="R379" i="2"/>
  <c r="Q379" i="2"/>
  <c r="S312" i="2"/>
  <c r="R373" i="2"/>
  <c r="Q373" i="2"/>
  <c r="R17" i="2"/>
  <c r="Q17" i="2"/>
  <c r="R430" i="2"/>
  <c r="Q430" i="2"/>
  <c r="R450" i="2"/>
  <c r="Q450" i="2"/>
  <c r="R395" i="2"/>
  <c r="Q395" i="2"/>
  <c r="R369" i="2"/>
  <c r="Q369" i="2"/>
  <c r="R352" i="2"/>
  <c r="Q352" i="2"/>
  <c r="R192" i="2"/>
  <c r="Q192" i="2"/>
  <c r="Q329" i="2"/>
  <c r="R329" i="2"/>
  <c r="R198" i="2"/>
  <c r="Q198" i="2"/>
  <c r="Q267" i="2"/>
  <c r="R267" i="2"/>
  <c r="R9" i="2"/>
  <c r="Q9" i="2"/>
  <c r="R12" i="2"/>
  <c r="Q12" i="2"/>
  <c r="Q339" i="2"/>
  <c r="R339" i="2"/>
  <c r="S226" i="2"/>
  <c r="R27" i="2"/>
  <c r="Q27" i="2"/>
  <c r="R390" i="2"/>
  <c r="Q390" i="2"/>
  <c r="R219" i="2"/>
  <c r="Q219" i="2"/>
  <c r="Q302" i="2"/>
  <c r="R302" i="2"/>
  <c r="R36" i="2"/>
  <c r="Q36" i="2"/>
  <c r="Q217" i="2"/>
  <c r="R217" i="2"/>
  <c r="R385" i="2"/>
  <c r="Q385" i="2"/>
  <c r="R387" i="2"/>
  <c r="Q387" i="2"/>
  <c r="R143" i="2"/>
  <c r="Q143" i="2"/>
  <c r="R375" i="2"/>
  <c r="Q375" i="2"/>
  <c r="S167" i="2"/>
  <c r="R296" i="2"/>
  <c r="Q296" i="2"/>
  <c r="R409" i="2"/>
  <c r="Q409" i="2"/>
  <c r="S131" i="2"/>
  <c r="R383" i="2"/>
  <c r="Q383" i="2"/>
  <c r="R7" i="2"/>
  <c r="Q7" i="2"/>
  <c r="R402" i="2"/>
  <c r="Q402" i="2"/>
  <c r="R14" i="2"/>
  <c r="Q14" i="2"/>
  <c r="Q346" i="2"/>
  <c r="R346" i="2"/>
  <c r="Q318" i="2"/>
  <c r="R318" i="2"/>
  <c r="R367" i="2"/>
  <c r="Q367" i="2"/>
  <c r="R419" i="2"/>
  <c r="Q419" i="2"/>
  <c r="R297" i="2"/>
  <c r="Q297" i="2"/>
  <c r="R34" i="2"/>
  <c r="Q34" i="2"/>
  <c r="R441" i="2"/>
  <c r="Q441" i="2"/>
  <c r="R354" i="2"/>
  <c r="Q354" i="2"/>
  <c r="R266" i="2"/>
  <c r="Q266" i="2"/>
  <c r="R454" i="2"/>
  <c r="Q454" i="2"/>
  <c r="R398" i="2"/>
  <c r="Q398" i="2"/>
  <c r="S244" i="2"/>
  <c r="Q348" i="2"/>
  <c r="R348" i="2"/>
  <c r="R213" i="2"/>
  <c r="R214" i="2" s="1"/>
  <c r="Q213" i="2"/>
  <c r="Q214" i="2" s="1"/>
  <c r="R187" i="2"/>
  <c r="Q187" i="2"/>
  <c r="R447" i="2"/>
  <c r="Q447" i="2"/>
  <c r="R32" i="2"/>
  <c r="Q32" i="2"/>
  <c r="R35" i="2"/>
  <c r="Q35" i="2"/>
  <c r="R233" i="2"/>
  <c r="Q233" i="2"/>
  <c r="R414" i="2"/>
  <c r="Q414" i="2"/>
  <c r="R149" i="2"/>
  <c r="Q149" i="2"/>
  <c r="Q341" i="2"/>
  <c r="R341" i="2"/>
  <c r="R356" i="2"/>
  <c r="Q356" i="2"/>
  <c r="R443" i="2"/>
  <c r="Q443" i="2"/>
  <c r="S243" i="2"/>
  <c r="Q334" i="2"/>
  <c r="R334" i="2"/>
  <c r="R428" i="2"/>
  <c r="Q428" i="2"/>
  <c r="R362" i="2"/>
  <c r="Q362" i="2"/>
  <c r="R377" i="2"/>
  <c r="Q377" i="2"/>
  <c r="R289" i="2"/>
  <c r="Q289" i="2"/>
  <c r="S332" i="2"/>
  <c r="R28" i="2"/>
  <c r="Q28" i="2"/>
  <c r="R272" i="2"/>
  <c r="Q272" i="2"/>
  <c r="R404" i="2"/>
  <c r="Q404" i="2"/>
  <c r="R230" i="2"/>
  <c r="Q230" i="2"/>
  <c r="R360" i="2"/>
  <c r="Q360" i="2"/>
  <c r="R269" i="2"/>
  <c r="Q269" i="2"/>
  <c r="R436" i="2"/>
  <c r="Q436" i="2"/>
  <c r="R3" i="2"/>
  <c r="R5" i="2" s="1"/>
  <c r="Q3" i="2"/>
  <c r="Q5" i="2" s="1"/>
  <c r="R434" i="2"/>
  <c r="Q434" i="2"/>
  <c r="Q295" i="2"/>
  <c r="R295" i="2"/>
  <c r="R392" i="2"/>
  <c r="Q392" i="2"/>
  <c r="S282" i="2"/>
  <c r="R146" i="2"/>
  <c r="Q146" i="2"/>
  <c r="S205" i="2"/>
  <c r="R452" i="2"/>
  <c r="Q452" i="2"/>
  <c r="S255" i="2"/>
  <c r="S81" i="2"/>
  <c r="R251" i="2"/>
  <c r="Q251" i="2"/>
  <c r="S56" i="2"/>
  <c r="R26" i="2"/>
  <c r="Q26" i="2"/>
  <c r="P2" i="1"/>
  <c r="O2" i="1"/>
  <c r="S206" i="14" l="1"/>
  <c r="S202" i="14"/>
  <c r="S71" i="14"/>
  <c r="S61" i="14"/>
  <c r="S224" i="14"/>
  <c r="S250" i="8"/>
  <c r="S395" i="8"/>
  <c r="S197" i="8"/>
  <c r="S368" i="8"/>
  <c r="S183" i="8"/>
  <c r="S291" i="8"/>
  <c r="S311" i="8"/>
  <c r="S271" i="8"/>
  <c r="S377" i="8"/>
  <c r="S36" i="15"/>
  <c r="S79" i="15"/>
  <c r="S209" i="14"/>
  <c r="S119" i="14"/>
  <c r="S233" i="14"/>
  <c r="S42" i="12"/>
  <c r="S349" i="12"/>
  <c r="S313" i="12"/>
  <c r="S135" i="12"/>
  <c r="S90" i="10"/>
  <c r="S108" i="10"/>
  <c r="S24" i="10"/>
  <c r="S108" i="9"/>
  <c r="S74" i="9"/>
  <c r="S72" i="9"/>
  <c r="R75" i="9"/>
  <c r="S215" i="8"/>
  <c r="S300" i="8"/>
  <c r="S316" i="8"/>
  <c r="S289" i="8"/>
  <c r="S193" i="8"/>
  <c r="S251" i="8"/>
  <c r="S221" i="8"/>
  <c r="S129" i="8"/>
  <c r="S7" i="8"/>
  <c r="S8" i="8" s="1"/>
  <c r="R77" i="7"/>
  <c r="R48" i="7"/>
  <c r="R28" i="3"/>
  <c r="R52" i="3"/>
  <c r="R77" i="3"/>
  <c r="R165" i="2"/>
  <c r="Q55" i="2"/>
  <c r="S51" i="2"/>
  <c r="S71" i="15"/>
  <c r="S78" i="15"/>
  <c r="Q154" i="15"/>
  <c r="S102" i="15"/>
  <c r="S28" i="15"/>
  <c r="R154" i="15"/>
  <c r="S103" i="15"/>
  <c r="S397" i="14"/>
  <c r="S106" i="14"/>
  <c r="S149" i="14"/>
  <c r="S252" i="14"/>
  <c r="S126" i="14"/>
  <c r="S43" i="14"/>
  <c r="S299" i="14"/>
  <c r="S33" i="14"/>
  <c r="S360" i="14"/>
  <c r="S344" i="14"/>
  <c r="S372" i="14"/>
  <c r="S389" i="14"/>
  <c r="S114" i="14"/>
  <c r="R409" i="14"/>
  <c r="S40" i="14"/>
  <c r="S25" i="14"/>
  <c r="S77" i="14"/>
  <c r="Q409" i="14"/>
  <c r="S122" i="14"/>
  <c r="S46" i="13"/>
  <c r="R155" i="13"/>
  <c r="S6" i="13"/>
  <c r="Q155" i="13"/>
  <c r="S76" i="13"/>
  <c r="S46" i="12"/>
  <c r="S216" i="12"/>
  <c r="S146" i="12"/>
  <c r="S29" i="12"/>
  <c r="S8" i="12"/>
  <c r="S101" i="12"/>
  <c r="S20" i="12"/>
  <c r="S160" i="12"/>
  <c r="S18" i="12"/>
  <c r="S30" i="12"/>
  <c r="S277" i="12"/>
  <c r="S17" i="12"/>
  <c r="S308" i="12"/>
  <c r="S231" i="12"/>
  <c r="S41" i="12"/>
  <c r="S51" i="12"/>
  <c r="S321" i="12"/>
  <c r="S31" i="12"/>
  <c r="S311" i="12"/>
  <c r="S189" i="12"/>
  <c r="S71" i="12"/>
  <c r="S66" i="12"/>
  <c r="S365" i="12"/>
  <c r="S381" i="12"/>
  <c r="S165" i="12"/>
  <c r="S361" i="12"/>
  <c r="S344" i="12"/>
  <c r="S12" i="12"/>
  <c r="S285" i="12"/>
  <c r="S363" i="12"/>
  <c r="Q13" i="12"/>
  <c r="R13" i="12"/>
  <c r="S127" i="12"/>
  <c r="S249" i="12"/>
  <c r="S15" i="12"/>
  <c r="S70" i="12"/>
  <c r="S64" i="12"/>
  <c r="S332" i="12"/>
  <c r="S409" i="12"/>
  <c r="S273" i="12"/>
  <c r="S6" i="12"/>
  <c r="S219" i="12"/>
  <c r="S268" i="12"/>
  <c r="S67" i="12"/>
  <c r="S306" i="12"/>
  <c r="S142" i="12"/>
  <c r="S202" i="12"/>
  <c r="S14" i="12"/>
  <c r="Q410" i="12"/>
  <c r="R410" i="12"/>
  <c r="S377" i="12"/>
  <c r="S119" i="12"/>
  <c r="S262" i="12"/>
  <c r="S111" i="12"/>
  <c r="S9" i="12"/>
  <c r="S90" i="12"/>
  <c r="S74" i="12"/>
  <c r="S375" i="12"/>
  <c r="S55" i="12"/>
  <c r="S34" i="12"/>
  <c r="S207" i="12"/>
  <c r="S78" i="12"/>
  <c r="S135" i="11"/>
  <c r="Q5" i="11"/>
  <c r="S5" i="11"/>
  <c r="Q156" i="11"/>
  <c r="S6" i="11"/>
  <c r="S66" i="11" s="1"/>
  <c r="Q66" i="11"/>
  <c r="R156" i="11"/>
  <c r="S85" i="10"/>
  <c r="S199" i="10"/>
  <c r="S294" i="10"/>
  <c r="S95" i="10"/>
  <c r="S367" i="10"/>
  <c r="S361" i="10"/>
  <c r="R412" i="10"/>
  <c r="R14" i="10"/>
  <c r="Q137" i="10"/>
  <c r="S47" i="10"/>
  <c r="R137" i="10"/>
  <c r="Q412" i="10"/>
  <c r="S279" i="10"/>
  <c r="S42" i="10"/>
  <c r="S285" i="10"/>
  <c r="S75" i="10"/>
  <c r="S411" i="10"/>
  <c r="S72" i="10"/>
  <c r="S288" i="10"/>
  <c r="S366" i="10"/>
  <c r="S315" i="10"/>
  <c r="S287" i="10"/>
  <c r="S18" i="10"/>
  <c r="S257" i="10"/>
  <c r="Q7" i="10"/>
  <c r="R7" i="10"/>
  <c r="S156" i="10"/>
  <c r="S8" i="10"/>
  <c r="Q14" i="10"/>
  <c r="S147" i="9"/>
  <c r="S151" i="9"/>
  <c r="Q160" i="9"/>
  <c r="S118" i="9"/>
  <c r="S96" i="9"/>
  <c r="S130" i="9"/>
  <c r="S122" i="9"/>
  <c r="Q75" i="9"/>
  <c r="S159" i="9"/>
  <c r="S81" i="9"/>
  <c r="S75" i="9"/>
  <c r="Q68" i="9"/>
  <c r="R160" i="9"/>
  <c r="S68" i="9"/>
  <c r="R137" i="9"/>
  <c r="Q137" i="9"/>
  <c r="S3" i="9"/>
  <c r="S4" i="9" s="1"/>
  <c r="Q4" i="9"/>
  <c r="S110" i="9"/>
  <c r="S7" i="9"/>
  <c r="S47" i="9" s="1"/>
  <c r="Q47" i="9"/>
  <c r="Q139" i="8"/>
  <c r="Q80" i="8"/>
  <c r="R139" i="8"/>
  <c r="S329" i="8"/>
  <c r="S205" i="8"/>
  <c r="S315" i="8"/>
  <c r="S175" i="8"/>
  <c r="S396" i="8"/>
  <c r="S297" i="8"/>
  <c r="S287" i="8"/>
  <c r="R80" i="8"/>
  <c r="Q278" i="8"/>
  <c r="S279" i="8"/>
  <c r="Q416" i="8"/>
  <c r="R416" i="8"/>
  <c r="R8" i="8"/>
  <c r="Q149" i="8"/>
  <c r="R149" i="8"/>
  <c r="S17" i="8"/>
  <c r="R278" i="8"/>
  <c r="R140" i="7"/>
  <c r="R55" i="7"/>
  <c r="Q33" i="7"/>
  <c r="R33" i="7"/>
  <c r="Q77" i="7"/>
  <c r="Q140" i="7"/>
  <c r="R163" i="7"/>
  <c r="Q70" i="7"/>
  <c r="R70" i="7"/>
  <c r="Q98" i="7"/>
  <c r="Q163" i="7"/>
  <c r="R98" i="7"/>
  <c r="Q420" i="6"/>
  <c r="R420" i="6"/>
  <c r="Q151" i="6"/>
  <c r="R15" i="6"/>
  <c r="Q15" i="6"/>
  <c r="Q391" i="6"/>
  <c r="S94" i="6"/>
  <c r="Q141" i="6"/>
  <c r="S152" i="6"/>
  <c r="R194" i="6"/>
  <c r="S143" i="6"/>
  <c r="R151" i="6"/>
  <c r="Q93" i="6"/>
  <c r="R391" i="6"/>
  <c r="S82" i="6"/>
  <c r="R93" i="6"/>
  <c r="Q194" i="6"/>
  <c r="S54" i="6"/>
  <c r="R81" i="6"/>
  <c r="Q81" i="6"/>
  <c r="R53" i="6"/>
  <c r="R141" i="6"/>
  <c r="Q53" i="6"/>
  <c r="S7" i="6"/>
  <c r="S8" i="6" s="1"/>
  <c r="Q8" i="6"/>
  <c r="S195" i="6"/>
  <c r="Q281" i="6"/>
  <c r="R281" i="6"/>
  <c r="Q154" i="3"/>
  <c r="Q135" i="3"/>
  <c r="R135" i="3"/>
  <c r="R178" i="3"/>
  <c r="Q104" i="3"/>
  <c r="Q28" i="3"/>
  <c r="S114" i="3"/>
  <c r="Q77" i="3"/>
  <c r="R83" i="3"/>
  <c r="Q83" i="3"/>
  <c r="Q52" i="3"/>
  <c r="R104" i="3"/>
  <c r="Q178" i="3"/>
  <c r="R109" i="3"/>
  <c r="R304" i="2"/>
  <c r="Q254" i="2"/>
  <c r="Q247" i="2"/>
  <c r="R444" i="2"/>
  <c r="R247" i="2"/>
  <c r="Q8" i="2"/>
  <c r="Q151" i="2"/>
  <c r="R151" i="2"/>
  <c r="Q212" i="2"/>
  <c r="Q304" i="2"/>
  <c r="R158" i="2"/>
  <c r="Q455" i="2"/>
  <c r="Q420" i="2"/>
  <c r="Q413" i="2"/>
  <c r="R8" i="2"/>
  <c r="Q158" i="2"/>
  <c r="R16" i="2"/>
  <c r="Q437" i="2"/>
  <c r="R455" i="2"/>
  <c r="S215" i="2"/>
  <c r="Q228" i="2"/>
  <c r="S65" i="2"/>
  <c r="Q85" i="2"/>
  <c r="Q51" i="2"/>
  <c r="Q47" i="2"/>
  <c r="Q16" i="2"/>
  <c r="R437" i="2"/>
  <c r="R47" i="2"/>
  <c r="Q103" i="2"/>
  <c r="S171" i="2"/>
  <c r="R212" i="2"/>
  <c r="S58" i="2"/>
  <c r="S60" i="2" s="1"/>
  <c r="Q60" i="2"/>
  <c r="R413" i="2"/>
  <c r="R85" i="2"/>
  <c r="S416" i="2"/>
  <c r="R420" i="2"/>
  <c r="Q444" i="2"/>
  <c r="Q165" i="2"/>
  <c r="S248" i="2"/>
  <c r="R254" i="2"/>
  <c r="S96" i="2"/>
  <c r="R103" i="2"/>
  <c r="R228" i="2"/>
  <c r="Q401" i="1"/>
  <c r="R401" i="1"/>
  <c r="R407" i="1"/>
  <c r="Q407" i="1"/>
  <c r="R111" i="1"/>
  <c r="Q111" i="1"/>
  <c r="R40" i="1"/>
  <c r="Q40" i="1"/>
  <c r="R149" i="1"/>
  <c r="Q149" i="1"/>
  <c r="Q78" i="1"/>
  <c r="R78" i="1"/>
  <c r="R319" i="1"/>
  <c r="Q319" i="1"/>
  <c r="R251" i="1"/>
  <c r="Q251" i="1"/>
  <c r="Q56" i="1"/>
  <c r="R56" i="1"/>
  <c r="R156" i="1"/>
  <c r="Q156" i="1"/>
  <c r="R235" i="1"/>
  <c r="Q235" i="1"/>
  <c r="R181" i="1"/>
  <c r="Q181" i="1"/>
  <c r="R124" i="1"/>
  <c r="Q124" i="1"/>
  <c r="R19" i="1"/>
  <c r="Q19" i="1"/>
  <c r="R24" i="1"/>
  <c r="Q24" i="1"/>
  <c r="R449" i="1"/>
  <c r="Q449" i="1"/>
  <c r="R136" i="1"/>
  <c r="Q136" i="1"/>
  <c r="R161" i="1"/>
  <c r="Q161" i="1"/>
  <c r="R548" i="1"/>
  <c r="Q548" i="1"/>
  <c r="Q144" i="1"/>
  <c r="R144" i="1"/>
  <c r="Q287" i="1"/>
  <c r="R287" i="1"/>
  <c r="R573" i="1"/>
  <c r="Q573" i="1"/>
  <c r="Q224" i="1"/>
  <c r="R224" i="1"/>
  <c r="R25" i="1"/>
  <c r="Q25" i="1"/>
  <c r="R97" i="1"/>
  <c r="Q97" i="1"/>
  <c r="R241" i="1"/>
  <c r="Q241" i="1"/>
  <c r="R526" i="1"/>
  <c r="Q526" i="1"/>
  <c r="R271" i="1"/>
  <c r="Q271" i="1"/>
  <c r="R273" i="1"/>
  <c r="Q273" i="1"/>
  <c r="R38" i="1"/>
  <c r="Q38" i="1"/>
  <c r="R110" i="1"/>
  <c r="Q110" i="1"/>
  <c r="R254" i="1"/>
  <c r="Q254" i="1"/>
  <c r="R323" i="1"/>
  <c r="Q323" i="1"/>
  <c r="R395" i="1"/>
  <c r="Q395" i="1"/>
  <c r="Q467" i="1"/>
  <c r="R467" i="1"/>
  <c r="R539" i="1"/>
  <c r="Q539" i="1"/>
  <c r="R44" i="1"/>
  <c r="Q44" i="1"/>
  <c r="R27" i="1"/>
  <c r="Q27" i="1"/>
  <c r="R99" i="1"/>
  <c r="Q99" i="1"/>
  <c r="R171" i="1"/>
  <c r="Q171" i="1"/>
  <c r="R243" i="1"/>
  <c r="Q243" i="1"/>
  <c r="R312" i="1"/>
  <c r="Q312" i="1"/>
  <c r="R528" i="1"/>
  <c r="Q528" i="1"/>
  <c r="R28" i="1"/>
  <c r="Q28" i="1"/>
  <c r="R112" i="1"/>
  <c r="Q112" i="1"/>
  <c r="R184" i="1"/>
  <c r="Q184" i="1"/>
  <c r="R373" i="1"/>
  <c r="Q373" i="1"/>
  <c r="Q553" i="1"/>
  <c r="R553" i="1"/>
  <c r="R521" i="1"/>
  <c r="Q521" i="1"/>
  <c r="R421" i="1"/>
  <c r="Q421" i="1"/>
  <c r="R199" i="1"/>
  <c r="Q199" i="1"/>
  <c r="R485" i="1"/>
  <c r="Q485" i="1"/>
  <c r="R65" i="1"/>
  <c r="Q65" i="1"/>
  <c r="R137" i="1"/>
  <c r="Q137" i="1"/>
  <c r="R209" i="1"/>
  <c r="Q209" i="1"/>
  <c r="R281" i="1"/>
  <c r="Q281" i="1"/>
  <c r="R350" i="1"/>
  <c r="Q350" i="1"/>
  <c r="R422" i="1"/>
  <c r="Q422" i="1"/>
  <c r="R494" i="1"/>
  <c r="Q494" i="1"/>
  <c r="Q66" i="1"/>
  <c r="R66" i="1"/>
  <c r="R138" i="1"/>
  <c r="Q138" i="1"/>
  <c r="Q210" i="1"/>
  <c r="R210" i="1"/>
  <c r="R282" i="1"/>
  <c r="Q282" i="1"/>
  <c r="R351" i="1"/>
  <c r="Q351" i="1"/>
  <c r="R423" i="1"/>
  <c r="Q423" i="1"/>
  <c r="R495" i="1"/>
  <c r="Q495" i="1"/>
  <c r="R223" i="1"/>
  <c r="Q223" i="1"/>
  <c r="R80" i="1"/>
  <c r="Q80" i="1"/>
  <c r="Q437" i="1"/>
  <c r="R437" i="1"/>
  <c r="Q225" i="1"/>
  <c r="R225" i="1"/>
  <c r="R22" i="1"/>
  <c r="Q22" i="1"/>
  <c r="R94" i="1"/>
  <c r="Q94" i="1"/>
  <c r="R166" i="1"/>
  <c r="Q166" i="1"/>
  <c r="R238" i="1"/>
  <c r="Q238" i="1"/>
  <c r="R307" i="1"/>
  <c r="Q307" i="1"/>
  <c r="R379" i="1"/>
  <c r="Q379" i="1"/>
  <c r="R451" i="1"/>
  <c r="Q451" i="1"/>
  <c r="R523" i="1"/>
  <c r="Q523" i="1"/>
  <c r="Q23" i="1"/>
  <c r="R23" i="1"/>
  <c r="Q95" i="1"/>
  <c r="R95" i="1"/>
  <c r="Q167" i="1"/>
  <c r="R167" i="1"/>
  <c r="Q239" i="1"/>
  <c r="R239" i="1"/>
  <c r="R308" i="1"/>
  <c r="Q308" i="1"/>
  <c r="R541" i="1"/>
  <c r="Q541" i="1"/>
  <c r="Q211" i="1"/>
  <c r="R211" i="1"/>
  <c r="Q365" i="1"/>
  <c r="R365" i="1"/>
  <c r="R177" i="1"/>
  <c r="Q177" i="1"/>
  <c r="R72" i="1"/>
  <c r="Q72" i="1"/>
  <c r="R216" i="1"/>
  <c r="Q216" i="1"/>
  <c r="R357" i="1"/>
  <c r="Q357" i="1"/>
  <c r="R429" i="1"/>
  <c r="Q429" i="1"/>
  <c r="R501" i="1"/>
  <c r="Q501" i="1"/>
  <c r="Q165" i="1"/>
  <c r="R165" i="1"/>
  <c r="R169" i="1"/>
  <c r="Q169" i="1"/>
  <c r="R310" i="1"/>
  <c r="Q310" i="1"/>
  <c r="Q382" i="1"/>
  <c r="R382" i="1"/>
  <c r="Q454" i="1"/>
  <c r="R454" i="1"/>
  <c r="R293" i="1"/>
  <c r="Q293" i="1"/>
  <c r="R182" i="1"/>
  <c r="Q182" i="1"/>
  <c r="Q69" i="1"/>
  <c r="R69" i="1"/>
  <c r="Q402" i="1"/>
  <c r="R402" i="1"/>
  <c r="R384" i="1"/>
  <c r="Q384" i="1"/>
  <c r="R456" i="1"/>
  <c r="Q456" i="1"/>
  <c r="R280" i="1"/>
  <c r="Q280" i="1"/>
  <c r="R544" i="1"/>
  <c r="Q544" i="1"/>
  <c r="R390" i="1"/>
  <c r="Q390" i="1"/>
  <c r="Q568" i="1"/>
  <c r="R568" i="1"/>
  <c r="Q566" i="1"/>
  <c r="R566" i="1"/>
  <c r="R567" i="1"/>
  <c r="Q567" i="1"/>
  <c r="R380" i="1"/>
  <c r="Q380" i="1"/>
  <c r="R452" i="1"/>
  <c r="Q452" i="1"/>
  <c r="R524" i="1"/>
  <c r="Q524" i="1"/>
  <c r="R337" i="1"/>
  <c r="Q337" i="1"/>
  <c r="R532" i="1"/>
  <c r="Q532" i="1"/>
  <c r="R12" i="1"/>
  <c r="Q12" i="1"/>
  <c r="R342" i="1"/>
  <c r="Q342" i="1"/>
  <c r="R551" i="1"/>
  <c r="Q551" i="1"/>
  <c r="R255" i="1"/>
  <c r="Q255" i="1"/>
  <c r="R506" i="1"/>
  <c r="Q506" i="1"/>
  <c r="R106" i="1"/>
  <c r="Q106" i="1"/>
  <c r="Q35" i="1"/>
  <c r="R35" i="1"/>
  <c r="R536" i="1"/>
  <c r="Q536" i="1"/>
  <c r="Q468" i="1"/>
  <c r="R468" i="1"/>
  <c r="R91" i="1"/>
  <c r="Q91" i="1"/>
  <c r="Q259" i="1"/>
  <c r="R259" i="1"/>
  <c r="R507" i="1"/>
  <c r="Q507" i="1"/>
  <c r="Q62" i="1"/>
  <c r="R62" i="1"/>
  <c r="R563" i="1"/>
  <c r="Q563" i="1"/>
  <c r="R409" i="1"/>
  <c r="Q409" i="1"/>
  <c r="R316" i="1"/>
  <c r="Q316" i="1"/>
  <c r="R374" i="1"/>
  <c r="Q374" i="1"/>
  <c r="Q212" i="1"/>
  <c r="R212" i="1"/>
  <c r="R262" i="1"/>
  <c r="Q262" i="1"/>
  <c r="Q119" i="1"/>
  <c r="R119" i="1"/>
  <c r="R433" i="1"/>
  <c r="Q433" i="1"/>
  <c r="R525" i="1"/>
  <c r="Q525" i="1"/>
  <c r="Q508" i="1"/>
  <c r="R508" i="1"/>
  <c r="R278" i="1"/>
  <c r="Q278" i="1"/>
  <c r="R336" i="1"/>
  <c r="Q336" i="1"/>
  <c r="Q558" i="1"/>
  <c r="R558" i="1"/>
  <c r="R89" i="1"/>
  <c r="Q89" i="1"/>
  <c r="R404" i="1"/>
  <c r="Q404" i="1"/>
  <c r="R476" i="1"/>
  <c r="Q476" i="1"/>
  <c r="R306" i="1"/>
  <c r="Q306" i="1"/>
  <c r="Q36" i="1"/>
  <c r="R36" i="1"/>
  <c r="R537" i="1"/>
  <c r="Q537" i="1"/>
  <c r="R520" i="1"/>
  <c r="Q520" i="1"/>
  <c r="R545" i="1"/>
  <c r="Q545" i="1"/>
  <c r="R562" i="1"/>
  <c r="Q562" i="1"/>
  <c r="Q8" i="1"/>
  <c r="R8" i="1"/>
  <c r="Q146" i="1"/>
  <c r="R146" i="1"/>
  <c r="R218" i="1"/>
  <c r="Q218" i="1"/>
  <c r="R359" i="1"/>
  <c r="Q359" i="1"/>
  <c r="R431" i="1"/>
  <c r="Q431" i="1"/>
  <c r="R503" i="1"/>
  <c r="Q503" i="1"/>
  <c r="Q237" i="1"/>
  <c r="R237" i="1"/>
  <c r="R546" i="1"/>
  <c r="Q546" i="1"/>
  <c r="R63" i="1"/>
  <c r="Q63" i="1"/>
  <c r="R135" i="1"/>
  <c r="Q135" i="1"/>
  <c r="R207" i="1"/>
  <c r="Q207" i="1"/>
  <c r="R348" i="1"/>
  <c r="Q348" i="1"/>
  <c r="R64" i="1"/>
  <c r="Q64" i="1"/>
  <c r="R148" i="1"/>
  <c r="Q148" i="1"/>
  <c r="R232" i="1"/>
  <c r="Q232" i="1"/>
  <c r="R313" i="1"/>
  <c r="Q313" i="1"/>
  <c r="R445" i="1"/>
  <c r="Q445" i="1"/>
  <c r="R236" i="1"/>
  <c r="Q236" i="1"/>
  <c r="R76" i="1"/>
  <c r="Q76" i="1"/>
  <c r="R43" i="1"/>
  <c r="Q43" i="1"/>
  <c r="R188" i="1"/>
  <c r="Q188" i="1"/>
  <c r="R29" i="1"/>
  <c r="Q29" i="1"/>
  <c r="R101" i="1"/>
  <c r="Q101" i="1"/>
  <c r="R173" i="1"/>
  <c r="Q173" i="1"/>
  <c r="R314" i="1"/>
  <c r="Q314" i="1"/>
  <c r="R386" i="1"/>
  <c r="Q386" i="1"/>
  <c r="R458" i="1"/>
  <c r="Q458" i="1"/>
  <c r="Q102" i="1"/>
  <c r="R102" i="1"/>
  <c r="Q174" i="1"/>
  <c r="R174" i="1"/>
  <c r="R246" i="1"/>
  <c r="Q246" i="1"/>
  <c r="R315" i="1"/>
  <c r="Q315" i="1"/>
  <c r="Q387" i="1"/>
  <c r="R387" i="1"/>
  <c r="R79" i="1"/>
  <c r="Q79" i="1"/>
  <c r="Q388" i="1"/>
  <c r="R388" i="1"/>
  <c r="R272" i="1"/>
  <c r="Q272" i="1"/>
  <c r="Q21" i="1"/>
  <c r="R21" i="1"/>
  <c r="R58" i="1"/>
  <c r="Q58" i="1"/>
  <c r="Q130" i="1"/>
  <c r="R130" i="1"/>
  <c r="R202" i="1"/>
  <c r="Q202" i="1"/>
  <c r="R274" i="1"/>
  <c r="Q274" i="1"/>
  <c r="R343" i="1"/>
  <c r="Q343" i="1"/>
  <c r="R415" i="1"/>
  <c r="Q415" i="1"/>
  <c r="R487" i="1"/>
  <c r="Q487" i="1"/>
  <c r="R559" i="1"/>
  <c r="Q559" i="1"/>
  <c r="R59" i="1"/>
  <c r="Q59" i="1"/>
  <c r="Q131" i="1"/>
  <c r="R131" i="1"/>
  <c r="R203" i="1"/>
  <c r="Q203" i="1"/>
  <c r="Q275" i="1"/>
  <c r="R275" i="1"/>
  <c r="R344" i="1"/>
  <c r="Q344" i="1"/>
  <c r="R560" i="1"/>
  <c r="Q560" i="1"/>
  <c r="R340" i="1"/>
  <c r="Q340" i="1"/>
  <c r="Q176" i="1"/>
  <c r="R176" i="1"/>
  <c r="R533" i="1"/>
  <c r="Q533" i="1"/>
  <c r="R50" i="1"/>
  <c r="Q50" i="1"/>
  <c r="R479" i="1"/>
  <c r="Q479" i="1"/>
  <c r="R183" i="1"/>
  <c r="Q183" i="1"/>
  <c r="R474" i="1"/>
  <c r="Q474" i="1"/>
  <c r="R221" i="1"/>
  <c r="Q221" i="1"/>
  <c r="R497" i="1"/>
  <c r="Q497" i="1"/>
  <c r="R463" i="1"/>
  <c r="Q463" i="1"/>
  <c r="R228" i="1"/>
  <c r="Q228" i="1"/>
  <c r="Q513" i="1"/>
  <c r="R513" i="1"/>
  <c r="R37" i="1"/>
  <c r="Q37" i="1"/>
  <c r="R394" i="1"/>
  <c r="Q394" i="1"/>
  <c r="R122" i="1"/>
  <c r="Q122" i="1"/>
  <c r="R289" i="1"/>
  <c r="Q289" i="1"/>
  <c r="Q291" i="1"/>
  <c r="R291" i="1"/>
  <c r="R318" i="1"/>
  <c r="Q318" i="1"/>
  <c r="R249" i="1"/>
  <c r="Q249" i="1"/>
  <c r="Q96" i="1"/>
  <c r="R96" i="1"/>
  <c r="R550" i="1"/>
  <c r="Q550" i="1"/>
  <c r="R134" i="1"/>
  <c r="Q134" i="1"/>
  <c r="Q248" i="1"/>
  <c r="R248" i="1"/>
  <c r="R267" i="1"/>
  <c r="Q267" i="1"/>
  <c r="R220" i="1"/>
  <c r="Q220" i="1"/>
  <c r="R90" i="1"/>
  <c r="Q90" i="1"/>
  <c r="R519" i="1"/>
  <c r="Q519" i="1"/>
  <c r="R118" i="1"/>
  <c r="Q118" i="1"/>
  <c r="R547" i="1"/>
  <c r="Q547" i="1"/>
  <c r="R473" i="1"/>
  <c r="Q473" i="1"/>
  <c r="Q381" i="1"/>
  <c r="R381" i="1"/>
  <c r="R49" i="1"/>
  <c r="Q49" i="1"/>
  <c r="R478" i="1"/>
  <c r="Q478" i="1"/>
  <c r="R303" i="1"/>
  <c r="Q303" i="1"/>
  <c r="R108" i="1"/>
  <c r="Q108" i="1"/>
  <c r="R180" i="1"/>
  <c r="Q180" i="1"/>
  <c r="R252" i="1"/>
  <c r="Q252" i="1"/>
  <c r="R321" i="1"/>
  <c r="Q321" i="1"/>
  <c r="R393" i="1"/>
  <c r="Q393" i="1"/>
  <c r="Q465" i="1"/>
  <c r="R465" i="1"/>
  <c r="R450" i="1"/>
  <c r="Q450" i="1"/>
  <c r="R61" i="1"/>
  <c r="Q61" i="1"/>
  <c r="R133" i="1"/>
  <c r="Q133" i="1"/>
  <c r="R205" i="1"/>
  <c r="Q205" i="1"/>
  <c r="R277" i="1"/>
  <c r="Q277" i="1"/>
  <c r="R346" i="1"/>
  <c r="Q346" i="1"/>
  <c r="R418" i="1"/>
  <c r="Q418" i="1"/>
  <c r="R490" i="1"/>
  <c r="Q490" i="1"/>
  <c r="R57" i="1"/>
  <c r="Q57" i="1"/>
  <c r="Q522" i="1"/>
  <c r="R522" i="1"/>
  <c r="R74" i="1"/>
  <c r="Q74" i="1"/>
  <c r="R163" i="1"/>
  <c r="Q163" i="1"/>
  <c r="Q353" i="1"/>
  <c r="R353" i="1"/>
  <c r="R279" i="1"/>
  <c r="Q279" i="1"/>
  <c r="R420" i="1"/>
  <c r="Q420" i="1"/>
  <c r="R492" i="1"/>
  <c r="Q492" i="1"/>
  <c r="R564" i="1"/>
  <c r="Q564" i="1"/>
  <c r="R201" i="1"/>
  <c r="Q201" i="1"/>
  <c r="R364" i="1"/>
  <c r="Q364" i="1"/>
  <c r="R245" i="1"/>
  <c r="Q245" i="1"/>
  <c r="R530" i="1"/>
  <c r="Q530" i="1"/>
  <c r="Q30" i="1"/>
  <c r="R30" i="1"/>
  <c r="R459" i="1"/>
  <c r="Q459" i="1"/>
  <c r="R531" i="1"/>
  <c r="Q531" i="1"/>
  <c r="Q486" i="1"/>
  <c r="R486" i="1"/>
  <c r="Q416" i="1"/>
  <c r="R416" i="1"/>
  <c r="R488" i="1"/>
  <c r="Q488" i="1"/>
  <c r="R457" i="1"/>
  <c r="Q457" i="1"/>
  <c r="R67" i="1"/>
  <c r="Q67" i="1"/>
  <c r="Q378" i="1"/>
  <c r="R378" i="1"/>
  <c r="Q341" i="1"/>
  <c r="R341" i="1"/>
  <c r="R140" i="1"/>
  <c r="Q140" i="1"/>
  <c r="R324" i="1"/>
  <c r="Q324" i="1"/>
  <c r="R208" i="1"/>
  <c r="Q208" i="1"/>
  <c r="Q469" i="1"/>
  <c r="R469" i="1"/>
  <c r="R290" i="1"/>
  <c r="Q290" i="1"/>
  <c r="R535" i="1"/>
  <c r="Q535" i="1"/>
  <c r="Q413" i="1"/>
  <c r="R413" i="1"/>
  <c r="R84" i="1"/>
  <c r="Q84" i="1"/>
  <c r="R441" i="1"/>
  <c r="Q441" i="1"/>
  <c r="R109" i="1"/>
  <c r="Q109" i="1"/>
  <c r="Q466" i="1"/>
  <c r="R466" i="1"/>
  <c r="R385" i="1"/>
  <c r="Q385" i="1"/>
  <c r="Q435" i="1"/>
  <c r="R435" i="1"/>
  <c r="Q240" i="1"/>
  <c r="R240" i="1"/>
  <c r="R206" i="1"/>
  <c r="Q206" i="1"/>
  <c r="R189" i="1"/>
  <c r="Q189" i="1"/>
  <c r="R408" i="1"/>
  <c r="Q408" i="1"/>
  <c r="R301" i="1"/>
  <c r="Q301" i="1"/>
  <c r="R529" i="1"/>
  <c r="Q529" i="1"/>
  <c r="R302" i="1"/>
  <c r="Q302" i="1"/>
  <c r="R162" i="1"/>
  <c r="Q162" i="1"/>
  <c r="R328" i="1"/>
  <c r="Q328" i="1"/>
  <c r="R190" i="1"/>
  <c r="Q190" i="1"/>
  <c r="Q47" i="1"/>
  <c r="R47" i="1"/>
  <c r="Q304" i="1"/>
  <c r="R304" i="1"/>
  <c r="R453" i="1"/>
  <c r="Q453" i="1"/>
  <c r="R121" i="1"/>
  <c r="Q121" i="1"/>
  <c r="R105" i="1"/>
  <c r="Q105" i="1"/>
  <c r="Q2" i="1"/>
  <c r="R2" i="1"/>
  <c r="Q48" i="1"/>
  <c r="R48" i="1"/>
  <c r="R192" i="1"/>
  <c r="Q192" i="1"/>
  <c r="R549" i="1"/>
  <c r="Q549" i="1"/>
  <c r="Q68" i="1"/>
  <c r="R68" i="1"/>
  <c r="Q145" i="1"/>
  <c r="R145" i="1"/>
  <c r="R574" i="1"/>
  <c r="Q574" i="1"/>
  <c r="Q116" i="1"/>
  <c r="R116" i="1"/>
  <c r="Q129" i="1"/>
  <c r="R129" i="1"/>
  <c r="Q14" i="1"/>
  <c r="R14" i="1"/>
  <c r="Q158" i="1"/>
  <c r="R158" i="1"/>
  <c r="R230" i="1"/>
  <c r="Q230" i="1"/>
  <c r="R299" i="1"/>
  <c r="Q299" i="1"/>
  <c r="R371" i="1"/>
  <c r="Q371" i="1"/>
  <c r="R443" i="1"/>
  <c r="Q443" i="1"/>
  <c r="Q515" i="1"/>
  <c r="R515" i="1"/>
  <c r="Q376" i="1"/>
  <c r="R376" i="1"/>
  <c r="R461" i="1"/>
  <c r="Q461" i="1"/>
  <c r="R294" i="1"/>
  <c r="Q294" i="1"/>
  <c r="R3" i="1"/>
  <c r="Q3" i="1"/>
  <c r="R147" i="1"/>
  <c r="Q147" i="1"/>
  <c r="R219" i="1"/>
  <c r="Q219" i="1"/>
  <c r="R288" i="1"/>
  <c r="Q288" i="1"/>
  <c r="R360" i="1"/>
  <c r="Q360" i="1"/>
  <c r="R432" i="1"/>
  <c r="Q432" i="1"/>
  <c r="R4" i="1"/>
  <c r="Q4" i="1"/>
  <c r="R88" i="1"/>
  <c r="Q88" i="1"/>
  <c r="R160" i="1"/>
  <c r="Q160" i="1"/>
  <c r="R325" i="1"/>
  <c r="Q325" i="1"/>
  <c r="R481" i="1"/>
  <c r="Q481" i="1"/>
  <c r="Q352" i="1"/>
  <c r="R352" i="1"/>
  <c r="R329" i="1"/>
  <c r="Q329" i="1"/>
  <c r="Q284" i="1"/>
  <c r="R284" i="1"/>
  <c r="R103" i="1"/>
  <c r="Q103" i="1"/>
  <c r="R283" i="1"/>
  <c r="Q283" i="1"/>
  <c r="R113" i="1"/>
  <c r="Q113" i="1"/>
  <c r="R185" i="1"/>
  <c r="Q185" i="1"/>
  <c r="R257" i="1"/>
  <c r="Q257" i="1"/>
  <c r="R326" i="1"/>
  <c r="Q326" i="1"/>
  <c r="R398" i="1"/>
  <c r="Q398" i="1"/>
  <c r="R470" i="1"/>
  <c r="Q470" i="1"/>
  <c r="R42" i="1"/>
  <c r="Q42" i="1"/>
  <c r="Q114" i="1"/>
  <c r="R114" i="1"/>
  <c r="R186" i="1"/>
  <c r="Q186" i="1"/>
  <c r="R258" i="1"/>
  <c r="Q258" i="1"/>
  <c r="R327" i="1"/>
  <c r="Q327" i="1"/>
  <c r="R471" i="1"/>
  <c r="Q471" i="1"/>
  <c r="R127" i="1"/>
  <c r="Q127" i="1"/>
  <c r="Q460" i="1"/>
  <c r="R460" i="1"/>
  <c r="Q93" i="1"/>
  <c r="R93" i="1"/>
  <c r="R570" i="1"/>
  <c r="Q570" i="1"/>
  <c r="R70" i="1"/>
  <c r="Q70" i="1"/>
  <c r="R142" i="1"/>
  <c r="Q142" i="1"/>
  <c r="R214" i="1"/>
  <c r="Q214" i="1"/>
  <c r="R285" i="1"/>
  <c r="Q285" i="1"/>
  <c r="R355" i="1"/>
  <c r="Q355" i="1"/>
  <c r="R427" i="1"/>
  <c r="Q427" i="1"/>
  <c r="R499" i="1"/>
  <c r="Q499" i="1"/>
  <c r="R571" i="1"/>
  <c r="Q571" i="1"/>
  <c r="Q71" i="1"/>
  <c r="R71" i="1"/>
  <c r="Q143" i="1"/>
  <c r="R143" i="1"/>
  <c r="R215" i="1"/>
  <c r="Q215" i="1"/>
  <c r="Q286" i="1"/>
  <c r="R286" i="1"/>
  <c r="R572" i="1"/>
  <c r="Q572" i="1"/>
  <c r="R493" i="1"/>
  <c r="Q493" i="1"/>
  <c r="R424" i="1"/>
  <c r="Q424" i="1"/>
  <c r="Q260" i="1"/>
  <c r="R260" i="1"/>
  <c r="Q45" i="1"/>
  <c r="R45" i="1"/>
  <c r="Q538" i="1"/>
  <c r="R538" i="1"/>
  <c r="R266" i="1"/>
  <c r="Q266" i="1"/>
  <c r="Q141" i="1"/>
  <c r="R141" i="1"/>
  <c r="R396" i="1"/>
  <c r="Q396" i="1"/>
  <c r="R5" i="1"/>
  <c r="Q5" i="1"/>
  <c r="R362" i="1"/>
  <c r="Q362" i="1"/>
  <c r="Q178" i="1"/>
  <c r="R178" i="1"/>
  <c r="R107" i="1"/>
  <c r="Q107" i="1"/>
  <c r="R565" i="1"/>
  <c r="Q565" i="1"/>
  <c r="R292" i="1"/>
  <c r="Q292" i="1"/>
  <c r="R464" i="1"/>
  <c r="Q464" i="1"/>
  <c r="Q480" i="1"/>
  <c r="R480" i="1"/>
  <c r="R557" i="1"/>
  <c r="Q557" i="1"/>
  <c r="R331" i="1"/>
  <c r="Q331" i="1"/>
  <c r="R191" i="1"/>
  <c r="Q191" i="1"/>
  <c r="R92" i="1"/>
  <c r="Q92" i="1"/>
  <c r="R168" i="1"/>
  <c r="Q168" i="1"/>
  <c r="Q400" i="1"/>
  <c r="R400" i="1"/>
  <c r="R265" i="1"/>
  <c r="Q265" i="1"/>
  <c r="Q347" i="1"/>
  <c r="R347" i="1"/>
  <c r="Q498" i="1"/>
  <c r="R498" i="1"/>
  <c r="R120" i="1"/>
  <c r="Q120" i="1"/>
  <c r="R264" i="1"/>
  <c r="Q264" i="1"/>
  <c r="R333" i="1"/>
  <c r="Q333" i="1"/>
  <c r="R405" i="1"/>
  <c r="Q405" i="1"/>
  <c r="R477" i="1"/>
  <c r="Q477" i="1"/>
  <c r="R9" i="1"/>
  <c r="Q9" i="1"/>
  <c r="Q534" i="1"/>
  <c r="R534" i="1"/>
  <c r="R73" i="1"/>
  <c r="Q73" i="1"/>
  <c r="R217" i="1"/>
  <c r="Q217" i="1"/>
  <c r="R358" i="1"/>
  <c r="Q358" i="1"/>
  <c r="R430" i="1"/>
  <c r="Q430" i="1"/>
  <c r="R502" i="1"/>
  <c r="Q502" i="1"/>
  <c r="Q86" i="1"/>
  <c r="R86" i="1"/>
  <c r="R75" i="1"/>
  <c r="Q75" i="1"/>
  <c r="R504" i="1"/>
  <c r="Q504" i="1"/>
  <c r="R244" i="1"/>
  <c r="Q244" i="1"/>
  <c r="R268" i="1"/>
  <c r="Q268" i="1"/>
  <c r="R436" i="1"/>
  <c r="Q436" i="1"/>
  <c r="R41" i="1"/>
  <c r="Q41" i="1"/>
  <c r="R542" i="1"/>
  <c r="Q542" i="1"/>
  <c r="R399" i="1"/>
  <c r="Q399" i="1"/>
  <c r="Q543" i="1"/>
  <c r="R543" i="1"/>
  <c r="Q317" i="1"/>
  <c r="R317" i="1"/>
  <c r="R356" i="1"/>
  <c r="Q356" i="1"/>
  <c r="R428" i="1"/>
  <c r="Q428" i="1"/>
  <c r="R500" i="1"/>
  <c r="Q500" i="1"/>
  <c r="R115" i="1"/>
  <c r="Q115" i="1"/>
  <c r="R438" i="1"/>
  <c r="Q438" i="1"/>
  <c r="Q412" i="1"/>
  <c r="R412" i="1"/>
  <c r="R335" i="1"/>
  <c r="Q335" i="1"/>
  <c r="Q20" i="1"/>
  <c r="R20" i="1"/>
  <c r="R77" i="1"/>
  <c r="Q77" i="1"/>
  <c r="Q6" i="1"/>
  <c r="R6" i="1"/>
  <c r="R34" i="1"/>
  <c r="Q34" i="1"/>
  <c r="R391" i="1"/>
  <c r="Q391" i="1"/>
  <c r="R320" i="1"/>
  <c r="Q320" i="1"/>
  <c r="R397" i="1"/>
  <c r="Q397" i="1"/>
  <c r="R297" i="1"/>
  <c r="Q297" i="1"/>
  <c r="R253" i="1"/>
  <c r="Q253" i="1"/>
  <c r="Q33" i="1"/>
  <c r="R33" i="1"/>
  <c r="Q150" i="1"/>
  <c r="R150" i="1"/>
  <c r="R509" i="1"/>
  <c r="Q509" i="1"/>
  <c r="R419" i="1"/>
  <c r="Q419" i="1"/>
  <c r="R51" i="1"/>
  <c r="Q51" i="1"/>
  <c r="R552" i="1"/>
  <c r="Q552" i="1"/>
  <c r="Q18" i="1"/>
  <c r="R18" i="1"/>
  <c r="R447" i="1"/>
  <c r="Q447" i="1"/>
  <c r="R475" i="1"/>
  <c r="Q475" i="1"/>
  <c r="R332" i="1"/>
  <c r="Q332" i="1"/>
  <c r="R309" i="1"/>
  <c r="Q309" i="1"/>
  <c r="Q366" i="1"/>
  <c r="R366" i="1"/>
  <c r="R406" i="1"/>
  <c r="Q406" i="1"/>
  <c r="Q426" i="1"/>
  <c r="R426" i="1"/>
  <c r="R233" i="1"/>
  <c r="Q233" i="1"/>
  <c r="R375" i="1"/>
  <c r="Q375" i="1"/>
  <c r="R561" i="1"/>
  <c r="Q561" i="1"/>
  <c r="Q152" i="1"/>
  <c r="R152" i="1"/>
  <c r="Q81" i="1"/>
  <c r="R81" i="1"/>
  <c r="R298" i="1"/>
  <c r="Q298" i="1"/>
  <c r="R31" i="1"/>
  <c r="Q31" i="1"/>
  <c r="Q200" i="1"/>
  <c r="R200" i="1"/>
  <c r="R26" i="1"/>
  <c r="Q26" i="1"/>
  <c r="R98" i="1"/>
  <c r="Q98" i="1"/>
  <c r="R242" i="1"/>
  <c r="Q242" i="1"/>
  <c r="Q383" i="1"/>
  <c r="R383" i="1"/>
  <c r="Q455" i="1"/>
  <c r="R455" i="1"/>
  <c r="Q527" i="1"/>
  <c r="R527" i="1"/>
  <c r="Q496" i="1"/>
  <c r="R496" i="1"/>
  <c r="R569" i="1"/>
  <c r="Q569" i="1"/>
  <c r="R354" i="1"/>
  <c r="Q354" i="1"/>
  <c r="R159" i="1"/>
  <c r="Q159" i="1"/>
  <c r="R231" i="1"/>
  <c r="Q231" i="1"/>
  <c r="R300" i="1"/>
  <c r="Q300" i="1"/>
  <c r="R16" i="1"/>
  <c r="Q16" i="1"/>
  <c r="R256" i="1"/>
  <c r="Q256" i="1"/>
  <c r="R349" i="1"/>
  <c r="Q349" i="1"/>
  <c r="R517" i="1"/>
  <c r="Q517" i="1"/>
  <c r="Q448" i="1"/>
  <c r="R448" i="1"/>
  <c r="Q425" i="1"/>
  <c r="R425" i="1"/>
  <c r="Q330" i="1"/>
  <c r="R330" i="1"/>
  <c r="R361" i="1"/>
  <c r="Q361" i="1"/>
  <c r="R139" i="1"/>
  <c r="Q139" i="1"/>
  <c r="Q389" i="1"/>
  <c r="R389" i="1"/>
  <c r="R53" i="1"/>
  <c r="Q53" i="1"/>
  <c r="R125" i="1"/>
  <c r="Q125" i="1"/>
  <c r="R197" i="1"/>
  <c r="Q197" i="1"/>
  <c r="R269" i="1"/>
  <c r="Q269" i="1"/>
  <c r="R338" i="1"/>
  <c r="Q338" i="1"/>
  <c r="R126" i="1"/>
  <c r="Q126" i="1"/>
  <c r="R198" i="1"/>
  <c r="Q198" i="1"/>
  <c r="Q270" i="1"/>
  <c r="R270" i="1"/>
  <c r="R411" i="1"/>
  <c r="Q411" i="1"/>
  <c r="R175" i="1"/>
  <c r="Q175" i="1"/>
  <c r="R377" i="1"/>
  <c r="Q377" i="1"/>
  <c r="R10" i="1"/>
  <c r="Q10" i="1"/>
  <c r="R82" i="1"/>
  <c r="Q82" i="1"/>
  <c r="R154" i="1"/>
  <c r="Q154" i="1"/>
  <c r="R226" i="1"/>
  <c r="Q226" i="1"/>
  <c r="R295" i="1"/>
  <c r="Q295" i="1"/>
  <c r="R367" i="1"/>
  <c r="Q367" i="1"/>
  <c r="Q439" i="1"/>
  <c r="R439" i="1"/>
  <c r="R511" i="1"/>
  <c r="Q511" i="1"/>
  <c r="R11" i="1"/>
  <c r="Q11" i="1"/>
  <c r="Q83" i="1"/>
  <c r="R83" i="1"/>
  <c r="R155" i="1"/>
  <c r="Q155" i="1"/>
  <c r="Q227" i="1"/>
  <c r="R227" i="1"/>
  <c r="R296" i="1"/>
  <c r="Q296" i="1"/>
  <c r="R472" i="1"/>
  <c r="Q472" i="1"/>
  <c r="Q305" i="1"/>
  <c r="R305" i="1"/>
  <c r="Q510" i="1"/>
  <c r="R510" i="1"/>
  <c r="R194" i="1"/>
  <c r="Q194" i="1"/>
  <c r="R462" i="1"/>
  <c r="Q462" i="1"/>
  <c r="Q32" i="1"/>
  <c r="R32" i="1"/>
  <c r="Q434" i="1"/>
  <c r="R434" i="1"/>
  <c r="R222" i="1"/>
  <c r="Q222" i="1"/>
  <c r="R164" i="1"/>
  <c r="Q164" i="1"/>
  <c r="R250" i="1"/>
  <c r="Q250" i="1"/>
  <c r="Q179" i="1"/>
  <c r="R179" i="1"/>
  <c r="R247" i="1"/>
  <c r="Q247" i="1"/>
  <c r="R369" i="1"/>
  <c r="Q369" i="1"/>
  <c r="R261" i="1"/>
  <c r="Q261" i="1"/>
  <c r="R322" i="1"/>
  <c r="Q322" i="1"/>
  <c r="R39" i="1"/>
  <c r="Q39" i="1"/>
  <c r="R540" i="1"/>
  <c r="Q540" i="1"/>
  <c r="R363" i="1"/>
  <c r="Q363" i="1"/>
  <c r="R392" i="1"/>
  <c r="Q392" i="1"/>
  <c r="R193" i="1"/>
  <c r="Q193" i="1"/>
  <c r="R491" i="1"/>
  <c r="Q491" i="1"/>
  <c r="R195" i="1"/>
  <c r="Q195" i="1"/>
  <c r="R52" i="1"/>
  <c r="Q52" i="1"/>
  <c r="Q128" i="1"/>
  <c r="R128" i="1"/>
  <c r="R104" i="1"/>
  <c r="Q104" i="1"/>
  <c r="R446" i="1"/>
  <c r="Q446" i="1"/>
  <c r="R234" i="1"/>
  <c r="Q234" i="1"/>
  <c r="R55" i="1"/>
  <c r="Q55" i="1"/>
  <c r="R46" i="1"/>
  <c r="Q46" i="1"/>
  <c r="R403" i="1"/>
  <c r="Q403" i="1"/>
  <c r="R263" i="1"/>
  <c r="Q263" i="1"/>
  <c r="R7" i="1"/>
  <c r="Q7" i="1"/>
  <c r="R334" i="1"/>
  <c r="Q334" i="1"/>
  <c r="R123" i="1"/>
  <c r="Q123" i="1"/>
  <c r="R187" i="1"/>
  <c r="Q187" i="1"/>
  <c r="R17" i="1"/>
  <c r="Q17" i="1"/>
  <c r="R518" i="1"/>
  <c r="Q518" i="1"/>
  <c r="Q414" i="1"/>
  <c r="R414" i="1"/>
  <c r="Q60" i="1"/>
  <c r="R60" i="1"/>
  <c r="Q132" i="1"/>
  <c r="R132" i="1"/>
  <c r="Q204" i="1"/>
  <c r="R204" i="1"/>
  <c r="R276" i="1"/>
  <c r="Q276" i="1"/>
  <c r="R345" i="1"/>
  <c r="Q345" i="1"/>
  <c r="Q417" i="1"/>
  <c r="R417" i="1"/>
  <c r="R489" i="1"/>
  <c r="Q489" i="1"/>
  <c r="R13" i="1"/>
  <c r="Q13" i="1"/>
  <c r="R85" i="1"/>
  <c r="Q85" i="1"/>
  <c r="R157" i="1"/>
  <c r="Q157" i="1"/>
  <c r="R229" i="1"/>
  <c r="Q229" i="1"/>
  <c r="Q370" i="1"/>
  <c r="R370" i="1"/>
  <c r="Q442" i="1"/>
  <c r="R442" i="1"/>
  <c r="R514" i="1"/>
  <c r="Q514" i="1"/>
  <c r="R213" i="1"/>
  <c r="Q213" i="1"/>
  <c r="R170" i="1"/>
  <c r="Q170" i="1"/>
  <c r="R311" i="1"/>
  <c r="Q311" i="1"/>
  <c r="R15" i="1"/>
  <c r="Q15" i="1"/>
  <c r="R87" i="1"/>
  <c r="Q87" i="1"/>
  <c r="R372" i="1"/>
  <c r="Q372" i="1"/>
  <c r="R444" i="1"/>
  <c r="Q444" i="1"/>
  <c r="R516" i="1"/>
  <c r="Q516" i="1"/>
  <c r="R100" i="1"/>
  <c r="Q100" i="1"/>
  <c r="R172" i="1"/>
  <c r="Q172" i="1"/>
  <c r="Q484" i="1"/>
  <c r="R484" i="1"/>
  <c r="R410" i="1"/>
  <c r="Q410" i="1"/>
  <c r="Q482" i="1"/>
  <c r="R482" i="1"/>
  <c r="R554" i="1"/>
  <c r="Q554" i="1"/>
  <c r="R54" i="1"/>
  <c r="Q54" i="1"/>
  <c r="Q339" i="1"/>
  <c r="R339" i="1"/>
  <c r="Q483" i="1"/>
  <c r="R483" i="1"/>
  <c r="Q555" i="1"/>
  <c r="R555" i="1"/>
  <c r="R556" i="1"/>
  <c r="Q556" i="1"/>
  <c r="R153" i="1"/>
  <c r="Q153" i="1"/>
  <c r="Q368" i="1"/>
  <c r="R368" i="1"/>
  <c r="Q440" i="1"/>
  <c r="R440" i="1"/>
  <c r="Q512" i="1"/>
  <c r="R512" i="1"/>
  <c r="R196" i="1"/>
  <c r="Q196" i="1"/>
  <c r="R505" i="1"/>
  <c r="Q505" i="1"/>
  <c r="R151" i="1"/>
  <c r="Q151" i="1"/>
  <c r="Q117" i="1"/>
  <c r="R117" i="1"/>
  <c r="S145" i="15"/>
  <c r="S7" i="15"/>
  <c r="S43" i="15"/>
  <c r="S59" i="15"/>
  <c r="S122" i="15"/>
  <c r="S24" i="15"/>
  <c r="S82" i="15"/>
  <c r="S25" i="15"/>
  <c r="S83" i="15"/>
  <c r="S55" i="15"/>
  <c r="S118" i="15"/>
  <c r="S149" i="15"/>
  <c r="S40" i="15"/>
  <c r="S97" i="15"/>
  <c r="S146" i="15"/>
  <c r="S35" i="15"/>
  <c r="S143" i="15"/>
  <c r="S121" i="15"/>
  <c r="S11" i="15"/>
  <c r="S111" i="15"/>
  <c r="S125" i="15"/>
  <c r="S105" i="15"/>
  <c r="S133" i="15"/>
  <c r="S39" i="15"/>
  <c r="S144" i="15"/>
  <c r="S151" i="15"/>
  <c r="S101" i="15"/>
  <c r="S126" i="15"/>
  <c r="S48" i="15"/>
  <c r="S27" i="15"/>
  <c r="S153" i="15"/>
  <c r="S110" i="15"/>
  <c r="S119" i="15"/>
  <c r="S109" i="15"/>
  <c r="S62" i="15"/>
  <c r="S134" i="15"/>
  <c r="S384" i="14"/>
  <c r="S53" i="14"/>
  <c r="S405" i="14"/>
  <c r="S143" i="14"/>
  <c r="S73" i="14"/>
  <c r="S235" i="14"/>
  <c r="S218" i="14"/>
  <c r="S373" i="14"/>
  <c r="S44" i="14"/>
  <c r="S166" i="14"/>
  <c r="S321" i="14"/>
  <c r="S66" i="14"/>
  <c r="S117" i="14"/>
  <c r="S232" i="14"/>
  <c r="S42" i="14"/>
  <c r="S255" i="14"/>
  <c r="S36" i="14"/>
  <c r="S322" i="14"/>
  <c r="S83" i="14"/>
  <c r="S353" i="14"/>
  <c r="S300" i="14"/>
  <c r="S249" i="14"/>
  <c r="S15" i="14"/>
  <c r="S60" i="14"/>
  <c r="S279" i="14"/>
  <c r="S167" i="14"/>
  <c r="S394" i="14"/>
  <c r="S316" i="14"/>
  <c r="S269" i="14"/>
  <c r="S138" i="14"/>
  <c r="S41" i="14"/>
  <c r="S194" i="14"/>
  <c r="S214" i="14"/>
  <c r="S37" i="14"/>
  <c r="S59" i="14"/>
  <c r="S12" i="14"/>
  <c r="S229" i="14"/>
  <c r="S21" i="14"/>
  <c r="S35" i="14"/>
  <c r="S19" i="14"/>
  <c r="S107" i="14"/>
  <c r="S111" i="14"/>
  <c r="S280" i="14"/>
  <c r="S268" i="14"/>
  <c r="S16" i="14"/>
  <c r="S289" i="14"/>
  <c r="S406" i="14"/>
  <c r="S346" i="14"/>
  <c r="S336" i="14"/>
  <c r="S195" i="14"/>
  <c r="S266" i="14"/>
  <c r="S189" i="14"/>
  <c r="S320" i="14"/>
  <c r="S348" i="14"/>
  <c r="S257" i="14"/>
  <c r="S68" i="14"/>
  <c r="S57" i="14"/>
  <c r="S105" i="14"/>
  <c r="S284" i="14"/>
  <c r="S103" i="14"/>
  <c r="S20" i="14"/>
  <c r="S187" i="14"/>
  <c r="S382" i="14"/>
  <c r="S288" i="14"/>
  <c r="S133" i="14"/>
  <c r="S236" i="14"/>
  <c r="S256" i="14"/>
  <c r="S272" i="14"/>
  <c r="S93" i="14"/>
  <c r="S84" i="14"/>
  <c r="S184" i="14"/>
  <c r="S87" i="14"/>
  <c r="S155" i="14"/>
  <c r="S69" i="14"/>
  <c r="S8" i="14"/>
  <c r="S230" i="14"/>
  <c r="S55" i="14"/>
  <c r="S100" i="14"/>
  <c r="S47" i="14"/>
  <c r="S104" i="14"/>
  <c r="S123" i="14"/>
  <c r="S216" i="14"/>
  <c r="S17" i="14"/>
  <c r="S177" i="14"/>
  <c r="S238" i="14"/>
  <c r="S31" i="14"/>
  <c r="S131" i="14"/>
  <c r="S18" i="14"/>
  <c r="S151" i="14"/>
  <c r="S42" i="15"/>
  <c r="S72" i="15"/>
  <c r="S91" i="15"/>
  <c r="S86" i="15"/>
  <c r="S50" i="15"/>
  <c r="S31" i="15"/>
  <c r="S5" i="15"/>
  <c r="S46" i="15"/>
  <c r="S67" i="15"/>
  <c r="S16" i="15"/>
  <c r="S87" i="15"/>
  <c r="S99" i="15"/>
  <c r="S58" i="15"/>
  <c r="S38" i="15"/>
  <c r="S152" i="15"/>
  <c r="S19" i="15"/>
  <c r="S44" i="15"/>
  <c r="S13" i="15"/>
  <c r="S147" i="15"/>
  <c r="S74" i="15"/>
  <c r="S84" i="15"/>
  <c r="S33" i="15"/>
  <c r="S117" i="15"/>
  <c r="S20" i="15"/>
  <c r="S29" i="15"/>
  <c r="S56" i="15"/>
  <c r="S60" i="15"/>
  <c r="S90" i="15"/>
  <c r="S115" i="15"/>
  <c r="S70" i="15"/>
  <c r="S123" i="15"/>
  <c r="S9" i="15"/>
  <c r="S93" i="15"/>
  <c r="S64" i="15"/>
  <c r="S15" i="15"/>
  <c r="S88" i="15"/>
  <c r="S95" i="15"/>
  <c r="S80" i="15"/>
  <c r="S54" i="15"/>
  <c r="S107" i="15"/>
  <c r="S141" i="15"/>
  <c r="S63" i="15"/>
  <c r="S52" i="15"/>
  <c r="S127" i="15"/>
  <c r="S131" i="15"/>
  <c r="S2" i="15"/>
  <c r="S113" i="15"/>
  <c r="S139" i="15"/>
  <c r="S68" i="15"/>
  <c r="S135" i="15"/>
  <c r="S129" i="15"/>
  <c r="S66" i="15"/>
  <c r="S23" i="15"/>
  <c r="S47" i="15"/>
  <c r="S94" i="15"/>
  <c r="S76" i="15"/>
  <c r="S98" i="15"/>
  <c r="S137" i="15"/>
  <c r="S21" i="15"/>
  <c r="S17" i="15"/>
  <c r="S150" i="14"/>
  <c r="S341" i="14"/>
  <c r="S378" i="14"/>
  <c r="S332" i="14"/>
  <c r="S109" i="14"/>
  <c r="S76" i="14"/>
  <c r="S39" i="14"/>
  <c r="S338" i="14"/>
  <c r="S200" i="14"/>
  <c r="S264" i="14"/>
  <c r="S342" i="14"/>
  <c r="S45" i="14"/>
  <c r="S398" i="14"/>
  <c r="S89" i="14"/>
  <c r="S400" i="14"/>
  <c r="S245" i="14"/>
  <c r="S305" i="14"/>
  <c r="S334" i="14"/>
  <c r="S294" i="14"/>
  <c r="S241" i="14"/>
  <c r="S265" i="14"/>
  <c r="S386" i="14"/>
  <c r="S340" i="14"/>
  <c r="S201" i="14"/>
  <c r="S221" i="14"/>
  <c r="S327" i="14"/>
  <c r="S358" i="14"/>
  <c r="S317" i="14"/>
  <c r="S263" i="14"/>
  <c r="S366" i="14"/>
  <c r="S156" i="14"/>
  <c r="S118" i="14"/>
  <c r="S173" i="14"/>
  <c r="S356" i="14"/>
  <c r="S271" i="14"/>
  <c r="S408" i="14"/>
  <c r="S120" i="14"/>
  <c r="S349" i="14"/>
  <c r="S247" i="14"/>
  <c r="S380" i="14"/>
  <c r="S285" i="14"/>
  <c r="S13" i="14"/>
  <c r="S325" i="14"/>
  <c r="S331" i="14"/>
  <c r="S404" i="14"/>
  <c r="S307" i="14"/>
  <c r="S65" i="14"/>
  <c r="S381" i="14"/>
  <c r="S101" i="14"/>
  <c r="S27" i="14"/>
  <c r="S115" i="14"/>
  <c r="S364" i="14"/>
  <c r="S274" i="14"/>
  <c r="S63" i="14"/>
  <c r="S326" i="14"/>
  <c r="S328" i="14"/>
  <c r="S390" i="14"/>
  <c r="S368" i="14"/>
  <c r="S297" i="14"/>
  <c r="S113" i="14"/>
  <c r="S396" i="14"/>
  <c r="S160" i="14"/>
  <c r="S351" i="14"/>
  <c r="S330" i="14"/>
  <c r="S142" i="14"/>
  <c r="S172" i="14"/>
  <c r="S337" i="14"/>
  <c r="S251" i="14"/>
  <c r="S49" i="14"/>
  <c r="S388" i="14"/>
  <c r="S392" i="14"/>
  <c r="S51" i="14"/>
  <c r="S350" i="14"/>
  <c r="S352" i="14"/>
  <c r="S370" i="14"/>
  <c r="S277" i="14"/>
  <c r="S402" i="14"/>
  <c r="S362" i="14"/>
  <c r="S318" i="14"/>
  <c r="S324" i="14"/>
  <c r="S132" i="14"/>
  <c r="S293" i="14"/>
  <c r="S361" i="14"/>
  <c r="S250" i="14"/>
  <c r="S354" i="14"/>
  <c r="S365" i="14"/>
  <c r="S295" i="14"/>
  <c r="S121" i="14"/>
  <c r="S23" i="14"/>
  <c r="S79" i="14"/>
  <c r="S287" i="14"/>
  <c r="S198" i="14"/>
  <c r="S193" i="14"/>
  <c r="S217" i="14"/>
  <c r="S29" i="14"/>
  <c r="S291" i="14"/>
  <c r="S374" i="14"/>
  <c r="S303" i="14"/>
  <c r="S376" i="14"/>
  <c r="S311" i="14"/>
  <c r="S82" i="13"/>
  <c r="S153" i="13"/>
  <c r="S131" i="13"/>
  <c r="S113" i="13"/>
  <c r="S107" i="13"/>
  <c r="S78" i="13"/>
  <c r="S19" i="13"/>
  <c r="S29" i="13"/>
  <c r="S17" i="13"/>
  <c r="S37" i="13"/>
  <c r="S31" i="13"/>
  <c r="S147" i="13"/>
  <c r="S93" i="13"/>
  <c r="S265" i="12"/>
  <c r="S73" i="12"/>
  <c r="S128" i="12"/>
  <c r="S105" i="12"/>
  <c r="S44" i="12"/>
  <c r="S99" i="12"/>
  <c r="S339" i="12"/>
  <c r="S3" i="12"/>
  <c r="S75" i="12"/>
  <c r="S93" i="12"/>
  <c r="S279" i="12"/>
  <c r="S19" i="12"/>
  <c r="S47" i="12"/>
  <c r="S289" i="12"/>
  <c r="S39" i="12"/>
  <c r="S2" i="12"/>
  <c r="S254" i="12"/>
  <c r="S337" i="12"/>
  <c r="S59" i="12"/>
  <c r="S367" i="12"/>
  <c r="S61" i="12"/>
  <c r="S133" i="12"/>
  <c r="S171" i="12"/>
  <c r="S84" i="12"/>
  <c r="S82" i="12"/>
  <c r="S22" i="12"/>
  <c r="S125" i="12"/>
  <c r="S87" i="12"/>
  <c r="S345" i="12"/>
  <c r="S359" i="12"/>
  <c r="S267" i="12"/>
  <c r="S174" i="12"/>
  <c r="S106" i="12"/>
  <c r="S203" i="12"/>
  <c r="S104" i="12"/>
  <c r="S108" i="12"/>
  <c r="S228" i="12"/>
  <c r="S208" i="12"/>
  <c r="S330" i="12"/>
  <c r="S196" i="12"/>
  <c r="S253" i="12"/>
  <c r="S392" i="12"/>
  <c r="S10" i="12"/>
  <c r="S389" i="12"/>
  <c r="S77" i="12"/>
  <c r="S80" i="12"/>
  <c r="S166" i="12"/>
  <c r="S260" i="12"/>
  <c r="S63" i="12"/>
  <c r="S21" i="12"/>
  <c r="S49" i="12"/>
  <c r="S391" i="12"/>
  <c r="S303" i="12"/>
  <c r="S56" i="12"/>
  <c r="S115" i="12"/>
  <c r="S26" i="12"/>
  <c r="S48" i="12"/>
  <c r="S353" i="12"/>
  <c r="S98" i="12"/>
  <c r="S364" i="12"/>
  <c r="S327" i="12"/>
  <c r="S45" i="12"/>
  <c r="S397" i="12"/>
  <c r="S72" i="12"/>
  <c r="S333" i="12"/>
  <c r="S92" i="12"/>
  <c r="S113" i="12"/>
  <c r="S5" i="12"/>
  <c r="S89" i="12"/>
  <c r="S152" i="12"/>
  <c r="S94" i="12"/>
  <c r="S119" i="13"/>
  <c r="S13" i="13"/>
  <c r="S54" i="13"/>
  <c r="S95" i="13"/>
  <c r="S101" i="13"/>
  <c r="S70" i="13"/>
  <c r="S84" i="13"/>
  <c r="S123" i="13"/>
  <c r="S42" i="13"/>
  <c r="S111" i="13"/>
  <c r="S66" i="13"/>
  <c r="S4" i="13"/>
  <c r="S5" i="13" s="1"/>
  <c r="S72" i="13"/>
  <c r="S7" i="13"/>
  <c r="S48" i="13"/>
  <c r="S125" i="13"/>
  <c r="S90" i="13"/>
  <c r="S25" i="13"/>
  <c r="S11" i="13"/>
  <c r="S60" i="13"/>
  <c r="S137" i="13"/>
  <c r="S197" i="12"/>
  <c r="S220" i="12"/>
  <c r="S200" i="12"/>
  <c r="S369" i="12"/>
  <c r="S232" i="12"/>
  <c r="S396" i="12"/>
  <c r="S68" i="12"/>
  <c r="S356" i="12"/>
  <c r="S235" i="12"/>
  <c r="S4" i="12"/>
  <c r="S188" i="12"/>
  <c r="S198" i="12"/>
  <c r="S161" i="12"/>
  <c r="S177" i="12"/>
  <c r="S43" i="12"/>
  <c r="S27" i="12"/>
  <c r="S284" i="12"/>
  <c r="S224" i="12"/>
  <c r="S259" i="12"/>
  <c r="S185" i="12"/>
  <c r="S346" i="12"/>
  <c r="S206" i="12"/>
  <c r="S239" i="12"/>
  <c r="S238" i="12"/>
  <c r="S255" i="12"/>
  <c r="S214" i="12"/>
  <c r="S175" i="12"/>
  <c r="S276" i="12"/>
  <c r="S281" i="12"/>
  <c r="S53" i="12"/>
  <c r="S405" i="12"/>
  <c r="S33" i="12"/>
  <c r="S210" i="12"/>
  <c r="S343" i="12"/>
  <c r="S404" i="12"/>
  <c r="S180" i="12"/>
  <c r="S288" i="12"/>
  <c r="S263" i="12"/>
  <c r="S163" i="12"/>
  <c r="S297" i="12"/>
  <c r="S164" i="12"/>
  <c r="S225" i="12"/>
  <c r="S25" i="12"/>
  <c r="S211" i="12"/>
  <c r="S320" i="12"/>
  <c r="S57" i="12"/>
  <c r="S310" i="12"/>
  <c r="S368" i="12"/>
  <c r="S380" i="12"/>
  <c r="S141" i="11"/>
  <c r="S139" i="11"/>
  <c r="S149" i="11"/>
  <c r="S127" i="11"/>
  <c r="S115" i="11"/>
  <c r="S145" i="11"/>
  <c r="S27" i="10"/>
  <c r="S387" i="10"/>
  <c r="S89" i="10"/>
  <c r="S147" i="10"/>
  <c r="S397" i="10"/>
  <c r="S309" i="10"/>
  <c r="S67" i="10"/>
  <c r="S62" i="10"/>
  <c r="S3" i="10"/>
  <c r="S70" i="10"/>
  <c r="S300" i="10"/>
  <c r="S38" i="10"/>
  <c r="S52" i="10"/>
  <c r="S2" i="10"/>
  <c r="S230" i="10"/>
  <c r="S323" i="10"/>
  <c r="S145" i="10"/>
  <c r="S216" i="10"/>
  <c r="S5" i="10"/>
  <c r="S186" i="10"/>
  <c r="S224" i="10"/>
  <c r="S203" i="10"/>
  <c r="S117" i="10"/>
  <c r="S265" i="10"/>
  <c r="S81" i="10"/>
  <c r="S98" i="10"/>
  <c r="S377" i="10"/>
  <c r="S40" i="10"/>
  <c r="S395" i="10"/>
  <c r="S373" i="10"/>
  <c r="S207" i="10"/>
  <c r="S83" i="10"/>
  <c r="S202" i="10"/>
  <c r="S164" i="10"/>
  <c r="S82" i="10"/>
  <c r="S111" i="10"/>
  <c r="S378" i="10"/>
  <c r="S17" i="10"/>
  <c r="S245" i="10"/>
  <c r="S106" i="10"/>
  <c r="S393" i="10"/>
  <c r="S130" i="10"/>
  <c r="S120" i="10"/>
  <c r="S176" i="10"/>
  <c r="S177" i="10"/>
  <c r="S77" i="10"/>
  <c r="S162" i="10"/>
  <c r="S9" i="10"/>
  <c r="S66" i="10"/>
  <c r="S319" i="10"/>
  <c r="S227" i="10"/>
  <c r="S171" i="10"/>
  <c r="S205" i="10"/>
  <c r="S191" i="10"/>
  <c r="S126" i="10"/>
  <c r="S240" i="10"/>
  <c r="S223" i="10"/>
  <c r="S170" i="10"/>
  <c r="S129" i="10"/>
  <c r="S103" i="10"/>
  <c r="S142" i="10"/>
  <c r="S99" i="10"/>
  <c r="S306" i="10"/>
  <c r="S363" i="10"/>
  <c r="S259" i="10"/>
  <c r="S375" i="10"/>
  <c r="S330" i="10"/>
  <c r="S12" i="10"/>
  <c r="S15" i="10"/>
  <c r="S97" i="10"/>
  <c r="S371" i="10"/>
  <c r="S318" i="10"/>
  <c r="S155" i="10"/>
  <c r="S88" i="10"/>
  <c r="S20" i="10"/>
  <c r="S180" i="10"/>
  <c r="S161" i="10"/>
  <c r="S102" i="10"/>
  <c r="S211" i="10"/>
  <c r="S301" i="10"/>
  <c r="S172" i="10"/>
  <c r="S246" i="10"/>
  <c r="S49" i="10"/>
  <c r="S243" i="10"/>
  <c r="S353" i="10"/>
  <c r="S399" i="10"/>
  <c r="S122" i="10"/>
  <c r="S351" i="10"/>
  <c r="S347" i="10"/>
  <c r="S37" i="10"/>
  <c r="S76" i="10"/>
  <c r="S124" i="10"/>
  <c r="S123" i="10"/>
  <c r="S138" i="10"/>
  <c r="S46" i="10"/>
  <c r="S150" i="10"/>
  <c r="S181" i="10"/>
  <c r="S327" i="10"/>
  <c r="S54" i="10"/>
  <c r="S119" i="10"/>
  <c r="S11" i="10"/>
  <c r="S115" i="10"/>
  <c r="S128" i="10"/>
  <c r="S107" i="10"/>
  <c r="S374" i="10"/>
  <c r="S71" i="10"/>
  <c r="S78" i="10"/>
  <c r="S333" i="10"/>
  <c r="S100" i="10"/>
  <c r="S41" i="10"/>
  <c r="S84" i="10"/>
  <c r="S53" i="10"/>
  <c r="S64" i="10"/>
  <c r="S342" i="10"/>
  <c r="S26" i="10"/>
  <c r="S369" i="10"/>
  <c r="S51" i="10"/>
  <c r="S35" i="10"/>
  <c r="S28" i="10"/>
  <c r="S169" i="10"/>
  <c r="S154" i="10"/>
  <c r="S221" i="10"/>
  <c r="S215" i="10"/>
  <c r="S337" i="10"/>
  <c r="S235" i="10"/>
  <c r="S114" i="10"/>
  <c r="S282" i="10"/>
  <c r="S87" i="10"/>
  <c r="S355" i="10"/>
  <c r="S59" i="10"/>
  <c r="S94" i="10"/>
  <c r="S273" i="10"/>
  <c r="S74" i="10"/>
  <c r="S362" i="10"/>
  <c r="S163" i="10"/>
  <c r="S303" i="10"/>
  <c r="S331" i="10"/>
  <c r="S277" i="10"/>
  <c r="S179" i="10"/>
  <c r="S289" i="10"/>
  <c r="S197" i="10"/>
  <c r="S307" i="10"/>
  <c r="S165" i="10"/>
  <c r="S390" i="10"/>
  <c r="S13" i="10"/>
  <c r="S10" i="10"/>
  <c r="S139" i="10"/>
  <c r="S365" i="10"/>
  <c r="S141" i="10"/>
  <c r="S267" i="10"/>
  <c r="S16" i="10"/>
  <c r="S297" i="10"/>
  <c r="S39" i="10"/>
  <c r="S339" i="10"/>
  <c r="S345" i="10"/>
  <c r="S403" i="10"/>
  <c r="S239" i="10"/>
  <c r="S394" i="10"/>
  <c r="S321" i="10"/>
  <c r="S368" i="10"/>
  <c r="S249" i="10"/>
  <c r="S295" i="10"/>
  <c r="S188" i="10"/>
  <c r="S63" i="10"/>
  <c r="S73" i="10"/>
  <c r="S258" i="10"/>
  <c r="S271" i="10"/>
  <c r="S379" i="10"/>
  <c r="S50" i="10"/>
  <c r="S352" i="10"/>
  <c r="S268" i="10"/>
  <c r="S343" i="10"/>
  <c r="S382" i="10"/>
  <c r="S270" i="10"/>
  <c r="S23" i="10"/>
  <c r="S141" i="9"/>
  <c r="S126" i="9"/>
  <c r="S112" i="9"/>
  <c r="S89" i="9"/>
  <c r="S124" i="9"/>
  <c r="S157" i="9"/>
  <c r="S153" i="9"/>
  <c r="S85" i="9"/>
  <c r="S149" i="9"/>
  <c r="S155" i="9"/>
  <c r="S102" i="9"/>
  <c r="S132" i="9"/>
  <c r="S136" i="9"/>
  <c r="S321" i="8"/>
  <c r="S159" i="8"/>
  <c r="S266" i="8"/>
  <c r="S411" i="8"/>
  <c r="S179" i="8"/>
  <c r="S312" i="8"/>
  <c r="S207" i="8"/>
  <c r="S199" i="8"/>
  <c r="S309" i="8"/>
  <c r="S255" i="8"/>
  <c r="S413" i="8"/>
  <c r="S392" i="8"/>
  <c r="S231" i="8"/>
  <c r="S111" i="8"/>
  <c r="S146" i="8"/>
  <c r="S353" i="8"/>
  <c r="S405" i="8"/>
  <c r="S233" i="8"/>
  <c r="S343" i="8"/>
  <c r="S365" i="8"/>
  <c r="S227" i="8"/>
  <c r="S189" i="8"/>
  <c r="S301" i="8"/>
  <c r="S107" i="8"/>
  <c r="S93" i="8"/>
  <c r="S237" i="8"/>
  <c r="S323" i="8"/>
  <c r="S344" i="8"/>
  <c r="S144" i="8"/>
  <c r="S364" i="8"/>
  <c r="S201" i="8"/>
  <c r="S393" i="8"/>
  <c r="S63" i="8"/>
  <c r="S185" i="8"/>
  <c r="S328" i="8"/>
  <c r="S337" i="8"/>
  <c r="S209" i="8"/>
  <c r="S319" i="8"/>
  <c r="S101" i="8"/>
  <c r="S359" i="8"/>
  <c r="S360" i="8"/>
  <c r="S165" i="8"/>
  <c r="S173" i="8"/>
  <c r="S348" i="8"/>
  <c r="S349" i="8"/>
  <c r="S213" i="8"/>
  <c r="S299" i="8"/>
  <c r="S355" i="8"/>
  <c r="S119" i="8"/>
  <c r="S305" i="8"/>
  <c r="S385" i="8"/>
  <c r="S380" i="8"/>
  <c r="S97" i="8"/>
  <c r="S241" i="8"/>
  <c r="S327" i="8"/>
  <c r="S123" i="8"/>
  <c r="S403" i="8"/>
  <c r="S407" i="8"/>
  <c r="S267" i="8"/>
  <c r="S39" i="8"/>
  <c r="S23" i="8"/>
  <c r="S31" i="8"/>
  <c r="S259" i="8"/>
  <c r="S148" i="8"/>
  <c r="S317" i="8"/>
  <c r="S121" i="8"/>
  <c r="S268" i="8"/>
  <c r="S351" i="8"/>
  <c r="S219" i="8"/>
  <c r="S324" i="8"/>
  <c r="S70" i="8"/>
  <c r="S308" i="8"/>
  <c r="S347" i="8"/>
  <c r="S225" i="8"/>
  <c r="S375" i="8"/>
  <c r="S409" i="8"/>
  <c r="S103" i="8"/>
  <c r="S4" i="8"/>
  <c r="S5" i="8" s="1"/>
  <c r="S47" i="8"/>
  <c r="S389" i="8"/>
  <c r="S379" i="8"/>
  <c r="S296" i="8"/>
  <c r="S14" i="8"/>
  <c r="S15" i="8" s="1"/>
  <c r="S264" i="8"/>
  <c r="S137" i="8"/>
  <c r="S246" i="8"/>
  <c r="S127" i="8"/>
  <c r="S247" i="8"/>
  <c r="S91" i="8"/>
  <c r="S235" i="8"/>
  <c r="S276" i="8"/>
  <c r="S142" i="8"/>
  <c r="S341" i="8"/>
  <c r="S371" i="8"/>
  <c r="S373" i="8"/>
  <c r="S307" i="8"/>
  <c r="S203" i="8"/>
  <c r="S357" i="8"/>
  <c r="S254" i="8"/>
  <c r="S399" i="8"/>
  <c r="S369" i="8"/>
  <c r="S223" i="8"/>
  <c r="S55" i="8"/>
  <c r="S74" i="8"/>
  <c r="S143" i="9"/>
  <c r="S134" i="9"/>
  <c r="S139" i="9"/>
  <c r="S288" i="8"/>
  <c r="S248" i="8"/>
  <c r="S133" i="8"/>
  <c r="S401" i="8"/>
  <c r="S387" i="8"/>
  <c r="S397" i="8"/>
  <c r="S388" i="8"/>
  <c r="S256" i="8"/>
  <c r="S187" i="8"/>
  <c r="S295" i="8"/>
  <c r="S243" i="8"/>
  <c r="S293" i="8"/>
  <c r="S336" i="8"/>
  <c r="S140" i="8"/>
  <c r="S99" i="8"/>
  <c r="S262" i="8"/>
  <c r="S272" i="8"/>
  <c r="S274" i="8"/>
  <c r="S281" i="8"/>
  <c r="S157" i="8"/>
  <c r="S95" i="8"/>
  <c r="S239" i="8"/>
  <c r="S177" i="8"/>
  <c r="S361" i="8"/>
  <c r="S217" i="8"/>
  <c r="S303" i="8"/>
  <c r="S258" i="8"/>
  <c r="S381" i="8"/>
  <c r="S292" i="8"/>
  <c r="S384" i="8"/>
  <c r="S284" i="8"/>
  <c r="S113" i="8"/>
  <c r="S325" i="8"/>
  <c r="S367" i="8"/>
  <c r="S275" i="8"/>
  <c r="S320" i="8"/>
  <c r="S211" i="8"/>
  <c r="S331" i="8"/>
  <c r="S332" i="8"/>
  <c r="S117" i="8"/>
  <c r="S252" i="8"/>
  <c r="S195" i="8"/>
  <c r="S352" i="8"/>
  <c r="S169" i="8"/>
  <c r="S125" i="8"/>
  <c r="S383" i="8"/>
  <c r="S285" i="8"/>
  <c r="S263" i="8"/>
  <c r="S391" i="8"/>
  <c r="S335" i="8"/>
  <c r="S171" i="8"/>
  <c r="S181" i="8"/>
  <c r="S376" i="8"/>
  <c r="S356" i="8"/>
  <c r="S340" i="8"/>
  <c r="S109" i="8"/>
  <c r="S313" i="8"/>
  <c r="S363" i="8"/>
  <c r="S153" i="8"/>
  <c r="S372" i="8"/>
  <c r="S161" i="8"/>
  <c r="S283" i="8"/>
  <c r="S131" i="8"/>
  <c r="S112" i="7"/>
  <c r="S138" i="7"/>
  <c r="S66" i="7"/>
  <c r="S88" i="7"/>
  <c r="S90" i="7"/>
  <c r="S62" i="7"/>
  <c r="S64" i="7"/>
  <c r="S143" i="7"/>
  <c r="S145" i="7"/>
  <c r="S147" i="7"/>
  <c r="S149" i="7"/>
  <c r="S56" i="7"/>
  <c r="S102" i="7"/>
  <c r="S30" i="7"/>
  <c r="S84" i="7"/>
  <c r="S60" i="7"/>
  <c r="S118" i="7"/>
  <c r="S120" i="7"/>
  <c r="S122" i="7"/>
  <c r="S124" i="7"/>
  <c r="S5" i="7"/>
  <c r="S78" i="7"/>
  <c r="S128" i="7"/>
  <c r="S58" i="7"/>
  <c r="S35" i="7"/>
  <c r="S94" i="7"/>
  <c r="S96" i="7"/>
  <c r="S100" i="7"/>
  <c r="S153" i="7"/>
  <c r="S51" i="7"/>
  <c r="S80" i="7"/>
  <c r="S32" i="7"/>
  <c r="S10" i="7"/>
  <c r="S159" i="7"/>
  <c r="S12" i="7"/>
  <c r="S161" i="7"/>
  <c r="S114" i="7"/>
  <c r="S116" i="7"/>
  <c r="S40" i="7"/>
  <c r="S42" i="7"/>
  <c r="S44" i="7"/>
  <c r="S46" i="7"/>
  <c r="S49" i="7"/>
  <c r="S53" i="7"/>
  <c r="S155" i="7"/>
  <c r="S151" i="7"/>
  <c r="S130" i="7"/>
  <c r="S132" i="7"/>
  <c r="S110" i="7"/>
  <c r="S95" i="6"/>
  <c r="S122" i="6"/>
  <c r="S316" i="6"/>
  <c r="S415" i="6"/>
  <c r="S340" i="6"/>
  <c r="S390" i="6"/>
  <c r="S305" i="6"/>
  <c r="S239" i="6"/>
  <c r="S108" i="6"/>
  <c r="S188" i="6"/>
  <c r="S399" i="6"/>
  <c r="S419" i="6"/>
  <c r="S337" i="6"/>
  <c r="S323" i="6"/>
  <c r="S348" i="6"/>
  <c r="S107" i="6"/>
  <c r="S275" i="6"/>
  <c r="S301" i="6"/>
  <c r="S98" i="6"/>
  <c r="S144" i="6"/>
  <c r="S272" i="6"/>
  <c r="S83" i="6"/>
  <c r="S407" i="6"/>
  <c r="S51" i="6"/>
  <c r="S172" i="6"/>
  <c r="S388" i="6"/>
  <c r="S211" i="6"/>
  <c r="S209" i="6"/>
  <c r="S245" i="6"/>
  <c r="S397" i="6"/>
  <c r="S283" i="6"/>
  <c r="S355" i="6"/>
  <c r="S347" i="6"/>
  <c r="S276" i="6"/>
  <c r="S339" i="6"/>
  <c r="S379" i="6"/>
  <c r="S308" i="6"/>
  <c r="S138" i="6"/>
  <c r="S39" i="6"/>
  <c r="S156" i="6"/>
  <c r="S37" i="6"/>
  <c r="S309" i="6"/>
  <c r="S84" i="6"/>
  <c r="S231" i="6"/>
  <c r="S315" i="6"/>
  <c r="S244" i="6"/>
  <c r="S380" i="6"/>
  <c r="S249" i="6"/>
  <c r="S294" i="6"/>
  <c r="S414" i="6"/>
  <c r="S2" i="6"/>
  <c r="S5" i="6" s="1"/>
  <c r="S352" i="6"/>
  <c r="S333" i="6"/>
  <c r="S216" i="6"/>
  <c r="S387" i="6"/>
  <c r="S324" i="6"/>
  <c r="S371" i="6"/>
  <c r="S41" i="6"/>
  <c r="S203" i="6"/>
  <c r="S60" i="6"/>
  <c r="S279" i="6"/>
  <c r="S66" i="6"/>
  <c r="S155" i="6"/>
  <c r="S163" i="6"/>
  <c r="S171" i="6"/>
  <c r="S64" i="6"/>
  <c r="S266" i="6"/>
  <c r="S265" i="6"/>
  <c r="S208" i="6"/>
  <c r="S129" i="6"/>
  <c r="S256" i="6"/>
  <c r="S90" i="6"/>
  <c r="S25" i="6"/>
  <c r="S12" i="6"/>
  <c r="S243" i="6"/>
  <c r="S121" i="6"/>
  <c r="S179" i="6"/>
  <c r="S248" i="6"/>
  <c r="S331" i="6"/>
  <c r="S291" i="6"/>
  <c r="S49" i="6"/>
  <c r="S73" i="6"/>
  <c r="S58" i="6"/>
  <c r="S358" i="6"/>
  <c r="S325" i="6"/>
  <c r="S221" i="6"/>
  <c r="S14" i="6"/>
  <c r="S29" i="6"/>
  <c r="S27" i="6"/>
  <c r="S37" i="7"/>
  <c r="S39" i="7"/>
  <c r="S162" i="7"/>
  <c r="S141" i="7"/>
  <c r="S16" i="7"/>
  <c r="S18" i="7"/>
  <c r="S20" i="7"/>
  <c r="S22" i="7"/>
  <c r="S24" i="7"/>
  <c r="S2" i="7"/>
  <c r="S4" i="7" s="1"/>
  <c r="S106" i="7"/>
  <c r="S126" i="7"/>
  <c r="S82" i="7"/>
  <c r="S108" i="7"/>
  <c r="S86" i="7"/>
  <c r="S68" i="7"/>
  <c r="S71" i="7"/>
  <c r="S73" i="7"/>
  <c r="S75" i="7"/>
  <c r="S104" i="7"/>
  <c r="S26" i="7"/>
  <c r="S28" i="7"/>
  <c r="S8" i="7"/>
  <c r="S157" i="7"/>
  <c r="S134" i="7"/>
  <c r="S136" i="7"/>
  <c r="S14" i="7"/>
  <c r="S92" i="7"/>
  <c r="S185" i="6"/>
  <c r="S366" i="6"/>
  <c r="S212" i="6"/>
  <c r="S137" i="6"/>
  <c r="S24" i="6"/>
  <c r="S260" i="6"/>
  <c r="S26" i="6"/>
  <c r="S406" i="6"/>
  <c r="S363" i="6"/>
  <c r="S292" i="6"/>
  <c r="S28" i="6"/>
  <c r="S356" i="6"/>
  <c r="S210" i="6"/>
  <c r="S364" i="6"/>
  <c r="S36" i="6"/>
  <c r="S200" i="6"/>
  <c r="S307" i="6"/>
  <c r="S312" i="6"/>
  <c r="S247" i="6"/>
  <c r="S259" i="6"/>
  <c r="S202" i="6"/>
  <c r="S111" i="6"/>
  <c r="S253" i="6"/>
  <c r="S404" i="6"/>
  <c r="S382" i="6"/>
  <c r="S302" i="6"/>
  <c r="S372" i="6"/>
  <c r="S113" i="6"/>
  <c r="S223" i="6"/>
  <c r="S300" i="6"/>
  <c r="S299" i="6"/>
  <c r="S40" i="6"/>
  <c r="S86" i="6"/>
  <c r="S254" i="6"/>
  <c r="S267" i="6"/>
  <c r="S161" i="6"/>
  <c r="S268" i="6"/>
  <c r="S135" i="6"/>
  <c r="S374" i="6"/>
  <c r="S99" i="6"/>
  <c r="S354" i="6"/>
  <c r="S396" i="6"/>
  <c r="S226" i="6"/>
  <c r="S146" i="6"/>
  <c r="S297" i="6"/>
  <c r="S119" i="6"/>
  <c r="S218" i="6"/>
  <c r="S284" i="6"/>
  <c r="S237" i="6"/>
  <c r="S169" i="6"/>
  <c r="S177" i="6"/>
  <c r="S332" i="6"/>
  <c r="S127" i="6"/>
  <c r="S236" i="6"/>
  <c r="S153" i="6"/>
  <c r="S38" i="6"/>
  <c r="S187" i="6"/>
  <c r="S11" i="6"/>
  <c r="S258" i="6"/>
  <c r="S234" i="6"/>
  <c r="S271" i="6"/>
  <c r="S405" i="6"/>
  <c r="S273" i="6"/>
  <c r="S152" i="3"/>
  <c r="S146" i="3"/>
  <c r="S80" i="2"/>
  <c r="S340" i="2"/>
  <c r="S359" i="2"/>
  <c r="S32" i="2"/>
  <c r="S396" i="2"/>
  <c r="S408" i="2"/>
  <c r="S128" i="2"/>
  <c r="S452" i="2"/>
  <c r="S353" i="2"/>
  <c r="S380" i="2"/>
  <c r="S122" i="2"/>
  <c r="S342" i="2"/>
  <c r="S352" i="2"/>
  <c r="S230" i="2"/>
  <c r="S223" i="2"/>
  <c r="S180" i="2"/>
  <c r="S157" i="2"/>
  <c r="S418" i="2"/>
  <c r="S351" i="2"/>
  <c r="S399" i="2"/>
  <c r="S143" i="2"/>
  <c r="S148" i="2"/>
  <c r="S426" i="2"/>
  <c r="S242" i="2"/>
  <c r="S144" i="2"/>
  <c r="S392" i="2"/>
  <c r="S323" i="2"/>
  <c r="S38" i="2"/>
  <c r="S269" i="2"/>
  <c r="S111" i="2"/>
  <c r="S259" i="2"/>
  <c r="S278" i="2"/>
  <c r="S224" i="2"/>
  <c r="S401" i="2"/>
  <c r="S239" i="2"/>
  <c r="S13" i="5"/>
  <c r="S5" i="5"/>
  <c r="S120" i="3"/>
  <c r="S125" i="3" s="1"/>
  <c r="S50" i="3"/>
  <c r="S113" i="3"/>
  <c r="S100" i="3"/>
  <c r="S191" i="2"/>
  <c r="S7" i="2"/>
  <c r="S316" i="2"/>
  <c r="S283" i="2"/>
  <c r="S273" i="2"/>
  <c r="S271" i="2"/>
  <c r="S434" i="2"/>
  <c r="S404" i="2"/>
  <c r="S362" i="2"/>
  <c r="S385" i="2"/>
  <c r="S27" i="2"/>
  <c r="S141" i="2"/>
  <c r="S405" i="2"/>
  <c r="S414" i="2"/>
  <c r="S266" i="2"/>
  <c r="S296" i="2"/>
  <c r="S166" i="2"/>
  <c r="S168" i="2" s="1"/>
  <c r="S94" i="3"/>
  <c r="S88" i="3"/>
  <c r="S138" i="3"/>
  <c r="S140" i="3"/>
  <c r="S102" i="3"/>
  <c r="S163" i="3"/>
  <c r="S98" i="3"/>
  <c r="S59" i="3"/>
  <c r="S63" i="3" s="1"/>
  <c r="S73" i="3"/>
  <c r="S133" i="3"/>
  <c r="S14" i="3"/>
  <c r="S44" i="3"/>
  <c r="S72" i="3"/>
  <c r="S22" i="3"/>
  <c r="S90" i="3"/>
  <c r="S436" i="2"/>
  <c r="S213" i="2"/>
  <c r="S214" i="2" s="1"/>
  <c r="S156" i="2"/>
  <c r="S179" i="2"/>
  <c r="S451" i="2"/>
  <c r="S291" i="2"/>
  <c r="S117" i="2"/>
  <c r="S350" i="2"/>
  <c r="S435" i="2"/>
  <c r="S377" i="2"/>
  <c r="S34" i="2"/>
  <c r="S387" i="2"/>
  <c r="S395" i="2"/>
  <c r="S379" i="2"/>
  <c r="S172" i="2"/>
  <c r="S324" i="2"/>
  <c r="S194" i="2"/>
  <c r="S374" i="2"/>
  <c r="S423" i="2"/>
  <c r="S15" i="2"/>
  <c r="S376" i="2"/>
  <c r="S262" i="2"/>
  <c r="S447" i="2"/>
  <c r="S14" i="2"/>
  <c r="S121" i="2"/>
  <c r="S119" i="2"/>
  <c r="S203" i="2"/>
  <c r="S207" i="2"/>
  <c r="S232" i="2"/>
  <c r="S333" i="2"/>
  <c r="S149" i="2"/>
  <c r="S187" i="2"/>
  <c r="S454" i="2"/>
  <c r="S409" i="2"/>
  <c r="S261" i="2"/>
  <c r="S133" i="2"/>
  <c r="S52" i="2"/>
  <c r="S55" i="2" s="1"/>
  <c r="S6" i="2"/>
  <c r="S211" i="2"/>
  <c r="S364" i="2"/>
  <c r="S206" i="2"/>
  <c r="S276" i="2"/>
  <c r="S3" i="2"/>
  <c r="S5" i="2" s="1"/>
  <c r="S419" i="2"/>
  <c r="S438" i="2"/>
  <c r="S76" i="2"/>
  <c r="S358" i="2"/>
  <c r="S386" i="2"/>
  <c r="S107" i="3"/>
  <c r="S109" i="3" s="1"/>
  <c r="S8" i="3"/>
  <c r="S66" i="3"/>
  <c r="S40" i="3"/>
  <c r="S42" i="3" s="1"/>
  <c r="S70" i="3"/>
  <c r="S127" i="3"/>
  <c r="S2" i="3"/>
  <c r="S4" i="3" s="1"/>
  <c r="S82" i="3"/>
  <c r="S31" i="3"/>
  <c r="S34" i="3" s="1"/>
  <c r="S26" i="3"/>
  <c r="S20" i="3"/>
  <c r="S85" i="3"/>
  <c r="S87" i="3" s="1"/>
  <c r="S167" i="3"/>
  <c r="S80" i="3"/>
  <c r="S173" i="3"/>
  <c r="S35" i="3"/>
  <c r="S49" i="3"/>
  <c r="S29" i="3"/>
  <c r="S31" i="2"/>
  <c r="S99" i="2"/>
  <c r="S145" i="2"/>
  <c r="S44" i="2"/>
  <c r="S19" i="2"/>
  <c r="S160" i="2"/>
  <c r="S18" i="2"/>
  <c r="S275" i="2"/>
  <c r="S251" i="2"/>
  <c r="S146" i="2"/>
  <c r="S272" i="2"/>
  <c r="S402" i="2"/>
  <c r="S219" i="2"/>
  <c r="S12" i="2"/>
  <c r="S192" i="2"/>
  <c r="S303" i="2"/>
  <c r="S284" i="2"/>
  <c r="S134" i="2"/>
  <c r="S20" i="2"/>
  <c r="S126" i="2"/>
  <c r="S43" i="2"/>
  <c r="S86" i="2"/>
  <c r="S181" i="2"/>
  <c r="S238" i="2"/>
  <c r="S104" i="2"/>
  <c r="S161" i="2"/>
  <c r="S347" i="2"/>
  <c r="S21" i="2"/>
  <c r="S260" i="2"/>
  <c r="S334" i="2"/>
  <c r="S417" i="2"/>
  <c r="S400" i="2"/>
  <c r="S108" i="2"/>
  <c r="S311" i="2"/>
  <c r="S313" i="2" s="1"/>
  <c r="S265" i="2"/>
  <c r="S425" i="2"/>
  <c r="S449" i="2"/>
  <c r="S295" i="2"/>
  <c r="S26" i="2"/>
  <c r="S367" i="2"/>
  <c r="S36" i="2"/>
  <c r="S267" i="2"/>
  <c r="S369" i="2"/>
  <c r="S22" i="2"/>
  <c r="S24" i="2"/>
  <c r="S368" i="2"/>
  <c r="S29" i="2"/>
  <c r="S139" i="2"/>
  <c r="S391" i="2"/>
  <c r="S11" i="2"/>
  <c r="S258" i="2"/>
  <c r="S13" i="2"/>
  <c r="S412" i="2"/>
  <c r="S349" i="2"/>
  <c r="S253" i="2"/>
  <c r="S328" i="2"/>
  <c r="S322" i="2"/>
  <c r="S338" i="2"/>
  <c r="S97" i="2"/>
  <c r="S199" i="2"/>
  <c r="S237" i="2"/>
  <c r="S335" i="2"/>
  <c r="S356" i="2"/>
  <c r="S35" i="2"/>
  <c r="S441" i="2"/>
  <c r="S383" i="2"/>
  <c r="S375" i="2"/>
  <c r="S198" i="2"/>
  <c r="S373" i="2"/>
  <c r="S406" i="2"/>
  <c r="S321" i="2"/>
  <c r="S329" i="2"/>
  <c r="S398" i="2"/>
  <c r="S302" i="2"/>
  <c r="S348" i="2"/>
  <c r="S341" i="2"/>
  <c r="S428" i="2"/>
  <c r="S297" i="2"/>
  <c r="S450" i="2"/>
  <c r="S363" i="2"/>
  <c r="S279" i="2"/>
  <c r="S318" i="2"/>
  <c r="S28" i="2"/>
  <c r="S390" i="2"/>
  <c r="S9" i="2"/>
  <c r="S430" i="2"/>
  <c r="S309" i="2"/>
  <c r="S346" i="2"/>
  <c r="S339" i="2"/>
  <c r="S217" i="2"/>
  <c r="S360" i="2"/>
  <c r="S289" i="2"/>
  <c r="S443" i="2"/>
  <c r="S233" i="2"/>
  <c r="S354" i="2"/>
  <c r="S17" i="2"/>
  <c r="S409" i="14" l="1"/>
  <c r="S55" i="7"/>
  <c r="S33" i="7"/>
  <c r="S420" i="6"/>
  <c r="S391" i="6"/>
  <c r="S52" i="3"/>
  <c r="S135" i="3"/>
  <c r="S104" i="3"/>
  <c r="S247" i="2"/>
  <c r="S165" i="2"/>
  <c r="S196" i="1"/>
  <c r="S410" i="1"/>
  <c r="S372" i="1"/>
  <c r="S514" i="1"/>
  <c r="S13" i="1"/>
  <c r="S123" i="1"/>
  <c r="S55" i="1"/>
  <c r="S195" i="1"/>
  <c r="S39" i="1"/>
  <c r="S250" i="1"/>
  <c r="S194" i="1"/>
  <c r="S155" i="1"/>
  <c r="S295" i="1"/>
  <c r="S175" i="1"/>
  <c r="S269" i="1"/>
  <c r="S361" i="1"/>
  <c r="S256" i="1"/>
  <c r="S569" i="1"/>
  <c r="S98" i="1"/>
  <c r="S552" i="1"/>
  <c r="S253" i="1"/>
  <c r="S115" i="1"/>
  <c r="S504" i="1"/>
  <c r="S217" i="1"/>
  <c r="S333" i="1"/>
  <c r="S362" i="1"/>
  <c r="S355" i="1"/>
  <c r="S186" i="1"/>
  <c r="S257" i="1"/>
  <c r="S329" i="1"/>
  <c r="S371" i="1"/>
  <c r="S301" i="1"/>
  <c r="S385" i="1"/>
  <c r="S535" i="1"/>
  <c r="S364" i="1"/>
  <c r="S279" i="1"/>
  <c r="S61" i="1"/>
  <c r="S180" i="1"/>
  <c r="S267" i="1"/>
  <c r="S318" i="1"/>
  <c r="S183" i="1"/>
  <c r="S560" i="1"/>
  <c r="S559" i="1"/>
  <c r="S386" i="1"/>
  <c r="S148" i="1"/>
  <c r="S12" i="1"/>
  <c r="S567" i="1"/>
  <c r="S166" i="1"/>
  <c r="S223" i="1"/>
  <c r="S138" i="1"/>
  <c r="S209" i="1"/>
  <c r="S521" i="1"/>
  <c r="S528" i="1"/>
  <c r="S44" i="1"/>
  <c r="S110" i="1"/>
  <c r="S97" i="1"/>
  <c r="S548" i="1"/>
  <c r="S124" i="1"/>
  <c r="S319" i="1"/>
  <c r="S87" i="1"/>
  <c r="S489" i="1"/>
  <c r="S334" i="1"/>
  <c r="S234" i="1"/>
  <c r="S491" i="1"/>
  <c r="S322" i="1"/>
  <c r="S164" i="1"/>
  <c r="S226" i="1"/>
  <c r="S411" i="1"/>
  <c r="S197" i="1"/>
  <c r="S16" i="1"/>
  <c r="S26" i="1"/>
  <c r="S561" i="1"/>
  <c r="S309" i="1"/>
  <c r="S51" i="1"/>
  <c r="S297" i="1"/>
  <c r="S77" i="1"/>
  <c r="S500" i="1"/>
  <c r="S542" i="1"/>
  <c r="S264" i="1"/>
  <c r="S168" i="1"/>
  <c r="S5" i="1"/>
  <c r="S285" i="1"/>
  <c r="S185" i="1"/>
  <c r="S432" i="1"/>
  <c r="S294" i="1"/>
  <c r="S299" i="1"/>
  <c r="S190" i="1"/>
  <c r="S408" i="1"/>
  <c r="S290" i="1"/>
  <c r="S228" i="1"/>
  <c r="S487" i="1"/>
  <c r="S58" i="1"/>
  <c r="S315" i="1"/>
  <c r="S278" i="1"/>
  <c r="S507" i="1"/>
  <c r="S106" i="1"/>
  <c r="S532" i="1"/>
  <c r="S384" i="1"/>
  <c r="S357" i="1"/>
  <c r="S541" i="1"/>
  <c r="S94" i="1"/>
  <c r="S495" i="1"/>
  <c r="S137" i="1"/>
  <c r="S312" i="1"/>
  <c r="S539" i="1"/>
  <c r="S38" i="1"/>
  <c r="S25" i="1"/>
  <c r="S4" i="1"/>
  <c r="S399" i="1"/>
  <c r="S574" i="1"/>
  <c r="S201" i="1"/>
  <c r="S344" i="1"/>
  <c r="S314" i="1"/>
  <c r="S306" i="1"/>
  <c r="S161" i="1"/>
  <c r="S7" i="1"/>
  <c r="S446" i="1"/>
  <c r="S193" i="1"/>
  <c r="S300" i="1"/>
  <c r="S375" i="1"/>
  <c r="S332" i="1"/>
  <c r="S419" i="1"/>
  <c r="S120" i="1"/>
  <c r="S92" i="1"/>
  <c r="S292" i="1"/>
  <c r="S396" i="1"/>
  <c r="S214" i="1"/>
  <c r="S127" i="1"/>
  <c r="S42" i="1"/>
  <c r="S105" i="1"/>
  <c r="S328" i="1"/>
  <c r="S189" i="1"/>
  <c r="S109" i="1"/>
  <c r="S67" i="1"/>
  <c r="S459" i="1"/>
  <c r="S163" i="1"/>
  <c r="S346" i="1"/>
  <c r="S303" i="1"/>
  <c r="S118" i="1"/>
  <c r="S134" i="1"/>
  <c r="S289" i="1"/>
  <c r="S463" i="1"/>
  <c r="S50" i="1"/>
  <c r="S415" i="1"/>
  <c r="S246" i="1"/>
  <c r="S173" i="1"/>
  <c r="S236" i="1"/>
  <c r="S348" i="1"/>
  <c r="S503" i="1"/>
  <c r="S562" i="1"/>
  <c r="S476" i="1"/>
  <c r="S374" i="1"/>
  <c r="S506" i="1"/>
  <c r="S337" i="1"/>
  <c r="S310" i="1"/>
  <c r="S216" i="1"/>
  <c r="S308" i="1"/>
  <c r="S451" i="1"/>
  <c r="S22" i="1"/>
  <c r="S423" i="1"/>
  <c r="S494" i="1"/>
  <c r="S65" i="1"/>
  <c r="S373" i="1"/>
  <c r="S243" i="1"/>
  <c r="S273" i="1"/>
  <c r="S136" i="1"/>
  <c r="S75" i="1"/>
  <c r="S73" i="1"/>
  <c r="S464" i="1"/>
  <c r="S531" i="1"/>
  <c r="S418" i="1"/>
  <c r="S450" i="1"/>
  <c r="S479" i="1"/>
  <c r="S181" i="1"/>
  <c r="S235" i="1"/>
  <c r="S151" i="1"/>
  <c r="S153" i="1"/>
  <c r="S554" i="1"/>
  <c r="S516" i="1"/>
  <c r="S170" i="1"/>
  <c r="S157" i="1"/>
  <c r="S276" i="1"/>
  <c r="S17" i="1"/>
  <c r="S403" i="1"/>
  <c r="S363" i="1"/>
  <c r="S247" i="1"/>
  <c r="S296" i="1"/>
  <c r="S10" i="1"/>
  <c r="S126" i="1"/>
  <c r="S517" i="1"/>
  <c r="S159" i="1"/>
  <c r="S298" i="1"/>
  <c r="S447" i="1"/>
  <c r="S391" i="1"/>
  <c r="S268" i="1"/>
  <c r="S430" i="1"/>
  <c r="S477" i="1"/>
  <c r="S331" i="1"/>
  <c r="S107" i="1"/>
  <c r="S266" i="1"/>
  <c r="S572" i="1"/>
  <c r="S499" i="1"/>
  <c r="S70" i="1"/>
  <c r="S327" i="1"/>
  <c r="S398" i="1"/>
  <c r="S103" i="1"/>
  <c r="S160" i="1"/>
  <c r="S219" i="1"/>
  <c r="S549" i="1"/>
  <c r="S453" i="1"/>
  <c r="S302" i="1"/>
  <c r="S84" i="1"/>
  <c r="S324" i="1"/>
  <c r="S488" i="1"/>
  <c r="S530" i="1"/>
  <c r="S492" i="1"/>
  <c r="S205" i="1"/>
  <c r="S321" i="1"/>
  <c r="S49" i="1"/>
  <c r="S90" i="1"/>
  <c r="S394" i="1"/>
  <c r="S221" i="1"/>
  <c r="S274" i="1"/>
  <c r="S29" i="1"/>
  <c r="S313" i="1"/>
  <c r="S135" i="1"/>
  <c r="S359" i="1"/>
  <c r="S520" i="1"/>
  <c r="S89" i="1"/>
  <c r="S433" i="1"/>
  <c r="S551" i="1"/>
  <c r="S452" i="1"/>
  <c r="S544" i="1"/>
  <c r="S182" i="1"/>
  <c r="S177" i="1"/>
  <c r="S282" i="1"/>
  <c r="S350" i="1"/>
  <c r="S199" i="1"/>
  <c r="S112" i="1"/>
  <c r="S99" i="1"/>
  <c r="S323" i="1"/>
  <c r="S526" i="1"/>
  <c r="S24" i="1"/>
  <c r="S111" i="1"/>
  <c r="S146" i="1"/>
  <c r="S523" i="1"/>
  <c r="S149" i="1"/>
  <c r="S54" i="1"/>
  <c r="S100" i="1"/>
  <c r="S311" i="1"/>
  <c r="S229" i="1"/>
  <c r="S345" i="1"/>
  <c r="S518" i="1"/>
  <c r="S263" i="1"/>
  <c r="S104" i="1"/>
  <c r="S392" i="1"/>
  <c r="S369" i="1"/>
  <c r="S472" i="1"/>
  <c r="S511" i="1"/>
  <c r="S82" i="1"/>
  <c r="S198" i="1"/>
  <c r="S53" i="1"/>
  <c r="S231" i="1"/>
  <c r="S31" i="1"/>
  <c r="S233" i="1"/>
  <c r="S475" i="1"/>
  <c r="S509" i="1"/>
  <c r="S320" i="1"/>
  <c r="S335" i="1"/>
  <c r="S356" i="1"/>
  <c r="S436" i="1"/>
  <c r="S502" i="1"/>
  <c r="S9" i="1"/>
  <c r="S191" i="1"/>
  <c r="S565" i="1"/>
  <c r="S493" i="1"/>
  <c r="S571" i="1"/>
  <c r="S142" i="1"/>
  <c r="S471" i="1"/>
  <c r="S470" i="1"/>
  <c r="S283" i="1"/>
  <c r="S325" i="1"/>
  <c r="S288" i="1"/>
  <c r="S121" i="1"/>
  <c r="S162" i="1"/>
  <c r="S206" i="1"/>
  <c r="S441" i="1"/>
  <c r="S208" i="1"/>
  <c r="S457" i="1"/>
  <c r="S564" i="1"/>
  <c r="S74" i="1"/>
  <c r="S277" i="1"/>
  <c r="S393" i="1"/>
  <c r="S478" i="1"/>
  <c r="S519" i="1"/>
  <c r="S550" i="1"/>
  <c r="S122" i="1"/>
  <c r="S497" i="1"/>
  <c r="S533" i="1"/>
  <c r="S203" i="1"/>
  <c r="S343" i="1"/>
  <c r="S272" i="1"/>
  <c r="S101" i="1"/>
  <c r="S445" i="1"/>
  <c r="S207" i="1"/>
  <c r="S431" i="1"/>
  <c r="S545" i="1"/>
  <c r="S404" i="1"/>
  <c r="S525" i="1"/>
  <c r="S316" i="1"/>
  <c r="S91" i="1"/>
  <c r="S255" i="1"/>
  <c r="S524" i="1"/>
  <c r="S390" i="1"/>
  <c r="S169" i="1"/>
  <c r="S72" i="1"/>
  <c r="S379" i="1"/>
  <c r="S351" i="1"/>
  <c r="S422" i="1"/>
  <c r="S485" i="1"/>
  <c r="S184" i="1"/>
  <c r="S171" i="1"/>
  <c r="S395" i="1"/>
  <c r="S271" i="1"/>
  <c r="S573" i="1"/>
  <c r="S449" i="1"/>
  <c r="S156" i="1"/>
  <c r="S40" i="1"/>
  <c r="S154" i="15"/>
  <c r="S155" i="13"/>
  <c r="S410" i="12"/>
  <c r="S13" i="12"/>
  <c r="S156" i="11"/>
  <c r="S137" i="10"/>
  <c r="S7" i="10"/>
  <c r="S412" i="10"/>
  <c r="S14" i="10"/>
  <c r="S160" i="9"/>
  <c r="S137" i="9"/>
  <c r="S80" i="8"/>
  <c r="S278" i="8"/>
  <c r="S139" i="8"/>
  <c r="S149" i="8"/>
  <c r="S416" i="8"/>
  <c r="S48" i="7"/>
  <c r="S140" i="7"/>
  <c r="S98" i="7"/>
  <c r="S77" i="7"/>
  <c r="S70" i="7"/>
  <c r="S163" i="7"/>
  <c r="S151" i="6"/>
  <c r="S53" i="6"/>
  <c r="S15" i="6"/>
  <c r="S81" i="6"/>
  <c r="S194" i="6"/>
  <c r="S281" i="6"/>
  <c r="S93" i="6"/>
  <c r="S141" i="6"/>
  <c r="S28" i="3"/>
  <c r="S154" i="3"/>
  <c r="S77" i="3"/>
  <c r="S178" i="3"/>
  <c r="S83" i="3"/>
  <c r="S151" i="2"/>
  <c r="S304" i="2"/>
  <c r="S47" i="2"/>
  <c r="S455" i="2"/>
  <c r="S437" i="2"/>
  <c r="S413" i="2"/>
  <c r="S8" i="2"/>
  <c r="S158" i="2"/>
  <c r="S103" i="2"/>
  <c r="S85" i="2"/>
  <c r="S444" i="2"/>
  <c r="S420" i="2"/>
  <c r="S16" i="2"/>
  <c r="S254" i="2"/>
  <c r="S212" i="2"/>
  <c r="S228" i="2"/>
  <c r="S370" i="1"/>
  <c r="S305" i="1"/>
  <c r="S86" i="1"/>
  <c r="S468" i="1"/>
  <c r="S505" i="1"/>
  <c r="S556" i="1"/>
  <c r="S444" i="1"/>
  <c r="S213" i="1"/>
  <c r="S85" i="1"/>
  <c r="S187" i="1"/>
  <c r="S46" i="1"/>
  <c r="S52" i="1"/>
  <c r="S540" i="1"/>
  <c r="S462" i="1"/>
  <c r="S367" i="1"/>
  <c r="S377" i="1"/>
  <c r="S338" i="1"/>
  <c r="S139" i="1"/>
  <c r="S349" i="1"/>
  <c r="S354" i="1"/>
  <c r="S242" i="1"/>
  <c r="S406" i="1"/>
  <c r="S34" i="1"/>
  <c r="S438" i="1"/>
  <c r="S244" i="1"/>
  <c r="S358" i="1"/>
  <c r="S405" i="1"/>
  <c r="S265" i="1"/>
  <c r="S557" i="1"/>
  <c r="S427" i="1"/>
  <c r="S570" i="1"/>
  <c r="S258" i="1"/>
  <c r="S326" i="1"/>
  <c r="S88" i="1"/>
  <c r="S147" i="1"/>
  <c r="S443" i="1"/>
  <c r="S192" i="1"/>
  <c r="S529" i="1"/>
  <c r="S140" i="1"/>
  <c r="S245" i="1"/>
  <c r="S420" i="1"/>
  <c r="S57" i="1"/>
  <c r="S133" i="1"/>
  <c r="S252" i="1"/>
  <c r="S220" i="1"/>
  <c r="S249" i="1"/>
  <c r="S37" i="1"/>
  <c r="S474" i="1"/>
  <c r="S340" i="1"/>
  <c r="S59" i="1"/>
  <c r="S202" i="1"/>
  <c r="S79" i="1"/>
  <c r="S458" i="1"/>
  <c r="S188" i="1"/>
  <c r="S232" i="1"/>
  <c r="S63" i="1"/>
  <c r="S218" i="1"/>
  <c r="S537" i="1"/>
  <c r="S563" i="1"/>
  <c r="S536" i="1"/>
  <c r="S342" i="1"/>
  <c r="S380" i="1"/>
  <c r="S280" i="1"/>
  <c r="S293" i="1"/>
  <c r="S501" i="1"/>
  <c r="S238" i="1"/>
  <c r="S80" i="1"/>
  <c r="S281" i="1"/>
  <c r="S421" i="1"/>
  <c r="S28" i="1"/>
  <c r="S27" i="1"/>
  <c r="S254" i="1"/>
  <c r="S241" i="1"/>
  <c r="S19" i="1"/>
  <c r="S251" i="1"/>
  <c r="S407" i="1"/>
  <c r="S248" i="1"/>
  <c r="S339" i="1"/>
  <c r="S270" i="1"/>
  <c r="S20" i="1"/>
  <c r="S215" i="1"/>
  <c r="S3" i="1"/>
  <c r="S490" i="1"/>
  <c r="S473" i="1"/>
  <c r="S43" i="1"/>
  <c r="S546" i="1"/>
  <c r="S456" i="1"/>
  <c r="S237" i="1"/>
  <c r="S440" i="1"/>
  <c r="S62" i="1"/>
  <c r="S211" i="1"/>
  <c r="S128" i="1"/>
  <c r="S150" i="1"/>
  <c r="S347" i="1"/>
  <c r="S117" i="1"/>
  <c r="S368" i="1"/>
  <c r="S434" i="1"/>
  <c r="S448" i="1"/>
  <c r="S455" i="1"/>
  <c r="S498" i="1"/>
  <c r="S141" i="1"/>
  <c r="S376" i="1"/>
  <c r="S158" i="1"/>
  <c r="S145" i="1"/>
  <c r="S469" i="1"/>
  <c r="S465" i="1"/>
  <c r="S275" i="1"/>
  <c r="S21" i="1"/>
  <c r="S8" i="1"/>
  <c r="S212" i="1"/>
  <c r="S566" i="1"/>
  <c r="S382" i="1"/>
  <c r="S66" i="1"/>
  <c r="S553" i="1"/>
  <c r="S78" i="1"/>
  <c r="S412" i="1"/>
  <c r="S467" i="1"/>
  <c r="S204" i="1"/>
  <c r="S388" i="1"/>
  <c r="S409" i="1"/>
  <c r="S307" i="1"/>
  <c r="S508" i="1"/>
  <c r="S482" i="1"/>
  <c r="S129" i="1"/>
  <c r="S96" i="1"/>
  <c r="S102" i="1"/>
  <c r="S555" i="1"/>
  <c r="S132" i="1"/>
  <c r="S152" i="1"/>
  <c r="S366" i="1"/>
  <c r="S6" i="1"/>
  <c r="S400" i="1"/>
  <c r="S480" i="1"/>
  <c r="S45" i="1"/>
  <c r="S93" i="1"/>
  <c r="S116" i="1"/>
  <c r="S304" i="1"/>
  <c r="S435" i="1"/>
  <c r="S413" i="1"/>
  <c r="S416" i="1"/>
  <c r="S381" i="1"/>
  <c r="S165" i="1"/>
  <c r="S167" i="1"/>
  <c r="S437" i="1"/>
  <c r="S287" i="1"/>
  <c r="S56" i="1"/>
  <c r="S259" i="1"/>
  <c r="S179" i="1"/>
  <c r="S33" i="1"/>
  <c r="S522" i="1"/>
  <c r="S131" i="1"/>
  <c r="S439" i="1"/>
  <c r="S426" i="1"/>
  <c r="S68" i="1"/>
  <c r="S174" i="1"/>
  <c r="S402" i="1"/>
  <c r="S227" i="1"/>
  <c r="S18" i="1"/>
  <c r="S178" i="1"/>
  <c r="S176" i="1"/>
  <c r="S225" i="1"/>
  <c r="S512" i="1"/>
  <c r="S483" i="1"/>
  <c r="S484" i="1"/>
  <c r="S442" i="1"/>
  <c r="S60" i="1"/>
  <c r="S510" i="1"/>
  <c r="S83" i="1"/>
  <c r="S330" i="1"/>
  <c r="S496" i="1"/>
  <c r="S260" i="1"/>
  <c r="S143" i="1"/>
  <c r="S460" i="1"/>
  <c r="S114" i="1"/>
  <c r="S352" i="1"/>
  <c r="S48" i="1"/>
  <c r="S47" i="1"/>
  <c r="S341" i="1"/>
  <c r="S486" i="1"/>
  <c r="S513" i="1"/>
  <c r="S130" i="1"/>
  <c r="S387" i="1"/>
  <c r="S558" i="1"/>
  <c r="S119" i="1"/>
  <c r="S365" i="1"/>
  <c r="S95" i="1"/>
  <c r="S210" i="1"/>
  <c r="S144" i="1"/>
  <c r="S32" i="1"/>
  <c r="S383" i="1"/>
  <c r="S317" i="1"/>
  <c r="S14" i="1"/>
  <c r="S30" i="1"/>
  <c r="S568" i="1"/>
  <c r="S286" i="1"/>
  <c r="S284" i="1"/>
  <c r="S239" i="1"/>
  <c r="S172" i="1"/>
  <c r="S15" i="1"/>
  <c r="S261" i="1"/>
  <c r="S222" i="1"/>
  <c r="S11" i="1"/>
  <c r="S154" i="1"/>
  <c r="S125" i="1"/>
  <c r="S397" i="1"/>
  <c r="S428" i="1"/>
  <c r="S41" i="1"/>
  <c r="S424" i="1"/>
  <c r="S113" i="1"/>
  <c r="S481" i="1"/>
  <c r="S360" i="1"/>
  <c r="S461" i="1"/>
  <c r="S230" i="1"/>
  <c r="S108" i="1"/>
  <c r="S547" i="1"/>
  <c r="S76" i="1"/>
  <c r="S64" i="1"/>
  <c r="S336" i="1"/>
  <c r="S262" i="1"/>
  <c r="S429" i="1"/>
  <c r="S389" i="1"/>
  <c r="S515" i="1"/>
  <c r="S224" i="1"/>
  <c r="S81" i="1"/>
  <c r="S543" i="1"/>
  <c r="S538" i="1"/>
  <c r="S240" i="1"/>
  <c r="S69" i="1"/>
  <c r="S417" i="1"/>
  <c r="S414" i="1"/>
  <c r="S425" i="1"/>
  <c r="S527" i="1"/>
  <c r="S200" i="1"/>
  <c r="S534" i="1"/>
  <c r="S71" i="1"/>
  <c r="S2" i="1"/>
  <c r="S466" i="1"/>
  <c r="S378" i="1"/>
  <c r="S353" i="1"/>
  <c r="S291" i="1"/>
  <c r="S36" i="1"/>
  <c r="S35" i="1"/>
  <c r="S454" i="1"/>
  <c r="S23" i="1"/>
  <c r="S401" i="1"/>
</calcChain>
</file>

<file path=xl/sharedStrings.xml><?xml version="1.0" encoding="utf-8"?>
<sst xmlns="http://schemas.openxmlformats.org/spreadsheetml/2006/main" count="40680" uniqueCount="414">
  <si>
    <t>Source</t>
  </si>
  <si>
    <t>Family</t>
  </si>
  <si>
    <t>Genus</t>
  </si>
  <si>
    <t>Species</t>
  </si>
  <si>
    <t>L</t>
  </si>
  <si>
    <t>a</t>
  </si>
  <si>
    <t>Life stage</t>
  </si>
  <si>
    <t>Order</t>
  </si>
  <si>
    <t>Journal</t>
  </si>
  <si>
    <t>m</t>
  </si>
  <si>
    <t>f</t>
  </si>
  <si>
    <t>brevicaudatus</t>
  </si>
  <si>
    <t>arcticus</t>
  </si>
  <si>
    <t>mirus</t>
  </si>
  <si>
    <t>minor</t>
  </si>
  <si>
    <t>micoletzkyi</t>
  </si>
  <si>
    <t>andrassyi</t>
  </si>
  <si>
    <t>obtusus</t>
  </si>
  <si>
    <t>aquaticus</t>
  </si>
  <si>
    <t>longicaudatus</t>
  </si>
  <si>
    <t>palustris</t>
  </si>
  <si>
    <t>parvus</t>
  </si>
  <si>
    <t>Book</t>
  </si>
  <si>
    <t>cylindricus</t>
  </si>
  <si>
    <t>cobbi</t>
  </si>
  <si>
    <t>tristis</t>
  </si>
  <si>
    <t>Andrassy, 2009</t>
  </si>
  <si>
    <t>Mononchida</t>
  </si>
  <si>
    <t>Cryptonchidae</t>
  </si>
  <si>
    <t>Bathyodontus</t>
  </si>
  <si>
    <t>Mononchidae</t>
  </si>
  <si>
    <t>Clarkus</t>
  </si>
  <si>
    <t>diversus</t>
  </si>
  <si>
    <t>papillatus</t>
  </si>
  <si>
    <t>Coomansus</t>
  </si>
  <si>
    <t>zschokkei</t>
  </si>
  <si>
    <t>Mononchus</t>
  </si>
  <si>
    <t>niddensis</t>
  </si>
  <si>
    <t>pulcher</t>
  </si>
  <si>
    <t>truncatus</t>
  </si>
  <si>
    <t>Prionchulus</t>
  </si>
  <si>
    <t>auritus</t>
  </si>
  <si>
    <t>muscorum</t>
  </si>
  <si>
    <t>punctatus</t>
  </si>
  <si>
    <t>spectabilis</t>
  </si>
  <si>
    <t>Mylonchulidae</t>
  </si>
  <si>
    <t>Mylonchulus</t>
  </si>
  <si>
    <t>brachyuris</t>
  </si>
  <si>
    <t>lacustris</t>
  </si>
  <si>
    <t>orbitus</t>
  </si>
  <si>
    <t>polonicus</t>
  </si>
  <si>
    <t>sigmaturus</t>
  </si>
  <si>
    <t>Anatonchidae</t>
  </si>
  <si>
    <t>Iotonchus</t>
  </si>
  <si>
    <t>magyar</t>
  </si>
  <si>
    <t>risoceiae</t>
  </si>
  <si>
    <t>Miconchus</t>
  </si>
  <si>
    <t>studeri</t>
  </si>
  <si>
    <t>Anatonchus</t>
  </si>
  <si>
    <t>hortensis</t>
  </si>
  <si>
    <t>sympathicus</t>
  </si>
  <si>
    <t>tridentatus</t>
  </si>
  <si>
    <t>dentatus</t>
  </si>
  <si>
    <t>Ahmad &amp; Jairajpuri, 2010</t>
  </si>
  <si>
    <t>Paramononchus</t>
  </si>
  <si>
    <t>muscoroum</t>
  </si>
  <si>
    <t>Perkellus</t>
  </si>
  <si>
    <t>parkus</t>
  </si>
  <si>
    <t>Brachonchulus</t>
  </si>
  <si>
    <t>brachyuroides</t>
  </si>
  <si>
    <t>Margaronchulus</t>
  </si>
  <si>
    <t>mulveyi</t>
  </si>
  <si>
    <t>Oligonchulus</t>
  </si>
  <si>
    <t>reversus</t>
  </si>
  <si>
    <t>Polyonchulus</t>
  </si>
  <si>
    <t>Megaonchulus</t>
  </si>
  <si>
    <t>megadontus</t>
  </si>
  <si>
    <t>Paramylonchulus</t>
  </si>
  <si>
    <t>index</t>
  </si>
  <si>
    <t>Crestonchulus</t>
  </si>
  <si>
    <t>crestus</t>
  </si>
  <si>
    <t>Margaronchuloides</t>
  </si>
  <si>
    <t>adenticulatus</t>
  </si>
  <si>
    <t>Sporonchulus</t>
  </si>
  <si>
    <t>Granonchulus</t>
  </si>
  <si>
    <t>decurrens</t>
  </si>
  <si>
    <t>Judonchulus</t>
  </si>
  <si>
    <t>recessus</t>
  </si>
  <si>
    <t>Prionchuloides</t>
  </si>
  <si>
    <t>Actus</t>
  </si>
  <si>
    <t>minutus</t>
  </si>
  <si>
    <t>Cobbonchidae</t>
  </si>
  <si>
    <t>Cobbonchus</t>
  </si>
  <si>
    <t>Comiconchus</t>
  </si>
  <si>
    <t>trionchus</t>
  </si>
  <si>
    <t>Tricaenonchus</t>
  </si>
  <si>
    <t>caucasicus</t>
  </si>
  <si>
    <t xml:space="preserve">Anatonchus </t>
  </si>
  <si>
    <t>Tigronchoides</t>
  </si>
  <si>
    <t>ginglymodontus</t>
  </si>
  <si>
    <t>Truxonchus</t>
  </si>
  <si>
    <t>subacutus</t>
  </si>
  <si>
    <t>Micatonchus</t>
  </si>
  <si>
    <t>digiturus</t>
  </si>
  <si>
    <t>Crassibucca</t>
  </si>
  <si>
    <t>penicula</t>
  </si>
  <si>
    <t>Paracrassibucca</t>
  </si>
  <si>
    <t>paucidentatus</t>
  </si>
  <si>
    <t>Promiconchus</t>
  </si>
  <si>
    <t>microdontus</t>
  </si>
  <si>
    <t>Doronchus</t>
  </si>
  <si>
    <t>kirikiri</t>
  </si>
  <si>
    <t>Iotonchidae</t>
  </si>
  <si>
    <t>gymnolaimus</t>
  </si>
  <si>
    <t>trichurus</t>
  </si>
  <si>
    <t>Jensenonchus</t>
  </si>
  <si>
    <t>ovatus</t>
  </si>
  <si>
    <t>Caputonchus</t>
  </si>
  <si>
    <t>capitatus</t>
  </si>
  <si>
    <t>Mulveyellus</t>
  </si>
  <si>
    <t>jairi</t>
  </si>
  <si>
    <t>levistomus</t>
  </si>
  <si>
    <t>Iotonchulus</t>
  </si>
  <si>
    <t>Hadronchus</t>
  </si>
  <si>
    <t>bisexualis</t>
  </si>
  <si>
    <t>Prionchulellus</t>
  </si>
  <si>
    <t>cavenessi</t>
  </si>
  <si>
    <t>Parahadronchus</t>
  </si>
  <si>
    <t>andamanicus</t>
  </si>
  <si>
    <t>Hadronchulus</t>
  </si>
  <si>
    <t>shamimi</t>
  </si>
  <si>
    <t>Hadronchoides</t>
  </si>
  <si>
    <t>microdenticulatus</t>
  </si>
  <si>
    <t>Cryptonchus</t>
  </si>
  <si>
    <t>abnormis</t>
  </si>
  <si>
    <t>Bathyodontidae</t>
  </si>
  <si>
    <t>Mononchulidae</t>
  </si>
  <si>
    <t>Mononchulus</t>
  </si>
  <si>
    <t>nodicaudatus</t>
  </si>
  <si>
    <t>Oionchus</t>
  </si>
  <si>
    <t>paraobtusus</t>
  </si>
  <si>
    <t>patricius</t>
  </si>
  <si>
    <t>ulsani</t>
  </si>
  <si>
    <t>aequabilis</t>
  </si>
  <si>
    <t>cucumis</t>
  </si>
  <si>
    <t>hinokumaensis</t>
  </si>
  <si>
    <t>goshiensis</t>
  </si>
  <si>
    <t>ogiensis</t>
  </si>
  <si>
    <t>araki</t>
  </si>
  <si>
    <t>bulbicaudatus</t>
  </si>
  <si>
    <t>rectangularis</t>
  </si>
  <si>
    <t>vulvapapillatus</t>
  </si>
  <si>
    <t>jinjuensis</t>
  </si>
  <si>
    <t>taeguensis</t>
  </si>
  <si>
    <t>Ahmad &amp; Jairajpuri, 1993</t>
  </si>
  <si>
    <t>siddiqii</t>
  </si>
  <si>
    <t>Ahmad et al., 2005</t>
  </si>
  <si>
    <t>derreni</t>
  </si>
  <si>
    <t>singaporensis</t>
  </si>
  <si>
    <t>paraindex</t>
  </si>
  <si>
    <t>yuenae</t>
  </si>
  <si>
    <t>Ahmad, 1998</t>
  </si>
  <si>
    <t>reflexus</t>
  </si>
  <si>
    <t>vulvalatus</t>
  </si>
  <si>
    <t>pararapax</t>
  </si>
  <si>
    <t>Andrassy, 2008</t>
  </si>
  <si>
    <t>syrmatus</t>
  </si>
  <si>
    <t>aequatorialis</t>
  </si>
  <si>
    <t>nepotum</t>
  </si>
  <si>
    <t>papillifer</t>
  </si>
  <si>
    <t>altiplanicus</t>
  </si>
  <si>
    <t>oblongus</t>
  </si>
  <si>
    <t>medius</t>
  </si>
  <si>
    <t>agilis</t>
  </si>
  <si>
    <t>angarensis</t>
  </si>
  <si>
    <t>clarki</t>
  </si>
  <si>
    <t>himalayensis</t>
  </si>
  <si>
    <t>italicus</t>
  </si>
  <si>
    <t>laminatus</t>
  </si>
  <si>
    <t>loofi</t>
  </si>
  <si>
    <t>maduei</t>
  </si>
  <si>
    <t>nudus</t>
  </si>
  <si>
    <t>sandur</t>
  </si>
  <si>
    <t>sinensis</t>
  </si>
  <si>
    <t>superbus</t>
  </si>
  <si>
    <t>tajmiris</t>
  </si>
  <si>
    <t>tunbridgensis</t>
  </si>
  <si>
    <t>Barsi, 1990</t>
  </si>
  <si>
    <t>Bazgir et al., 2021</t>
  </si>
  <si>
    <t>girchi</t>
  </si>
  <si>
    <t>fagi</t>
  </si>
  <si>
    <t>Mulvey &amp; Jensen, 1967</t>
  </si>
  <si>
    <t>de Bruin &amp; Heyns, 1992</t>
  </si>
  <si>
    <t>Jairajpuri, 1970</t>
  </si>
  <si>
    <t>Khan &amp; Jairajpuri, 1982</t>
  </si>
  <si>
    <t>Chaves, 1990</t>
  </si>
  <si>
    <t>hawaiiensis</t>
  </si>
  <si>
    <t>Coetzee, 1966</t>
  </si>
  <si>
    <t>Baqri &amp; Jairajpuri, 1973</t>
  </si>
  <si>
    <t>Khan &amp; Jairajpuri, 1979</t>
  </si>
  <si>
    <t>Patil &amp; Khan, 1982</t>
  </si>
  <si>
    <t>Jairajpuri &amp; Khan, 1982</t>
  </si>
  <si>
    <t>Mulvey, 1961</t>
  </si>
  <si>
    <t>brachyurus</t>
  </si>
  <si>
    <t>Mulvey &amp; Jansen, 1967</t>
  </si>
  <si>
    <t>Jansen &amp; Mulvey, 1968</t>
  </si>
  <si>
    <t>Coetze, 1966</t>
  </si>
  <si>
    <t>agriculturae</t>
  </si>
  <si>
    <t>de Braun &amp; Heyns, 1992</t>
  </si>
  <si>
    <t>Thorne, 1924</t>
  </si>
  <si>
    <t>Winiszewska, 1985</t>
  </si>
  <si>
    <t>subdecurrens</t>
  </si>
  <si>
    <t>incurvus</t>
  </si>
  <si>
    <t>striatus</t>
  </si>
  <si>
    <t>Dubey &amp; Sharma, 2014</t>
  </si>
  <si>
    <t>nainitalensis</t>
  </si>
  <si>
    <t>contractus</t>
  </si>
  <si>
    <t>Euon et al., 1999</t>
  </si>
  <si>
    <t>koreanus</t>
  </si>
  <si>
    <t>Gafur &amp; Ajizah, 2022</t>
  </si>
  <si>
    <t>Gagarin &amp; Naumova, 2020</t>
  </si>
  <si>
    <t>abscondtus</t>
  </si>
  <si>
    <t>chingishan</t>
  </si>
  <si>
    <t>kirjanovae</t>
  </si>
  <si>
    <t>Ishaq et al., 2021</t>
  </si>
  <si>
    <t>sindhicus</t>
  </si>
  <si>
    <t>Ishaque et al., 2022</t>
  </si>
  <si>
    <t>oryzae</t>
  </si>
  <si>
    <t>Jairajpuri et al., 2000</t>
  </si>
  <si>
    <t>onchus</t>
  </si>
  <si>
    <t>litoralis</t>
  </si>
  <si>
    <t>Jairajpuri et al., 2001</t>
  </si>
  <si>
    <t>Parkellus</t>
  </si>
  <si>
    <t>Jairajpuri, 1982</t>
  </si>
  <si>
    <t>sessus</t>
  </si>
  <si>
    <t>J4</t>
  </si>
  <si>
    <t>Jana et al., 2006</t>
  </si>
  <si>
    <t>Nullonchus</t>
  </si>
  <si>
    <t>rafiqi</t>
  </si>
  <si>
    <t>Jana et al., 2008</t>
  </si>
  <si>
    <t>shakili</t>
  </si>
  <si>
    <t>Jana et al., 2010a</t>
  </si>
  <si>
    <t>kralli</t>
  </si>
  <si>
    <t>major</t>
  </si>
  <si>
    <t>mordax</t>
  </si>
  <si>
    <t>vescus</t>
  </si>
  <si>
    <t>prasadi</t>
  </si>
  <si>
    <t>thornei</t>
  </si>
  <si>
    <t>obtusidentatus</t>
  </si>
  <si>
    <t>altherri</t>
  </si>
  <si>
    <t>bogdanowiczi</t>
  </si>
  <si>
    <t>hygrophilus</t>
  </si>
  <si>
    <t>borealis</t>
  </si>
  <si>
    <t>ukhrum</t>
  </si>
  <si>
    <t>zelli</t>
  </si>
  <si>
    <t>kamchaticus</t>
  </si>
  <si>
    <t>oleksandri</t>
  </si>
  <si>
    <t>ferox</t>
  </si>
  <si>
    <t>fistulosus</t>
  </si>
  <si>
    <t>pinophillus</t>
  </si>
  <si>
    <t>ctenodentatus</t>
  </si>
  <si>
    <t>longus</t>
  </si>
  <si>
    <t>pseudolongus</t>
  </si>
  <si>
    <t>septentrionalis</t>
  </si>
  <si>
    <t>Jana et al., 2010b</t>
  </si>
  <si>
    <t>nanurus</t>
  </si>
  <si>
    <t>baqrus</t>
  </si>
  <si>
    <t>conoidus</t>
  </si>
  <si>
    <t>neocaledonensis</t>
  </si>
  <si>
    <t>salvadoricus</t>
  </si>
  <si>
    <t>Jimenez-Guirado et al., 1998</t>
  </si>
  <si>
    <t>gerlachei</t>
  </si>
  <si>
    <t>mesadenus</t>
  </si>
  <si>
    <t>intestinus</t>
  </si>
  <si>
    <t>composticola</t>
  </si>
  <si>
    <t>meridionalis</t>
  </si>
  <si>
    <t>magellanicus</t>
  </si>
  <si>
    <t>Jimenez-Guirado &amp; Escuer, 1997</t>
  </si>
  <si>
    <t>acutus</t>
  </si>
  <si>
    <t>J3</t>
  </si>
  <si>
    <t>J2</t>
  </si>
  <si>
    <t>Keshari et al., 2018</t>
  </si>
  <si>
    <t>indicus</t>
  </si>
  <si>
    <t>shakilli</t>
  </si>
  <si>
    <t>Khan &amp; Araki, 2002</t>
  </si>
  <si>
    <t>miamaensis</t>
  </si>
  <si>
    <t>sheri</t>
  </si>
  <si>
    <t>Khan et al., 2003</t>
  </si>
  <si>
    <t>ventralis</t>
  </si>
  <si>
    <t>Kim et al., 2018</t>
  </si>
  <si>
    <t>Winiszewska &amp; Susulovsky, 2003</t>
  </si>
  <si>
    <t>Koohkan et al., 2014</t>
  </si>
  <si>
    <t>francolombertii</t>
  </si>
  <si>
    <t>kafii</t>
  </si>
  <si>
    <t>kashmirensis</t>
  </si>
  <si>
    <t>mamillatus</t>
  </si>
  <si>
    <t>Lal &amp; Khan, 1988</t>
  </si>
  <si>
    <t>lapidus</t>
  </si>
  <si>
    <t>elegans</t>
  </si>
  <si>
    <t>Mahdikhani-Moghadam et al., 2017</t>
  </si>
  <si>
    <t>Shokoohi &amp; Moyo, 2022</t>
  </si>
  <si>
    <t>paitensis</t>
  </si>
  <si>
    <t>kermaniensis</t>
  </si>
  <si>
    <t>Mohandas &amp; Pranhoo, 1979</t>
  </si>
  <si>
    <t>nayari</t>
  </si>
  <si>
    <t>kherai</t>
  </si>
  <si>
    <t>khani</t>
  </si>
  <si>
    <t>Musarrat et al., 2008</t>
  </si>
  <si>
    <t>Nusrat et al., 2013</t>
  </si>
  <si>
    <t>vulvastriatus</t>
  </si>
  <si>
    <t>amurus</t>
  </si>
  <si>
    <t>Olia et al., 2004</t>
  </si>
  <si>
    <t>Olia et al., 2008</t>
  </si>
  <si>
    <t>Orselli &amp; Vincicuerra, 2007</t>
  </si>
  <si>
    <t>grazynae</t>
  </si>
  <si>
    <t>macrampulla</t>
  </si>
  <si>
    <t>Paul &amp; Sharma, 2016</t>
  </si>
  <si>
    <t>arvensis</t>
  </si>
  <si>
    <t>venezolanus</t>
  </si>
  <si>
    <t>Peneva et al., 1999</t>
  </si>
  <si>
    <t>genovi</t>
  </si>
  <si>
    <t>quercus</t>
  </si>
  <si>
    <t>Sharma &amp; Dubey, 2015</t>
  </si>
  <si>
    <t>armus</t>
  </si>
  <si>
    <t>mashhoodi</t>
  </si>
  <si>
    <t>parabasiodontus</t>
  </si>
  <si>
    <t>Sharma &amp; Saxena, 1981</t>
  </si>
  <si>
    <t>helicus</t>
  </si>
  <si>
    <t>Shokoohi et al., 2013</t>
  </si>
  <si>
    <t>Siddiqi et al., 2015</t>
  </si>
  <si>
    <t>Siddiqi, 1984</t>
  </si>
  <si>
    <t>kirbyi</t>
  </si>
  <si>
    <t>rapidulus</t>
  </si>
  <si>
    <t>Sushikumar et al., 2021</t>
  </si>
  <si>
    <t>siroii</t>
  </si>
  <si>
    <t>marami</t>
  </si>
  <si>
    <t>Susulovsky, 2001</t>
  </si>
  <si>
    <t>J1</t>
  </si>
  <si>
    <t>zduni</t>
  </si>
  <si>
    <t>Tahseen et al., 2013</t>
  </si>
  <si>
    <t>vagabundus</t>
  </si>
  <si>
    <t>ibitensis</t>
  </si>
  <si>
    <t>obtusicaudatus</t>
  </si>
  <si>
    <t>vasis</t>
  </si>
  <si>
    <t>Tam &amp; Winiszewska, 2021</t>
  </si>
  <si>
    <t>menzeli</t>
  </si>
  <si>
    <t>Loof &amp; Winiszewska, 1993</t>
  </si>
  <si>
    <t>Tam, 2015</t>
  </si>
  <si>
    <t>arcuatus</t>
  </si>
  <si>
    <t>candelabri</t>
  </si>
  <si>
    <t>Yeates, 1992</t>
  </si>
  <si>
    <t>paracutus</t>
  </si>
  <si>
    <t>pusillus</t>
  </si>
  <si>
    <t>Loof, 2006</t>
  </si>
  <si>
    <t>Tam, 2016a</t>
  </si>
  <si>
    <t>oceanicus</t>
  </si>
  <si>
    <t>Andrassy, 1986</t>
  </si>
  <si>
    <t>Tam, 2016b</t>
  </si>
  <si>
    <t>Tam, 2017</t>
  </si>
  <si>
    <t>Mulvey, 1963</t>
  </si>
  <si>
    <t>Nguyen, 2007</t>
  </si>
  <si>
    <t>van Rensburg et al., 2021</t>
  </si>
  <si>
    <t>jonkershoekensis</t>
  </si>
  <si>
    <t>Vinceguerra &amp; Orcelli, 2006</t>
  </si>
  <si>
    <t>Tam et al., 2018</t>
  </si>
  <si>
    <t>sturhani</t>
  </si>
  <si>
    <t>Tam et al., 2021</t>
  </si>
  <si>
    <t>hagiangensis</t>
  </si>
  <si>
    <t>tuyenquangensis</t>
  </si>
  <si>
    <t>Tam et al., 2024</t>
  </si>
  <si>
    <t>Tam, 2021</t>
  </si>
  <si>
    <t>batxatensis</t>
  </si>
  <si>
    <t>Yeates, 1987</t>
  </si>
  <si>
    <t>australis</t>
  </si>
  <si>
    <t>stockdilli</t>
  </si>
  <si>
    <t>Zakaullah et al., 2000</t>
  </si>
  <si>
    <t>pachydermis</t>
  </si>
  <si>
    <t>koriensis</t>
  </si>
  <si>
    <t>Zakaullah et al., 2002</t>
  </si>
  <si>
    <t>unicus</t>
  </si>
  <si>
    <t>Suborder</t>
  </si>
  <si>
    <t>Superfamily</t>
  </si>
  <si>
    <t>Subfamily</t>
  </si>
  <si>
    <t>Sporonchulinae</t>
  </si>
  <si>
    <t>Mononchoidea</t>
  </si>
  <si>
    <t>Mononchina</t>
  </si>
  <si>
    <t>Anatonchinae</t>
  </si>
  <si>
    <t>Anatonchoidea</t>
  </si>
  <si>
    <t>Cryptonchoidea</t>
  </si>
  <si>
    <t>Bathyodontina</t>
  </si>
  <si>
    <t>Mylonchulinae</t>
  </si>
  <si>
    <t>Iotonchinae</t>
  </si>
  <si>
    <t>Prionchulinae</t>
  </si>
  <si>
    <t>Cobbonchinae</t>
  </si>
  <si>
    <t>Miconchinae</t>
  </si>
  <si>
    <t>Hadronchinae</t>
  </si>
  <si>
    <t>Mononchuloidea</t>
  </si>
  <si>
    <t>Mononchinae</t>
  </si>
  <si>
    <t>Cryptonchinae</t>
  </si>
  <si>
    <t>Mononchulinae</t>
  </si>
  <si>
    <t>cp group</t>
  </si>
  <si>
    <t>Fresh W</t>
  </si>
  <si>
    <t>Ctot</t>
  </si>
  <si>
    <t>D</t>
  </si>
  <si>
    <t>Dry W</t>
  </si>
  <si>
    <t>Pc</t>
  </si>
  <si>
    <t>R</t>
  </si>
  <si>
    <t>Bathyodontinae</t>
  </si>
  <si>
    <t>Bathyodontidinae</t>
  </si>
  <si>
    <t>2.16 (J4), 3.95 (J3), 7.5 (J2)</t>
  </si>
  <si>
    <t>2.85 (J4), 7.18 (J3), 15.09 (J2), 28.18 (J1)</t>
  </si>
  <si>
    <t>2.52 (J4), 6.50 (J3), 16.13 (J2), 29.90 (J1)</t>
  </si>
  <si>
    <t>G%</t>
  </si>
  <si>
    <t>Based on Andrassy, 1956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</si>
</sst>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0"/>
  </numFmts>
  <fonts count="5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sz val="11"/>
      <color rgb="FF0070C0"/>
      <name val="Calibri"/>
      <family val="2"/>
      <charset val="178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tabSelected="1" topLeftCell="E1" workbookViewId="0">
      <pane ySplit="1" topLeftCell="A96" activePane="bottomLeft" state="frozen"/>
      <selection pane="bottomLeft" activeCell="K106" sqref="K106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5" customWidth="1"/>
    <col min="11" max="13" width="12.7109375" style="5" customWidth="1"/>
    <col min="14" max="15" width="13" style="5" customWidth="1"/>
    <col min="16" max="16" width="9.85546875" style="5" customWidth="1"/>
    <col min="17" max="17" width="10" style="5" customWidth="1"/>
    <col min="18" max="18" width="9.5703125" style="5" customWidth="1"/>
    <col min="19" max="19" width="10.140625" style="5" customWidth="1"/>
    <col min="20" max="20" width="12.140625" style="5" customWidth="1"/>
  </cols>
  <sheetData>
    <row r="1" spans="1:20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3" t="s">
        <v>412</v>
      </c>
      <c r="N1" s="4" t="s">
        <v>6</v>
      </c>
      <c r="O1" s="4" t="s">
        <v>400</v>
      </c>
      <c r="P1" s="8" t="s">
        <v>401</v>
      </c>
      <c r="Q1" s="9" t="s">
        <v>404</v>
      </c>
      <c r="R1" s="9" t="s">
        <v>405</v>
      </c>
      <c r="S1" s="9" t="s">
        <v>406</v>
      </c>
      <c r="T1" s="9" t="s">
        <v>402</v>
      </c>
    </row>
    <row r="2" spans="1:20" x14ac:dyDescent="0.25">
      <c r="A2" s="5" t="s">
        <v>8</v>
      </c>
      <c r="B2" s="5" t="s">
        <v>277</v>
      </c>
      <c r="C2" s="5" t="s">
        <v>27</v>
      </c>
      <c r="D2" s="5" t="s">
        <v>385</v>
      </c>
      <c r="E2" s="5" t="s">
        <v>387</v>
      </c>
      <c r="F2" s="5" t="s">
        <v>52</v>
      </c>
      <c r="G2" s="5" t="s">
        <v>386</v>
      </c>
      <c r="H2" s="5" t="s">
        <v>58</v>
      </c>
      <c r="I2" s="5" t="s">
        <v>278</v>
      </c>
      <c r="J2" s="5">
        <v>1640</v>
      </c>
      <c r="K2" s="5">
        <v>30.3</v>
      </c>
      <c r="L2" s="7">
        <f t="shared" ref="L2:L33" si="0">J2/K2</f>
        <v>54.125412541254121</v>
      </c>
      <c r="M2" s="7">
        <v>12.35</v>
      </c>
      <c r="N2" s="5" t="s">
        <v>10</v>
      </c>
      <c r="O2" s="5">
        <v>4</v>
      </c>
      <c r="P2" s="6">
        <f t="shared" ref="P2:P33" si="1">(J2*L2^2)/(1.6*10^6)</f>
        <v>3.0027992898299734</v>
      </c>
      <c r="Q2" s="6">
        <f t="shared" ref="Q2:Q33" si="2">(0.104*J2*L2^2)/(1.6*10^6)</f>
        <v>0.31229112614231719</v>
      </c>
      <c r="R2" s="10">
        <f t="shared" ref="R2:R33" si="3">(0.104*P2)/(12*O2)</f>
        <v>6.5060651279649417E-3</v>
      </c>
      <c r="S2" s="10">
        <f t="shared" ref="S2:S33" si="4">0.0159*P2^0.75</f>
        <v>3.6269523726956437E-2</v>
      </c>
      <c r="T2" s="10">
        <f t="shared" ref="T2:T33" si="5">R2+S2</f>
        <v>4.277558885492138E-2</v>
      </c>
    </row>
    <row r="3" spans="1:20" x14ac:dyDescent="0.25">
      <c r="A3" s="5" t="s">
        <v>8</v>
      </c>
      <c r="B3" s="5" t="s">
        <v>299</v>
      </c>
      <c r="C3" s="5" t="s">
        <v>27</v>
      </c>
      <c r="D3" s="5" t="s">
        <v>385</v>
      </c>
      <c r="E3" s="5" t="s">
        <v>387</v>
      </c>
      <c r="F3" s="5" t="s">
        <v>52</v>
      </c>
      <c r="G3" s="5" t="s">
        <v>386</v>
      </c>
      <c r="H3" s="5" t="s">
        <v>58</v>
      </c>
      <c r="I3" s="5" t="s">
        <v>294</v>
      </c>
      <c r="J3" s="5">
        <v>1973</v>
      </c>
      <c r="K3" s="5">
        <v>28.4</v>
      </c>
      <c r="L3" s="7">
        <f t="shared" si="0"/>
        <v>69.471830985915503</v>
      </c>
      <c r="M3" s="7">
        <v>16.25</v>
      </c>
      <c r="N3" s="5" t="s">
        <v>10</v>
      </c>
      <c r="O3" s="5">
        <v>4</v>
      </c>
      <c r="P3" s="6">
        <f t="shared" si="1"/>
        <v>5.9514747174729736</v>
      </c>
      <c r="Q3" s="6">
        <f t="shared" si="2"/>
        <v>0.61895337061718914</v>
      </c>
      <c r="R3" s="10">
        <f t="shared" si="3"/>
        <v>1.2894861887858109E-2</v>
      </c>
      <c r="S3" s="10">
        <f t="shared" si="4"/>
        <v>6.0585063731535917E-2</v>
      </c>
      <c r="T3" s="10">
        <f t="shared" si="5"/>
        <v>7.3479925619394024E-2</v>
      </c>
    </row>
    <row r="4" spans="1:20" x14ac:dyDescent="0.25">
      <c r="A4" s="5" t="s">
        <v>8</v>
      </c>
      <c r="B4" s="5" t="s">
        <v>291</v>
      </c>
      <c r="C4" s="5" t="s">
        <v>27</v>
      </c>
      <c r="D4" s="5" t="s">
        <v>385</v>
      </c>
      <c r="E4" s="5" t="s">
        <v>387</v>
      </c>
      <c r="F4" s="5" t="s">
        <v>52</v>
      </c>
      <c r="G4" s="5" t="s">
        <v>386</v>
      </c>
      <c r="H4" s="5" t="s">
        <v>58</v>
      </c>
      <c r="I4" s="5" t="s">
        <v>61</v>
      </c>
      <c r="J4" s="5">
        <v>2800</v>
      </c>
      <c r="K4" s="5">
        <v>40</v>
      </c>
      <c r="L4" s="7">
        <f t="shared" si="0"/>
        <v>70</v>
      </c>
      <c r="M4" s="7">
        <v>16.2</v>
      </c>
      <c r="N4" s="5" t="s">
        <v>10</v>
      </c>
      <c r="O4" s="5">
        <v>4</v>
      </c>
      <c r="P4" s="6">
        <f t="shared" si="1"/>
        <v>8.5749999999999993</v>
      </c>
      <c r="Q4" s="6">
        <f t="shared" si="2"/>
        <v>0.89180000000000004</v>
      </c>
      <c r="R4" s="10">
        <f t="shared" si="3"/>
        <v>1.8579166666666664E-2</v>
      </c>
      <c r="S4" s="10">
        <f t="shared" si="4"/>
        <v>7.9675119011575646E-2</v>
      </c>
      <c r="T4" s="10">
        <f t="shared" si="5"/>
        <v>9.8254285678242306E-2</v>
      </c>
    </row>
    <row r="5" spans="1:20" x14ac:dyDescent="0.25">
      <c r="A5" s="5" t="s">
        <v>8</v>
      </c>
      <c r="B5" s="5" t="s">
        <v>291</v>
      </c>
      <c r="C5" s="5" t="s">
        <v>27</v>
      </c>
      <c r="D5" s="5" t="s">
        <v>385</v>
      </c>
      <c r="E5" s="5" t="s">
        <v>387</v>
      </c>
      <c r="F5" s="5" t="s">
        <v>52</v>
      </c>
      <c r="G5" s="5" t="s">
        <v>386</v>
      </c>
      <c r="H5" s="5" t="s">
        <v>58</v>
      </c>
      <c r="I5" s="5" t="s">
        <v>61</v>
      </c>
      <c r="J5" s="5">
        <v>2450</v>
      </c>
      <c r="K5" s="5">
        <v>29.1</v>
      </c>
      <c r="L5" s="7">
        <f t="shared" si="0"/>
        <v>84.192439862542955</v>
      </c>
      <c r="M5" s="7">
        <v>18</v>
      </c>
      <c r="N5" s="5" t="s">
        <v>10</v>
      </c>
      <c r="O5" s="5">
        <v>4</v>
      </c>
      <c r="P5" s="6">
        <f t="shared" si="1"/>
        <v>10.854061861574614</v>
      </c>
      <c r="Q5" s="6">
        <f t="shared" si="2"/>
        <v>1.1288224336037598</v>
      </c>
      <c r="R5" s="10">
        <f t="shared" si="3"/>
        <v>2.3517134033411661E-2</v>
      </c>
      <c r="S5" s="10">
        <f t="shared" si="4"/>
        <v>9.508047521319099E-2</v>
      </c>
      <c r="T5" s="10">
        <f t="shared" si="5"/>
        <v>0.11859760924660265</v>
      </c>
    </row>
    <row r="6" spans="1:20" x14ac:dyDescent="0.25">
      <c r="A6" s="5" t="s">
        <v>8</v>
      </c>
      <c r="B6" s="5" t="s">
        <v>161</v>
      </c>
      <c r="C6" s="5" t="s">
        <v>27</v>
      </c>
      <c r="D6" s="5" t="s">
        <v>385</v>
      </c>
      <c r="E6" s="5" t="s">
        <v>387</v>
      </c>
      <c r="F6" s="5" t="s">
        <v>52</v>
      </c>
      <c r="G6" s="5" t="s">
        <v>394</v>
      </c>
      <c r="H6" s="5" t="s">
        <v>104</v>
      </c>
      <c r="I6" s="5" t="s">
        <v>105</v>
      </c>
      <c r="J6" s="5">
        <v>920</v>
      </c>
      <c r="K6" s="5">
        <v>27</v>
      </c>
      <c r="L6" s="7">
        <f t="shared" si="0"/>
        <v>34.074074074074076</v>
      </c>
      <c r="M6" s="7">
        <v>16</v>
      </c>
      <c r="N6" s="5" t="s">
        <v>10</v>
      </c>
      <c r="O6" s="5">
        <v>4</v>
      </c>
      <c r="P6" s="6">
        <f t="shared" si="1"/>
        <v>0.66759945130315512</v>
      </c>
      <c r="Q6" s="6">
        <f t="shared" si="2"/>
        <v>6.9430342935528119E-2</v>
      </c>
      <c r="R6" s="10">
        <f t="shared" si="3"/>
        <v>1.4464654778235028E-3</v>
      </c>
      <c r="S6" s="10">
        <f t="shared" si="4"/>
        <v>1.1743136325585789E-2</v>
      </c>
      <c r="T6" s="10">
        <f t="shared" si="5"/>
        <v>1.3189601803409291E-2</v>
      </c>
    </row>
    <row r="7" spans="1:20" x14ac:dyDescent="0.25">
      <c r="A7" s="5" t="s">
        <v>8</v>
      </c>
      <c r="B7" s="5" t="s">
        <v>165</v>
      </c>
      <c r="C7" s="5" t="s">
        <v>27</v>
      </c>
      <c r="D7" s="5" t="s">
        <v>385</v>
      </c>
      <c r="E7" s="5" t="s">
        <v>387</v>
      </c>
      <c r="F7" s="5" t="s">
        <v>52</v>
      </c>
      <c r="G7" s="5" t="s">
        <v>394</v>
      </c>
      <c r="H7" s="5" t="s">
        <v>56</v>
      </c>
      <c r="I7" s="5" t="s">
        <v>169</v>
      </c>
      <c r="J7" s="5">
        <v>2160</v>
      </c>
      <c r="K7" s="5">
        <v>31</v>
      </c>
      <c r="L7" s="7">
        <f t="shared" si="0"/>
        <v>69.677419354838705</v>
      </c>
      <c r="M7" s="7">
        <v>9</v>
      </c>
      <c r="N7" s="5" t="s">
        <v>10</v>
      </c>
      <c r="O7" s="5">
        <v>4</v>
      </c>
      <c r="P7" s="6">
        <f t="shared" si="1"/>
        <v>6.5541727367325695</v>
      </c>
      <c r="Q7" s="6">
        <f t="shared" si="2"/>
        <v>0.68163396462018722</v>
      </c>
      <c r="R7" s="10">
        <f t="shared" si="3"/>
        <v>1.42007075962539E-2</v>
      </c>
      <c r="S7" s="10">
        <f t="shared" si="4"/>
        <v>6.5130668631830216E-2</v>
      </c>
      <c r="T7" s="10">
        <f t="shared" si="5"/>
        <v>7.9331376228084116E-2</v>
      </c>
    </row>
    <row r="8" spans="1:20" x14ac:dyDescent="0.25">
      <c r="A8" s="5" t="s">
        <v>8</v>
      </c>
      <c r="B8" s="5" t="s">
        <v>161</v>
      </c>
      <c r="C8" s="5" t="s">
        <v>27</v>
      </c>
      <c r="D8" s="5" t="s">
        <v>385</v>
      </c>
      <c r="E8" s="5" t="s">
        <v>387</v>
      </c>
      <c r="F8" s="5" t="s">
        <v>52</v>
      </c>
      <c r="G8" s="5" t="s">
        <v>394</v>
      </c>
      <c r="H8" s="5" t="s">
        <v>56</v>
      </c>
      <c r="I8" s="5" t="s">
        <v>164</v>
      </c>
      <c r="J8" s="5">
        <v>2010</v>
      </c>
      <c r="K8" s="5">
        <v>25</v>
      </c>
      <c r="L8" s="7">
        <f t="shared" si="0"/>
        <v>80.400000000000006</v>
      </c>
      <c r="M8" s="7">
        <v>9.5</v>
      </c>
      <c r="N8" s="5" t="s">
        <v>10</v>
      </c>
      <c r="O8" s="5">
        <v>4</v>
      </c>
      <c r="P8" s="6">
        <f t="shared" si="1"/>
        <v>8.1206010000000006</v>
      </c>
      <c r="Q8" s="6">
        <f t="shared" si="2"/>
        <v>0.84454250400000008</v>
      </c>
      <c r="R8" s="10">
        <f t="shared" si="3"/>
        <v>1.7594635500000001E-2</v>
      </c>
      <c r="S8" s="10">
        <f t="shared" si="4"/>
        <v>7.6487110304618008E-2</v>
      </c>
      <c r="T8" s="10">
        <f t="shared" si="5"/>
        <v>9.4081745804618006E-2</v>
      </c>
    </row>
    <row r="9" spans="1:20" x14ac:dyDescent="0.25">
      <c r="A9" s="5" t="s">
        <v>8</v>
      </c>
      <c r="B9" s="5" t="s">
        <v>291</v>
      </c>
      <c r="C9" s="5" t="s">
        <v>27</v>
      </c>
      <c r="D9" s="5" t="s">
        <v>385</v>
      </c>
      <c r="E9" s="5" t="s">
        <v>387</v>
      </c>
      <c r="F9" s="5" t="s">
        <v>52</v>
      </c>
      <c r="G9" s="5" t="s">
        <v>394</v>
      </c>
      <c r="H9" s="5" t="s">
        <v>56</v>
      </c>
      <c r="I9" s="5" t="s">
        <v>57</v>
      </c>
      <c r="J9" s="5">
        <v>1742</v>
      </c>
      <c r="K9" s="5">
        <v>24.9</v>
      </c>
      <c r="L9" s="7">
        <f t="shared" si="0"/>
        <v>69.959839357429729</v>
      </c>
      <c r="M9" s="7">
        <v>16.75</v>
      </c>
      <c r="N9" s="5" t="s">
        <v>10</v>
      </c>
      <c r="O9" s="5">
        <v>4</v>
      </c>
      <c r="P9" s="6">
        <f t="shared" si="1"/>
        <v>5.3287552700762904</v>
      </c>
      <c r="Q9" s="6">
        <f t="shared" si="2"/>
        <v>0.55419054808793411</v>
      </c>
      <c r="R9" s="10">
        <f t="shared" si="3"/>
        <v>1.154563641849863E-2</v>
      </c>
      <c r="S9" s="10">
        <f t="shared" si="4"/>
        <v>5.5765609812803228E-2</v>
      </c>
      <c r="T9" s="10">
        <f t="shared" si="5"/>
        <v>6.7311246231301858E-2</v>
      </c>
    </row>
    <row r="10" spans="1:20" x14ac:dyDescent="0.25">
      <c r="A10" s="5" t="s">
        <v>8</v>
      </c>
      <c r="B10" s="5" t="s">
        <v>239</v>
      </c>
      <c r="C10" s="5" t="s">
        <v>27</v>
      </c>
      <c r="D10" s="5" t="s">
        <v>385</v>
      </c>
      <c r="E10" s="5" t="s">
        <v>387</v>
      </c>
      <c r="F10" s="5" t="s">
        <v>112</v>
      </c>
      <c r="G10" s="5" t="s">
        <v>395</v>
      </c>
      <c r="H10" s="5" t="s">
        <v>127</v>
      </c>
      <c r="I10" s="5" t="s">
        <v>240</v>
      </c>
      <c r="J10" s="5">
        <v>2800</v>
      </c>
      <c r="K10" s="5">
        <v>34.299999999999997</v>
      </c>
      <c r="L10" s="7">
        <f t="shared" si="0"/>
        <v>81.632653061224502</v>
      </c>
      <c r="M10" s="7">
        <v>21.6</v>
      </c>
      <c r="N10" s="5" t="s">
        <v>10</v>
      </c>
      <c r="O10" s="5">
        <v>4</v>
      </c>
      <c r="P10" s="6">
        <f t="shared" si="1"/>
        <v>11.661807580174932</v>
      </c>
      <c r="Q10" s="6">
        <f t="shared" si="2"/>
        <v>1.2128279883381927</v>
      </c>
      <c r="R10" s="10">
        <f t="shared" si="3"/>
        <v>2.5267249757045685E-2</v>
      </c>
      <c r="S10" s="10">
        <f t="shared" si="4"/>
        <v>0.10033940647782641</v>
      </c>
      <c r="T10" s="10">
        <f t="shared" si="5"/>
        <v>0.1256066562348721</v>
      </c>
    </row>
    <row r="11" spans="1:20" x14ac:dyDescent="0.25">
      <c r="A11" s="5" t="s">
        <v>8</v>
      </c>
      <c r="B11" s="5" t="s">
        <v>156</v>
      </c>
      <c r="C11" s="5" t="s">
        <v>27</v>
      </c>
      <c r="D11" s="5" t="s">
        <v>385</v>
      </c>
      <c r="E11" s="5" t="s">
        <v>387</v>
      </c>
      <c r="F11" s="5" t="s">
        <v>112</v>
      </c>
      <c r="G11" s="5" t="s">
        <v>395</v>
      </c>
      <c r="H11" s="5" t="s">
        <v>127</v>
      </c>
      <c r="I11" s="5" t="s">
        <v>160</v>
      </c>
      <c r="J11" s="5">
        <v>2119</v>
      </c>
      <c r="K11" s="5">
        <v>36</v>
      </c>
      <c r="L11" s="7">
        <f t="shared" si="0"/>
        <v>58.861111111111114</v>
      </c>
      <c r="M11" s="7">
        <v>8.1</v>
      </c>
      <c r="N11" s="5" t="s">
        <v>10</v>
      </c>
      <c r="O11" s="5">
        <v>4</v>
      </c>
      <c r="P11" s="6">
        <f t="shared" si="1"/>
        <v>4.5884698876350312</v>
      </c>
      <c r="Q11" s="6">
        <f t="shared" si="2"/>
        <v>0.47720086831404318</v>
      </c>
      <c r="R11" s="10">
        <f t="shared" si="3"/>
        <v>9.9416847565425674E-3</v>
      </c>
      <c r="S11" s="10">
        <f t="shared" si="4"/>
        <v>4.9848034494641785E-2</v>
      </c>
      <c r="T11" s="10">
        <f t="shared" si="5"/>
        <v>5.9789719251184356E-2</v>
      </c>
    </row>
    <row r="12" spans="1:20" x14ac:dyDescent="0.25">
      <c r="A12" s="5" t="s">
        <v>8</v>
      </c>
      <c r="B12" s="5" t="s">
        <v>363</v>
      </c>
      <c r="C12" s="5" t="s">
        <v>27</v>
      </c>
      <c r="D12" s="5" t="s">
        <v>385</v>
      </c>
      <c r="E12" s="5" t="s">
        <v>387</v>
      </c>
      <c r="F12" s="5" t="s">
        <v>112</v>
      </c>
      <c r="G12" s="5" t="s">
        <v>391</v>
      </c>
      <c r="H12" s="5" t="s">
        <v>53</v>
      </c>
      <c r="I12" s="5" t="s">
        <v>167</v>
      </c>
      <c r="J12" s="5">
        <v>2300</v>
      </c>
      <c r="K12" s="5">
        <v>26.3</v>
      </c>
      <c r="L12" s="7">
        <f t="shared" si="0"/>
        <v>87.452471482889734</v>
      </c>
      <c r="M12" s="7">
        <v>6.55</v>
      </c>
      <c r="N12" s="5" t="s">
        <v>10</v>
      </c>
      <c r="O12" s="5">
        <v>4</v>
      </c>
      <c r="P12" s="6">
        <f t="shared" si="1"/>
        <v>10.993906229669362</v>
      </c>
      <c r="Q12" s="6">
        <f t="shared" si="2"/>
        <v>1.1433662478856135</v>
      </c>
      <c r="R12" s="10">
        <f t="shared" si="3"/>
        <v>2.3820130164283613E-2</v>
      </c>
      <c r="S12" s="10">
        <f t="shared" si="4"/>
        <v>9.5997770223245141E-2</v>
      </c>
      <c r="T12" s="10">
        <f t="shared" si="5"/>
        <v>0.11981790038752875</v>
      </c>
    </row>
    <row r="13" spans="1:20" x14ac:dyDescent="0.25">
      <c r="A13" s="5" t="s">
        <v>8</v>
      </c>
      <c r="B13" s="5" t="s">
        <v>156</v>
      </c>
      <c r="C13" s="5" t="s">
        <v>27</v>
      </c>
      <c r="D13" s="5" t="s">
        <v>385</v>
      </c>
      <c r="E13" s="5" t="s">
        <v>387</v>
      </c>
      <c r="F13" s="5" t="s">
        <v>112</v>
      </c>
      <c r="G13" s="5" t="s">
        <v>391</v>
      </c>
      <c r="H13" s="5" t="s">
        <v>53</v>
      </c>
      <c r="I13" s="5" t="s">
        <v>157</v>
      </c>
      <c r="J13" s="5">
        <v>1152</v>
      </c>
      <c r="K13" s="5">
        <v>33</v>
      </c>
      <c r="L13" s="7">
        <f t="shared" si="0"/>
        <v>34.909090909090907</v>
      </c>
      <c r="M13" s="7">
        <v>11.3</v>
      </c>
      <c r="N13" s="5" t="s">
        <v>10</v>
      </c>
      <c r="O13" s="5">
        <v>4</v>
      </c>
      <c r="P13" s="6">
        <f t="shared" si="1"/>
        <v>0.87742413223140481</v>
      </c>
      <c r="Q13" s="6">
        <f t="shared" si="2"/>
        <v>9.1252109752066102E-2</v>
      </c>
      <c r="R13" s="10">
        <f t="shared" si="3"/>
        <v>1.9010856198347105E-3</v>
      </c>
      <c r="S13" s="10">
        <f t="shared" si="4"/>
        <v>1.4414656759212731E-2</v>
      </c>
      <c r="T13" s="10">
        <f t="shared" si="5"/>
        <v>1.631574237904744E-2</v>
      </c>
    </row>
    <row r="14" spans="1:20" x14ac:dyDescent="0.25">
      <c r="A14" s="5" t="s">
        <v>8</v>
      </c>
      <c r="B14" s="5" t="s">
        <v>228</v>
      </c>
      <c r="C14" s="5" t="s">
        <v>27</v>
      </c>
      <c r="D14" s="5" t="s">
        <v>385</v>
      </c>
      <c r="E14" s="5" t="s">
        <v>387</v>
      </c>
      <c r="F14" s="5" t="s">
        <v>112</v>
      </c>
      <c r="G14" s="5" t="s">
        <v>391</v>
      </c>
      <c r="H14" s="5" t="s">
        <v>53</v>
      </c>
      <c r="I14" s="5" t="s">
        <v>230</v>
      </c>
      <c r="J14" s="5">
        <v>2500</v>
      </c>
      <c r="K14" s="5">
        <v>37</v>
      </c>
      <c r="L14" s="7">
        <f t="shared" si="0"/>
        <v>67.567567567567565</v>
      </c>
      <c r="M14" s="7">
        <v>16.75</v>
      </c>
      <c r="N14" s="5" t="s">
        <v>10</v>
      </c>
      <c r="O14" s="5">
        <v>4</v>
      </c>
      <c r="P14" s="6">
        <f t="shared" si="1"/>
        <v>7.1334002921840742</v>
      </c>
      <c r="Q14" s="6">
        <f t="shared" si="2"/>
        <v>0.74187363038714382</v>
      </c>
      <c r="R14" s="10">
        <f t="shared" si="3"/>
        <v>1.5455700633065493E-2</v>
      </c>
      <c r="S14" s="10">
        <f t="shared" si="4"/>
        <v>6.9401614038345646E-2</v>
      </c>
      <c r="T14" s="10">
        <f t="shared" si="5"/>
        <v>8.4857314671411138E-2</v>
      </c>
    </row>
    <row r="15" spans="1:20" x14ac:dyDescent="0.25">
      <c r="A15" s="5" t="s">
        <v>8</v>
      </c>
      <c r="B15" s="5" t="s">
        <v>165</v>
      </c>
      <c r="C15" s="5" t="s">
        <v>27</v>
      </c>
      <c r="D15" s="5" t="s">
        <v>385</v>
      </c>
      <c r="E15" s="5" t="s">
        <v>387</v>
      </c>
      <c r="F15" s="5" t="s">
        <v>112</v>
      </c>
      <c r="G15" s="5" t="s">
        <v>391</v>
      </c>
      <c r="H15" s="5" t="s">
        <v>53</v>
      </c>
      <c r="I15" s="5" t="s">
        <v>168</v>
      </c>
      <c r="J15" s="5">
        <v>1120</v>
      </c>
      <c r="K15" s="5">
        <v>23.5</v>
      </c>
      <c r="L15" s="7">
        <f t="shared" si="0"/>
        <v>47.659574468085104</v>
      </c>
      <c r="M15" s="7">
        <v>15.5</v>
      </c>
      <c r="N15" s="5" t="s">
        <v>10</v>
      </c>
      <c r="O15" s="5">
        <v>4</v>
      </c>
      <c r="P15" s="6">
        <f t="shared" si="1"/>
        <v>1.5900045269352645</v>
      </c>
      <c r="Q15" s="6">
        <f t="shared" si="2"/>
        <v>0.16536047080126751</v>
      </c>
      <c r="R15" s="10">
        <f t="shared" si="3"/>
        <v>3.4450098083597396E-3</v>
      </c>
      <c r="S15" s="10">
        <f t="shared" si="4"/>
        <v>2.2513649207854137E-2</v>
      </c>
      <c r="T15" s="10">
        <f t="shared" si="5"/>
        <v>2.5958659016213876E-2</v>
      </c>
    </row>
    <row r="16" spans="1:20" x14ac:dyDescent="0.25">
      <c r="A16" s="5" t="s">
        <v>8</v>
      </c>
      <c r="B16" s="5" t="s">
        <v>156</v>
      </c>
      <c r="C16" s="5" t="s">
        <v>27</v>
      </c>
      <c r="D16" s="5" t="s">
        <v>385</v>
      </c>
      <c r="E16" s="5" t="s">
        <v>387</v>
      </c>
      <c r="F16" s="5" t="s">
        <v>112</v>
      </c>
      <c r="G16" s="5" t="s">
        <v>391</v>
      </c>
      <c r="H16" s="5" t="s">
        <v>53</v>
      </c>
      <c r="I16" s="5" t="s">
        <v>158</v>
      </c>
      <c r="J16" s="5">
        <v>1125</v>
      </c>
      <c r="K16" s="5">
        <v>29</v>
      </c>
      <c r="L16" s="7">
        <f t="shared" si="0"/>
        <v>38.793103448275865</v>
      </c>
      <c r="M16" s="7">
        <v>11.5</v>
      </c>
      <c r="N16" s="5" t="s">
        <v>10</v>
      </c>
      <c r="O16" s="5">
        <v>4</v>
      </c>
      <c r="P16" s="6">
        <f t="shared" si="1"/>
        <v>1.0581362403388823</v>
      </c>
      <c r="Q16" s="6">
        <f t="shared" si="2"/>
        <v>0.11004616899524378</v>
      </c>
      <c r="R16" s="10">
        <f t="shared" si="3"/>
        <v>2.2926285207342449E-3</v>
      </c>
      <c r="S16" s="10">
        <f t="shared" si="4"/>
        <v>1.6588354811020851E-2</v>
      </c>
      <c r="T16" s="10">
        <f t="shared" si="5"/>
        <v>1.8880983331755096E-2</v>
      </c>
    </row>
    <row r="17" spans="1:20" x14ac:dyDescent="0.25">
      <c r="A17" s="5" t="s">
        <v>8</v>
      </c>
      <c r="B17" s="5" t="s">
        <v>236</v>
      </c>
      <c r="C17" s="5" t="s">
        <v>27</v>
      </c>
      <c r="D17" s="5" t="s">
        <v>385</v>
      </c>
      <c r="E17" s="5" t="s">
        <v>387</v>
      </c>
      <c r="F17" s="5" t="s">
        <v>112</v>
      </c>
      <c r="G17" s="5" t="s">
        <v>391</v>
      </c>
      <c r="H17" s="5" t="s">
        <v>237</v>
      </c>
      <c r="I17" s="5" t="s">
        <v>238</v>
      </c>
      <c r="J17" s="5">
        <v>2800</v>
      </c>
      <c r="K17" s="5">
        <v>33.6</v>
      </c>
      <c r="L17" s="7">
        <f t="shared" si="0"/>
        <v>83.333333333333329</v>
      </c>
      <c r="M17" s="7">
        <v>15.4</v>
      </c>
      <c r="N17" s="5" t="s">
        <v>10</v>
      </c>
      <c r="O17" s="5">
        <v>4</v>
      </c>
      <c r="P17" s="6">
        <f t="shared" si="1"/>
        <v>12.152777777777775</v>
      </c>
      <c r="Q17" s="6">
        <f t="shared" si="2"/>
        <v>1.2638888888888886</v>
      </c>
      <c r="R17" s="10">
        <f t="shared" si="3"/>
        <v>2.6331018518518514E-2</v>
      </c>
      <c r="S17" s="10">
        <f t="shared" si="4"/>
        <v>0.10349128794647404</v>
      </c>
      <c r="T17" s="10">
        <f t="shared" si="5"/>
        <v>0.12982230646499254</v>
      </c>
    </row>
    <row r="18" spans="1:20" x14ac:dyDescent="0.25">
      <c r="A18" s="5" t="s">
        <v>8</v>
      </c>
      <c r="B18" s="5" t="s">
        <v>165</v>
      </c>
      <c r="C18" s="5" t="s">
        <v>27</v>
      </c>
      <c r="D18" s="5" t="s">
        <v>385</v>
      </c>
      <c r="E18" s="5" t="s">
        <v>384</v>
      </c>
      <c r="F18" s="5" t="s">
        <v>91</v>
      </c>
      <c r="G18" s="5" t="s">
        <v>393</v>
      </c>
      <c r="H18" s="5" t="s">
        <v>92</v>
      </c>
      <c r="I18" s="5" t="s">
        <v>167</v>
      </c>
      <c r="J18" s="5">
        <v>1770</v>
      </c>
      <c r="K18" s="5">
        <v>30</v>
      </c>
      <c r="L18" s="7">
        <f t="shared" si="0"/>
        <v>59</v>
      </c>
      <c r="M18" s="7">
        <v>10.5</v>
      </c>
      <c r="N18" s="5" t="s">
        <v>10</v>
      </c>
      <c r="O18" s="5">
        <v>4</v>
      </c>
      <c r="P18" s="6">
        <f t="shared" si="1"/>
        <v>3.8508562500000001</v>
      </c>
      <c r="Q18" s="6">
        <f t="shared" si="2"/>
        <v>0.40048905000000001</v>
      </c>
      <c r="R18" s="10">
        <f t="shared" si="3"/>
        <v>8.3435218750000009E-3</v>
      </c>
      <c r="S18" s="10">
        <f t="shared" si="4"/>
        <v>4.3708419692553992E-2</v>
      </c>
      <c r="T18" s="10">
        <f t="shared" si="5"/>
        <v>5.2051941567553994E-2</v>
      </c>
    </row>
    <row r="19" spans="1:20" x14ac:dyDescent="0.25">
      <c r="A19" s="5" t="s">
        <v>8</v>
      </c>
      <c r="B19" s="5" t="s">
        <v>313</v>
      </c>
      <c r="C19" s="5" t="s">
        <v>27</v>
      </c>
      <c r="D19" s="5" t="s">
        <v>385</v>
      </c>
      <c r="E19" s="5" t="s">
        <v>384</v>
      </c>
      <c r="F19" s="5" t="s">
        <v>91</v>
      </c>
      <c r="G19" s="5" t="s">
        <v>393</v>
      </c>
      <c r="H19" s="5" t="s">
        <v>92</v>
      </c>
      <c r="I19" s="5" t="s">
        <v>315</v>
      </c>
      <c r="J19" s="5">
        <v>1300</v>
      </c>
      <c r="K19" s="5">
        <v>27</v>
      </c>
      <c r="L19" s="7">
        <f t="shared" si="0"/>
        <v>48.148148148148145</v>
      </c>
      <c r="M19" s="7">
        <v>12.3</v>
      </c>
      <c r="N19" s="5" t="s">
        <v>10</v>
      </c>
      <c r="O19" s="5">
        <v>4</v>
      </c>
      <c r="P19" s="6">
        <f t="shared" si="1"/>
        <v>1.8835733882030175</v>
      </c>
      <c r="Q19" s="6">
        <f t="shared" si="2"/>
        <v>0.19589163237311383</v>
      </c>
      <c r="R19" s="10">
        <f t="shared" si="3"/>
        <v>4.0810756744398711E-3</v>
      </c>
      <c r="S19" s="10">
        <f t="shared" si="4"/>
        <v>2.5564307556858588E-2</v>
      </c>
      <c r="T19" s="10">
        <f t="shared" si="5"/>
        <v>2.964538323129846E-2</v>
      </c>
    </row>
    <row r="20" spans="1:20" x14ac:dyDescent="0.25">
      <c r="A20" s="5" t="s">
        <v>8</v>
      </c>
      <c r="B20" s="5" t="s">
        <v>308</v>
      </c>
      <c r="C20" s="5" t="s">
        <v>27</v>
      </c>
      <c r="D20" s="5" t="s">
        <v>385</v>
      </c>
      <c r="E20" s="5" t="s">
        <v>384</v>
      </c>
      <c r="F20" s="5" t="s">
        <v>91</v>
      </c>
      <c r="G20" s="5" t="s">
        <v>393</v>
      </c>
      <c r="H20" s="5" t="s">
        <v>92</v>
      </c>
      <c r="I20" s="5" t="s">
        <v>309</v>
      </c>
      <c r="J20" s="5">
        <v>1055</v>
      </c>
      <c r="K20" s="5">
        <v>35.5</v>
      </c>
      <c r="L20" s="7">
        <f t="shared" si="0"/>
        <v>29.718309859154928</v>
      </c>
      <c r="M20" s="7">
        <v>13.6</v>
      </c>
      <c r="N20" s="5" t="s">
        <v>10</v>
      </c>
      <c r="O20" s="5">
        <v>4</v>
      </c>
      <c r="P20" s="6">
        <f t="shared" si="1"/>
        <v>0.58234545477087873</v>
      </c>
      <c r="Q20" s="6">
        <f t="shared" si="2"/>
        <v>6.056392729617139E-2</v>
      </c>
      <c r="R20" s="10">
        <f t="shared" si="3"/>
        <v>1.2617484853369037E-3</v>
      </c>
      <c r="S20" s="10">
        <f t="shared" si="4"/>
        <v>1.0599433193685417E-2</v>
      </c>
      <c r="T20" s="10">
        <f t="shared" si="5"/>
        <v>1.1861181679022321E-2</v>
      </c>
    </row>
    <row r="21" spans="1:20" x14ac:dyDescent="0.25">
      <c r="A21" s="5" t="s">
        <v>8</v>
      </c>
      <c r="B21" s="5" t="s">
        <v>165</v>
      </c>
      <c r="C21" s="5" t="s">
        <v>27</v>
      </c>
      <c r="D21" s="5" t="s">
        <v>385</v>
      </c>
      <c r="E21" s="5" t="s">
        <v>384</v>
      </c>
      <c r="F21" s="5" t="s">
        <v>30</v>
      </c>
      <c r="G21" s="5" t="s">
        <v>397</v>
      </c>
      <c r="H21" s="5" t="s">
        <v>36</v>
      </c>
      <c r="I21" s="5" t="s">
        <v>170</v>
      </c>
      <c r="J21" s="5">
        <v>2695</v>
      </c>
      <c r="K21" s="5">
        <v>40</v>
      </c>
      <c r="L21" s="7">
        <f t="shared" si="0"/>
        <v>67.375</v>
      </c>
      <c r="M21" s="7">
        <v>11</v>
      </c>
      <c r="N21" s="5" t="s">
        <v>10</v>
      </c>
      <c r="O21" s="5">
        <v>4</v>
      </c>
      <c r="P21" s="6">
        <f t="shared" si="1"/>
        <v>7.6460360839843746</v>
      </c>
      <c r="Q21" s="6">
        <f t="shared" si="2"/>
        <v>0.79518775273437492</v>
      </c>
      <c r="R21" s="10">
        <f t="shared" si="3"/>
        <v>1.6566411515299476E-2</v>
      </c>
      <c r="S21" s="10">
        <f t="shared" si="4"/>
        <v>7.3109595619803347E-2</v>
      </c>
      <c r="T21" s="10">
        <f t="shared" si="5"/>
        <v>8.967600713510282E-2</v>
      </c>
    </row>
    <row r="22" spans="1:20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384</v>
      </c>
      <c r="F22" s="5" t="s">
        <v>30</v>
      </c>
      <c r="G22" s="5" t="s">
        <v>397</v>
      </c>
      <c r="H22" s="5" t="s">
        <v>36</v>
      </c>
      <c r="I22" s="5" t="s">
        <v>18</v>
      </c>
      <c r="J22" s="5">
        <v>1559</v>
      </c>
      <c r="K22" s="5">
        <v>24.4</v>
      </c>
      <c r="L22" s="7">
        <f t="shared" si="0"/>
        <v>63.893442622950822</v>
      </c>
      <c r="M22" s="7">
        <v>20.700000000000003</v>
      </c>
      <c r="N22" s="5" t="s">
        <v>10</v>
      </c>
      <c r="O22" s="5">
        <v>4</v>
      </c>
      <c r="P22" s="6">
        <f t="shared" si="1"/>
        <v>3.977761227450618</v>
      </c>
      <c r="Q22" s="6">
        <f t="shared" si="2"/>
        <v>0.4136871676548643</v>
      </c>
      <c r="R22" s="10">
        <f t="shared" si="3"/>
        <v>8.6184826594763383E-3</v>
      </c>
      <c r="S22" s="10">
        <f t="shared" si="4"/>
        <v>4.4784337805949009E-2</v>
      </c>
      <c r="T22" s="10">
        <f t="shared" si="5"/>
        <v>5.3402820465425348E-2</v>
      </c>
    </row>
    <row r="23" spans="1:20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384</v>
      </c>
      <c r="F23" s="5" t="s">
        <v>30</v>
      </c>
      <c r="G23" s="5" t="s">
        <v>397</v>
      </c>
      <c r="H23" s="5" t="s">
        <v>36</v>
      </c>
      <c r="I23" s="5" t="s">
        <v>18</v>
      </c>
      <c r="J23" s="5">
        <v>1600</v>
      </c>
      <c r="K23" s="5">
        <v>25.6</v>
      </c>
      <c r="L23" s="7">
        <f t="shared" si="0"/>
        <v>62.5</v>
      </c>
      <c r="M23" s="7">
        <v>20.65</v>
      </c>
      <c r="N23" s="5" t="s">
        <v>10</v>
      </c>
      <c r="O23" s="5">
        <v>4</v>
      </c>
      <c r="P23" s="6">
        <f t="shared" si="1"/>
        <v>3.90625</v>
      </c>
      <c r="Q23" s="6">
        <f t="shared" si="2"/>
        <v>0.40625</v>
      </c>
      <c r="R23" s="10">
        <f t="shared" si="3"/>
        <v>8.4635416666666661E-3</v>
      </c>
      <c r="S23" s="10">
        <f t="shared" si="4"/>
        <v>4.4179129093154489E-2</v>
      </c>
      <c r="T23" s="10">
        <f t="shared" si="5"/>
        <v>5.2642670759821153E-2</v>
      </c>
    </row>
    <row r="24" spans="1:20" x14ac:dyDescent="0.25">
      <c r="A24" s="5" t="s">
        <v>8</v>
      </c>
      <c r="B24" s="5" t="s">
        <v>165</v>
      </c>
      <c r="C24" s="5" t="s">
        <v>27</v>
      </c>
      <c r="D24" s="5" t="s">
        <v>385</v>
      </c>
      <c r="E24" s="5" t="s">
        <v>384</v>
      </c>
      <c r="F24" s="5" t="s">
        <v>30</v>
      </c>
      <c r="G24" s="5" t="s">
        <v>397</v>
      </c>
      <c r="H24" s="5" t="s">
        <v>36</v>
      </c>
      <c r="I24" s="5" t="s">
        <v>172</v>
      </c>
      <c r="J24" s="5">
        <v>1615</v>
      </c>
      <c r="K24" s="5">
        <v>35</v>
      </c>
      <c r="L24" s="7">
        <f t="shared" si="0"/>
        <v>46.142857142857146</v>
      </c>
      <c r="M24" s="7">
        <v>10.4</v>
      </c>
      <c r="N24" s="5" t="s">
        <v>10</v>
      </c>
      <c r="O24" s="5">
        <v>4</v>
      </c>
      <c r="P24" s="6">
        <f t="shared" si="1"/>
        <v>2.1491241709183679</v>
      </c>
      <c r="Q24" s="6">
        <f t="shared" si="2"/>
        <v>0.22350891377551022</v>
      </c>
      <c r="R24" s="10">
        <f t="shared" si="3"/>
        <v>4.6564357036564634E-3</v>
      </c>
      <c r="S24" s="10">
        <f t="shared" si="4"/>
        <v>2.8222355350425752E-2</v>
      </c>
      <c r="T24" s="10">
        <f t="shared" si="5"/>
        <v>3.2878791054082215E-2</v>
      </c>
    </row>
    <row r="25" spans="1:20" x14ac:dyDescent="0.25">
      <c r="A25" s="5" t="s">
        <v>8</v>
      </c>
      <c r="B25" s="5" t="s">
        <v>165</v>
      </c>
      <c r="C25" s="5" t="s">
        <v>27</v>
      </c>
      <c r="D25" s="5" t="s">
        <v>385</v>
      </c>
      <c r="E25" s="5" t="s">
        <v>384</v>
      </c>
      <c r="F25" s="5" t="s">
        <v>30</v>
      </c>
      <c r="G25" s="5" t="s">
        <v>397</v>
      </c>
      <c r="H25" s="5" t="s">
        <v>36</v>
      </c>
      <c r="I25" s="5" t="s">
        <v>171</v>
      </c>
      <c r="J25" s="5">
        <v>1740</v>
      </c>
      <c r="K25" s="5">
        <v>26.5</v>
      </c>
      <c r="L25" s="7">
        <f t="shared" si="0"/>
        <v>65.660377358490564</v>
      </c>
      <c r="M25" s="7">
        <v>8.5</v>
      </c>
      <c r="N25" s="5" t="s">
        <v>10</v>
      </c>
      <c r="O25" s="5">
        <v>4</v>
      </c>
      <c r="P25" s="6">
        <f t="shared" si="1"/>
        <v>4.6885226059095757</v>
      </c>
      <c r="Q25" s="6">
        <f t="shared" si="2"/>
        <v>0.48760635101459576</v>
      </c>
      <c r="R25" s="10">
        <f t="shared" si="3"/>
        <v>1.0158465646137415E-2</v>
      </c>
      <c r="S25" s="10">
        <f t="shared" si="4"/>
        <v>5.0661043972834809E-2</v>
      </c>
      <c r="T25" s="10">
        <f t="shared" si="5"/>
        <v>6.0819509618972221E-2</v>
      </c>
    </row>
    <row r="26" spans="1:20" x14ac:dyDescent="0.25">
      <c r="A26" s="5" t="s">
        <v>8</v>
      </c>
      <c r="B26" s="5" t="s">
        <v>291</v>
      </c>
      <c r="C26" s="5" t="s">
        <v>27</v>
      </c>
      <c r="D26" s="5" t="s">
        <v>385</v>
      </c>
      <c r="E26" s="5" t="s">
        <v>384</v>
      </c>
      <c r="F26" s="5" t="s">
        <v>30</v>
      </c>
      <c r="G26" s="5" t="s">
        <v>397</v>
      </c>
      <c r="H26" s="5" t="s">
        <v>36</v>
      </c>
      <c r="I26" s="5" t="s">
        <v>38</v>
      </c>
      <c r="J26" s="5">
        <v>1808</v>
      </c>
      <c r="K26" s="5">
        <v>27.3</v>
      </c>
      <c r="L26" s="7">
        <f t="shared" si="0"/>
        <v>66.227106227106219</v>
      </c>
      <c r="M26" s="7">
        <v>18.05</v>
      </c>
      <c r="N26" s="5" t="s">
        <v>10</v>
      </c>
      <c r="O26" s="5">
        <v>4</v>
      </c>
      <c r="P26" s="6">
        <f t="shared" si="1"/>
        <v>4.9562134471145445</v>
      </c>
      <c r="Q26" s="6">
        <f t="shared" si="2"/>
        <v>0.51544619849991258</v>
      </c>
      <c r="R26" s="10">
        <f t="shared" si="3"/>
        <v>1.0738462468748178E-2</v>
      </c>
      <c r="S26" s="10">
        <f t="shared" si="4"/>
        <v>5.2815284747529848E-2</v>
      </c>
      <c r="T26" s="10">
        <f t="shared" si="5"/>
        <v>6.3553747216278031E-2</v>
      </c>
    </row>
    <row r="27" spans="1:20" x14ac:dyDescent="0.25">
      <c r="A27" s="5" t="s">
        <v>8</v>
      </c>
      <c r="B27" s="5" t="s">
        <v>291</v>
      </c>
      <c r="C27" s="5" t="s">
        <v>27</v>
      </c>
      <c r="D27" s="5" t="s">
        <v>385</v>
      </c>
      <c r="E27" s="5" t="s">
        <v>384</v>
      </c>
      <c r="F27" s="5" t="s">
        <v>30</v>
      </c>
      <c r="G27" s="5" t="s">
        <v>397</v>
      </c>
      <c r="H27" s="5" t="s">
        <v>36</v>
      </c>
      <c r="I27" s="5" t="s">
        <v>38</v>
      </c>
      <c r="J27" s="5">
        <v>1839</v>
      </c>
      <c r="K27" s="5">
        <v>33.299999999999997</v>
      </c>
      <c r="L27" s="7">
        <f t="shared" si="0"/>
        <v>55.22522522522523</v>
      </c>
      <c r="M27" s="7">
        <v>18.399999999999999</v>
      </c>
      <c r="N27" s="5" t="s">
        <v>10</v>
      </c>
      <c r="O27" s="5">
        <v>4</v>
      </c>
      <c r="P27" s="6">
        <f t="shared" si="1"/>
        <v>3.5053931854151457</v>
      </c>
      <c r="Q27" s="6">
        <f t="shared" si="2"/>
        <v>0.36456089128317515</v>
      </c>
      <c r="R27" s="10">
        <f t="shared" si="3"/>
        <v>7.5950185683994823E-3</v>
      </c>
      <c r="S27" s="10">
        <f t="shared" si="4"/>
        <v>4.073330769697972E-2</v>
      </c>
      <c r="T27" s="10">
        <f t="shared" si="5"/>
        <v>4.8328326265379203E-2</v>
      </c>
    </row>
    <row r="28" spans="1:20" x14ac:dyDescent="0.25">
      <c r="A28" s="5" t="s">
        <v>8</v>
      </c>
      <c r="B28" s="5" t="s">
        <v>165</v>
      </c>
      <c r="C28" s="5" t="s">
        <v>27</v>
      </c>
      <c r="D28" s="5" t="s">
        <v>385</v>
      </c>
      <c r="E28" s="5" t="s">
        <v>384</v>
      </c>
      <c r="F28" s="5" t="s">
        <v>30</v>
      </c>
      <c r="G28" s="5" t="s">
        <v>397</v>
      </c>
      <c r="H28" s="5" t="s">
        <v>36</v>
      </c>
      <c r="I28" s="5" t="s">
        <v>166</v>
      </c>
      <c r="J28" s="5">
        <v>1635</v>
      </c>
      <c r="K28" s="5">
        <v>33.5</v>
      </c>
      <c r="L28" s="7">
        <f t="shared" si="0"/>
        <v>48.805970149253731</v>
      </c>
      <c r="M28" s="7">
        <v>8</v>
      </c>
      <c r="N28" s="5" t="s">
        <v>10</v>
      </c>
      <c r="O28" s="5">
        <v>4</v>
      </c>
      <c r="P28" s="6">
        <f t="shared" si="1"/>
        <v>2.434129469258187</v>
      </c>
      <c r="Q28" s="6">
        <f t="shared" si="2"/>
        <v>0.25314946480285144</v>
      </c>
      <c r="R28" s="10">
        <f t="shared" si="3"/>
        <v>5.2739471833927387E-3</v>
      </c>
      <c r="S28" s="10">
        <f t="shared" si="4"/>
        <v>3.098524111547564E-2</v>
      </c>
      <c r="T28" s="10">
        <f t="shared" si="5"/>
        <v>3.6259188298868379E-2</v>
      </c>
    </row>
    <row r="29" spans="1:20" x14ac:dyDescent="0.25">
      <c r="A29" s="5" t="s">
        <v>8</v>
      </c>
      <c r="B29" s="5" t="s">
        <v>291</v>
      </c>
      <c r="C29" s="5" t="s">
        <v>27</v>
      </c>
      <c r="D29" s="5" t="s">
        <v>385</v>
      </c>
      <c r="E29" s="5" t="s">
        <v>384</v>
      </c>
      <c r="F29" s="5" t="s">
        <v>30</v>
      </c>
      <c r="G29" s="5" t="s">
        <v>397</v>
      </c>
      <c r="H29" s="5" t="s">
        <v>36</v>
      </c>
      <c r="I29" s="5" t="s">
        <v>39</v>
      </c>
      <c r="J29" s="5">
        <v>1140</v>
      </c>
      <c r="K29" s="5">
        <v>27.3</v>
      </c>
      <c r="L29" s="7">
        <f t="shared" si="0"/>
        <v>41.758241758241759</v>
      </c>
      <c r="M29" s="7">
        <v>15.35</v>
      </c>
      <c r="N29" s="5" t="s">
        <v>10</v>
      </c>
      <c r="O29" s="5">
        <v>4</v>
      </c>
      <c r="P29" s="6">
        <f t="shared" si="1"/>
        <v>1.2424224127520831</v>
      </c>
      <c r="Q29" s="6">
        <f t="shared" si="2"/>
        <v>0.12921193092621663</v>
      </c>
      <c r="R29" s="10">
        <f t="shared" si="3"/>
        <v>2.6919152276295133E-3</v>
      </c>
      <c r="S29" s="10">
        <f t="shared" si="4"/>
        <v>1.8711089765198051E-2</v>
      </c>
      <c r="T29" s="10">
        <f t="shared" si="5"/>
        <v>2.1403004992827563E-2</v>
      </c>
    </row>
    <row r="30" spans="1:20" x14ac:dyDescent="0.25">
      <c r="A30" s="5" t="s">
        <v>8</v>
      </c>
      <c r="B30" s="5" t="s">
        <v>165</v>
      </c>
      <c r="C30" s="5" t="s">
        <v>27</v>
      </c>
      <c r="D30" s="5" t="s">
        <v>385</v>
      </c>
      <c r="E30" s="5" t="s">
        <v>384</v>
      </c>
      <c r="F30" s="5" t="s">
        <v>30</v>
      </c>
      <c r="G30" s="5" t="s">
        <v>397</v>
      </c>
      <c r="H30" s="5" t="s">
        <v>36</v>
      </c>
      <c r="I30" s="5" t="s">
        <v>39</v>
      </c>
      <c r="J30" s="5">
        <v>1920</v>
      </c>
      <c r="K30" s="5">
        <v>31</v>
      </c>
      <c r="L30" s="7">
        <f t="shared" si="0"/>
        <v>61.935483870967744</v>
      </c>
      <c r="M30" s="7">
        <v>19</v>
      </c>
      <c r="N30" s="5" t="s">
        <v>10</v>
      </c>
      <c r="O30" s="5">
        <v>4</v>
      </c>
      <c r="P30" s="6">
        <f t="shared" si="1"/>
        <v>4.6032049947970863</v>
      </c>
      <c r="Q30" s="6">
        <f t="shared" si="2"/>
        <v>0.47873331945889697</v>
      </c>
      <c r="R30" s="10">
        <f t="shared" si="3"/>
        <v>9.9736108220603529E-3</v>
      </c>
      <c r="S30" s="10">
        <f t="shared" si="4"/>
        <v>4.9968045363436797E-2</v>
      </c>
      <c r="T30" s="10">
        <f t="shared" si="5"/>
        <v>5.9941656185497148E-2</v>
      </c>
    </row>
    <row r="31" spans="1:20" x14ac:dyDescent="0.25">
      <c r="A31" s="5" t="s">
        <v>8</v>
      </c>
      <c r="B31" s="5" t="s">
        <v>291</v>
      </c>
      <c r="C31" s="5" t="s">
        <v>27</v>
      </c>
      <c r="D31" s="5" t="s">
        <v>385</v>
      </c>
      <c r="E31" s="5" t="s">
        <v>384</v>
      </c>
      <c r="F31" s="5" t="s">
        <v>30</v>
      </c>
      <c r="G31" s="5" t="s">
        <v>397</v>
      </c>
      <c r="H31" s="5" t="s">
        <v>36</v>
      </c>
      <c r="I31" s="5" t="s">
        <v>39</v>
      </c>
      <c r="J31" s="5">
        <v>1752</v>
      </c>
      <c r="K31" s="5">
        <v>29.2</v>
      </c>
      <c r="L31" s="7">
        <f t="shared" si="0"/>
        <v>60</v>
      </c>
      <c r="M31" s="7">
        <v>20.5</v>
      </c>
      <c r="N31" s="5" t="s">
        <v>10</v>
      </c>
      <c r="O31" s="5">
        <v>4</v>
      </c>
      <c r="P31" s="6">
        <f t="shared" si="1"/>
        <v>3.9420000000000002</v>
      </c>
      <c r="Q31" s="6">
        <f t="shared" si="2"/>
        <v>0.40996800000000005</v>
      </c>
      <c r="R31" s="10">
        <f t="shared" si="3"/>
        <v>8.541E-3</v>
      </c>
      <c r="S31" s="10">
        <f t="shared" si="4"/>
        <v>4.4482029038474258E-2</v>
      </c>
      <c r="T31" s="10">
        <f t="shared" si="5"/>
        <v>5.3023029038474258E-2</v>
      </c>
    </row>
    <row r="32" spans="1:20" x14ac:dyDescent="0.25">
      <c r="A32" s="5" t="s">
        <v>8</v>
      </c>
      <c r="B32" s="5" t="s">
        <v>291</v>
      </c>
      <c r="C32" s="5" t="s">
        <v>27</v>
      </c>
      <c r="D32" s="5" t="s">
        <v>385</v>
      </c>
      <c r="E32" s="5" t="s">
        <v>384</v>
      </c>
      <c r="F32" s="5" t="s">
        <v>30</v>
      </c>
      <c r="G32" s="5" t="s">
        <v>392</v>
      </c>
      <c r="H32" s="5" t="s">
        <v>31</v>
      </c>
      <c r="I32" s="5" t="s">
        <v>33</v>
      </c>
      <c r="J32" s="5">
        <v>1121</v>
      </c>
      <c r="K32" s="5">
        <v>23.2</v>
      </c>
      <c r="L32" s="7">
        <f t="shared" si="0"/>
        <v>48.318965517241381</v>
      </c>
      <c r="M32" s="7">
        <v>16.100000000000001</v>
      </c>
      <c r="N32" s="5" t="s">
        <v>10</v>
      </c>
      <c r="O32" s="5">
        <v>4</v>
      </c>
      <c r="P32" s="6">
        <f t="shared" si="1"/>
        <v>1.6357649015773632</v>
      </c>
      <c r="Q32" s="6">
        <f t="shared" si="2"/>
        <v>0.17011954976404578</v>
      </c>
      <c r="R32" s="10">
        <f t="shared" si="3"/>
        <v>3.5441572867509533E-3</v>
      </c>
      <c r="S32" s="10">
        <f t="shared" si="4"/>
        <v>2.2997879194034985E-2</v>
      </c>
      <c r="T32" s="10">
        <f t="shared" si="5"/>
        <v>2.6542036480785937E-2</v>
      </c>
    </row>
    <row r="33" spans="1:20" x14ac:dyDescent="0.25">
      <c r="A33" s="5" t="s">
        <v>8</v>
      </c>
      <c r="B33" s="5" t="s">
        <v>291</v>
      </c>
      <c r="C33" s="5" t="s">
        <v>27</v>
      </c>
      <c r="D33" s="5" t="s">
        <v>385</v>
      </c>
      <c r="E33" s="5" t="s">
        <v>384</v>
      </c>
      <c r="F33" s="5" t="s">
        <v>30</v>
      </c>
      <c r="G33" s="5" t="s">
        <v>392</v>
      </c>
      <c r="H33" s="5" t="s">
        <v>31</v>
      </c>
      <c r="I33" s="5" t="s">
        <v>33</v>
      </c>
      <c r="J33" s="5">
        <v>1171</v>
      </c>
      <c r="K33" s="5">
        <v>23.8</v>
      </c>
      <c r="L33" s="7">
        <f t="shared" si="0"/>
        <v>49.201680672268907</v>
      </c>
      <c r="M33" s="7">
        <v>19.399999999999999</v>
      </c>
      <c r="N33" s="5" t="s">
        <v>10</v>
      </c>
      <c r="O33" s="5">
        <v>4</v>
      </c>
      <c r="P33" s="6">
        <f t="shared" si="1"/>
        <v>1.7717269382017513</v>
      </c>
      <c r="Q33" s="6">
        <f t="shared" si="2"/>
        <v>0.18425960157298213</v>
      </c>
      <c r="R33" s="10">
        <f t="shared" si="3"/>
        <v>3.8387416994371277E-3</v>
      </c>
      <c r="S33" s="10">
        <f t="shared" si="4"/>
        <v>2.4417135633988743E-2</v>
      </c>
      <c r="T33" s="10">
        <f t="shared" si="5"/>
        <v>2.8255877333425869E-2</v>
      </c>
    </row>
    <row r="34" spans="1:20" x14ac:dyDescent="0.25">
      <c r="A34" s="5" t="s">
        <v>8</v>
      </c>
      <c r="B34" s="5" t="s">
        <v>339</v>
      </c>
      <c r="C34" s="5" t="s">
        <v>27</v>
      </c>
      <c r="D34" s="5" t="s">
        <v>385</v>
      </c>
      <c r="E34" s="5" t="s">
        <v>384</v>
      </c>
      <c r="F34" s="5" t="s">
        <v>30</v>
      </c>
      <c r="G34" s="5" t="s">
        <v>392</v>
      </c>
      <c r="H34" s="5" t="s">
        <v>31</v>
      </c>
      <c r="I34" s="5" t="s">
        <v>33</v>
      </c>
      <c r="J34" s="5">
        <v>1080</v>
      </c>
      <c r="K34" s="5">
        <v>19.5</v>
      </c>
      <c r="L34" s="7">
        <f t="shared" ref="L34:L65" si="6">J34/K34</f>
        <v>55.384615384615387</v>
      </c>
      <c r="M34" s="7">
        <v>23.7</v>
      </c>
      <c r="N34" s="5" t="s">
        <v>10</v>
      </c>
      <c r="O34" s="5">
        <v>4</v>
      </c>
      <c r="P34" s="6">
        <f t="shared" ref="P34:P65" si="7">(J34*L34^2)/(1.6*10^6)</f>
        <v>2.0705325443786986</v>
      </c>
      <c r="Q34" s="6">
        <f t="shared" ref="Q34:Q65" si="8">(0.104*J34*L34^2)/(1.6*10^6)</f>
        <v>0.21533538461538462</v>
      </c>
      <c r="R34" s="10">
        <f t="shared" ref="R34:R65" si="9">(0.104*P34)/(12*O34)</f>
        <v>4.4861538461538472E-3</v>
      </c>
      <c r="S34" s="10">
        <f t="shared" ref="S34:S65" si="10">0.0159*P34^0.75</f>
        <v>2.744471151966631E-2</v>
      </c>
      <c r="T34" s="10">
        <f t="shared" ref="T34:T65" si="11">R34+S34</f>
        <v>3.1930865365820155E-2</v>
      </c>
    </row>
    <row r="35" spans="1:20" x14ac:dyDescent="0.25">
      <c r="A35" s="5" t="s">
        <v>8</v>
      </c>
      <c r="B35" s="5" t="s">
        <v>308</v>
      </c>
      <c r="C35" s="5" t="s">
        <v>27</v>
      </c>
      <c r="D35" s="5" t="s">
        <v>385</v>
      </c>
      <c r="E35" s="5" t="s">
        <v>384</v>
      </c>
      <c r="F35" s="5" t="s">
        <v>30</v>
      </c>
      <c r="G35" s="5" t="s">
        <v>392</v>
      </c>
      <c r="H35" s="5" t="s">
        <v>31</v>
      </c>
      <c r="I35" s="5" t="s">
        <v>286</v>
      </c>
      <c r="J35" s="5">
        <v>1749</v>
      </c>
      <c r="K35" s="5">
        <v>23</v>
      </c>
      <c r="L35" s="7">
        <f t="shared" si="6"/>
        <v>76.043478260869563</v>
      </c>
      <c r="M35" s="7">
        <v>10.5</v>
      </c>
      <c r="N35" s="5" t="s">
        <v>10</v>
      </c>
      <c r="O35" s="5">
        <v>4</v>
      </c>
      <c r="P35" s="6">
        <f t="shared" si="7"/>
        <v>6.3211161968336489</v>
      </c>
      <c r="Q35" s="6">
        <f t="shared" si="8"/>
        <v>0.65739608447069942</v>
      </c>
      <c r="R35" s="10">
        <f t="shared" si="9"/>
        <v>1.3695751759806238E-2</v>
      </c>
      <c r="S35" s="10">
        <f t="shared" si="10"/>
        <v>6.3385869858994706E-2</v>
      </c>
      <c r="T35" s="10">
        <f t="shared" si="11"/>
        <v>7.7081621618800944E-2</v>
      </c>
    </row>
    <row r="36" spans="1:20" x14ac:dyDescent="0.25">
      <c r="A36" s="5" t="s">
        <v>8</v>
      </c>
      <c r="B36" s="5" t="s">
        <v>370</v>
      </c>
      <c r="C36" s="5" t="s">
        <v>27</v>
      </c>
      <c r="D36" s="5" t="s">
        <v>385</v>
      </c>
      <c r="E36" s="5" t="s">
        <v>384</v>
      </c>
      <c r="F36" s="5" t="s">
        <v>30</v>
      </c>
      <c r="G36" s="5" t="s">
        <v>392</v>
      </c>
      <c r="H36" s="5" t="s">
        <v>34</v>
      </c>
      <c r="I36" s="5" t="s">
        <v>371</v>
      </c>
      <c r="J36" s="5">
        <v>823</v>
      </c>
      <c r="K36" s="5">
        <v>21.3</v>
      </c>
      <c r="L36" s="7">
        <f t="shared" si="6"/>
        <v>38.63849765258216</v>
      </c>
      <c r="M36" s="7">
        <v>10.4</v>
      </c>
      <c r="N36" s="5" t="s">
        <v>10</v>
      </c>
      <c r="O36" s="5">
        <v>4</v>
      </c>
      <c r="P36" s="6">
        <f t="shared" si="7"/>
        <v>0.76792766949899716</v>
      </c>
      <c r="Q36" s="6">
        <f t="shared" si="8"/>
        <v>7.9864477627895697E-2</v>
      </c>
      <c r="R36" s="10">
        <f t="shared" si="9"/>
        <v>1.6638432839144936E-3</v>
      </c>
      <c r="S36" s="10">
        <f t="shared" si="10"/>
        <v>1.3043296338772574E-2</v>
      </c>
      <c r="T36" s="10">
        <f t="shared" si="11"/>
        <v>1.4707139622687068E-2</v>
      </c>
    </row>
    <row r="37" spans="1:20" x14ac:dyDescent="0.25">
      <c r="A37" s="5" t="s">
        <v>8</v>
      </c>
      <c r="B37" s="5" t="s">
        <v>270</v>
      </c>
      <c r="C37" s="5" t="s">
        <v>27</v>
      </c>
      <c r="D37" s="5" t="s">
        <v>385</v>
      </c>
      <c r="E37" s="5" t="s">
        <v>384</v>
      </c>
      <c r="F37" s="5" t="s">
        <v>30</v>
      </c>
      <c r="G37" s="5" t="s">
        <v>392</v>
      </c>
      <c r="H37" s="5" t="s">
        <v>34</v>
      </c>
      <c r="I37" s="5" t="s">
        <v>274</v>
      </c>
      <c r="J37" s="5">
        <v>2280</v>
      </c>
      <c r="K37" s="5">
        <v>34.9</v>
      </c>
      <c r="L37" s="7">
        <f t="shared" si="6"/>
        <v>65.329512893982809</v>
      </c>
      <c r="M37" s="7">
        <v>9.6999999999999993</v>
      </c>
      <c r="N37" s="5" t="s">
        <v>10</v>
      </c>
      <c r="O37" s="5">
        <v>4</v>
      </c>
      <c r="P37" s="6">
        <f t="shared" si="7"/>
        <v>6.0818219883252187</v>
      </c>
      <c r="Q37" s="6">
        <f t="shared" si="8"/>
        <v>0.63250948678582275</v>
      </c>
      <c r="R37" s="10">
        <f t="shared" si="9"/>
        <v>1.3177280974704641E-2</v>
      </c>
      <c r="S37" s="10">
        <f t="shared" si="10"/>
        <v>6.1577549589278129E-2</v>
      </c>
      <c r="T37" s="10">
        <f t="shared" si="11"/>
        <v>7.4754830563982771E-2</v>
      </c>
    </row>
    <row r="38" spans="1:20" x14ac:dyDescent="0.25">
      <c r="A38" s="5" t="s">
        <v>8</v>
      </c>
      <c r="B38" s="5" t="s">
        <v>270</v>
      </c>
      <c r="C38" s="5" t="s">
        <v>27</v>
      </c>
      <c r="D38" s="5" t="s">
        <v>385</v>
      </c>
      <c r="E38" s="5" t="s">
        <v>384</v>
      </c>
      <c r="F38" s="5" t="s">
        <v>30</v>
      </c>
      <c r="G38" s="5" t="s">
        <v>392</v>
      </c>
      <c r="H38" s="5" t="s">
        <v>34</v>
      </c>
      <c r="I38" s="5" t="s">
        <v>271</v>
      </c>
      <c r="J38" s="5">
        <v>3510</v>
      </c>
      <c r="K38" s="5">
        <v>36.6</v>
      </c>
      <c r="L38" s="7">
        <f t="shared" si="6"/>
        <v>95.901639344262293</v>
      </c>
      <c r="M38" s="7">
        <v>12.75</v>
      </c>
      <c r="N38" s="5" t="s">
        <v>10</v>
      </c>
      <c r="O38" s="5">
        <v>4</v>
      </c>
      <c r="P38" s="6">
        <f t="shared" si="7"/>
        <v>20.176191715936575</v>
      </c>
      <c r="Q38" s="6">
        <f t="shared" si="8"/>
        <v>2.0983239384574035</v>
      </c>
      <c r="R38" s="10">
        <f t="shared" si="9"/>
        <v>4.3715082051195904E-2</v>
      </c>
      <c r="S38" s="10">
        <f t="shared" si="10"/>
        <v>0.15136536806834505</v>
      </c>
      <c r="T38" s="10">
        <f t="shared" si="11"/>
        <v>0.19508045011954095</v>
      </c>
    </row>
    <row r="39" spans="1:20" x14ac:dyDescent="0.25">
      <c r="A39" s="5" t="s">
        <v>8</v>
      </c>
      <c r="B39" s="5" t="s">
        <v>270</v>
      </c>
      <c r="C39" s="5" t="s">
        <v>27</v>
      </c>
      <c r="D39" s="5" t="s">
        <v>385</v>
      </c>
      <c r="E39" s="5" t="s">
        <v>384</v>
      </c>
      <c r="F39" s="5" t="s">
        <v>30</v>
      </c>
      <c r="G39" s="5" t="s">
        <v>392</v>
      </c>
      <c r="H39" s="5" t="s">
        <v>34</v>
      </c>
      <c r="I39" s="5" t="s">
        <v>273</v>
      </c>
      <c r="J39" s="5">
        <v>1760</v>
      </c>
      <c r="K39" s="5">
        <v>32.5</v>
      </c>
      <c r="L39" s="7">
        <f t="shared" si="6"/>
        <v>54.153846153846153</v>
      </c>
      <c r="M39" s="7">
        <v>15.149999999999999</v>
      </c>
      <c r="N39" s="5" t="s">
        <v>10</v>
      </c>
      <c r="O39" s="5">
        <v>4</v>
      </c>
      <c r="P39" s="6">
        <f t="shared" si="7"/>
        <v>3.2259029585798817</v>
      </c>
      <c r="Q39" s="6">
        <f t="shared" si="8"/>
        <v>0.33549390769230769</v>
      </c>
      <c r="R39" s="10">
        <f t="shared" si="9"/>
        <v>6.9894564102564102E-3</v>
      </c>
      <c r="S39" s="10">
        <f t="shared" si="10"/>
        <v>3.827239131633859E-2</v>
      </c>
      <c r="T39" s="10">
        <f t="shared" si="11"/>
        <v>4.5261847726595E-2</v>
      </c>
    </row>
    <row r="40" spans="1:20" x14ac:dyDescent="0.25">
      <c r="A40" s="5" t="s">
        <v>8</v>
      </c>
      <c r="B40" s="5" t="s">
        <v>270</v>
      </c>
      <c r="C40" s="5" t="s">
        <v>27</v>
      </c>
      <c r="D40" s="5" t="s">
        <v>385</v>
      </c>
      <c r="E40" s="5" t="s">
        <v>384</v>
      </c>
      <c r="F40" s="5" t="s">
        <v>30</v>
      </c>
      <c r="G40" s="5" t="s">
        <v>392</v>
      </c>
      <c r="H40" s="5" t="s">
        <v>34</v>
      </c>
      <c r="I40" s="5" t="s">
        <v>276</v>
      </c>
      <c r="J40" s="5">
        <v>1850</v>
      </c>
      <c r="K40" s="5">
        <v>28.4</v>
      </c>
      <c r="L40" s="7">
        <f t="shared" si="6"/>
        <v>65.140845070422543</v>
      </c>
      <c r="M40" s="7">
        <v>11.95</v>
      </c>
      <c r="N40" s="5" t="s">
        <v>10</v>
      </c>
      <c r="O40" s="5">
        <v>4</v>
      </c>
      <c r="P40" s="6">
        <f t="shared" si="7"/>
        <v>4.9063499615651676</v>
      </c>
      <c r="Q40" s="6">
        <f t="shared" si="8"/>
        <v>0.51026039600277739</v>
      </c>
      <c r="R40" s="10">
        <f t="shared" si="9"/>
        <v>1.0630424916724529E-2</v>
      </c>
      <c r="S40" s="10">
        <f t="shared" si="10"/>
        <v>5.2416258332901387E-2</v>
      </c>
      <c r="T40" s="10">
        <f t="shared" si="11"/>
        <v>6.3046683249625923E-2</v>
      </c>
    </row>
    <row r="41" spans="1:20" x14ac:dyDescent="0.25">
      <c r="A41" s="5" t="s">
        <v>8</v>
      </c>
      <c r="B41" s="5" t="s">
        <v>270</v>
      </c>
      <c r="C41" s="5" t="s">
        <v>27</v>
      </c>
      <c r="D41" s="5" t="s">
        <v>385</v>
      </c>
      <c r="E41" s="5" t="s">
        <v>384</v>
      </c>
      <c r="F41" s="5" t="s">
        <v>30</v>
      </c>
      <c r="G41" s="5" t="s">
        <v>392</v>
      </c>
      <c r="H41" s="5" t="s">
        <v>34</v>
      </c>
      <c r="I41" s="5" t="s">
        <v>275</v>
      </c>
      <c r="J41" s="5">
        <v>2410</v>
      </c>
      <c r="K41" s="5">
        <v>32.299999999999997</v>
      </c>
      <c r="L41" s="7">
        <f t="shared" si="6"/>
        <v>74.613003095975245</v>
      </c>
      <c r="M41" s="7">
        <v>12.15</v>
      </c>
      <c r="N41" s="5" t="s">
        <v>10</v>
      </c>
      <c r="O41" s="5">
        <v>4</v>
      </c>
      <c r="P41" s="6">
        <f t="shared" si="7"/>
        <v>8.3854447229437667</v>
      </c>
      <c r="Q41" s="6">
        <f t="shared" si="8"/>
        <v>0.8720862511861518</v>
      </c>
      <c r="R41" s="10">
        <f t="shared" si="9"/>
        <v>1.8168463566378159E-2</v>
      </c>
      <c r="S41" s="10">
        <f t="shared" si="10"/>
        <v>7.8350486889121454E-2</v>
      </c>
      <c r="T41" s="10">
        <f t="shared" si="11"/>
        <v>9.6518950455499616E-2</v>
      </c>
    </row>
    <row r="42" spans="1:20" x14ac:dyDescent="0.25">
      <c r="A42" s="5" t="s">
        <v>8</v>
      </c>
      <c r="B42" s="5" t="s">
        <v>270</v>
      </c>
      <c r="C42" s="5" t="s">
        <v>27</v>
      </c>
      <c r="D42" s="5" t="s">
        <v>385</v>
      </c>
      <c r="E42" s="5" t="s">
        <v>384</v>
      </c>
      <c r="F42" s="5" t="s">
        <v>30</v>
      </c>
      <c r="G42" s="5" t="s">
        <v>392</v>
      </c>
      <c r="H42" s="5" t="s">
        <v>34</v>
      </c>
      <c r="I42" s="5" t="s">
        <v>272</v>
      </c>
      <c r="J42" s="5">
        <v>3350</v>
      </c>
      <c r="K42" s="5">
        <v>38.799999999999997</v>
      </c>
      <c r="L42" s="7">
        <f t="shared" si="6"/>
        <v>86.340206185567013</v>
      </c>
      <c r="M42" s="7">
        <v>12.7</v>
      </c>
      <c r="N42" s="5" t="s">
        <v>10</v>
      </c>
      <c r="O42" s="5">
        <v>4</v>
      </c>
      <c r="P42" s="6">
        <f t="shared" si="7"/>
        <v>15.608134083723032</v>
      </c>
      <c r="Q42" s="6">
        <f t="shared" si="8"/>
        <v>1.6232459447071952</v>
      </c>
      <c r="R42" s="10">
        <f t="shared" si="9"/>
        <v>3.3817623848066566E-2</v>
      </c>
      <c r="S42" s="10">
        <f t="shared" si="10"/>
        <v>0.12485627237086265</v>
      </c>
      <c r="T42" s="10">
        <f t="shared" si="11"/>
        <v>0.15867389621892922</v>
      </c>
    </row>
    <row r="43" spans="1:20" x14ac:dyDescent="0.25">
      <c r="A43" s="5" t="s">
        <v>8</v>
      </c>
      <c r="B43" s="5" t="s">
        <v>270</v>
      </c>
      <c r="C43" s="5" t="s">
        <v>27</v>
      </c>
      <c r="D43" s="5" t="s">
        <v>385</v>
      </c>
      <c r="E43" s="5" t="s">
        <v>384</v>
      </c>
      <c r="F43" s="5" t="s">
        <v>30</v>
      </c>
      <c r="G43" s="5" t="s">
        <v>392</v>
      </c>
      <c r="H43" s="5" t="s">
        <v>34</v>
      </c>
      <c r="I43" s="5" t="s">
        <v>272</v>
      </c>
      <c r="J43" s="5">
        <v>3350</v>
      </c>
      <c r="K43" s="5">
        <v>37</v>
      </c>
      <c r="L43" s="7">
        <f t="shared" si="6"/>
        <v>90.540540540540547</v>
      </c>
      <c r="M43" s="7">
        <v>12.600000000000001</v>
      </c>
      <c r="N43" s="5" t="s">
        <v>10</v>
      </c>
      <c r="O43" s="5">
        <v>4</v>
      </c>
      <c r="P43" s="6">
        <f t="shared" si="7"/>
        <v>17.163702976625277</v>
      </c>
      <c r="Q43" s="6">
        <f t="shared" si="8"/>
        <v>1.7850251095690288</v>
      </c>
      <c r="R43" s="10">
        <f t="shared" si="9"/>
        <v>3.7188023116021436E-2</v>
      </c>
      <c r="S43" s="10">
        <f t="shared" si="10"/>
        <v>0.13407733437686528</v>
      </c>
      <c r="T43" s="10">
        <f t="shared" si="11"/>
        <v>0.17126535749288671</v>
      </c>
    </row>
    <row r="44" spans="1:20" x14ac:dyDescent="0.25">
      <c r="A44" s="5" t="s">
        <v>8</v>
      </c>
      <c r="B44" s="5" t="s">
        <v>366</v>
      </c>
      <c r="C44" s="5" t="s">
        <v>27</v>
      </c>
      <c r="D44" s="5" t="s">
        <v>385</v>
      </c>
      <c r="E44" s="5" t="s">
        <v>384</v>
      </c>
      <c r="F44" s="5" t="s">
        <v>30</v>
      </c>
      <c r="G44" s="5" t="s">
        <v>392</v>
      </c>
      <c r="H44" s="5" t="s">
        <v>232</v>
      </c>
      <c r="I44" s="5" t="s">
        <v>367</v>
      </c>
      <c r="J44" s="5">
        <v>1950</v>
      </c>
      <c r="K44" s="5">
        <v>26.5</v>
      </c>
      <c r="L44" s="7">
        <f t="shared" si="6"/>
        <v>73.584905660377359</v>
      </c>
      <c r="M44" s="7">
        <v>10.25</v>
      </c>
      <c r="N44" s="5" t="s">
        <v>10</v>
      </c>
      <c r="O44" s="5">
        <v>4</v>
      </c>
      <c r="P44" s="6">
        <f t="shared" si="7"/>
        <v>6.5992123531505875</v>
      </c>
      <c r="Q44" s="6">
        <f t="shared" si="8"/>
        <v>0.68631808472766109</v>
      </c>
      <c r="R44" s="10">
        <f t="shared" si="9"/>
        <v>1.4298293431826273E-2</v>
      </c>
      <c r="S44" s="10">
        <f t="shared" si="10"/>
        <v>6.5466059667993612E-2</v>
      </c>
      <c r="T44" s="10">
        <f t="shared" si="11"/>
        <v>7.9764353099819885E-2</v>
      </c>
    </row>
    <row r="45" spans="1:20" x14ac:dyDescent="0.25">
      <c r="A45" s="5" t="s">
        <v>8</v>
      </c>
      <c r="B45" s="5" t="s">
        <v>366</v>
      </c>
      <c r="C45" s="5" t="s">
        <v>27</v>
      </c>
      <c r="D45" s="5" t="s">
        <v>385</v>
      </c>
      <c r="E45" s="5" t="s">
        <v>384</v>
      </c>
      <c r="F45" s="5" t="s">
        <v>30</v>
      </c>
      <c r="G45" s="5" t="s">
        <v>392</v>
      </c>
      <c r="H45" s="5" t="s">
        <v>232</v>
      </c>
      <c r="I45" s="5" t="s">
        <v>368</v>
      </c>
      <c r="J45" s="5">
        <v>2350</v>
      </c>
      <c r="K45" s="5">
        <v>28.5</v>
      </c>
      <c r="L45" s="7">
        <f t="shared" si="6"/>
        <v>82.456140350877192</v>
      </c>
      <c r="M45" s="7">
        <v>12.15</v>
      </c>
      <c r="N45" s="5" t="s">
        <v>10</v>
      </c>
      <c r="O45" s="5">
        <v>4</v>
      </c>
      <c r="P45" s="6">
        <f t="shared" si="7"/>
        <v>9.9860534010464761</v>
      </c>
      <c r="Q45" s="6">
        <f t="shared" si="8"/>
        <v>1.0385495537088334</v>
      </c>
      <c r="R45" s="10">
        <f t="shared" si="9"/>
        <v>2.1636449035600695E-2</v>
      </c>
      <c r="S45" s="10">
        <f t="shared" si="10"/>
        <v>8.9318729610296993E-2</v>
      </c>
      <c r="T45" s="10">
        <f t="shared" si="11"/>
        <v>0.11095517864589768</v>
      </c>
    </row>
    <row r="46" spans="1:20" x14ac:dyDescent="0.25">
      <c r="A46" s="5" t="s">
        <v>8</v>
      </c>
      <c r="B46" s="5" t="s">
        <v>366</v>
      </c>
      <c r="C46" s="5" t="s">
        <v>27</v>
      </c>
      <c r="D46" s="5" t="s">
        <v>385</v>
      </c>
      <c r="E46" s="5" t="s">
        <v>384</v>
      </c>
      <c r="F46" s="5" t="s">
        <v>30</v>
      </c>
      <c r="G46" s="5" t="s">
        <v>392</v>
      </c>
      <c r="H46" s="5" t="s">
        <v>232</v>
      </c>
      <c r="I46" s="5" t="s">
        <v>35</v>
      </c>
      <c r="J46" s="5">
        <v>2900</v>
      </c>
      <c r="K46" s="5">
        <v>33</v>
      </c>
      <c r="L46" s="7">
        <f t="shared" si="6"/>
        <v>87.878787878787875</v>
      </c>
      <c r="M46" s="7">
        <v>12.1</v>
      </c>
      <c r="N46" s="5" t="s">
        <v>10</v>
      </c>
      <c r="O46" s="5">
        <v>4</v>
      </c>
      <c r="P46" s="6">
        <f t="shared" si="7"/>
        <v>13.997359963269052</v>
      </c>
      <c r="Q46" s="6">
        <f t="shared" si="8"/>
        <v>1.4557254361799814</v>
      </c>
      <c r="R46" s="10">
        <f t="shared" si="9"/>
        <v>3.0327613253749608E-2</v>
      </c>
      <c r="S46" s="10">
        <f t="shared" si="10"/>
        <v>0.11506194811191645</v>
      </c>
      <c r="T46" s="10">
        <f t="shared" si="11"/>
        <v>0.14538956136566605</v>
      </c>
    </row>
    <row r="47" spans="1:20" x14ac:dyDescent="0.25">
      <c r="A47" s="5" t="s">
        <v>8</v>
      </c>
      <c r="B47" s="5" t="s">
        <v>313</v>
      </c>
      <c r="C47" s="5" t="s">
        <v>27</v>
      </c>
      <c r="D47" s="5" t="s">
        <v>385</v>
      </c>
      <c r="E47" s="5" t="s">
        <v>384</v>
      </c>
      <c r="F47" s="5" t="s">
        <v>30</v>
      </c>
      <c r="G47" s="5" t="s">
        <v>392</v>
      </c>
      <c r="H47" s="5" t="s">
        <v>40</v>
      </c>
      <c r="I47" s="5" t="s">
        <v>41</v>
      </c>
      <c r="J47" s="5">
        <v>2650</v>
      </c>
      <c r="K47" s="5">
        <v>27.1</v>
      </c>
      <c r="L47" s="7">
        <f t="shared" si="6"/>
        <v>97.785977859778598</v>
      </c>
      <c r="M47" s="7">
        <v>13.8</v>
      </c>
      <c r="N47" s="5" t="s">
        <v>10</v>
      </c>
      <c r="O47" s="5">
        <v>4</v>
      </c>
      <c r="P47" s="6">
        <f t="shared" si="7"/>
        <v>15.83722392805109</v>
      </c>
      <c r="Q47" s="6">
        <f t="shared" si="8"/>
        <v>1.6470712885173131</v>
      </c>
      <c r="R47" s="10">
        <f t="shared" si="9"/>
        <v>3.431398517744403E-2</v>
      </c>
      <c r="S47" s="10">
        <f t="shared" si="10"/>
        <v>0.1262282081691613</v>
      </c>
      <c r="T47" s="10">
        <f t="shared" si="11"/>
        <v>0.16054219334660533</v>
      </c>
    </row>
    <row r="48" spans="1:20" x14ac:dyDescent="0.25">
      <c r="A48" s="5" t="s">
        <v>8</v>
      </c>
      <c r="B48" s="5" t="s">
        <v>188</v>
      </c>
      <c r="C48" s="5" t="s">
        <v>27</v>
      </c>
      <c r="D48" s="5" t="s">
        <v>385</v>
      </c>
      <c r="E48" s="5" t="s">
        <v>384</v>
      </c>
      <c r="F48" s="5" t="s">
        <v>30</v>
      </c>
      <c r="G48" s="5" t="s">
        <v>392</v>
      </c>
      <c r="H48" s="5" t="s">
        <v>40</v>
      </c>
      <c r="I48" s="5" t="s">
        <v>190</v>
      </c>
      <c r="J48" s="5">
        <v>2800</v>
      </c>
      <c r="K48" s="5">
        <v>27</v>
      </c>
      <c r="L48" s="7">
        <f t="shared" si="6"/>
        <v>103.70370370370371</v>
      </c>
      <c r="M48" s="7">
        <v>19.05</v>
      </c>
      <c r="N48" s="5" t="s">
        <v>10</v>
      </c>
      <c r="O48" s="5">
        <v>4</v>
      </c>
      <c r="P48" s="6">
        <f t="shared" si="7"/>
        <v>18.820301783264746</v>
      </c>
      <c r="Q48" s="6">
        <f t="shared" si="8"/>
        <v>1.9573113854595339</v>
      </c>
      <c r="R48" s="10">
        <f t="shared" si="9"/>
        <v>4.0777320530406946E-2</v>
      </c>
      <c r="S48" s="10">
        <f t="shared" si="10"/>
        <v>0.14367032083802037</v>
      </c>
      <c r="T48" s="10">
        <f t="shared" si="11"/>
        <v>0.18444764136842731</v>
      </c>
    </row>
    <row r="49" spans="1:20" x14ac:dyDescent="0.25">
      <c r="A49" s="5" t="s">
        <v>8</v>
      </c>
      <c r="B49" s="5" t="s">
        <v>188</v>
      </c>
      <c r="C49" s="5" t="s">
        <v>27</v>
      </c>
      <c r="D49" s="5" t="s">
        <v>385</v>
      </c>
      <c r="E49" s="5" t="s">
        <v>384</v>
      </c>
      <c r="F49" s="5" t="s">
        <v>30</v>
      </c>
      <c r="G49" s="5" t="s">
        <v>392</v>
      </c>
      <c r="H49" s="5" t="s">
        <v>40</v>
      </c>
      <c r="I49" s="5" t="s">
        <v>189</v>
      </c>
      <c r="J49" s="5">
        <v>2200</v>
      </c>
      <c r="K49" s="5">
        <v>28.7</v>
      </c>
      <c r="L49" s="7">
        <f t="shared" si="6"/>
        <v>76.655052264808361</v>
      </c>
      <c r="M49" s="7">
        <v>17.450000000000003</v>
      </c>
      <c r="N49" s="5" t="s">
        <v>10</v>
      </c>
      <c r="O49" s="5">
        <v>4</v>
      </c>
      <c r="P49" s="6">
        <f t="shared" si="7"/>
        <v>8.0794959268656896</v>
      </c>
      <c r="Q49" s="6">
        <f t="shared" si="8"/>
        <v>0.8402675763940316</v>
      </c>
      <c r="R49" s="10">
        <f t="shared" si="9"/>
        <v>1.7505574508208995E-2</v>
      </c>
      <c r="S49" s="10">
        <f t="shared" si="10"/>
        <v>7.6196552828618133E-2</v>
      </c>
      <c r="T49" s="10">
        <f t="shared" si="11"/>
        <v>9.3702127336827132E-2</v>
      </c>
    </row>
    <row r="50" spans="1:20" x14ac:dyDescent="0.25">
      <c r="A50" s="5" t="s">
        <v>8</v>
      </c>
      <c r="B50" s="5" t="s">
        <v>188</v>
      </c>
      <c r="C50" s="5" t="s">
        <v>27</v>
      </c>
      <c r="D50" s="5" t="s">
        <v>385</v>
      </c>
      <c r="E50" s="5" t="s">
        <v>384</v>
      </c>
      <c r="F50" s="5" t="s">
        <v>30</v>
      </c>
      <c r="G50" s="5" t="s">
        <v>392</v>
      </c>
      <c r="H50" s="5" t="s">
        <v>40</v>
      </c>
      <c r="I50" s="5" t="s">
        <v>189</v>
      </c>
      <c r="J50" s="5">
        <v>2100</v>
      </c>
      <c r="K50" s="5">
        <v>22.2</v>
      </c>
      <c r="L50" s="7">
        <f t="shared" si="6"/>
        <v>94.594594594594597</v>
      </c>
      <c r="M50" s="7">
        <v>20.75</v>
      </c>
      <c r="N50" s="5" t="s">
        <v>10</v>
      </c>
      <c r="O50" s="5">
        <v>4</v>
      </c>
      <c r="P50" s="6">
        <f t="shared" si="7"/>
        <v>11.744430241051864</v>
      </c>
      <c r="Q50" s="6">
        <f t="shared" si="8"/>
        <v>1.2214207450693937</v>
      </c>
      <c r="R50" s="10">
        <f t="shared" si="9"/>
        <v>2.5446265522279039E-2</v>
      </c>
      <c r="S50" s="10">
        <f t="shared" si="10"/>
        <v>0.1008721061659506</v>
      </c>
      <c r="T50" s="10">
        <f t="shared" si="11"/>
        <v>0.12631837168822965</v>
      </c>
    </row>
    <row r="51" spans="1:20" x14ac:dyDescent="0.25">
      <c r="A51" s="5" t="s">
        <v>8</v>
      </c>
      <c r="B51" s="5" t="s">
        <v>313</v>
      </c>
      <c r="C51" s="5" t="s">
        <v>27</v>
      </c>
      <c r="D51" s="5" t="s">
        <v>385</v>
      </c>
      <c r="E51" s="5" t="s">
        <v>384</v>
      </c>
      <c r="F51" s="5" t="s">
        <v>30</v>
      </c>
      <c r="G51" s="5" t="s">
        <v>392</v>
      </c>
      <c r="H51" s="5" t="s">
        <v>40</v>
      </c>
      <c r="I51" s="5" t="s">
        <v>314</v>
      </c>
      <c r="J51" s="5">
        <v>1910</v>
      </c>
      <c r="K51" s="5">
        <v>24</v>
      </c>
      <c r="L51" s="7">
        <f t="shared" si="6"/>
        <v>79.583333333333329</v>
      </c>
      <c r="M51" s="7">
        <v>10.5</v>
      </c>
      <c r="N51" s="5" t="s">
        <v>10</v>
      </c>
      <c r="O51" s="5">
        <v>4</v>
      </c>
      <c r="P51" s="6">
        <f t="shared" si="7"/>
        <v>7.5606239149305541</v>
      </c>
      <c r="Q51" s="6">
        <f t="shared" si="8"/>
        <v>0.78630488715277769</v>
      </c>
      <c r="R51" s="10">
        <f t="shared" si="9"/>
        <v>1.6381351815682867E-2</v>
      </c>
      <c r="S51" s="10">
        <f t="shared" si="10"/>
        <v>7.2496218047525651E-2</v>
      </c>
      <c r="T51" s="10">
        <f t="shared" si="11"/>
        <v>8.8877569863208522E-2</v>
      </c>
    </row>
    <row r="52" spans="1:20" x14ac:dyDescent="0.25">
      <c r="A52" s="5" t="s">
        <v>8</v>
      </c>
      <c r="B52" s="5" t="s">
        <v>361</v>
      </c>
      <c r="C52" s="5" t="s">
        <v>27</v>
      </c>
      <c r="D52" s="5" t="s">
        <v>385</v>
      </c>
      <c r="E52" s="5" t="s">
        <v>384</v>
      </c>
      <c r="F52" s="5" t="s">
        <v>30</v>
      </c>
      <c r="G52" s="5" t="s">
        <v>392</v>
      </c>
      <c r="H52" s="5" t="s">
        <v>40</v>
      </c>
      <c r="I52" s="5" t="s">
        <v>362</v>
      </c>
      <c r="J52" s="5">
        <v>1970</v>
      </c>
      <c r="K52" s="5">
        <v>26.9</v>
      </c>
      <c r="L52" s="7">
        <f t="shared" si="6"/>
        <v>73.234200743494426</v>
      </c>
      <c r="M52" s="7">
        <v>16.5</v>
      </c>
      <c r="N52" s="5" t="s">
        <v>10</v>
      </c>
      <c r="O52" s="5">
        <v>4</v>
      </c>
      <c r="P52" s="6">
        <f t="shared" si="7"/>
        <v>6.6034992952004536</v>
      </c>
      <c r="Q52" s="6">
        <f t="shared" si="8"/>
        <v>0.68676392670084707</v>
      </c>
      <c r="R52" s="10">
        <f t="shared" si="9"/>
        <v>1.430758180626765E-2</v>
      </c>
      <c r="S52" s="10">
        <f t="shared" si="10"/>
        <v>6.5497952840159274E-2</v>
      </c>
      <c r="T52" s="10">
        <f t="shared" si="11"/>
        <v>7.9805534646426923E-2</v>
      </c>
    </row>
    <row r="53" spans="1:20" x14ac:dyDescent="0.25">
      <c r="A53" s="5" t="s">
        <v>8</v>
      </c>
      <c r="B53" s="5" t="s">
        <v>241</v>
      </c>
      <c r="C53" s="5" t="s">
        <v>27</v>
      </c>
      <c r="D53" s="5" t="s">
        <v>385</v>
      </c>
      <c r="E53" s="5" t="s">
        <v>384</v>
      </c>
      <c r="F53" s="5" t="s">
        <v>30</v>
      </c>
      <c r="G53" s="5" t="s">
        <v>392</v>
      </c>
      <c r="H53" s="5" t="s">
        <v>40</v>
      </c>
      <c r="I53" s="5" t="s">
        <v>242</v>
      </c>
      <c r="J53" s="5">
        <v>1765</v>
      </c>
      <c r="K53" s="5">
        <v>23.2</v>
      </c>
      <c r="L53" s="7">
        <f t="shared" si="6"/>
        <v>76.077586206896555</v>
      </c>
      <c r="M53" s="7">
        <v>17.350000000000001</v>
      </c>
      <c r="N53" s="5" t="s">
        <v>10</v>
      </c>
      <c r="O53" s="5">
        <v>4</v>
      </c>
      <c r="P53" s="6">
        <f t="shared" si="7"/>
        <v>6.3846659076341412</v>
      </c>
      <c r="Q53" s="6">
        <f t="shared" si="8"/>
        <v>0.66400525439395075</v>
      </c>
      <c r="R53" s="10">
        <f t="shared" si="9"/>
        <v>1.3833442799873972E-2</v>
      </c>
      <c r="S53" s="10">
        <f t="shared" si="10"/>
        <v>6.3863211893944297E-2</v>
      </c>
      <c r="T53" s="10">
        <f t="shared" si="11"/>
        <v>7.7696654693818271E-2</v>
      </c>
    </row>
    <row r="54" spans="1:20" x14ac:dyDescent="0.25">
      <c r="A54" s="5" t="s">
        <v>8</v>
      </c>
      <c r="B54" s="5" t="s">
        <v>339</v>
      </c>
      <c r="C54" s="5" t="s">
        <v>27</v>
      </c>
      <c r="D54" s="5" t="s">
        <v>385</v>
      </c>
      <c r="E54" s="5" t="s">
        <v>384</v>
      </c>
      <c r="F54" s="5" t="s">
        <v>30</v>
      </c>
      <c r="G54" s="5" t="s">
        <v>392</v>
      </c>
      <c r="H54" s="5" t="s">
        <v>40</v>
      </c>
      <c r="I54" s="5" t="s">
        <v>42</v>
      </c>
      <c r="J54" s="5">
        <v>1750</v>
      </c>
      <c r="K54" s="5">
        <v>18.899999999999999</v>
      </c>
      <c r="L54" s="7">
        <f t="shared" si="6"/>
        <v>92.592592592592595</v>
      </c>
      <c r="M54" s="7">
        <v>19.850000000000001</v>
      </c>
      <c r="N54" s="5" t="s">
        <v>10</v>
      </c>
      <c r="O54" s="5">
        <v>4</v>
      </c>
      <c r="P54" s="6">
        <f t="shared" si="7"/>
        <v>9.3771433470507564</v>
      </c>
      <c r="Q54" s="6">
        <f t="shared" si="8"/>
        <v>0.9752229080932785</v>
      </c>
      <c r="R54" s="10">
        <f t="shared" si="9"/>
        <v>2.0317143918609972E-2</v>
      </c>
      <c r="S54" s="10">
        <f t="shared" si="10"/>
        <v>8.5202049293344517E-2</v>
      </c>
      <c r="T54" s="10">
        <f t="shared" si="11"/>
        <v>0.10551919321195449</v>
      </c>
    </row>
    <row r="55" spans="1:20" x14ac:dyDescent="0.25">
      <c r="A55" s="5" t="s">
        <v>8</v>
      </c>
      <c r="B55" s="5" t="s">
        <v>188</v>
      </c>
      <c r="C55" s="5" t="s">
        <v>27</v>
      </c>
      <c r="D55" s="5" t="s">
        <v>385</v>
      </c>
      <c r="E55" s="5" t="s">
        <v>384</v>
      </c>
      <c r="F55" s="5" t="s">
        <v>30</v>
      </c>
      <c r="G55" s="5" t="s">
        <v>392</v>
      </c>
      <c r="H55" s="5" t="s">
        <v>40</v>
      </c>
      <c r="I55" s="5" t="s">
        <v>42</v>
      </c>
      <c r="J55" s="5">
        <v>2100</v>
      </c>
      <c r="K55" s="5">
        <v>21.8</v>
      </c>
      <c r="L55" s="7">
        <f t="shared" si="6"/>
        <v>96.330275229357795</v>
      </c>
      <c r="M55" s="7">
        <v>19.649999999999999</v>
      </c>
      <c r="N55" s="5" t="s">
        <v>10</v>
      </c>
      <c r="O55" s="5">
        <v>4</v>
      </c>
      <c r="P55" s="6">
        <f t="shared" si="7"/>
        <v>12.179372527565018</v>
      </c>
      <c r="Q55" s="6">
        <f t="shared" si="8"/>
        <v>1.2666547428667618</v>
      </c>
      <c r="R55" s="10">
        <f t="shared" si="9"/>
        <v>2.6388640476390873E-2</v>
      </c>
      <c r="S55" s="10">
        <f t="shared" si="10"/>
        <v>0.10366109929063344</v>
      </c>
      <c r="T55" s="10">
        <f t="shared" si="11"/>
        <v>0.1300497397670243</v>
      </c>
    </row>
    <row r="56" spans="1:20" x14ac:dyDescent="0.25">
      <c r="A56" s="5" t="s">
        <v>8</v>
      </c>
      <c r="B56" s="5" t="s">
        <v>188</v>
      </c>
      <c r="C56" s="5" t="s">
        <v>27</v>
      </c>
      <c r="D56" s="5" t="s">
        <v>385</v>
      </c>
      <c r="E56" s="5" t="s">
        <v>384</v>
      </c>
      <c r="F56" s="5" t="s">
        <v>30</v>
      </c>
      <c r="G56" s="5" t="s">
        <v>392</v>
      </c>
      <c r="H56" s="5" t="s">
        <v>40</v>
      </c>
      <c r="I56" s="5" t="s">
        <v>42</v>
      </c>
      <c r="J56" s="5">
        <v>2700</v>
      </c>
      <c r="K56" s="5">
        <v>24.6</v>
      </c>
      <c r="L56" s="7">
        <f t="shared" si="6"/>
        <v>109.7560975609756</v>
      </c>
      <c r="M56" s="7">
        <v>19.8</v>
      </c>
      <c r="N56" s="5" t="s">
        <v>10</v>
      </c>
      <c r="O56" s="5">
        <v>4</v>
      </c>
      <c r="P56" s="6">
        <f t="shared" si="7"/>
        <v>20.328301606186795</v>
      </c>
      <c r="Q56" s="6">
        <f t="shared" si="8"/>
        <v>2.1141433670434266</v>
      </c>
      <c r="R56" s="10">
        <f t="shared" si="9"/>
        <v>4.4044653480071388E-2</v>
      </c>
      <c r="S56" s="10">
        <f t="shared" si="10"/>
        <v>0.15222043056323636</v>
      </c>
      <c r="T56" s="10">
        <f t="shared" si="11"/>
        <v>0.19626508404330775</v>
      </c>
    </row>
    <row r="57" spans="1:20" x14ac:dyDescent="0.25">
      <c r="A57" s="5" t="s">
        <v>8</v>
      </c>
      <c r="B57" s="5" t="s">
        <v>289</v>
      </c>
      <c r="C57" s="5" t="s">
        <v>27</v>
      </c>
      <c r="D57" s="5" t="s">
        <v>385</v>
      </c>
      <c r="E57" s="5" t="s">
        <v>384</v>
      </c>
      <c r="F57" s="5" t="s">
        <v>30</v>
      </c>
      <c r="G57" s="5" t="s">
        <v>392</v>
      </c>
      <c r="H57" s="5" t="s">
        <v>40</v>
      </c>
      <c r="I57" s="5" t="s">
        <v>256</v>
      </c>
      <c r="J57" s="5">
        <v>2718</v>
      </c>
      <c r="K57" s="5">
        <v>23.1</v>
      </c>
      <c r="L57" s="7">
        <f t="shared" si="6"/>
        <v>117.66233766233765</v>
      </c>
      <c r="M57" s="7">
        <v>15.45</v>
      </c>
      <c r="N57" s="5" t="s">
        <v>10</v>
      </c>
      <c r="O57" s="5">
        <v>4</v>
      </c>
      <c r="P57" s="6">
        <f t="shared" si="7"/>
        <v>23.518218164951929</v>
      </c>
      <c r="Q57" s="6">
        <f t="shared" si="8"/>
        <v>2.4458946891549997</v>
      </c>
      <c r="R57" s="10">
        <f t="shared" si="9"/>
        <v>5.0956139357395847E-2</v>
      </c>
      <c r="S57" s="10">
        <f t="shared" si="10"/>
        <v>0.16980498484927839</v>
      </c>
      <c r="T57" s="10">
        <f t="shared" si="11"/>
        <v>0.22076112420667424</v>
      </c>
    </row>
    <row r="58" spans="1:20" x14ac:dyDescent="0.25">
      <c r="A58" s="5" t="s">
        <v>8</v>
      </c>
      <c r="B58" s="5" t="s">
        <v>364</v>
      </c>
      <c r="C58" s="5" t="s">
        <v>27</v>
      </c>
      <c r="D58" s="5" t="s">
        <v>385</v>
      </c>
      <c r="E58" s="5" t="s">
        <v>384</v>
      </c>
      <c r="F58" s="5" t="s">
        <v>30</v>
      </c>
      <c r="G58" s="5" t="s">
        <v>392</v>
      </c>
      <c r="H58" s="5" t="s">
        <v>40</v>
      </c>
      <c r="I58" s="5" t="s">
        <v>365</v>
      </c>
      <c r="J58" s="5">
        <v>1764</v>
      </c>
      <c r="K58" s="5">
        <v>23.3</v>
      </c>
      <c r="L58" s="7">
        <f t="shared" si="6"/>
        <v>75.708154506437765</v>
      </c>
      <c r="M58" s="7">
        <v>13</v>
      </c>
      <c r="N58" s="5" t="s">
        <v>10</v>
      </c>
      <c r="O58" s="5">
        <v>4</v>
      </c>
      <c r="P58" s="6">
        <f t="shared" si="7"/>
        <v>6.3192264362946453</v>
      </c>
      <c r="Q58" s="6">
        <f t="shared" si="8"/>
        <v>0.65719954937464309</v>
      </c>
      <c r="R58" s="10">
        <f t="shared" si="9"/>
        <v>1.3691657278638398E-2</v>
      </c>
      <c r="S58" s="10">
        <f t="shared" si="10"/>
        <v>6.3371656950773778E-2</v>
      </c>
      <c r="T58" s="10">
        <f t="shared" si="11"/>
        <v>7.7063314229412178E-2</v>
      </c>
    </row>
    <row r="59" spans="1:20" x14ac:dyDescent="0.25">
      <c r="A59" s="5" t="s">
        <v>8</v>
      </c>
      <c r="B59" s="5" t="s">
        <v>161</v>
      </c>
      <c r="C59" s="5" t="s">
        <v>27</v>
      </c>
      <c r="D59" s="5" t="s">
        <v>385</v>
      </c>
      <c r="E59" s="5" t="s">
        <v>384</v>
      </c>
      <c r="F59" s="5" t="s">
        <v>45</v>
      </c>
      <c r="G59" s="5" t="s">
        <v>390</v>
      </c>
      <c r="H59" s="5" t="s">
        <v>70</v>
      </c>
      <c r="I59" s="5" t="s">
        <v>71</v>
      </c>
      <c r="J59" s="5">
        <v>940</v>
      </c>
      <c r="K59" s="5">
        <v>36</v>
      </c>
      <c r="L59" s="7">
        <f t="shared" si="6"/>
        <v>26.111111111111111</v>
      </c>
      <c r="M59" s="7">
        <v>13.5</v>
      </c>
      <c r="N59" s="5" t="s">
        <v>10</v>
      </c>
      <c r="O59" s="5">
        <v>4</v>
      </c>
      <c r="P59" s="6">
        <f t="shared" si="7"/>
        <v>0.40055169753086417</v>
      </c>
      <c r="Q59" s="6">
        <f t="shared" si="8"/>
        <v>4.1657376543209869E-2</v>
      </c>
      <c r="R59" s="10">
        <f t="shared" si="9"/>
        <v>8.678620113168723E-4</v>
      </c>
      <c r="S59" s="10">
        <f t="shared" si="10"/>
        <v>8.0055478331547292E-3</v>
      </c>
      <c r="T59" s="10">
        <f t="shared" si="11"/>
        <v>8.8734098444716008E-3</v>
      </c>
    </row>
    <row r="60" spans="1:20" x14ac:dyDescent="0.25">
      <c r="A60" s="5" t="s">
        <v>8</v>
      </c>
      <c r="B60" s="5" t="s">
        <v>313</v>
      </c>
      <c r="C60" s="5" t="s">
        <v>27</v>
      </c>
      <c r="D60" s="5" t="s">
        <v>385</v>
      </c>
      <c r="E60" s="5" t="s">
        <v>384</v>
      </c>
      <c r="F60" s="5" t="s">
        <v>45</v>
      </c>
      <c r="G60" s="5" t="s">
        <v>390</v>
      </c>
      <c r="H60" s="5" t="s">
        <v>46</v>
      </c>
      <c r="I60" s="5" t="s">
        <v>167</v>
      </c>
      <c r="J60" s="5">
        <v>980</v>
      </c>
      <c r="K60" s="5">
        <v>26</v>
      </c>
      <c r="L60" s="7">
        <f t="shared" si="6"/>
        <v>37.692307692307693</v>
      </c>
      <c r="M60" s="7">
        <v>10.199999999999999</v>
      </c>
      <c r="N60" s="5" t="s">
        <v>10</v>
      </c>
      <c r="O60" s="5">
        <v>4</v>
      </c>
      <c r="P60" s="6">
        <f t="shared" si="7"/>
        <v>0.87018491124260366</v>
      </c>
      <c r="Q60" s="6">
        <f t="shared" si="8"/>
        <v>9.0499230769230776E-2</v>
      </c>
      <c r="R60" s="10">
        <f t="shared" si="9"/>
        <v>1.8854006410256412E-3</v>
      </c>
      <c r="S60" s="10">
        <f t="shared" si="10"/>
        <v>1.4325367948525116E-2</v>
      </c>
      <c r="T60" s="10">
        <f t="shared" si="11"/>
        <v>1.6210768589550756E-2</v>
      </c>
    </row>
    <row r="61" spans="1:20" x14ac:dyDescent="0.25">
      <c r="A61" s="5" t="s">
        <v>8</v>
      </c>
      <c r="B61" s="5" t="s">
        <v>308</v>
      </c>
      <c r="C61" s="5" t="s">
        <v>27</v>
      </c>
      <c r="D61" s="5" t="s">
        <v>385</v>
      </c>
      <c r="E61" s="5" t="s">
        <v>384</v>
      </c>
      <c r="F61" s="5" t="s">
        <v>45</v>
      </c>
      <c r="G61" s="5" t="s">
        <v>390</v>
      </c>
      <c r="H61" s="5" t="s">
        <v>46</v>
      </c>
      <c r="I61" s="5" t="s">
        <v>310</v>
      </c>
      <c r="J61" s="5">
        <v>972</v>
      </c>
      <c r="K61" s="5">
        <v>19.7</v>
      </c>
      <c r="L61" s="7">
        <f t="shared" si="6"/>
        <v>49.340101522842644</v>
      </c>
      <c r="M61" s="7">
        <v>7.3</v>
      </c>
      <c r="N61" s="5" t="s">
        <v>10</v>
      </c>
      <c r="O61" s="5">
        <v>4</v>
      </c>
      <c r="P61" s="6">
        <f t="shared" si="7"/>
        <v>1.4789257131077846</v>
      </c>
      <c r="Q61" s="6">
        <f t="shared" si="8"/>
        <v>0.15380827416320958</v>
      </c>
      <c r="R61" s="10">
        <f t="shared" si="9"/>
        <v>3.204339045066867E-3</v>
      </c>
      <c r="S61" s="10">
        <f t="shared" si="10"/>
        <v>2.1323421621601071E-2</v>
      </c>
      <c r="T61" s="10">
        <f t="shared" si="11"/>
        <v>2.4527760666667939E-2</v>
      </c>
    </row>
    <row r="62" spans="1:20" x14ac:dyDescent="0.25">
      <c r="A62" s="5" t="s">
        <v>8</v>
      </c>
      <c r="B62" s="5" t="s">
        <v>300</v>
      </c>
      <c r="C62" s="5" t="s">
        <v>27</v>
      </c>
      <c r="D62" s="5" t="s">
        <v>385</v>
      </c>
      <c r="E62" s="5" t="s">
        <v>384</v>
      </c>
      <c r="F62" s="5" t="s">
        <v>45</v>
      </c>
      <c r="G62" s="5" t="s">
        <v>390</v>
      </c>
      <c r="H62" s="5" t="s">
        <v>46</v>
      </c>
      <c r="I62" s="5" t="s">
        <v>47</v>
      </c>
      <c r="J62" s="5">
        <v>1198</v>
      </c>
      <c r="K62" s="5">
        <v>28.2</v>
      </c>
      <c r="L62" s="7">
        <f t="shared" si="6"/>
        <v>42.4822695035461</v>
      </c>
      <c r="M62" s="7">
        <v>15.15</v>
      </c>
      <c r="N62" s="5" t="s">
        <v>10</v>
      </c>
      <c r="O62" s="5">
        <v>4</v>
      </c>
      <c r="P62" s="6">
        <f t="shared" si="7"/>
        <v>1.3513014876012275</v>
      </c>
      <c r="Q62" s="6">
        <f t="shared" si="8"/>
        <v>0.14053535471052764</v>
      </c>
      <c r="R62" s="10">
        <f t="shared" si="9"/>
        <v>2.927819889802659E-3</v>
      </c>
      <c r="S62" s="10">
        <f t="shared" si="10"/>
        <v>1.9927889917281474E-2</v>
      </c>
      <c r="T62" s="10">
        <f t="shared" si="11"/>
        <v>2.2855709807084134E-2</v>
      </c>
    </row>
    <row r="63" spans="1:20" x14ac:dyDescent="0.25">
      <c r="A63" s="5" t="s">
        <v>8</v>
      </c>
      <c r="B63" s="5" t="s">
        <v>291</v>
      </c>
      <c r="C63" s="5" t="s">
        <v>27</v>
      </c>
      <c r="D63" s="5" t="s">
        <v>385</v>
      </c>
      <c r="E63" s="5" t="s">
        <v>384</v>
      </c>
      <c r="F63" s="5" t="s">
        <v>45</v>
      </c>
      <c r="G63" s="5" t="s">
        <v>390</v>
      </c>
      <c r="H63" s="5" t="s">
        <v>46</v>
      </c>
      <c r="I63" s="5" t="s">
        <v>203</v>
      </c>
      <c r="J63" s="5">
        <v>1221</v>
      </c>
      <c r="K63" s="5">
        <v>34.799999999999997</v>
      </c>
      <c r="L63" s="7">
        <f t="shared" si="6"/>
        <v>35.08620689655173</v>
      </c>
      <c r="M63" s="7">
        <v>15.05</v>
      </c>
      <c r="N63" s="5" t="s">
        <v>10</v>
      </c>
      <c r="O63" s="5">
        <v>4</v>
      </c>
      <c r="P63" s="6">
        <f t="shared" si="7"/>
        <v>0.9394388609170633</v>
      </c>
      <c r="Q63" s="6">
        <f t="shared" si="8"/>
        <v>9.770164153537457E-2</v>
      </c>
      <c r="R63" s="10">
        <f t="shared" si="9"/>
        <v>2.035450865320304E-3</v>
      </c>
      <c r="S63" s="10">
        <f t="shared" si="10"/>
        <v>1.5172198474885332E-2</v>
      </c>
      <c r="T63" s="10">
        <f t="shared" si="11"/>
        <v>1.7207649340205636E-2</v>
      </c>
    </row>
    <row r="64" spans="1:20" x14ac:dyDescent="0.25">
      <c r="A64" s="5" t="s">
        <v>8</v>
      </c>
      <c r="B64" s="5" t="s">
        <v>291</v>
      </c>
      <c r="C64" s="5" t="s">
        <v>27</v>
      </c>
      <c r="D64" s="5" t="s">
        <v>385</v>
      </c>
      <c r="E64" s="5" t="s">
        <v>384</v>
      </c>
      <c r="F64" s="5" t="s">
        <v>45</v>
      </c>
      <c r="G64" s="5" t="s">
        <v>390</v>
      </c>
      <c r="H64" s="5" t="s">
        <v>46</v>
      </c>
      <c r="I64" s="5" t="s">
        <v>203</v>
      </c>
      <c r="J64" s="5">
        <v>1194</v>
      </c>
      <c r="K64" s="5">
        <v>25.9</v>
      </c>
      <c r="L64" s="7">
        <f t="shared" si="6"/>
        <v>46.100386100386103</v>
      </c>
      <c r="M64" s="7">
        <v>14.3</v>
      </c>
      <c r="N64" s="5" t="s">
        <v>10</v>
      </c>
      <c r="O64" s="5">
        <v>4</v>
      </c>
      <c r="P64" s="6">
        <f t="shared" si="7"/>
        <v>1.5859645279587367</v>
      </c>
      <c r="Q64" s="6">
        <f t="shared" si="8"/>
        <v>0.16494031090770858</v>
      </c>
      <c r="R64" s="10">
        <f t="shared" si="9"/>
        <v>3.4362564772439292E-3</v>
      </c>
      <c r="S64" s="10">
        <f t="shared" si="10"/>
        <v>2.2470732330724698E-2</v>
      </c>
      <c r="T64" s="10">
        <f t="shared" si="11"/>
        <v>2.5906988807968628E-2</v>
      </c>
    </row>
    <row r="65" spans="1:20" x14ac:dyDescent="0.25">
      <c r="A65" s="5" t="s">
        <v>8</v>
      </c>
      <c r="B65" s="5" t="s">
        <v>291</v>
      </c>
      <c r="C65" s="5" t="s">
        <v>27</v>
      </c>
      <c r="D65" s="5" t="s">
        <v>385</v>
      </c>
      <c r="E65" s="5" t="s">
        <v>384</v>
      </c>
      <c r="F65" s="5" t="s">
        <v>45</v>
      </c>
      <c r="G65" s="5" t="s">
        <v>390</v>
      </c>
      <c r="H65" s="5" t="s">
        <v>46</v>
      </c>
      <c r="I65" s="5" t="s">
        <v>203</v>
      </c>
      <c r="J65" s="5">
        <v>1038</v>
      </c>
      <c r="K65" s="5">
        <v>25.2</v>
      </c>
      <c r="L65" s="7">
        <f t="shared" si="6"/>
        <v>41.19047619047619</v>
      </c>
      <c r="M65" s="7">
        <v>14.399999999999999</v>
      </c>
      <c r="N65" s="5" t="s">
        <v>10</v>
      </c>
      <c r="O65" s="5">
        <v>4</v>
      </c>
      <c r="P65" s="6">
        <f t="shared" si="7"/>
        <v>1.1007051445578231</v>
      </c>
      <c r="Q65" s="6">
        <f t="shared" si="8"/>
        <v>0.11447333503401359</v>
      </c>
      <c r="R65" s="10">
        <f t="shared" si="9"/>
        <v>2.3848611465419499E-3</v>
      </c>
      <c r="S65" s="10">
        <f t="shared" si="10"/>
        <v>1.7086392225529067E-2</v>
      </c>
      <c r="T65" s="10">
        <f t="shared" si="11"/>
        <v>1.9471253372071017E-2</v>
      </c>
    </row>
    <row r="66" spans="1:20" x14ac:dyDescent="0.25">
      <c r="A66" s="5" t="s">
        <v>8</v>
      </c>
      <c r="B66" s="5" t="s">
        <v>291</v>
      </c>
      <c r="C66" s="5" t="s">
        <v>27</v>
      </c>
      <c r="D66" s="5" t="s">
        <v>385</v>
      </c>
      <c r="E66" s="5" t="s">
        <v>384</v>
      </c>
      <c r="F66" s="5" t="s">
        <v>45</v>
      </c>
      <c r="G66" s="5" t="s">
        <v>390</v>
      </c>
      <c r="H66" s="5" t="s">
        <v>46</v>
      </c>
      <c r="I66" s="5" t="s">
        <v>203</v>
      </c>
      <c r="J66" s="5">
        <v>1358</v>
      </c>
      <c r="K66" s="5">
        <v>27.2</v>
      </c>
      <c r="L66" s="7">
        <f t="shared" ref="L66:L96" si="12">J66/K66</f>
        <v>49.926470588235297</v>
      </c>
      <c r="M66" s="7">
        <v>19.299999999999997</v>
      </c>
      <c r="N66" s="5" t="s">
        <v>10</v>
      </c>
      <c r="O66" s="5">
        <v>4</v>
      </c>
      <c r="P66" s="6">
        <f t="shared" ref="P66:P99" si="13">(J66*L66^2)/(1.6*10^6)</f>
        <v>2.115638780006488</v>
      </c>
      <c r="Q66" s="6">
        <f t="shared" ref="Q66:Q99" si="14">(0.104*J66*L66^2)/(1.6*10^6)</f>
        <v>0.22002643312067477</v>
      </c>
      <c r="R66" s="10">
        <f t="shared" ref="R66:R99" si="15">(0.104*P66)/(12*O66)</f>
        <v>4.5838840233473907E-3</v>
      </c>
      <c r="S66" s="10">
        <f t="shared" ref="S66:S99" si="16">0.0159*P66^0.75</f>
        <v>2.7891910544193911E-2</v>
      </c>
      <c r="T66" s="10">
        <f t="shared" ref="T66:T96" si="17">R66+S66</f>
        <v>3.2475794567541301E-2</v>
      </c>
    </row>
    <row r="67" spans="1:20" x14ac:dyDescent="0.25">
      <c r="A67" s="5" t="s">
        <v>8</v>
      </c>
      <c r="B67" s="5" t="s">
        <v>339</v>
      </c>
      <c r="C67" s="5" t="s">
        <v>27</v>
      </c>
      <c r="D67" s="5" t="s">
        <v>385</v>
      </c>
      <c r="E67" s="5" t="s">
        <v>384</v>
      </c>
      <c r="F67" s="5" t="s">
        <v>45</v>
      </c>
      <c r="G67" s="5" t="s">
        <v>390</v>
      </c>
      <c r="H67" s="5" t="s">
        <v>46</v>
      </c>
      <c r="I67" s="5" t="s">
        <v>216</v>
      </c>
      <c r="J67" s="5">
        <v>763</v>
      </c>
      <c r="K67" s="5">
        <v>24.1</v>
      </c>
      <c r="L67" s="7">
        <f t="shared" si="12"/>
        <v>31.659751037344396</v>
      </c>
      <c r="M67" s="7">
        <v>11.350000000000001</v>
      </c>
      <c r="N67" s="5" t="s">
        <v>10</v>
      </c>
      <c r="O67" s="5">
        <v>4</v>
      </c>
      <c r="P67" s="6">
        <f t="shared" si="13"/>
        <v>0.47799080917167397</v>
      </c>
      <c r="Q67" s="6">
        <f t="shared" si="14"/>
        <v>4.9711044153854085E-2</v>
      </c>
      <c r="R67" s="10">
        <f t="shared" si="15"/>
        <v>1.0356467532052936E-3</v>
      </c>
      <c r="S67" s="10">
        <f t="shared" si="16"/>
        <v>9.1403280678869249E-3</v>
      </c>
      <c r="T67" s="10">
        <f t="shared" si="17"/>
        <v>1.0175974821092219E-2</v>
      </c>
    </row>
    <row r="68" spans="1:20" x14ac:dyDescent="0.25">
      <c r="A68" s="5" t="s">
        <v>8</v>
      </c>
      <c r="B68" s="5" t="s">
        <v>339</v>
      </c>
      <c r="C68" s="5" t="s">
        <v>27</v>
      </c>
      <c r="D68" s="5" t="s">
        <v>385</v>
      </c>
      <c r="E68" s="5" t="s">
        <v>384</v>
      </c>
      <c r="F68" s="5" t="s">
        <v>45</v>
      </c>
      <c r="G68" s="5" t="s">
        <v>390</v>
      </c>
      <c r="H68" s="5" t="s">
        <v>46</v>
      </c>
      <c r="I68" s="5" t="s">
        <v>196</v>
      </c>
      <c r="J68" s="5">
        <v>820</v>
      </c>
      <c r="K68" s="5">
        <v>21.8</v>
      </c>
      <c r="L68" s="7">
        <f t="shared" si="12"/>
        <v>37.61467889908257</v>
      </c>
      <c r="M68" s="7">
        <v>12.25</v>
      </c>
      <c r="N68" s="5" t="s">
        <v>10</v>
      </c>
      <c r="O68" s="5">
        <v>4</v>
      </c>
      <c r="P68" s="6">
        <f t="shared" si="13"/>
        <v>0.72511783519905726</v>
      </c>
      <c r="Q68" s="6">
        <f t="shared" si="14"/>
        <v>7.5412254860701966E-2</v>
      </c>
      <c r="R68" s="10">
        <f t="shared" si="15"/>
        <v>1.5710886429312907E-3</v>
      </c>
      <c r="S68" s="10">
        <f t="shared" si="16"/>
        <v>1.2494059354586017E-2</v>
      </c>
      <c r="T68" s="10">
        <f t="shared" si="17"/>
        <v>1.4065147997517308E-2</v>
      </c>
    </row>
    <row r="69" spans="1:20" x14ac:dyDescent="0.25">
      <c r="A69" s="5" t="s">
        <v>8</v>
      </c>
      <c r="B69" s="5" t="s">
        <v>339</v>
      </c>
      <c r="C69" s="5" t="s">
        <v>27</v>
      </c>
      <c r="D69" s="5" t="s">
        <v>385</v>
      </c>
      <c r="E69" s="5" t="s">
        <v>384</v>
      </c>
      <c r="F69" s="5" t="s">
        <v>45</v>
      </c>
      <c r="G69" s="5" t="s">
        <v>390</v>
      </c>
      <c r="H69" s="5" t="s">
        <v>46</v>
      </c>
      <c r="I69" s="5" t="s">
        <v>196</v>
      </c>
      <c r="J69" s="5">
        <v>880</v>
      </c>
      <c r="K69" s="5">
        <v>22.6</v>
      </c>
      <c r="L69" s="7">
        <f t="shared" si="12"/>
        <v>38.938053097345133</v>
      </c>
      <c r="M69" s="7">
        <v>12.85</v>
      </c>
      <c r="N69" s="5" t="s">
        <v>10</v>
      </c>
      <c r="O69" s="5">
        <v>4</v>
      </c>
      <c r="P69" s="6">
        <f t="shared" si="13"/>
        <v>0.83389458845641784</v>
      </c>
      <c r="Q69" s="6">
        <f t="shared" si="14"/>
        <v>8.6725037199467447E-2</v>
      </c>
      <c r="R69" s="10">
        <f t="shared" si="15"/>
        <v>1.8067716083222385E-3</v>
      </c>
      <c r="S69" s="10">
        <f t="shared" si="16"/>
        <v>1.3874920102171794E-2</v>
      </c>
      <c r="T69" s="10">
        <f t="shared" si="17"/>
        <v>1.5681691710494033E-2</v>
      </c>
    </row>
    <row r="70" spans="1:20" x14ac:dyDescent="0.25">
      <c r="A70" s="5" t="s">
        <v>8</v>
      </c>
      <c r="B70" s="5" t="s">
        <v>300</v>
      </c>
      <c r="C70" s="5" t="s">
        <v>27</v>
      </c>
      <c r="D70" s="5" t="s">
        <v>385</v>
      </c>
      <c r="E70" s="5" t="s">
        <v>384</v>
      </c>
      <c r="F70" s="5" t="s">
        <v>45</v>
      </c>
      <c r="G70" s="5" t="s">
        <v>390</v>
      </c>
      <c r="H70" s="5" t="s">
        <v>46</v>
      </c>
      <c r="I70" s="5" t="s">
        <v>196</v>
      </c>
      <c r="J70" s="5">
        <v>1195</v>
      </c>
      <c r="K70" s="5">
        <v>24</v>
      </c>
      <c r="L70" s="7">
        <f t="shared" si="12"/>
        <v>49.791666666666664</v>
      </c>
      <c r="M70" s="7">
        <v>16.700000000000003</v>
      </c>
      <c r="N70" s="5" t="s">
        <v>10</v>
      </c>
      <c r="O70" s="5">
        <v>4</v>
      </c>
      <c r="P70" s="6">
        <f t="shared" si="13"/>
        <v>1.8516600206163194</v>
      </c>
      <c r="Q70" s="6">
        <f t="shared" si="14"/>
        <v>0.19257264214409722</v>
      </c>
      <c r="R70" s="10">
        <f t="shared" si="15"/>
        <v>4.0119300446686918E-3</v>
      </c>
      <c r="S70" s="10">
        <f t="shared" si="16"/>
        <v>2.5238762776790758E-2</v>
      </c>
      <c r="T70" s="10">
        <f t="shared" si="17"/>
        <v>2.9250692821459451E-2</v>
      </c>
    </row>
    <row r="71" spans="1:20" x14ac:dyDescent="0.25">
      <c r="A71" s="5" t="s">
        <v>8</v>
      </c>
      <c r="B71" s="5" t="s">
        <v>300</v>
      </c>
      <c r="C71" s="5" t="s">
        <v>27</v>
      </c>
      <c r="D71" s="5" t="s">
        <v>385</v>
      </c>
      <c r="E71" s="5" t="s">
        <v>384</v>
      </c>
      <c r="F71" s="5" t="s">
        <v>45</v>
      </c>
      <c r="G71" s="5" t="s">
        <v>390</v>
      </c>
      <c r="H71" s="5" t="s">
        <v>46</v>
      </c>
      <c r="I71" s="5" t="s">
        <v>302</v>
      </c>
      <c r="J71" s="5">
        <v>1357</v>
      </c>
      <c r="K71" s="5">
        <v>29</v>
      </c>
      <c r="L71" s="7">
        <f t="shared" si="12"/>
        <v>46.793103448275865</v>
      </c>
      <c r="M71" s="7">
        <v>18.8</v>
      </c>
      <c r="N71" s="5" t="s">
        <v>10</v>
      </c>
      <c r="O71" s="5">
        <v>4</v>
      </c>
      <c r="P71" s="6">
        <f t="shared" si="13"/>
        <v>1.8570498610285375</v>
      </c>
      <c r="Q71" s="6">
        <f t="shared" si="14"/>
        <v>0.19313318554696787</v>
      </c>
      <c r="R71" s="10">
        <f t="shared" si="15"/>
        <v>4.0236080322284982E-3</v>
      </c>
      <c r="S71" s="10">
        <f t="shared" si="16"/>
        <v>2.5293841786768613E-2</v>
      </c>
      <c r="T71" s="10">
        <f t="shared" si="17"/>
        <v>2.9317449818997112E-2</v>
      </c>
    </row>
    <row r="72" spans="1:20" x14ac:dyDescent="0.25">
      <c r="A72" s="5" t="s">
        <v>8</v>
      </c>
      <c r="B72" s="5" t="s">
        <v>339</v>
      </c>
      <c r="C72" s="5" t="s">
        <v>27</v>
      </c>
      <c r="D72" s="5" t="s">
        <v>385</v>
      </c>
      <c r="E72" s="5" t="s">
        <v>384</v>
      </c>
      <c r="F72" s="5" t="s">
        <v>45</v>
      </c>
      <c r="G72" s="5" t="s">
        <v>390</v>
      </c>
      <c r="H72" s="5" t="s">
        <v>46</v>
      </c>
      <c r="I72" s="5" t="s">
        <v>48</v>
      </c>
      <c r="J72" s="5">
        <v>962</v>
      </c>
      <c r="K72" s="5">
        <v>25</v>
      </c>
      <c r="L72" s="7">
        <f t="shared" si="12"/>
        <v>38.479999999999997</v>
      </c>
      <c r="M72" s="7">
        <v>10.6</v>
      </c>
      <c r="N72" s="5" t="s">
        <v>10</v>
      </c>
      <c r="O72" s="5">
        <v>4</v>
      </c>
      <c r="P72" s="6">
        <f t="shared" si="13"/>
        <v>0.89027712799999981</v>
      </c>
      <c r="Q72" s="6">
        <f t="shared" si="14"/>
        <v>9.2588821311999983E-2</v>
      </c>
      <c r="R72" s="10">
        <f t="shared" si="15"/>
        <v>1.9289337773333328E-3</v>
      </c>
      <c r="S72" s="10">
        <f t="shared" si="16"/>
        <v>1.4572733957196257E-2</v>
      </c>
      <c r="T72" s="10">
        <f t="shared" si="17"/>
        <v>1.6501667734529591E-2</v>
      </c>
    </row>
    <row r="73" spans="1:20" x14ac:dyDescent="0.25">
      <c r="A73" s="5" t="s">
        <v>8</v>
      </c>
      <c r="B73" s="5" t="s">
        <v>291</v>
      </c>
      <c r="C73" s="5" t="s">
        <v>27</v>
      </c>
      <c r="D73" s="5" t="s">
        <v>385</v>
      </c>
      <c r="E73" s="5" t="s">
        <v>384</v>
      </c>
      <c r="F73" s="5" t="s">
        <v>45</v>
      </c>
      <c r="G73" s="5" t="s">
        <v>390</v>
      </c>
      <c r="H73" s="5" t="s">
        <v>46</v>
      </c>
      <c r="I73" s="5" t="s">
        <v>48</v>
      </c>
      <c r="J73" s="5">
        <v>980</v>
      </c>
      <c r="K73" s="5">
        <v>26</v>
      </c>
      <c r="L73" s="7">
        <f t="shared" si="12"/>
        <v>37.692307692307693</v>
      </c>
      <c r="M73" s="7">
        <v>10.4</v>
      </c>
      <c r="N73" s="5" t="s">
        <v>10</v>
      </c>
      <c r="O73" s="5">
        <v>4</v>
      </c>
      <c r="P73" s="6">
        <f t="shared" si="13"/>
        <v>0.87018491124260366</v>
      </c>
      <c r="Q73" s="6">
        <f t="shared" si="14"/>
        <v>9.0499230769230776E-2</v>
      </c>
      <c r="R73" s="10">
        <f t="shared" si="15"/>
        <v>1.8854006410256412E-3</v>
      </c>
      <c r="S73" s="10">
        <f t="shared" si="16"/>
        <v>1.4325367948525116E-2</v>
      </c>
      <c r="T73" s="10">
        <f t="shared" si="17"/>
        <v>1.6210768589550756E-2</v>
      </c>
    </row>
    <row r="74" spans="1:20" x14ac:dyDescent="0.25">
      <c r="A74" s="5" t="s">
        <v>8</v>
      </c>
      <c r="B74" s="5" t="s">
        <v>300</v>
      </c>
      <c r="C74" s="5" t="s">
        <v>27</v>
      </c>
      <c r="D74" s="5" t="s">
        <v>385</v>
      </c>
      <c r="E74" s="5" t="s">
        <v>384</v>
      </c>
      <c r="F74" s="5" t="s">
        <v>45</v>
      </c>
      <c r="G74" s="5" t="s">
        <v>390</v>
      </c>
      <c r="H74" s="5" t="s">
        <v>46</v>
      </c>
      <c r="I74" s="5" t="s">
        <v>48</v>
      </c>
      <c r="J74" s="5">
        <v>980</v>
      </c>
      <c r="K74" s="5">
        <v>26</v>
      </c>
      <c r="L74" s="7">
        <f t="shared" si="12"/>
        <v>37.692307692307693</v>
      </c>
      <c r="M74" s="7">
        <v>10.4</v>
      </c>
      <c r="N74" s="5" t="s">
        <v>10</v>
      </c>
      <c r="O74" s="5">
        <v>4</v>
      </c>
      <c r="P74" s="6">
        <f t="shared" si="13"/>
        <v>0.87018491124260366</v>
      </c>
      <c r="Q74" s="6">
        <f t="shared" si="14"/>
        <v>9.0499230769230776E-2</v>
      </c>
      <c r="R74" s="10">
        <f t="shared" si="15"/>
        <v>1.8854006410256412E-3</v>
      </c>
      <c r="S74" s="10">
        <f t="shared" si="16"/>
        <v>1.4325367948525116E-2</v>
      </c>
      <c r="T74" s="10">
        <f t="shared" si="17"/>
        <v>1.6210768589550756E-2</v>
      </c>
    </row>
    <row r="75" spans="1:20" x14ac:dyDescent="0.25">
      <c r="A75" s="5" t="s">
        <v>8</v>
      </c>
      <c r="B75" s="5" t="s">
        <v>339</v>
      </c>
      <c r="C75" s="5" t="s">
        <v>27</v>
      </c>
      <c r="D75" s="5" t="s">
        <v>385</v>
      </c>
      <c r="E75" s="5" t="s">
        <v>384</v>
      </c>
      <c r="F75" s="5" t="s">
        <v>45</v>
      </c>
      <c r="G75" s="5" t="s">
        <v>390</v>
      </c>
      <c r="H75" s="5" t="s">
        <v>46</v>
      </c>
      <c r="I75" s="5" t="s">
        <v>48</v>
      </c>
      <c r="J75" s="5">
        <v>970</v>
      </c>
      <c r="K75" s="5">
        <v>24.4</v>
      </c>
      <c r="L75" s="7">
        <f t="shared" si="12"/>
        <v>39.754098360655739</v>
      </c>
      <c r="M75" s="7">
        <v>12.65</v>
      </c>
      <c r="N75" s="5" t="s">
        <v>10</v>
      </c>
      <c r="O75" s="5">
        <v>4</v>
      </c>
      <c r="P75" s="6">
        <f t="shared" si="13"/>
        <v>0.95811042898414411</v>
      </c>
      <c r="Q75" s="6">
        <f t="shared" si="14"/>
        <v>9.9643484614350977E-2</v>
      </c>
      <c r="R75" s="10">
        <f t="shared" si="15"/>
        <v>2.0759059294656454E-3</v>
      </c>
      <c r="S75" s="10">
        <f t="shared" si="16"/>
        <v>1.5397804452543755E-2</v>
      </c>
      <c r="T75" s="10">
        <f t="shared" si="17"/>
        <v>1.74737103820094E-2</v>
      </c>
    </row>
    <row r="76" spans="1:20" x14ac:dyDescent="0.25">
      <c r="A76" s="5" t="s">
        <v>8</v>
      </c>
      <c r="B76" s="5" t="s">
        <v>339</v>
      </c>
      <c r="C76" s="5" t="s">
        <v>27</v>
      </c>
      <c r="D76" s="5" t="s">
        <v>385</v>
      </c>
      <c r="E76" s="5" t="s">
        <v>384</v>
      </c>
      <c r="F76" s="5" t="s">
        <v>45</v>
      </c>
      <c r="G76" s="5" t="s">
        <v>390</v>
      </c>
      <c r="H76" s="5" t="s">
        <v>46</v>
      </c>
      <c r="I76" s="5" t="s">
        <v>48</v>
      </c>
      <c r="J76" s="5">
        <v>1080</v>
      </c>
      <c r="K76" s="5">
        <v>28.5</v>
      </c>
      <c r="L76" s="7">
        <f t="shared" si="12"/>
        <v>37.89473684210526</v>
      </c>
      <c r="M76" s="7">
        <v>14.899999999999999</v>
      </c>
      <c r="N76" s="5" t="s">
        <v>10</v>
      </c>
      <c r="O76" s="5">
        <v>4</v>
      </c>
      <c r="P76" s="6">
        <f t="shared" si="13"/>
        <v>0.96930747922437654</v>
      </c>
      <c r="Q76" s="6">
        <f t="shared" si="14"/>
        <v>0.10080797783933516</v>
      </c>
      <c r="R76" s="10">
        <f t="shared" si="15"/>
        <v>2.1001662049861488E-3</v>
      </c>
      <c r="S76" s="10">
        <f t="shared" si="16"/>
        <v>1.5532569200814635E-2</v>
      </c>
      <c r="T76" s="10">
        <f t="shared" si="17"/>
        <v>1.7632735405800785E-2</v>
      </c>
    </row>
    <row r="77" spans="1:20" x14ac:dyDescent="0.25">
      <c r="A77" s="5" t="s">
        <v>8</v>
      </c>
      <c r="B77" s="5" t="s">
        <v>339</v>
      </c>
      <c r="C77" s="5" t="s">
        <v>27</v>
      </c>
      <c r="D77" s="5" t="s">
        <v>385</v>
      </c>
      <c r="E77" s="5" t="s">
        <v>384</v>
      </c>
      <c r="F77" s="5" t="s">
        <v>45</v>
      </c>
      <c r="G77" s="5" t="s">
        <v>390</v>
      </c>
      <c r="H77" s="5" t="s">
        <v>46</v>
      </c>
      <c r="I77" s="5" t="s">
        <v>14</v>
      </c>
      <c r="J77" s="5">
        <v>1010</v>
      </c>
      <c r="K77" s="5">
        <v>21.1</v>
      </c>
      <c r="L77" s="7">
        <f t="shared" si="12"/>
        <v>47.867298578199048</v>
      </c>
      <c r="M77" s="7">
        <v>14.75</v>
      </c>
      <c r="N77" s="5" t="s">
        <v>10</v>
      </c>
      <c r="O77" s="5">
        <v>4</v>
      </c>
      <c r="P77" s="6">
        <f t="shared" si="13"/>
        <v>1.4463694099413755</v>
      </c>
      <c r="Q77" s="6">
        <f t="shared" si="14"/>
        <v>0.15042241863390304</v>
      </c>
      <c r="R77" s="10">
        <f t="shared" si="15"/>
        <v>3.1338003882063134E-3</v>
      </c>
      <c r="S77" s="10">
        <f t="shared" si="16"/>
        <v>2.0970391834637787E-2</v>
      </c>
      <c r="T77" s="10">
        <f t="shared" si="17"/>
        <v>2.4104192222844101E-2</v>
      </c>
    </row>
    <row r="78" spans="1:20" x14ac:dyDescent="0.25">
      <c r="A78" s="5" t="s">
        <v>8</v>
      </c>
      <c r="B78" s="5" t="s">
        <v>308</v>
      </c>
      <c r="C78" s="5" t="s">
        <v>27</v>
      </c>
      <c r="D78" s="5" t="s">
        <v>385</v>
      </c>
      <c r="E78" s="5" t="s">
        <v>384</v>
      </c>
      <c r="F78" s="5" t="s">
        <v>45</v>
      </c>
      <c r="G78" s="5" t="s">
        <v>390</v>
      </c>
      <c r="H78" s="5" t="s">
        <v>46</v>
      </c>
      <c r="I78" s="5" t="s">
        <v>71</v>
      </c>
      <c r="J78" s="5">
        <v>924</v>
      </c>
      <c r="K78" s="5">
        <v>33</v>
      </c>
      <c r="L78" s="7">
        <f t="shared" si="12"/>
        <v>28</v>
      </c>
      <c r="M78" s="7">
        <v>15</v>
      </c>
      <c r="N78" s="5" t="s">
        <v>10</v>
      </c>
      <c r="O78" s="5">
        <v>4</v>
      </c>
      <c r="P78" s="6">
        <f t="shared" si="13"/>
        <v>0.45276</v>
      </c>
      <c r="Q78" s="6">
        <f t="shared" si="14"/>
        <v>4.7087039999999997E-2</v>
      </c>
      <c r="R78" s="10">
        <f t="shared" si="15"/>
        <v>9.8098E-4</v>
      </c>
      <c r="S78" s="10">
        <f t="shared" si="16"/>
        <v>8.7760312850900107E-3</v>
      </c>
      <c r="T78" s="10">
        <f t="shared" si="17"/>
        <v>9.7570112850900101E-3</v>
      </c>
    </row>
    <row r="79" spans="1:20" x14ac:dyDescent="0.25">
      <c r="A79" s="5" t="s">
        <v>8</v>
      </c>
      <c r="B79" s="5" t="s">
        <v>339</v>
      </c>
      <c r="C79" s="5" t="s">
        <v>27</v>
      </c>
      <c r="D79" s="5" t="s">
        <v>385</v>
      </c>
      <c r="E79" s="5" t="s">
        <v>384</v>
      </c>
      <c r="F79" s="5" t="s">
        <v>45</v>
      </c>
      <c r="G79" s="5" t="s">
        <v>390</v>
      </c>
      <c r="H79" s="5" t="s">
        <v>46</v>
      </c>
      <c r="I79" s="5" t="s">
        <v>342</v>
      </c>
      <c r="J79" s="5">
        <v>1400</v>
      </c>
      <c r="K79" s="5">
        <v>25.1</v>
      </c>
      <c r="L79" s="7">
        <f t="shared" si="12"/>
        <v>55.776892430278885</v>
      </c>
      <c r="M79" s="7">
        <v>12.100000000000001</v>
      </c>
      <c r="N79" s="5" t="s">
        <v>10</v>
      </c>
      <c r="O79" s="5">
        <v>4</v>
      </c>
      <c r="P79" s="6">
        <f t="shared" si="13"/>
        <v>2.7221790130315395</v>
      </c>
      <c r="Q79" s="6">
        <f t="shared" si="14"/>
        <v>0.28310661735528009</v>
      </c>
      <c r="R79" s="10">
        <f t="shared" si="15"/>
        <v>5.8980545282350015E-3</v>
      </c>
      <c r="S79" s="10">
        <f t="shared" si="16"/>
        <v>3.3696487711617512E-2</v>
      </c>
      <c r="T79" s="10">
        <f t="shared" si="17"/>
        <v>3.9594542239852516E-2</v>
      </c>
    </row>
    <row r="80" spans="1:20" x14ac:dyDescent="0.25">
      <c r="A80" s="5" t="s">
        <v>8</v>
      </c>
      <c r="B80" s="5" t="s">
        <v>161</v>
      </c>
      <c r="C80" s="5" t="s">
        <v>27</v>
      </c>
      <c r="D80" s="5" t="s">
        <v>385</v>
      </c>
      <c r="E80" s="5" t="s">
        <v>384</v>
      </c>
      <c r="F80" s="5" t="s">
        <v>45</v>
      </c>
      <c r="G80" s="5" t="s">
        <v>390</v>
      </c>
      <c r="H80" s="5" t="s">
        <v>46</v>
      </c>
      <c r="I80" s="5" t="s">
        <v>49</v>
      </c>
      <c r="J80" s="5">
        <v>1280</v>
      </c>
      <c r="K80" s="5">
        <v>22</v>
      </c>
      <c r="L80" s="7">
        <f t="shared" si="12"/>
        <v>58.18181818181818</v>
      </c>
      <c r="M80" s="7">
        <v>14.5</v>
      </c>
      <c r="N80" s="5" t="s">
        <v>10</v>
      </c>
      <c r="O80" s="5">
        <v>4</v>
      </c>
      <c r="P80" s="6">
        <f t="shared" si="13"/>
        <v>2.7080991735537188</v>
      </c>
      <c r="Q80" s="6">
        <f t="shared" si="14"/>
        <v>0.28164231404958673</v>
      </c>
      <c r="R80" s="10">
        <f t="shared" si="15"/>
        <v>5.8675482093663899E-3</v>
      </c>
      <c r="S80" s="10">
        <f t="shared" si="16"/>
        <v>3.3565687567479949E-2</v>
      </c>
      <c r="T80" s="10">
        <f t="shared" si="17"/>
        <v>3.9433235776846341E-2</v>
      </c>
    </row>
    <row r="81" spans="1:20" x14ac:dyDescent="0.25">
      <c r="A81" s="5" t="s">
        <v>8</v>
      </c>
      <c r="B81" s="5" t="s">
        <v>300</v>
      </c>
      <c r="C81" s="5" t="s">
        <v>27</v>
      </c>
      <c r="D81" s="5" t="s">
        <v>385</v>
      </c>
      <c r="E81" s="5" t="s">
        <v>384</v>
      </c>
      <c r="F81" s="5" t="s">
        <v>45</v>
      </c>
      <c r="G81" s="5" t="s">
        <v>390</v>
      </c>
      <c r="H81" s="5" t="s">
        <v>46</v>
      </c>
      <c r="I81" s="5" t="s">
        <v>301</v>
      </c>
      <c r="J81" s="5">
        <v>1165</v>
      </c>
      <c r="K81" s="5">
        <v>30</v>
      </c>
      <c r="L81" s="7">
        <f t="shared" si="12"/>
        <v>38.833333333333336</v>
      </c>
      <c r="M81" s="7">
        <v>17.45</v>
      </c>
      <c r="N81" s="5" t="s">
        <v>10</v>
      </c>
      <c r="O81" s="5">
        <v>4</v>
      </c>
      <c r="P81" s="6">
        <f t="shared" si="13"/>
        <v>1.0980327256944447</v>
      </c>
      <c r="Q81" s="6">
        <f t="shared" si="14"/>
        <v>0.11419540347222225</v>
      </c>
      <c r="R81" s="10">
        <f t="shared" si="15"/>
        <v>2.3790709056712967E-3</v>
      </c>
      <c r="S81" s="10">
        <f t="shared" si="16"/>
        <v>1.7055269538571984E-2</v>
      </c>
      <c r="T81" s="10">
        <f t="shared" si="17"/>
        <v>1.9434340444243279E-2</v>
      </c>
    </row>
    <row r="82" spans="1:20" x14ac:dyDescent="0.25">
      <c r="A82" s="5" t="s">
        <v>8</v>
      </c>
      <c r="B82" s="5" t="s">
        <v>308</v>
      </c>
      <c r="C82" s="5" t="s">
        <v>27</v>
      </c>
      <c r="D82" s="5" t="s">
        <v>385</v>
      </c>
      <c r="E82" s="5" t="s">
        <v>384</v>
      </c>
      <c r="F82" s="5" t="s">
        <v>45</v>
      </c>
      <c r="G82" s="5" t="s">
        <v>390</v>
      </c>
      <c r="H82" s="5" t="s">
        <v>46</v>
      </c>
      <c r="I82" s="5" t="s">
        <v>159</v>
      </c>
      <c r="J82" s="5">
        <v>886</v>
      </c>
      <c r="K82" s="5">
        <v>27.7</v>
      </c>
      <c r="L82" s="7">
        <f t="shared" si="12"/>
        <v>31.985559566787003</v>
      </c>
      <c r="M82" s="7">
        <v>16.100000000000001</v>
      </c>
      <c r="N82" s="5" t="s">
        <v>10</v>
      </c>
      <c r="O82" s="5">
        <v>4</v>
      </c>
      <c r="P82" s="6">
        <f t="shared" si="13"/>
        <v>0.56652834651826556</v>
      </c>
      <c r="Q82" s="6">
        <f t="shared" si="14"/>
        <v>5.8918948037899606E-2</v>
      </c>
      <c r="R82" s="10">
        <f t="shared" si="15"/>
        <v>1.2274780841229087E-3</v>
      </c>
      <c r="S82" s="10">
        <f t="shared" si="16"/>
        <v>1.0382772973710441E-2</v>
      </c>
      <c r="T82" s="10">
        <f t="shared" si="17"/>
        <v>1.1610251057833349E-2</v>
      </c>
    </row>
    <row r="83" spans="1:20" x14ac:dyDescent="0.25">
      <c r="A83" s="5" t="s">
        <v>8</v>
      </c>
      <c r="B83" s="5" t="s">
        <v>156</v>
      </c>
      <c r="C83" s="5" t="s">
        <v>27</v>
      </c>
      <c r="D83" s="5" t="s">
        <v>385</v>
      </c>
      <c r="E83" s="5" t="s">
        <v>384</v>
      </c>
      <c r="F83" s="5" t="s">
        <v>45</v>
      </c>
      <c r="G83" s="5" t="s">
        <v>390</v>
      </c>
      <c r="H83" s="5" t="s">
        <v>46</v>
      </c>
      <c r="I83" s="5" t="s">
        <v>159</v>
      </c>
      <c r="J83" s="5">
        <v>850</v>
      </c>
      <c r="K83" s="5">
        <v>30</v>
      </c>
      <c r="L83" s="7">
        <f t="shared" si="12"/>
        <v>28.333333333333332</v>
      </c>
      <c r="M83" s="7">
        <v>14.9</v>
      </c>
      <c r="N83" s="5" t="s">
        <v>10</v>
      </c>
      <c r="O83" s="5">
        <v>4</v>
      </c>
      <c r="P83" s="6">
        <f t="shared" si="13"/>
        <v>0.42647569444444439</v>
      </c>
      <c r="Q83" s="6">
        <f t="shared" si="14"/>
        <v>4.4353472222222218E-2</v>
      </c>
      <c r="R83" s="10">
        <f t="shared" si="15"/>
        <v>9.2403067129629606E-4</v>
      </c>
      <c r="S83" s="10">
        <f t="shared" si="16"/>
        <v>8.3910795451885949E-3</v>
      </c>
      <c r="T83" s="10">
        <f t="shared" si="17"/>
        <v>9.3151102164848905E-3</v>
      </c>
    </row>
    <row r="84" spans="1:20" x14ac:dyDescent="0.25">
      <c r="A84" s="5" t="s">
        <v>8</v>
      </c>
      <c r="B84" s="5" t="s">
        <v>233</v>
      </c>
      <c r="C84" s="5" t="s">
        <v>27</v>
      </c>
      <c r="D84" s="5" t="s">
        <v>385</v>
      </c>
      <c r="E84" s="5" t="s">
        <v>384</v>
      </c>
      <c r="F84" s="5" t="s">
        <v>45</v>
      </c>
      <c r="G84" s="5" t="s">
        <v>390</v>
      </c>
      <c r="H84" s="5" t="s">
        <v>46</v>
      </c>
      <c r="I84" s="5" t="s">
        <v>234</v>
      </c>
      <c r="J84" s="5">
        <v>1465</v>
      </c>
      <c r="K84" s="5">
        <v>35</v>
      </c>
      <c r="L84" s="7">
        <f t="shared" si="12"/>
        <v>41.857142857142854</v>
      </c>
      <c r="M84" s="7">
        <v>12.5</v>
      </c>
      <c r="N84" s="5" t="s">
        <v>10</v>
      </c>
      <c r="O84" s="5">
        <v>4</v>
      </c>
      <c r="P84" s="6">
        <f t="shared" si="13"/>
        <v>1.6041936862244897</v>
      </c>
      <c r="Q84" s="6">
        <f t="shared" si="14"/>
        <v>0.1668361433673469</v>
      </c>
      <c r="R84" s="10">
        <f t="shared" si="15"/>
        <v>3.4757529868197274E-3</v>
      </c>
      <c r="S84" s="10">
        <f t="shared" si="16"/>
        <v>2.2664165160455583E-2</v>
      </c>
      <c r="T84" s="10">
        <f t="shared" si="17"/>
        <v>2.6139918147275312E-2</v>
      </c>
    </row>
    <row r="85" spans="1:20" x14ac:dyDescent="0.25">
      <c r="A85" s="5" t="s">
        <v>8</v>
      </c>
      <c r="B85" s="5" t="s">
        <v>291</v>
      </c>
      <c r="C85" s="5" t="s">
        <v>27</v>
      </c>
      <c r="D85" s="5" t="s">
        <v>385</v>
      </c>
      <c r="E85" s="5" t="s">
        <v>384</v>
      </c>
      <c r="F85" s="5" t="s">
        <v>45</v>
      </c>
      <c r="G85" s="5" t="s">
        <v>390</v>
      </c>
      <c r="H85" s="5" t="s">
        <v>46</v>
      </c>
      <c r="I85" s="5" t="s">
        <v>51</v>
      </c>
      <c r="J85" s="5">
        <v>1245</v>
      </c>
      <c r="K85" s="5">
        <v>35.700000000000003</v>
      </c>
      <c r="L85" s="7">
        <f t="shared" si="12"/>
        <v>34.87394957983193</v>
      </c>
      <c r="M85" s="7">
        <v>13.5</v>
      </c>
      <c r="N85" s="5" t="s">
        <v>10</v>
      </c>
      <c r="O85" s="5">
        <v>4</v>
      </c>
      <c r="P85" s="6">
        <f t="shared" si="13"/>
        <v>0.94634967957771321</v>
      </c>
      <c r="Q85" s="6">
        <f t="shared" si="14"/>
        <v>9.8420366676082172E-2</v>
      </c>
      <c r="R85" s="10">
        <f t="shared" si="15"/>
        <v>2.0504243057517121E-3</v>
      </c>
      <c r="S85" s="10">
        <f t="shared" si="16"/>
        <v>1.5255830466574619E-2</v>
      </c>
      <c r="T85" s="10">
        <f t="shared" si="17"/>
        <v>1.7306254772326331E-2</v>
      </c>
    </row>
    <row r="86" spans="1:20" x14ac:dyDescent="0.25">
      <c r="A86" s="5" t="s">
        <v>8</v>
      </c>
      <c r="B86" s="5" t="s">
        <v>291</v>
      </c>
      <c r="C86" s="5" t="s">
        <v>27</v>
      </c>
      <c r="D86" s="5" t="s">
        <v>385</v>
      </c>
      <c r="E86" s="5" t="s">
        <v>384</v>
      </c>
      <c r="F86" s="5" t="s">
        <v>45</v>
      </c>
      <c r="G86" s="5" t="s">
        <v>390</v>
      </c>
      <c r="H86" s="5" t="s">
        <v>46</v>
      </c>
      <c r="I86" s="5" t="s">
        <v>51</v>
      </c>
      <c r="J86" s="5">
        <v>1135</v>
      </c>
      <c r="K86" s="5">
        <v>29.2</v>
      </c>
      <c r="L86" s="7">
        <f t="shared" si="12"/>
        <v>38.869863013698634</v>
      </c>
      <c r="M86" s="7">
        <v>16.75</v>
      </c>
      <c r="N86" s="5" t="s">
        <v>10</v>
      </c>
      <c r="O86" s="5">
        <v>4</v>
      </c>
      <c r="P86" s="6">
        <f t="shared" si="13"/>
        <v>1.0717707465929349</v>
      </c>
      <c r="Q86" s="6">
        <f t="shared" si="14"/>
        <v>0.11146415764566524</v>
      </c>
      <c r="R86" s="10">
        <f t="shared" si="15"/>
        <v>2.3221699509513587E-3</v>
      </c>
      <c r="S86" s="10">
        <f t="shared" si="16"/>
        <v>1.6748408640447264E-2</v>
      </c>
      <c r="T86" s="10">
        <f t="shared" si="17"/>
        <v>1.9070578591398622E-2</v>
      </c>
    </row>
    <row r="87" spans="1:20" x14ac:dyDescent="0.25">
      <c r="A87" s="5" t="s">
        <v>8</v>
      </c>
      <c r="B87" s="5" t="s">
        <v>291</v>
      </c>
      <c r="C87" s="5" t="s">
        <v>27</v>
      </c>
      <c r="D87" s="5" t="s">
        <v>385</v>
      </c>
      <c r="E87" s="5" t="s">
        <v>384</v>
      </c>
      <c r="F87" s="5" t="s">
        <v>45</v>
      </c>
      <c r="G87" s="5" t="s">
        <v>390</v>
      </c>
      <c r="H87" s="5" t="s">
        <v>46</v>
      </c>
      <c r="I87" s="5" t="s">
        <v>51</v>
      </c>
      <c r="J87" s="5">
        <v>1309</v>
      </c>
      <c r="K87" s="5">
        <v>33.4</v>
      </c>
      <c r="L87" s="7">
        <f t="shared" si="12"/>
        <v>39.191616766467071</v>
      </c>
      <c r="M87" s="7">
        <v>16.200000000000003</v>
      </c>
      <c r="N87" s="5" t="s">
        <v>10</v>
      </c>
      <c r="O87" s="5">
        <v>4</v>
      </c>
      <c r="P87" s="6">
        <f t="shared" si="13"/>
        <v>1.2566259485146476</v>
      </c>
      <c r="Q87" s="6">
        <f t="shared" si="14"/>
        <v>0.13068909864552336</v>
      </c>
      <c r="R87" s="10">
        <f t="shared" si="15"/>
        <v>2.7226895551150693E-3</v>
      </c>
      <c r="S87" s="10">
        <f t="shared" si="16"/>
        <v>1.8871292313959852E-2</v>
      </c>
      <c r="T87" s="10">
        <f t="shared" si="17"/>
        <v>2.1593981869074921E-2</v>
      </c>
    </row>
    <row r="88" spans="1:20" x14ac:dyDescent="0.25">
      <c r="A88" s="5" t="s">
        <v>8</v>
      </c>
      <c r="B88" s="5" t="s">
        <v>300</v>
      </c>
      <c r="C88" s="5" t="s">
        <v>27</v>
      </c>
      <c r="D88" s="5" t="s">
        <v>385</v>
      </c>
      <c r="E88" s="5" t="s">
        <v>384</v>
      </c>
      <c r="F88" s="5" t="s">
        <v>45</v>
      </c>
      <c r="G88" s="5" t="s">
        <v>390</v>
      </c>
      <c r="H88" s="5" t="s">
        <v>46</v>
      </c>
      <c r="I88" s="5" t="s">
        <v>51</v>
      </c>
      <c r="J88" s="5">
        <v>1263</v>
      </c>
      <c r="K88" s="5">
        <v>31.9</v>
      </c>
      <c r="L88" s="7">
        <f t="shared" si="12"/>
        <v>39.592476489028215</v>
      </c>
      <c r="M88" s="7">
        <v>16.25</v>
      </c>
      <c r="N88" s="5" t="s">
        <v>10</v>
      </c>
      <c r="O88" s="5">
        <v>4</v>
      </c>
      <c r="P88" s="6">
        <f t="shared" si="13"/>
        <v>1.2373959860604751</v>
      </c>
      <c r="Q88" s="6">
        <f t="shared" si="14"/>
        <v>0.12868918255028944</v>
      </c>
      <c r="R88" s="10">
        <f t="shared" si="15"/>
        <v>2.6810246364643627E-3</v>
      </c>
      <c r="S88" s="10">
        <f t="shared" si="16"/>
        <v>1.8654286884243587E-2</v>
      </c>
      <c r="T88" s="10">
        <f t="shared" si="17"/>
        <v>2.1335311520707952E-2</v>
      </c>
    </row>
    <row r="89" spans="1:20" x14ac:dyDescent="0.25">
      <c r="A89" s="5" t="s">
        <v>8</v>
      </c>
      <c r="B89" s="5" t="s">
        <v>291</v>
      </c>
      <c r="C89" s="5" t="s">
        <v>27</v>
      </c>
      <c r="D89" s="5" t="s">
        <v>385</v>
      </c>
      <c r="E89" s="5" t="s">
        <v>384</v>
      </c>
      <c r="F89" s="5" t="s">
        <v>45</v>
      </c>
      <c r="G89" s="5" t="s">
        <v>390</v>
      </c>
      <c r="H89" s="5" t="s">
        <v>46</v>
      </c>
      <c r="I89" s="5" t="s">
        <v>51</v>
      </c>
      <c r="J89" s="5">
        <v>1284</v>
      </c>
      <c r="K89" s="5">
        <v>30</v>
      </c>
      <c r="L89" s="7">
        <f t="shared" si="12"/>
        <v>42.8</v>
      </c>
      <c r="M89" s="7">
        <v>16.899999999999999</v>
      </c>
      <c r="N89" s="5" t="s">
        <v>10</v>
      </c>
      <c r="O89" s="5">
        <v>4</v>
      </c>
      <c r="P89" s="6">
        <f t="shared" si="13"/>
        <v>1.4700515999999997</v>
      </c>
      <c r="Q89" s="6">
        <f t="shared" si="14"/>
        <v>0.15288536639999997</v>
      </c>
      <c r="R89" s="10">
        <f t="shared" si="15"/>
        <v>3.1851117999999994E-3</v>
      </c>
      <c r="S89" s="10">
        <f t="shared" si="16"/>
        <v>2.122738802515543E-2</v>
      </c>
      <c r="T89" s="10">
        <f t="shared" si="17"/>
        <v>2.4412499825155427E-2</v>
      </c>
    </row>
    <row r="90" spans="1:20" x14ac:dyDescent="0.25">
      <c r="A90" s="5" t="s">
        <v>8</v>
      </c>
      <c r="B90" s="5" t="s">
        <v>291</v>
      </c>
      <c r="C90" s="5" t="s">
        <v>27</v>
      </c>
      <c r="D90" s="5" t="s">
        <v>385</v>
      </c>
      <c r="E90" s="5" t="s">
        <v>384</v>
      </c>
      <c r="F90" s="5" t="s">
        <v>45</v>
      </c>
      <c r="G90" s="5" t="s">
        <v>390</v>
      </c>
      <c r="H90" s="5" t="s">
        <v>46</v>
      </c>
      <c r="I90" s="5" t="s">
        <v>51</v>
      </c>
      <c r="J90" s="5">
        <v>1203</v>
      </c>
      <c r="K90" s="5">
        <v>26.7</v>
      </c>
      <c r="L90" s="7">
        <f t="shared" si="12"/>
        <v>45.056179775280903</v>
      </c>
      <c r="M90" s="7">
        <v>16.95</v>
      </c>
      <c r="N90" s="5" t="s">
        <v>10</v>
      </c>
      <c r="O90" s="5">
        <v>4</v>
      </c>
      <c r="P90" s="6">
        <f t="shared" si="13"/>
        <v>1.526350863211716</v>
      </c>
      <c r="Q90" s="6">
        <f t="shared" si="14"/>
        <v>0.15874048977401847</v>
      </c>
      <c r="R90" s="10">
        <f t="shared" si="15"/>
        <v>3.3070935369587176E-3</v>
      </c>
      <c r="S90" s="10">
        <f t="shared" si="16"/>
        <v>2.1834231306130446E-2</v>
      </c>
      <c r="T90" s="10">
        <f t="shared" si="17"/>
        <v>2.5141324843089164E-2</v>
      </c>
    </row>
    <row r="91" spans="1:20" x14ac:dyDescent="0.25">
      <c r="A91" s="5" t="s">
        <v>8</v>
      </c>
      <c r="B91" s="5" t="s">
        <v>291</v>
      </c>
      <c r="C91" s="5" t="s">
        <v>27</v>
      </c>
      <c r="D91" s="5" t="s">
        <v>385</v>
      </c>
      <c r="E91" s="5" t="s">
        <v>384</v>
      </c>
      <c r="F91" s="5" t="s">
        <v>45</v>
      </c>
      <c r="G91" s="5" t="s">
        <v>390</v>
      </c>
      <c r="H91" s="5" t="s">
        <v>46</v>
      </c>
      <c r="I91" s="5" t="s">
        <v>51</v>
      </c>
      <c r="J91" s="5">
        <v>1294</v>
      </c>
      <c r="K91" s="5">
        <v>31.7</v>
      </c>
      <c r="L91" s="7">
        <f t="shared" si="12"/>
        <v>40.820189274447948</v>
      </c>
      <c r="M91" s="7">
        <v>18.350000000000001</v>
      </c>
      <c r="N91" s="5" t="s">
        <v>10</v>
      </c>
      <c r="O91" s="5">
        <v>4</v>
      </c>
      <c r="P91" s="6">
        <f t="shared" si="13"/>
        <v>1.3476103006299196</v>
      </c>
      <c r="Q91" s="6">
        <f t="shared" si="14"/>
        <v>0.14015147126551164</v>
      </c>
      <c r="R91" s="10">
        <f t="shared" si="15"/>
        <v>2.9198223180314925E-3</v>
      </c>
      <c r="S91" s="10">
        <f t="shared" si="16"/>
        <v>1.9887050004996944E-2</v>
      </c>
      <c r="T91" s="10">
        <f t="shared" si="17"/>
        <v>2.2806872323028436E-2</v>
      </c>
    </row>
    <row r="92" spans="1:20" x14ac:dyDescent="0.25">
      <c r="A92" s="5" t="s">
        <v>8</v>
      </c>
      <c r="B92" s="5" t="s">
        <v>291</v>
      </c>
      <c r="C92" s="5" t="s">
        <v>27</v>
      </c>
      <c r="D92" s="5" t="s">
        <v>385</v>
      </c>
      <c r="E92" s="5" t="s">
        <v>384</v>
      </c>
      <c r="F92" s="5" t="s">
        <v>45</v>
      </c>
      <c r="G92" s="5" t="s">
        <v>390</v>
      </c>
      <c r="H92" s="5" t="s">
        <v>46</v>
      </c>
      <c r="I92" s="5" t="s">
        <v>51</v>
      </c>
      <c r="J92" s="5">
        <v>1263</v>
      </c>
      <c r="K92" s="5">
        <v>27.6</v>
      </c>
      <c r="L92" s="7">
        <f t="shared" si="12"/>
        <v>45.760869565217391</v>
      </c>
      <c r="M92" s="7">
        <v>20.149999999999999</v>
      </c>
      <c r="N92" s="5" t="s">
        <v>10</v>
      </c>
      <c r="O92" s="5">
        <v>4</v>
      </c>
      <c r="P92" s="6">
        <f t="shared" si="13"/>
        <v>1.6529963891186199</v>
      </c>
      <c r="Q92" s="6">
        <f t="shared" si="14"/>
        <v>0.17191162446833649</v>
      </c>
      <c r="R92" s="10">
        <f t="shared" si="15"/>
        <v>3.5814921764236764E-3</v>
      </c>
      <c r="S92" s="10">
        <f t="shared" si="16"/>
        <v>2.3179339312449272E-2</v>
      </c>
      <c r="T92" s="10">
        <f t="shared" si="17"/>
        <v>2.6760831488872948E-2</v>
      </c>
    </row>
    <row r="93" spans="1:20" x14ac:dyDescent="0.25">
      <c r="A93" s="5" t="s">
        <v>8</v>
      </c>
      <c r="B93" s="5" t="s">
        <v>339</v>
      </c>
      <c r="C93" s="5" t="s">
        <v>27</v>
      </c>
      <c r="D93" s="5" t="s">
        <v>385</v>
      </c>
      <c r="E93" s="5" t="s">
        <v>384</v>
      </c>
      <c r="F93" s="5" t="s">
        <v>45</v>
      </c>
      <c r="G93" s="5" t="s">
        <v>390</v>
      </c>
      <c r="H93" s="5" t="s">
        <v>46</v>
      </c>
      <c r="I93" s="5" t="s">
        <v>343</v>
      </c>
      <c r="J93" s="5">
        <v>917</v>
      </c>
      <c r="K93" s="5">
        <v>21.1</v>
      </c>
      <c r="L93" s="7">
        <f t="shared" si="12"/>
        <v>43.459715639810426</v>
      </c>
      <c r="M93" s="7">
        <v>13.65</v>
      </c>
      <c r="N93" s="5" t="s">
        <v>10</v>
      </c>
      <c r="O93" s="5">
        <v>4</v>
      </c>
      <c r="P93" s="6">
        <f t="shared" si="13"/>
        <v>1.0824880576020304</v>
      </c>
      <c r="Q93" s="6">
        <f t="shared" si="14"/>
        <v>0.11257875799061115</v>
      </c>
      <c r="R93" s="10">
        <f t="shared" si="15"/>
        <v>2.3453907914710655E-3</v>
      </c>
      <c r="S93" s="10">
        <f t="shared" si="16"/>
        <v>1.6873860704511252E-2</v>
      </c>
      <c r="T93" s="10">
        <f t="shared" si="17"/>
        <v>1.9219251495982317E-2</v>
      </c>
    </row>
    <row r="94" spans="1:20" x14ac:dyDescent="0.25">
      <c r="A94" s="5" t="s">
        <v>8</v>
      </c>
      <c r="B94" s="5" t="s">
        <v>161</v>
      </c>
      <c r="C94" s="5" t="s">
        <v>27</v>
      </c>
      <c r="D94" s="5" t="s">
        <v>385</v>
      </c>
      <c r="E94" s="5" t="s">
        <v>384</v>
      </c>
      <c r="F94" s="5" t="s">
        <v>45</v>
      </c>
      <c r="G94" s="5" t="s">
        <v>390</v>
      </c>
      <c r="H94" s="5" t="s">
        <v>46</v>
      </c>
      <c r="I94" s="5" t="s">
        <v>163</v>
      </c>
      <c r="J94" s="5">
        <v>1320</v>
      </c>
      <c r="K94" s="5">
        <v>31</v>
      </c>
      <c r="L94" s="7">
        <f t="shared" si="12"/>
        <v>42.58064516129032</v>
      </c>
      <c r="M94" s="7">
        <v>11.25</v>
      </c>
      <c r="N94" s="5" t="s">
        <v>10</v>
      </c>
      <c r="O94" s="5">
        <v>4</v>
      </c>
      <c r="P94" s="6">
        <f t="shared" si="13"/>
        <v>1.4958168574401665</v>
      </c>
      <c r="Q94" s="6">
        <f t="shared" si="14"/>
        <v>0.1555649531737773</v>
      </c>
      <c r="R94" s="10">
        <f t="shared" si="15"/>
        <v>3.2409365244536938E-3</v>
      </c>
      <c r="S94" s="10">
        <f t="shared" si="16"/>
        <v>2.1505816795006499E-2</v>
      </c>
      <c r="T94" s="10">
        <f t="shared" si="17"/>
        <v>2.4746753319460191E-2</v>
      </c>
    </row>
    <row r="95" spans="1:20" x14ac:dyDescent="0.25">
      <c r="A95" s="5" t="s">
        <v>8</v>
      </c>
      <c r="B95" s="5" t="s">
        <v>369</v>
      </c>
      <c r="C95" s="5" t="s">
        <v>27</v>
      </c>
      <c r="D95" s="5" t="s">
        <v>385</v>
      </c>
      <c r="E95" s="5" t="s">
        <v>384</v>
      </c>
      <c r="F95" s="5" t="s">
        <v>45</v>
      </c>
      <c r="G95" s="5" t="s">
        <v>383</v>
      </c>
      <c r="H95" s="5" t="s">
        <v>83</v>
      </c>
      <c r="I95" s="5" t="s">
        <v>341</v>
      </c>
      <c r="J95" s="5">
        <v>1260</v>
      </c>
      <c r="K95" s="5">
        <v>29.9</v>
      </c>
      <c r="L95" s="7">
        <f t="shared" si="12"/>
        <v>42.140468227424748</v>
      </c>
      <c r="M95" s="7">
        <v>9.5</v>
      </c>
      <c r="N95" s="5" t="s">
        <v>10</v>
      </c>
      <c r="O95" s="5">
        <v>4</v>
      </c>
      <c r="P95" s="6">
        <f t="shared" si="13"/>
        <v>1.3984575116609432</v>
      </c>
      <c r="Q95" s="6">
        <f t="shared" si="14"/>
        <v>0.14543958121273809</v>
      </c>
      <c r="R95" s="10">
        <f t="shared" si="15"/>
        <v>3.029991275265377E-3</v>
      </c>
      <c r="S95" s="10">
        <f t="shared" si="16"/>
        <v>2.0447211129455776E-2</v>
      </c>
      <c r="T95" s="10">
        <f t="shared" si="17"/>
        <v>2.3477202404721152E-2</v>
      </c>
    </row>
    <row r="96" spans="1:20" x14ac:dyDescent="0.25">
      <c r="A96" s="5" t="s">
        <v>8</v>
      </c>
      <c r="B96" s="5" t="s">
        <v>339</v>
      </c>
      <c r="C96" s="5" t="s">
        <v>27</v>
      </c>
      <c r="D96" s="5" t="s">
        <v>385</v>
      </c>
      <c r="E96" s="5" t="s">
        <v>384</v>
      </c>
      <c r="F96" s="5" t="s">
        <v>45</v>
      </c>
      <c r="G96" s="5" t="s">
        <v>383</v>
      </c>
      <c r="H96" s="5" t="s">
        <v>83</v>
      </c>
      <c r="I96" s="5" t="s">
        <v>341</v>
      </c>
      <c r="J96" s="5">
        <v>1103</v>
      </c>
      <c r="K96" s="5">
        <v>27.5</v>
      </c>
      <c r="L96" s="7">
        <f t="shared" si="12"/>
        <v>40.109090909090909</v>
      </c>
      <c r="M96" s="7">
        <v>12.8</v>
      </c>
      <c r="N96" s="5" t="s">
        <v>10</v>
      </c>
      <c r="O96" s="5">
        <v>4</v>
      </c>
      <c r="P96" s="6">
        <f t="shared" si="13"/>
        <v>1.109024567768595</v>
      </c>
      <c r="Q96" s="6">
        <f t="shared" si="14"/>
        <v>0.11533855504793387</v>
      </c>
      <c r="R96" s="10">
        <f t="shared" si="15"/>
        <v>2.4028865634986222E-3</v>
      </c>
      <c r="S96" s="10">
        <f t="shared" si="16"/>
        <v>1.7183158637034863E-2</v>
      </c>
      <c r="T96" s="10">
        <f t="shared" si="17"/>
        <v>1.9586045200533485E-2</v>
      </c>
    </row>
    <row r="97" spans="1:20" x14ac:dyDescent="0.25">
      <c r="A97" s="5" t="s">
        <v>8</v>
      </c>
      <c r="B97" s="5" t="s">
        <v>369</v>
      </c>
      <c r="C97" s="5" t="s">
        <v>27</v>
      </c>
      <c r="D97" s="5" t="s">
        <v>385</v>
      </c>
      <c r="E97" s="5" t="s">
        <v>384</v>
      </c>
      <c r="F97" s="5" t="s">
        <v>45</v>
      </c>
      <c r="G97" s="5" t="s">
        <v>383</v>
      </c>
      <c r="H97" s="5" t="s">
        <v>83</v>
      </c>
      <c r="I97" s="5" t="s">
        <v>340</v>
      </c>
      <c r="J97" s="5">
        <v>1340</v>
      </c>
      <c r="K97" s="5">
        <v>36.5</v>
      </c>
      <c r="L97" s="7">
        <f t="shared" ref="L97:L99" si="18">J97/K97</f>
        <v>36.712328767123289</v>
      </c>
      <c r="M97" s="7">
        <v>6.5</v>
      </c>
      <c r="N97" s="5" t="s">
        <v>10</v>
      </c>
      <c r="O97" s="5">
        <v>4</v>
      </c>
      <c r="P97" s="6">
        <f t="shared" si="13"/>
        <v>1.1287783824357291</v>
      </c>
      <c r="Q97" s="6">
        <f t="shared" si="14"/>
        <v>0.11739295177331582</v>
      </c>
      <c r="R97" s="10">
        <f t="shared" si="15"/>
        <v>2.4456864952774131E-3</v>
      </c>
      <c r="S97" s="10">
        <f t="shared" si="16"/>
        <v>1.7412199601379269E-2</v>
      </c>
      <c r="T97" s="10">
        <f t="shared" ref="T97:T99" si="19">R97+S97</f>
        <v>1.9857886096656681E-2</v>
      </c>
    </row>
    <row r="98" spans="1:20" x14ac:dyDescent="0.25">
      <c r="A98" s="5" t="s">
        <v>8</v>
      </c>
      <c r="B98" s="5" t="s">
        <v>339</v>
      </c>
      <c r="C98" s="5" t="s">
        <v>27</v>
      </c>
      <c r="D98" s="5" t="s">
        <v>385</v>
      </c>
      <c r="E98" s="5" t="s">
        <v>384</v>
      </c>
      <c r="F98" s="5" t="s">
        <v>45</v>
      </c>
      <c r="G98" s="5" t="s">
        <v>383</v>
      </c>
      <c r="H98" s="5" t="s">
        <v>83</v>
      </c>
      <c r="I98" s="5" t="s">
        <v>340</v>
      </c>
      <c r="J98" s="5">
        <v>1009</v>
      </c>
      <c r="K98" s="5">
        <v>22.1</v>
      </c>
      <c r="L98" s="7">
        <f t="shared" si="18"/>
        <v>45.656108597285062</v>
      </c>
      <c r="M98" s="7">
        <v>9.8000000000000007</v>
      </c>
      <c r="N98" s="5" t="s">
        <v>10</v>
      </c>
      <c r="O98" s="5">
        <v>4</v>
      </c>
      <c r="P98" s="6">
        <f t="shared" si="13"/>
        <v>1.314525359073319</v>
      </c>
      <c r="Q98" s="6">
        <f t="shared" si="14"/>
        <v>0.13671063734362518</v>
      </c>
      <c r="R98" s="10">
        <f t="shared" si="15"/>
        <v>2.8481382779921914E-3</v>
      </c>
      <c r="S98" s="10">
        <f t="shared" si="16"/>
        <v>1.9519732008710461E-2</v>
      </c>
      <c r="T98" s="10">
        <f t="shared" si="19"/>
        <v>2.2367870286702653E-2</v>
      </c>
    </row>
    <row r="99" spans="1:20" x14ac:dyDescent="0.25">
      <c r="A99" s="5" t="s">
        <v>8</v>
      </c>
      <c r="B99" s="5" t="s">
        <v>339</v>
      </c>
      <c r="C99" s="5" t="s">
        <v>27</v>
      </c>
      <c r="D99" s="5" t="s">
        <v>385</v>
      </c>
      <c r="E99" s="5" t="s">
        <v>384</v>
      </c>
      <c r="F99" s="5" t="s">
        <v>45</v>
      </c>
      <c r="G99" s="5" t="s">
        <v>383</v>
      </c>
      <c r="H99" s="5" t="s">
        <v>83</v>
      </c>
      <c r="I99" s="5" t="s">
        <v>340</v>
      </c>
      <c r="J99" s="5">
        <v>1023</v>
      </c>
      <c r="K99" s="5">
        <v>26.4</v>
      </c>
      <c r="L99" s="7">
        <f t="shared" si="18"/>
        <v>38.75</v>
      </c>
      <c r="M99" s="7">
        <v>12.55</v>
      </c>
      <c r="N99" s="5" t="s">
        <v>10</v>
      </c>
      <c r="O99" s="5">
        <v>4</v>
      </c>
      <c r="P99" s="6">
        <f t="shared" si="13"/>
        <v>0.96006152343749995</v>
      </c>
      <c r="Q99" s="6">
        <f t="shared" si="14"/>
        <v>9.9846398437499997E-2</v>
      </c>
      <c r="R99" s="10">
        <f t="shared" si="15"/>
        <v>2.0801333007812498E-3</v>
      </c>
      <c r="S99" s="10">
        <f t="shared" si="16"/>
        <v>1.5421315518521045E-2</v>
      </c>
      <c r="T99" s="10">
        <f t="shared" si="19"/>
        <v>1.7501448819302295E-2</v>
      </c>
    </row>
    <row r="101" spans="1:20" x14ac:dyDescent="0.25">
      <c r="K101" s="7"/>
      <c r="L101" s="7"/>
      <c r="M101" s="7"/>
    </row>
    <row r="102" spans="1:20" x14ac:dyDescent="0.25">
      <c r="K102" s="7"/>
      <c r="L102" s="7"/>
      <c r="M102" s="7"/>
    </row>
    <row r="103" spans="1:20" x14ac:dyDescent="0.25">
      <c r="K103" s="7"/>
      <c r="L103" s="7"/>
      <c r="M103" s="7"/>
    </row>
  </sheetData>
  <sortState ref="A2:T99">
    <sortCondition ref="D2:D99"/>
    <sortCondition ref="E2:E99"/>
    <sortCondition ref="F2:F99"/>
    <sortCondition ref="G2:G99"/>
    <sortCondition ref="H2:H99"/>
    <sortCondition ref="I2:I9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4"/>
  <sheetViews>
    <sheetView topLeftCell="H1" workbookViewId="0">
      <pane ySplit="1" topLeftCell="A2" activePane="bottomLeft" state="frozen"/>
      <selection pane="bottomLeft" activeCell="Z12" sqref="Z12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890</v>
      </c>
      <c r="K2" s="7">
        <v>19</v>
      </c>
      <c r="L2" s="7">
        <f>J2/K2</f>
        <v>46.842105263157897</v>
      </c>
      <c r="M2" s="5" t="s">
        <v>9</v>
      </c>
      <c r="N2" s="5">
        <v>4</v>
      </c>
      <c r="O2" s="6">
        <f>(J2*L2^2)/(1.6*10^6)</f>
        <v>1.2205141966759003</v>
      </c>
      <c r="P2" s="6">
        <f>(0.104*J2*L2^2)/(1.6*10^6)</f>
        <v>0.12693347645429362</v>
      </c>
      <c r="Q2" s="10">
        <f>(0.104*O2)/(12*N2)</f>
        <v>2.6444474261311172E-3</v>
      </c>
      <c r="R2" s="10">
        <f>0.0159*O2^0.75</f>
        <v>1.8463084224508496E-2</v>
      </c>
      <c r="S2" s="10">
        <f>Q2+R2</f>
        <v>2.1107531650639614E-2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850</v>
      </c>
      <c r="K3" s="7">
        <v>13</v>
      </c>
      <c r="L3" s="7">
        <f>J3/K3</f>
        <v>65.384615384615387</v>
      </c>
      <c r="M3" s="5" t="s">
        <v>9</v>
      </c>
      <c r="N3" s="5">
        <v>4</v>
      </c>
      <c r="O3" s="6">
        <f>(J3*L3^2)/(1.6*10^6)</f>
        <v>2.2711723372781067</v>
      </c>
      <c r="P3" s="6">
        <f>(0.104*J3*L3^2)/(1.6*10^6)</f>
        <v>0.23620192307692309</v>
      </c>
      <c r="Q3" s="10">
        <f>(0.104*O3)/(12*N3)</f>
        <v>4.9208733974358976E-3</v>
      </c>
      <c r="R3" s="10">
        <f>0.0159*O3^0.75</f>
        <v>2.9416072803725764E-2</v>
      </c>
      <c r="S3" s="10">
        <f>Q3+R3</f>
        <v>3.4336946201161664E-2</v>
      </c>
    </row>
    <row r="4" spans="1:19" x14ac:dyDescent="0.25">
      <c r="A4" s="5" t="s">
        <v>22</v>
      </c>
      <c r="B4" s="5" t="s">
        <v>63</v>
      </c>
      <c r="C4" s="5" t="s">
        <v>27</v>
      </c>
      <c r="D4" s="5" t="s">
        <v>389</v>
      </c>
      <c r="E4" s="5" t="s">
        <v>388</v>
      </c>
      <c r="F4" s="5" t="s">
        <v>28</v>
      </c>
      <c r="G4" s="5" t="s">
        <v>398</v>
      </c>
      <c r="H4" s="5" t="s">
        <v>133</v>
      </c>
      <c r="I4" s="5" t="s">
        <v>25</v>
      </c>
      <c r="J4" s="15">
        <v>1900</v>
      </c>
      <c r="K4" s="7">
        <v>50</v>
      </c>
      <c r="L4" s="7">
        <f>J4/K4</f>
        <v>38</v>
      </c>
      <c r="M4" s="5" t="s">
        <v>9</v>
      </c>
      <c r="N4" s="5">
        <v>4</v>
      </c>
      <c r="O4" s="6">
        <f>(J4*L4^2)/(1.6*10^6)</f>
        <v>1.71475</v>
      </c>
      <c r="P4" s="6">
        <f>(0.104*J4*L4^2)/(1.6*10^6)</f>
        <v>0.17833399999999996</v>
      </c>
      <c r="Q4" s="10">
        <f>(0.104*O4)/(12*N4)</f>
        <v>3.7152916666666667E-3</v>
      </c>
      <c r="R4" s="10">
        <f>0.0159*O4^0.75</f>
        <v>2.3825813226263679E-2</v>
      </c>
      <c r="S4" s="10">
        <f>Q4+R4</f>
        <v>2.7541104892930345E-2</v>
      </c>
    </row>
    <row r="5" spans="1:19" x14ac:dyDescent="0.25">
      <c r="A5" s="5" t="s">
        <v>8</v>
      </c>
      <c r="B5" s="5" t="s">
        <v>277</v>
      </c>
      <c r="C5" s="5" t="s">
        <v>27</v>
      </c>
      <c r="D5" s="5" t="s">
        <v>385</v>
      </c>
      <c r="E5" s="5" t="s">
        <v>387</v>
      </c>
      <c r="F5" s="5" t="s">
        <v>52</v>
      </c>
      <c r="G5" s="5" t="s">
        <v>386</v>
      </c>
      <c r="H5" s="5" t="s">
        <v>58</v>
      </c>
      <c r="I5" s="5" t="s">
        <v>278</v>
      </c>
      <c r="J5" s="15">
        <v>1640</v>
      </c>
      <c r="K5" s="7">
        <v>34.5</v>
      </c>
      <c r="L5" s="7">
        <f t="shared" ref="L5:L67" si="0">J5/K5</f>
        <v>47.536231884057969</v>
      </c>
      <c r="M5" s="5" t="s">
        <v>9</v>
      </c>
      <c r="N5" s="5">
        <v>4</v>
      </c>
      <c r="O5" s="6">
        <f t="shared" ref="O5:O67" si="1">(J5*L5^2)/(1.6*10^6)</f>
        <v>2.316185675278303</v>
      </c>
      <c r="P5" s="6">
        <f t="shared" ref="P5:P67" si="2">(0.104*J5*L5^2)/(1.6*10^6)</f>
        <v>0.24088331022894349</v>
      </c>
      <c r="Q5" s="10">
        <f t="shared" ref="Q5:Q67" si="3">(0.104*O5)/(12*N5)</f>
        <v>5.0184022964363225E-3</v>
      </c>
      <c r="R5" s="10">
        <f t="shared" ref="R5:R67" si="4">0.0159*O5^0.75</f>
        <v>2.9852255693463999E-2</v>
      </c>
      <c r="S5" s="10">
        <f t="shared" ref="S5:S67" si="5">Q5+R5</f>
        <v>3.4870657989900321E-2</v>
      </c>
    </row>
    <row r="6" spans="1:19" x14ac:dyDescent="0.25">
      <c r="A6" s="5" t="s">
        <v>8</v>
      </c>
      <c r="B6" s="5" t="s">
        <v>291</v>
      </c>
      <c r="C6" s="5" t="s">
        <v>27</v>
      </c>
      <c r="D6" s="5" t="s">
        <v>385</v>
      </c>
      <c r="E6" s="5" t="s">
        <v>387</v>
      </c>
      <c r="F6" s="5" t="s">
        <v>52</v>
      </c>
      <c r="G6" s="5" t="s">
        <v>386</v>
      </c>
      <c r="H6" s="5" t="s">
        <v>58</v>
      </c>
      <c r="I6" s="5" t="s">
        <v>278</v>
      </c>
      <c r="J6" s="15">
        <v>1650</v>
      </c>
      <c r="K6" s="7">
        <v>36.5</v>
      </c>
      <c r="L6" s="7">
        <f t="shared" si="0"/>
        <v>45.205479452054796</v>
      </c>
      <c r="M6" s="5" t="s">
        <v>9</v>
      </c>
      <c r="N6" s="5">
        <v>4</v>
      </c>
      <c r="O6" s="6">
        <f t="shared" si="1"/>
        <v>2.1073958528804653</v>
      </c>
      <c r="P6" s="6">
        <f t="shared" si="2"/>
        <v>0.2191691686995684</v>
      </c>
      <c r="Q6" s="10">
        <f t="shared" si="3"/>
        <v>4.5660243479076741E-3</v>
      </c>
      <c r="R6" s="10">
        <f t="shared" si="4"/>
        <v>2.7810366682914086E-2</v>
      </c>
      <c r="S6" s="10">
        <f t="shared" si="5"/>
        <v>3.2376391030821759E-2</v>
      </c>
    </row>
    <row r="7" spans="1:19" x14ac:dyDescent="0.25">
      <c r="A7" s="5" t="s">
        <v>8</v>
      </c>
      <c r="B7" s="5" t="s">
        <v>291</v>
      </c>
      <c r="C7" s="5" t="s">
        <v>27</v>
      </c>
      <c r="D7" s="5" t="s">
        <v>385</v>
      </c>
      <c r="E7" s="5" t="s">
        <v>387</v>
      </c>
      <c r="F7" s="5" t="s">
        <v>52</v>
      </c>
      <c r="G7" s="5" t="s">
        <v>386</v>
      </c>
      <c r="H7" s="5" t="s">
        <v>58</v>
      </c>
      <c r="I7" s="5" t="s">
        <v>257</v>
      </c>
      <c r="J7" s="15">
        <v>3200</v>
      </c>
      <c r="K7" s="7">
        <v>50</v>
      </c>
      <c r="L7" s="7">
        <f t="shared" si="0"/>
        <v>64</v>
      </c>
      <c r="M7" s="5" t="s">
        <v>9</v>
      </c>
      <c r="N7" s="5">
        <v>4</v>
      </c>
      <c r="O7" s="6">
        <f t="shared" si="1"/>
        <v>8.1920000000000002</v>
      </c>
      <c r="P7" s="6">
        <f t="shared" si="2"/>
        <v>0.85196800000000006</v>
      </c>
      <c r="Q7" s="10">
        <f t="shared" si="3"/>
        <v>1.7749333333333332E-2</v>
      </c>
      <c r="R7" s="10">
        <f t="shared" si="4"/>
        <v>7.6990932905730558E-2</v>
      </c>
      <c r="S7" s="10">
        <f t="shared" si="5"/>
        <v>9.4740266239063897E-2</v>
      </c>
    </row>
    <row r="8" spans="1:19" x14ac:dyDescent="0.25">
      <c r="A8" s="5" t="s">
        <v>8</v>
      </c>
      <c r="B8" s="5" t="s">
        <v>291</v>
      </c>
      <c r="C8" s="5" t="s">
        <v>27</v>
      </c>
      <c r="D8" s="5" t="s">
        <v>385</v>
      </c>
      <c r="E8" s="5" t="s">
        <v>387</v>
      </c>
      <c r="F8" s="5" t="s">
        <v>52</v>
      </c>
      <c r="G8" s="5" t="s">
        <v>386</v>
      </c>
      <c r="H8" s="5" t="s">
        <v>58</v>
      </c>
      <c r="I8" s="5" t="s">
        <v>292</v>
      </c>
      <c r="J8" s="15">
        <v>2200</v>
      </c>
      <c r="K8" s="7">
        <v>30.5</v>
      </c>
      <c r="L8" s="7">
        <f t="shared" si="0"/>
        <v>72.131147540983605</v>
      </c>
      <c r="M8" s="5" t="s">
        <v>9</v>
      </c>
      <c r="N8" s="5">
        <v>4</v>
      </c>
      <c r="O8" s="6">
        <f t="shared" si="1"/>
        <v>7.153990862671324</v>
      </c>
      <c r="P8" s="6">
        <f t="shared" si="2"/>
        <v>0.74401504971781773</v>
      </c>
      <c r="Q8" s="10">
        <f t="shared" si="3"/>
        <v>1.5500313535787867E-2</v>
      </c>
      <c r="R8" s="10">
        <f t="shared" si="4"/>
        <v>6.9551805788942461E-2</v>
      </c>
      <c r="S8" s="10">
        <f t="shared" si="5"/>
        <v>8.5052119324730335E-2</v>
      </c>
    </row>
    <row r="9" spans="1:19" x14ac:dyDescent="0.25">
      <c r="A9" s="5" t="s">
        <v>22</v>
      </c>
      <c r="B9" s="5" t="s">
        <v>26</v>
      </c>
      <c r="C9" s="5" t="s">
        <v>27</v>
      </c>
      <c r="D9" s="5" t="s">
        <v>385</v>
      </c>
      <c r="E9" s="5" t="s">
        <v>387</v>
      </c>
      <c r="F9" s="5" t="s">
        <v>52</v>
      </c>
      <c r="G9" s="5" t="s">
        <v>386</v>
      </c>
      <c r="H9" s="5" t="s">
        <v>58</v>
      </c>
      <c r="I9" s="5" t="s">
        <v>59</v>
      </c>
      <c r="J9" s="15">
        <v>1650</v>
      </c>
      <c r="K9" s="7">
        <v>33</v>
      </c>
      <c r="L9" s="7">
        <f t="shared" si="0"/>
        <v>50</v>
      </c>
      <c r="M9" s="5" t="s">
        <v>9</v>
      </c>
      <c r="N9" s="5">
        <v>4</v>
      </c>
      <c r="O9" s="6">
        <f t="shared" si="1"/>
        <v>2.578125</v>
      </c>
      <c r="P9" s="6">
        <f t="shared" si="2"/>
        <v>0.268125</v>
      </c>
      <c r="Q9" s="10">
        <f t="shared" si="3"/>
        <v>5.5859374999999998E-3</v>
      </c>
      <c r="R9" s="10">
        <f t="shared" si="4"/>
        <v>3.2350060856390632E-2</v>
      </c>
      <c r="S9" s="10">
        <f t="shared" si="5"/>
        <v>3.7935998356390631E-2</v>
      </c>
    </row>
    <row r="10" spans="1:19" x14ac:dyDescent="0.25">
      <c r="A10" s="5" t="s">
        <v>8</v>
      </c>
      <c r="B10" s="5" t="s">
        <v>291</v>
      </c>
      <c r="C10" s="5" t="s">
        <v>27</v>
      </c>
      <c r="D10" s="5" t="s">
        <v>385</v>
      </c>
      <c r="E10" s="5" t="s">
        <v>387</v>
      </c>
      <c r="F10" s="5" t="s">
        <v>52</v>
      </c>
      <c r="G10" s="5" t="s">
        <v>386</v>
      </c>
      <c r="H10" s="5" t="s">
        <v>58</v>
      </c>
      <c r="I10" s="5" t="s">
        <v>59</v>
      </c>
      <c r="J10" s="15">
        <v>1650</v>
      </c>
      <c r="K10" s="7">
        <v>33</v>
      </c>
      <c r="L10" s="7">
        <f t="shared" si="0"/>
        <v>50</v>
      </c>
      <c r="M10" s="5" t="s">
        <v>9</v>
      </c>
      <c r="N10" s="5">
        <v>4</v>
      </c>
      <c r="O10" s="6">
        <f t="shared" si="1"/>
        <v>2.578125</v>
      </c>
      <c r="P10" s="6">
        <f t="shared" si="2"/>
        <v>0.268125</v>
      </c>
      <c r="Q10" s="10">
        <f t="shared" si="3"/>
        <v>5.5859374999999998E-3</v>
      </c>
      <c r="R10" s="10">
        <f t="shared" si="4"/>
        <v>3.2350060856390632E-2</v>
      </c>
      <c r="S10" s="10">
        <f t="shared" si="5"/>
        <v>3.7935998356390631E-2</v>
      </c>
    </row>
    <row r="11" spans="1:19" x14ac:dyDescent="0.25">
      <c r="A11" s="5" t="s">
        <v>8</v>
      </c>
      <c r="B11" s="5" t="s">
        <v>291</v>
      </c>
      <c r="C11" s="5" t="s">
        <v>27</v>
      </c>
      <c r="D11" s="5" t="s">
        <v>385</v>
      </c>
      <c r="E11" s="5" t="s">
        <v>387</v>
      </c>
      <c r="F11" s="5" t="s">
        <v>52</v>
      </c>
      <c r="G11" s="5" t="s">
        <v>386</v>
      </c>
      <c r="H11" s="5" t="s">
        <v>58</v>
      </c>
      <c r="I11" s="5" t="s">
        <v>59</v>
      </c>
      <c r="J11" s="15">
        <v>1650</v>
      </c>
      <c r="K11" s="7">
        <v>28</v>
      </c>
      <c r="L11" s="7">
        <f t="shared" si="0"/>
        <v>58.928571428571431</v>
      </c>
      <c r="M11" s="5" t="s">
        <v>9</v>
      </c>
      <c r="N11" s="5">
        <v>4</v>
      </c>
      <c r="O11" s="6">
        <f t="shared" si="1"/>
        <v>3.581094547193878</v>
      </c>
      <c r="P11" s="6">
        <f t="shared" si="2"/>
        <v>0.37243383290816329</v>
      </c>
      <c r="Q11" s="10">
        <f t="shared" si="3"/>
        <v>7.7590381855867354E-3</v>
      </c>
      <c r="R11" s="10">
        <f t="shared" si="4"/>
        <v>4.1391290283335047E-2</v>
      </c>
      <c r="S11" s="10">
        <f t="shared" si="5"/>
        <v>4.9150328468921783E-2</v>
      </c>
    </row>
    <row r="12" spans="1:19" x14ac:dyDescent="0.25">
      <c r="A12" s="5" t="s">
        <v>8</v>
      </c>
      <c r="B12" s="5" t="s">
        <v>291</v>
      </c>
      <c r="C12" s="5" t="s">
        <v>27</v>
      </c>
      <c r="D12" s="5" t="s">
        <v>385</v>
      </c>
      <c r="E12" s="5" t="s">
        <v>387</v>
      </c>
      <c r="F12" s="5" t="s">
        <v>52</v>
      </c>
      <c r="G12" s="5" t="s">
        <v>386</v>
      </c>
      <c r="H12" s="5" t="s">
        <v>58</v>
      </c>
      <c r="I12" s="5" t="s">
        <v>59</v>
      </c>
      <c r="J12" s="15">
        <v>1650</v>
      </c>
      <c r="K12" s="7">
        <v>21</v>
      </c>
      <c r="L12" s="7">
        <f t="shared" si="0"/>
        <v>78.571428571428569</v>
      </c>
      <c r="M12" s="5" t="s">
        <v>9</v>
      </c>
      <c r="N12" s="5">
        <v>4</v>
      </c>
      <c r="O12" s="6">
        <f t="shared" si="1"/>
        <v>6.3663903061224483</v>
      </c>
      <c r="P12" s="6">
        <f t="shared" si="2"/>
        <v>0.66210459183673465</v>
      </c>
      <c r="Q12" s="10">
        <f t="shared" si="3"/>
        <v>1.3793845663265303E-2</v>
      </c>
      <c r="R12" s="10">
        <f t="shared" si="4"/>
        <v>6.3726060232505155E-2</v>
      </c>
      <c r="S12" s="10">
        <f t="shared" si="5"/>
        <v>7.7519905895770458E-2</v>
      </c>
    </row>
    <row r="13" spans="1:19" x14ac:dyDescent="0.25">
      <c r="A13" s="5" t="s">
        <v>8</v>
      </c>
      <c r="B13" s="5" t="s">
        <v>291</v>
      </c>
      <c r="C13" s="5" t="s">
        <v>27</v>
      </c>
      <c r="D13" s="5" t="s">
        <v>385</v>
      </c>
      <c r="E13" s="5" t="s">
        <v>387</v>
      </c>
      <c r="F13" s="5" t="s">
        <v>52</v>
      </c>
      <c r="G13" s="5" t="s">
        <v>386</v>
      </c>
      <c r="H13" s="5" t="s">
        <v>58</v>
      </c>
      <c r="I13" s="5" t="s">
        <v>59</v>
      </c>
      <c r="J13" s="15">
        <v>1800</v>
      </c>
      <c r="K13" s="7">
        <v>35.5</v>
      </c>
      <c r="L13" s="7">
        <f t="shared" si="0"/>
        <v>50.70422535211268</v>
      </c>
      <c r="M13" s="5" t="s">
        <v>9</v>
      </c>
      <c r="N13" s="5">
        <v>4</v>
      </c>
      <c r="O13" s="6">
        <f t="shared" si="1"/>
        <v>2.8922832771275542</v>
      </c>
      <c r="P13" s="6">
        <f t="shared" si="2"/>
        <v>0.30079746082126563</v>
      </c>
      <c r="Q13" s="10">
        <f t="shared" si="3"/>
        <v>6.2666137671097003E-3</v>
      </c>
      <c r="R13" s="10">
        <f t="shared" si="4"/>
        <v>3.526368912472827E-2</v>
      </c>
      <c r="S13" s="10">
        <f t="shared" si="5"/>
        <v>4.153030289183797E-2</v>
      </c>
    </row>
    <row r="14" spans="1:19" x14ac:dyDescent="0.25">
      <c r="A14" s="5" t="s">
        <v>8</v>
      </c>
      <c r="B14" s="5" t="s">
        <v>319</v>
      </c>
      <c r="C14" s="5" t="s">
        <v>27</v>
      </c>
      <c r="D14" s="5" t="s">
        <v>385</v>
      </c>
      <c r="E14" s="5" t="s">
        <v>387</v>
      </c>
      <c r="F14" s="5" t="s">
        <v>52</v>
      </c>
      <c r="G14" s="5" t="s">
        <v>386</v>
      </c>
      <c r="H14" s="5" t="s">
        <v>58</v>
      </c>
      <c r="I14" s="5" t="s">
        <v>59</v>
      </c>
      <c r="J14" s="15">
        <v>1850</v>
      </c>
      <c r="K14" s="7">
        <v>35</v>
      </c>
      <c r="L14" s="7">
        <f t="shared" si="0"/>
        <v>52.857142857142854</v>
      </c>
      <c r="M14" s="5" t="s">
        <v>9</v>
      </c>
      <c r="N14" s="5">
        <v>4</v>
      </c>
      <c r="O14" s="6">
        <f t="shared" si="1"/>
        <v>3.2304209183673462</v>
      </c>
      <c r="P14" s="6">
        <f t="shared" si="2"/>
        <v>0.33596377551020401</v>
      </c>
      <c r="Q14" s="10">
        <f t="shared" si="3"/>
        <v>6.9992453231292502E-3</v>
      </c>
      <c r="R14" s="10">
        <f t="shared" si="4"/>
        <v>3.8312585381453851E-2</v>
      </c>
      <c r="S14" s="10">
        <f t="shared" si="5"/>
        <v>4.5311830704583098E-2</v>
      </c>
    </row>
    <row r="15" spans="1:19" x14ac:dyDescent="0.25">
      <c r="A15" s="5" t="s">
        <v>8</v>
      </c>
      <c r="B15" s="5" t="s">
        <v>291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295</v>
      </c>
      <c r="J15" s="15">
        <v>2000</v>
      </c>
      <c r="K15" s="7">
        <v>35</v>
      </c>
      <c r="L15" s="7">
        <f t="shared" si="0"/>
        <v>57.142857142857146</v>
      </c>
      <c r="M15" s="5" t="s">
        <v>9</v>
      </c>
      <c r="N15" s="5">
        <v>4</v>
      </c>
      <c r="O15" s="6">
        <f t="shared" si="1"/>
        <v>4.0816326530612246</v>
      </c>
      <c r="P15" s="6">
        <f t="shared" si="2"/>
        <v>0.42448979591836739</v>
      </c>
      <c r="Q15" s="10">
        <f t="shared" si="3"/>
        <v>8.8435374149659855E-3</v>
      </c>
      <c r="R15" s="10">
        <f t="shared" si="4"/>
        <v>4.5658596864765109E-2</v>
      </c>
      <c r="S15" s="10">
        <f t="shared" si="5"/>
        <v>5.4502134279731093E-2</v>
      </c>
    </row>
    <row r="16" spans="1:19" x14ac:dyDescent="0.25">
      <c r="A16" s="5" t="s">
        <v>22</v>
      </c>
      <c r="B16" s="5" t="s">
        <v>26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60</v>
      </c>
      <c r="J16" s="15">
        <v>2050</v>
      </c>
      <c r="K16" s="7">
        <v>33.5</v>
      </c>
      <c r="L16" s="7">
        <f t="shared" si="0"/>
        <v>61.194029850746269</v>
      </c>
      <c r="M16" s="5" t="s">
        <v>9</v>
      </c>
      <c r="N16" s="5">
        <v>4</v>
      </c>
      <c r="O16" s="6">
        <f t="shared" si="1"/>
        <v>4.7979087770104698</v>
      </c>
      <c r="P16" s="6">
        <f t="shared" si="2"/>
        <v>0.4989825128090889</v>
      </c>
      <c r="Q16" s="10">
        <f t="shared" si="3"/>
        <v>1.0395469016856018E-2</v>
      </c>
      <c r="R16" s="10">
        <f t="shared" si="4"/>
        <v>5.1544948987063487E-2</v>
      </c>
      <c r="S16" s="10">
        <f t="shared" si="5"/>
        <v>6.1940418003919501E-2</v>
      </c>
    </row>
    <row r="17" spans="1:19" x14ac:dyDescent="0.25">
      <c r="A17" s="5" t="s">
        <v>8</v>
      </c>
      <c r="B17" s="5" t="s">
        <v>291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60</v>
      </c>
      <c r="J17" s="15">
        <v>1900</v>
      </c>
      <c r="K17" s="7">
        <v>30</v>
      </c>
      <c r="L17" s="7">
        <f t="shared" si="0"/>
        <v>63.333333333333336</v>
      </c>
      <c r="M17" s="5" t="s">
        <v>9</v>
      </c>
      <c r="N17" s="5">
        <v>4</v>
      </c>
      <c r="O17" s="6">
        <f t="shared" si="1"/>
        <v>4.7631944444444452</v>
      </c>
      <c r="P17" s="6">
        <f t="shared" si="2"/>
        <v>0.49537222222222227</v>
      </c>
      <c r="Q17" s="10">
        <f t="shared" si="3"/>
        <v>1.0320254629629631E-2</v>
      </c>
      <c r="R17" s="10">
        <f t="shared" si="4"/>
        <v>5.1264987686204244E-2</v>
      </c>
      <c r="S17" s="10">
        <f t="shared" si="5"/>
        <v>6.1585242315833871E-2</v>
      </c>
    </row>
    <row r="18" spans="1:19" x14ac:dyDescent="0.25">
      <c r="A18" s="5" t="s">
        <v>8</v>
      </c>
      <c r="B18" s="5" t="s">
        <v>291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60</v>
      </c>
      <c r="J18" s="15">
        <v>2050</v>
      </c>
      <c r="K18" s="7">
        <v>33.5</v>
      </c>
      <c r="L18" s="7">
        <f t="shared" si="0"/>
        <v>61.194029850746269</v>
      </c>
      <c r="M18" s="5" t="s">
        <v>9</v>
      </c>
      <c r="N18" s="5">
        <v>4</v>
      </c>
      <c r="O18" s="6">
        <f t="shared" si="1"/>
        <v>4.7979087770104698</v>
      </c>
      <c r="P18" s="6">
        <f t="shared" si="2"/>
        <v>0.4989825128090889</v>
      </c>
      <c r="Q18" s="10">
        <f t="shared" si="3"/>
        <v>1.0395469016856018E-2</v>
      </c>
      <c r="R18" s="10">
        <f t="shared" si="4"/>
        <v>5.1544948987063487E-2</v>
      </c>
      <c r="S18" s="10">
        <f t="shared" si="5"/>
        <v>6.1940418003919501E-2</v>
      </c>
    </row>
    <row r="19" spans="1:19" x14ac:dyDescent="0.25">
      <c r="A19" s="5" t="s">
        <v>22</v>
      </c>
      <c r="B19" s="5" t="s">
        <v>26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61</v>
      </c>
      <c r="J19" s="15">
        <v>2550</v>
      </c>
      <c r="K19" s="7">
        <v>35</v>
      </c>
      <c r="L19" s="7">
        <f t="shared" si="0"/>
        <v>72.857142857142861</v>
      </c>
      <c r="M19" s="5" t="s">
        <v>9</v>
      </c>
      <c r="N19" s="5">
        <v>4</v>
      </c>
      <c r="O19" s="6">
        <f t="shared" si="1"/>
        <v>8.459885204081635</v>
      </c>
      <c r="P19" s="6">
        <f t="shared" si="2"/>
        <v>0.87982806122448998</v>
      </c>
      <c r="Q19" s="10">
        <f t="shared" si="3"/>
        <v>1.8329751275510207E-2</v>
      </c>
      <c r="R19" s="10">
        <f t="shared" si="4"/>
        <v>7.8871568346940854E-2</v>
      </c>
      <c r="S19" s="10">
        <f t="shared" si="5"/>
        <v>9.7201319622451057E-2</v>
      </c>
    </row>
    <row r="20" spans="1:19" x14ac:dyDescent="0.25">
      <c r="A20" s="5" t="s">
        <v>8</v>
      </c>
      <c r="B20" s="5" t="s">
        <v>291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61</v>
      </c>
      <c r="J20" s="15">
        <v>2600</v>
      </c>
      <c r="K20" s="7">
        <v>35</v>
      </c>
      <c r="L20" s="7">
        <f t="shared" si="0"/>
        <v>74.285714285714292</v>
      </c>
      <c r="M20" s="5" t="s">
        <v>9</v>
      </c>
      <c r="N20" s="5">
        <v>4</v>
      </c>
      <c r="O20" s="6">
        <f t="shared" si="1"/>
        <v>8.9673469387755116</v>
      </c>
      <c r="P20" s="6">
        <f t="shared" si="2"/>
        <v>0.93260408163265329</v>
      </c>
      <c r="Q20" s="10">
        <f t="shared" si="3"/>
        <v>1.9429251700680276E-2</v>
      </c>
      <c r="R20" s="10">
        <f t="shared" si="4"/>
        <v>8.2393908285298398E-2</v>
      </c>
      <c r="S20" s="10">
        <f t="shared" si="5"/>
        <v>0.10182315998597867</v>
      </c>
    </row>
    <row r="21" spans="1:19" x14ac:dyDescent="0.25">
      <c r="A21" s="5" t="s">
        <v>8</v>
      </c>
      <c r="B21" s="5" t="s">
        <v>291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61</v>
      </c>
      <c r="J21" s="15">
        <v>2350</v>
      </c>
      <c r="K21" s="7">
        <v>30</v>
      </c>
      <c r="L21" s="7">
        <f t="shared" si="0"/>
        <v>78.333333333333329</v>
      </c>
      <c r="M21" s="5" t="s">
        <v>9</v>
      </c>
      <c r="N21" s="5">
        <v>4</v>
      </c>
      <c r="O21" s="6">
        <f t="shared" si="1"/>
        <v>9.0124131944444432</v>
      </c>
      <c r="P21" s="6">
        <f t="shared" si="2"/>
        <v>0.93729097222222202</v>
      </c>
      <c r="Q21" s="10">
        <f t="shared" si="3"/>
        <v>1.9526895254629625E-2</v>
      </c>
      <c r="R21" s="10">
        <f t="shared" si="4"/>
        <v>8.2704272421860542E-2</v>
      </c>
      <c r="S21" s="10">
        <f t="shared" si="5"/>
        <v>0.10223116767649017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61</v>
      </c>
      <c r="J22" s="15">
        <v>2600</v>
      </c>
      <c r="K22" s="7">
        <v>30</v>
      </c>
      <c r="L22" s="7">
        <f t="shared" si="0"/>
        <v>86.666666666666671</v>
      </c>
      <c r="M22" s="5" t="s">
        <v>9</v>
      </c>
      <c r="N22" s="5">
        <v>4</v>
      </c>
      <c r="O22" s="6">
        <f t="shared" si="1"/>
        <v>12.205555555555557</v>
      </c>
      <c r="P22" s="6">
        <f t="shared" si="2"/>
        <v>1.2693777777777777</v>
      </c>
      <c r="Q22" s="10">
        <f t="shared" si="3"/>
        <v>2.6445370370370373E-2</v>
      </c>
      <c r="R22" s="10">
        <f t="shared" si="4"/>
        <v>0.10382819119660902</v>
      </c>
      <c r="S22" s="10">
        <f t="shared" si="5"/>
        <v>0.13027356156697939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61</v>
      </c>
      <c r="J23" s="15">
        <v>2550</v>
      </c>
      <c r="K23" s="7">
        <v>35</v>
      </c>
      <c r="L23" s="7">
        <f t="shared" si="0"/>
        <v>72.857142857142861</v>
      </c>
      <c r="M23" s="5" t="s">
        <v>9</v>
      </c>
      <c r="N23" s="5">
        <v>4</v>
      </c>
      <c r="O23" s="6">
        <f t="shared" si="1"/>
        <v>8.459885204081635</v>
      </c>
      <c r="P23" s="6">
        <f t="shared" si="2"/>
        <v>0.87982806122448998</v>
      </c>
      <c r="Q23" s="10">
        <f t="shared" si="3"/>
        <v>1.8329751275510207E-2</v>
      </c>
      <c r="R23" s="10">
        <f t="shared" si="4"/>
        <v>7.8871568346940854E-2</v>
      </c>
      <c r="S23" s="10">
        <f t="shared" si="5"/>
        <v>9.7201319622451057E-2</v>
      </c>
    </row>
    <row r="24" spans="1:19" x14ac:dyDescent="0.25">
      <c r="A24" s="5" t="s">
        <v>8</v>
      </c>
      <c r="B24" s="5" t="s">
        <v>319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61</v>
      </c>
      <c r="J24" s="15">
        <v>2400</v>
      </c>
      <c r="K24" s="7">
        <v>30</v>
      </c>
      <c r="L24" s="7">
        <f t="shared" si="0"/>
        <v>80</v>
      </c>
      <c r="M24" s="5" t="s">
        <v>9</v>
      </c>
      <c r="N24" s="5">
        <v>4</v>
      </c>
      <c r="O24" s="6">
        <f t="shared" si="1"/>
        <v>9.6</v>
      </c>
      <c r="P24" s="6">
        <f t="shared" si="2"/>
        <v>0.99839999999999995</v>
      </c>
      <c r="Q24" s="10">
        <f t="shared" si="3"/>
        <v>2.0799999999999999E-2</v>
      </c>
      <c r="R24" s="10">
        <f t="shared" si="4"/>
        <v>8.671626204879955E-2</v>
      </c>
      <c r="S24" s="10">
        <f t="shared" si="5"/>
        <v>0.10751626204879955</v>
      </c>
    </row>
    <row r="25" spans="1:19" x14ac:dyDescent="0.25">
      <c r="A25" s="5" t="s">
        <v>22</v>
      </c>
      <c r="B25" s="5" t="s">
        <v>63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97</v>
      </c>
      <c r="I25" s="5" t="s">
        <v>61</v>
      </c>
      <c r="J25" s="15">
        <v>2600</v>
      </c>
      <c r="K25" s="7">
        <v>35</v>
      </c>
      <c r="L25" s="7">
        <f t="shared" si="0"/>
        <v>74.285714285714292</v>
      </c>
      <c r="M25" s="5" t="s">
        <v>9</v>
      </c>
      <c r="N25" s="5">
        <v>4</v>
      </c>
      <c r="O25" s="6">
        <f t="shared" si="1"/>
        <v>8.9673469387755116</v>
      </c>
      <c r="P25" s="6">
        <f t="shared" si="2"/>
        <v>0.93260408163265329</v>
      </c>
      <c r="Q25" s="10">
        <f t="shared" si="3"/>
        <v>1.9429251700680276E-2</v>
      </c>
      <c r="R25" s="10">
        <f t="shared" si="4"/>
        <v>8.2393908285298398E-2</v>
      </c>
      <c r="S25" s="10">
        <f t="shared" si="5"/>
        <v>0.10182315998597867</v>
      </c>
    </row>
    <row r="26" spans="1:19" x14ac:dyDescent="0.25">
      <c r="A26" s="5" t="s">
        <v>8</v>
      </c>
      <c r="B26" s="5" t="s">
        <v>287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102</v>
      </c>
      <c r="I26" s="5" t="s">
        <v>218</v>
      </c>
      <c r="J26" s="15">
        <v>2300</v>
      </c>
      <c r="K26" s="7">
        <v>35.700000000000003</v>
      </c>
      <c r="L26" s="7">
        <f t="shared" si="0"/>
        <v>64.425770308123248</v>
      </c>
      <c r="M26" s="5" t="s">
        <v>9</v>
      </c>
      <c r="N26" s="5">
        <v>4</v>
      </c>
      <c r="O26" s="6">
        <f t="shared" si="1"/>
        <v>5.9666023272053916</v>
      </c>
      <c r="P26" s="6">
        <f t="shared" si="2"/>
        <v>0.6205266420293607</v>
      </c>
      <c r="Q26" s="10">
        <f t="shared" si="3"/>
        <v>1.2927638375611681E-2</v>
      </c>
      <c r="R26" s="10">
        <f t="shared" si="4"/>
        <v>6.0700524564906364E-2</v>
      </c>
      <c r="S26" s="10">
        <f t="shared" si="5"/>
        <v>7.3628162940518049E-2</v>
      </c>
    </row>
    <row r="27" spans="1:19" x14ac:dyDescent="0.25">
      <c r="A27" s="5" t="s">
        <v>22</v>
      </c>
      <c r="B27" s="5" t="s">
        <v>63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98</v>
      </c>
      <c r="I27" s="5" t="s">
        <v>99</v>
      </c>
      <c r="J27" s="15">
        <v>2950</v>
      </c>
      <c r="K27" s="7">
        <v>38</v>
      </c>
      <c r="L27" s="7">
        <f t="shared" si="0"/>
        <v>77.631578947368425</v>
      </c>
      <c r="M27" s="5" t="s">
        <v>9</v>
      </c>
      <c r="N27" s="5">
        <v>4</v>
      </c>
      <c r="O27" s="6">
        <f t="shared" si="1"/>
        <v>11.111658154432133</v>
      </c>
      <c r="P27" s="6">
        <f t="shared" si="2"/>
        <v>1.155612448060942</v>
      </c>
      <c r="Q27" s="10">
        <f t="shared" si="3"/>
        <v>2.4075259334602955E-2</v>
      </c>
      <c r="R27" s="10">
        <f t="shared" si="4"/>
        <v>9.6767891534095082E-2</v>
      </c>
      <c r="S27" s="10">
        <f t="shared" si="5"/>
        <v>0.12084315086869804</v>
      </c>
    </row>
    <row r="28" spans="1:19" x14ac:dyDescent="0.25">
      <c r="A28" s="5" t="s">
        <v>8</v>
      </c>
      <c r="B28" s="5" t="s">
        <v>319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98</v>
      </c>
      <c r="I28" s="5" t="s">
        <v>99</v>
      </c>
      <c r="J28" s="15">
        <v>2300</v>
      </c>
      <c r="K28" s="7">
        <v>27.5</v>
      </c>
      <c r="L28" s="7">
        <f t="shared" si="0"/>
        <v>83.63636363636364</v>
      </c>
      <c r="M28" s="5" t="s">
        <v>9</v>
      </c>
      <c r="N28" s="5">
        <v>4</v>
      </c>
      <c r="O28" s="6">
        <f t="shared" si="1"/>
        <v>10.055371900826447</v>
      </c>
      <c r="P28" s="6">
        <f t="shared" si="2"/>
        <v>1.0457586776859504</v>
      </c>
      <c r="Q28" s="10">
        <f t="shared" si="3"/>
        <v>2.17866391184573E-2</v>
      </c>
      <c r="R28" s="10">
        <f t="shared" si="4"/>
        <v>8.9783333841978313E-2</v>
      </c>
      <c r="S28" s="10">
        <f t="shared" si="5"/>
        <v>0.11156997296043561</v>
      </c>
    </row>
    <row r="29" spans="1:19" x14ac:dyDescent="0.25">
      <c r="A29" s="5" t="s">
        <v>8</v>
      </c>
      <c r="B29" s="5" t="s">
        <v>319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98</v>
      </c>
      <c r="I29" s="5" t="s">
        <v>321</v>
      </c>
      <c r="J29" s="15">
        <v>2379</v>
      </c>
      <c r="K29" s="7">
        <v>28</v>
      </c>
      <c r="L29" s="7">
        <f t="shared" si="0"/>
        <v>84.964285714285708</v>
      </c>
      <c r="M29" s="5" t="s">
        <v>9</v>
      </c>
      <c r="N29" s="5">
        <v>4</v>
      </c>
      <c r="O29" s="6">
        <f t="shared" si="1"/>
        <v>10.733646316167091</v>
      </c>
      <c r="P29" s="6">
        <f t="shared" si="2"/>
        <v>1.1162992168813775</v>
      </c>
      <c r="Q29" s="10">
        <f t="shared" si="3"/>
        <v>2.3256233685028698E-2</v>
      </c>
      <c r="R29" s="10">
        <f t="shared" si="4"/>
        <v>9.4288252092691066E-2</v>
      </c>
      <c r="S29" s="10">
        <f t="shared" si="5"/>
        <v>0.11754448577771977</v>
      </c>
    </row>
    <row r="30" spans="1:19" x14ac:dyDescent="0.25">
      <c r="A30" s="5" t="s">
        <v>22</v>
      </c>
      <c r="B30" s="5" t="s">
        <v>63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100</v>
      </c>
      <c r="I30" s="5" t="s">
        <v>101</v>
      </c>
      <c r="J30" s="15">
        <v>2550</v>
      </c>
      <c r="K30" s="7">
        <v>41.5</v>
      </c>
      <c r="L30" s="7">
        <f t="shared" si="0"/>
        <v>61.445783132530117</v>
      </c>
      <c r="M30" s="5" t="s">
        <v>9</v>
      </c>
      <c r="N30" s="5">
        <v>4</v>
      </c>
      <c r="O30" s="6">
        <f t="shared" si="1"/>
        <v>6.0173374219770652</v>
      </c>
      <c r="P30" s="6">
        <f t="shared" si="2"/>
        <v>0.62580309188561467</v>
      </c>
      <c r="Q30" s="10">
        <f t="shared" si="3"/>
        <v>1.3037564414283642E-2</v>
      </c>
      <c r="R30" s="10">
        <f t="shared" si="4"/>
        <v>6.1087225180813873E-2</v>
      </c>
      <c r="S30" s="10">
        <f t="shared" si="5"/>
        <v>7.4124789595097509E-2</v>
      </c>
    </row>
    <row r="31" spans="1:19" x14ac:dyDescent="0.25">
      <c r="A31" s="5" t="s">
        <v>22</v>
      </c>
      <c r="B31" s="5" t="s">
        <v>63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394</v>
      </c>
      <c r="H31" s="5" t="s">
        <v>104</v>
      </c>
      <c r="I31" s="5" t="s">
        <v>105</v>
      </c>
      <c r="J31" s="15">
        <v>1150</v>
      </c>
      <c r="K31" s="7">
        <v>33.5</v>
      </c>
      <c r="L31" s="7">
        <f t="shared" si="0"/>
        <v>34.328358208955223</v>
      </c>
      <c r="M31" s="5" t="s">
        <v>9</v>
      </c>
      <c r="N31" s="5">
        <v>4</v>
      </c>
      <c r="O31" s="6">
        <f t="shared" si="1"/>
        <v>0.8470010024504343</v>
      </c>
      <c r="P31" s="6">
        <f t="shared" si="2"/>
        <v>8.8088104254845159E-2</v>
      </c>
      <c r="Q31" s="10">
        <f t="shared" si="3"/>
        <v>1.8351688386426075E-3</v>
      </c>
      <c r="R31" s="10">
        <f t="shared" si="4"/>
        <v>1.4038156107889724E-2</v>
      </c>
      <c r="S31" s="10">
        <f t="shared" si="5"/>
        <v>1.5873324946532333E-2</v>
      </c>
    </row>
    <row r="32" spans="1:19" x14ac:dyDescent="0.25">
      <c r="A32" s="5" t="s">
        <v>22</v>
      </c>
      <c r="B32" s="5" t="s">
        <v>63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394</v>
      </c>
      <c r="H32" s="5" t="s">
        <v>110</v>
      </c>
      <c r="I32" s="5" t="s">
        <v>111</v>
      </c>
      <c r="J32" s="15">
        <v>3075</v>
      </c>
      <c r="K32" s="7">
        <v>36</v>
      </c>
      <c r="L32" s="7">
        <f t="shared" si="0"/>
        <v>85.416666666666671</v>
      </c>
      <c r="M32" s="5" t="s">
        <v>9</v>
      </c>
      <c r="N32" s="5">
        <v>4</v>
      </c>
      <c r="O32" s="6">
        <f t="shared" si="1"/>
        <v>14.022013346354168</v>
      </c>
      <c r="P32" s="6">
        <f t="shared" si="2"/>
        <v>1.4582893880208334</v>
      </c>
      <c r="Q32" s="10">
        <f t="shared" si="3"/>
        <v>3.0381028917100695E-2</v>
      </c>
      <c r="R32" s="10">
        <f t="shared" si="4"/>
        <v>0.11521390760074078</v>
      </c>
      <c r="S32" s="10">
        <f t="shared" si="5"/>
        <v>0.14559493651784147</v>
      </c>
    </row>
    <row r="33" spans="1:19" x14ac:dyDescent="0.25">
      <c r="A33" s="5" t="s">
        <v>8</v>
      </c>
      <c r="B33" s="5" t="s">
        <v>161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394</v>
      </c>
      <c r="H33" s="5" t="s">
        <v>110</v>
      </c>
      <c r="I33" s="5" t="s">
        <v>162</v>
      </c>
      <c r="J33" s="15">
        <v>2220</v>
      </c>
      <c r="K33" s="7">
        <v>45.5</v>
      </c>
      <c r="L33" s="7">
        <f t="shared" si="0"/>
        <v>48.791208791208788</v>
      </c>
      <c r="M33" s="5" t="s">
        <v>9</v>
      </c>
      <c r="N33" s="5">
        <v>4</v>
      </c>
      <c r="O33" s="6">
        <f t="shared" si="1"/>
        <v>3.3030576017389204</v>
      </c>
      <c r="P33" s="6">
        <f t="shared" si="2"/>
        <v>0.3435179905808477</v>
      </c>
      <c r="Q33" s="10">
        <f t="shared" si="3"/>
        <v>7.1566248037676604E-3</v>
      </c>
      <c r="R33" s="10">
        <f t="shared" si="4"/>
        <v>3.8956886034440183E-2</v>
      </c>
      <c r="S33" s="10">
        <f t="shared" si="5"/>
        <v>4.6113510838207847E-2</v>
      </c>
    </row>
    <row r="34" spans="1:19" x14ac:dyDescent="0.25">
      <c r="A34" s="5" t="s">
        <v>8</v>
      </c>
      <c r="B34" s="5" t="s">
        <v>161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394</v>
      </c>
      <c r="H34" s="5" t="s">
        <v>110</v>
      </c>
      <c r="I34" s="5" t="s">
        <v>162</v>
      </c>
      <c r="J34" s="15">
        <v>2035</v>
      </c>
      <c r="K34" s="7">
        <v>39.5</v>
      </c>
      <c r="L34" s="7">
        <f t="shared" si="0"/>
        <v>51.518987341772153</v>
      </c>
      <c r="M34" s="5" t="s">
        <v>9</v>
      </c>
      <c r="N34" s="5">
        <v>4</v>
      </c>
      <c r="O34" s="6">
        <f t="shared" si="1"/>
        <v>3.3758183283928864</v>
      </c>
      <c r="P34" s="6">
        <f t="shared" si="2"/>
        <v>0.35108510615286009</v>
      </c>
      <c r="Q34" s="10">
        <f t="shared" si="3"/>
        <v>7.3142730448512534E-3</v>
      </c>
      <c r="R34" s="10">
        <f t="shared" si="4"/>
        <v>3.9598745211520084E-2</v>
      </c>
      <c r="S34" s="10">
        <f t="shared" si="5"/>
        <v>4.6913018256371335E-2</v>
      </c>
    </row>
    <row r="35" spans="1:19" x14ac:dyDescent="0.25">
      <c r="A35" s="5" t="s">
        <v>22</v>
      </c>
      <c r="B35" s="5" t="s">
        <v>63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394</v>
      </c>
      <c r="H35" s="5" t="s">
        <v>56</v>
      </c>
      <c r="I35" s="5" t="s">
        <v>103</v>
      </c>
      <c r="J35" s="15">
        <v>1600</v>
      </c>
      <c r="K35" s="7">
        <v>36.5</v>
      </c>
      <c r="L35" s="7">
        <f t="shared" si="0"/>
        <v>43.835616438356162</v>
      </c>
      <c r="M35" s="5" t="s">
        <v>9</v>
      </c>
      <c r="N35" s="5">
        <v>4</v>
      </c>
      <c r="O35" s="6">
        <f t="shared" si="1"/>
        <v>1.9215612685306809</v>
      </c>
      <c r="P35" s="6">
        <f t="shared" si="2"/>
        <v>0.19984237192719084</v>
      </c>
      <c r="Q35" s="10">
        <f t="shared" si="3"/>
        <v>4.163382748483142E-3</v>
      </c>
      <c r="R35" s="10">
        <f t="shared" si="4"/>
        <v>2.5950026257178908E-2</v>
      </c>
      <c r="S35" s="10">
        <f t="shared" si="5"/>
        <v>3.0113409005662048E-2</v>
      </c>
    </row>
    <row r="36" spans="1:19" x14ac:dyDescent="0.25">
      <c r="A36" s="5" t="s">
        <v>8</v>
      </c>
      <c r="B36" s="5" t="s">
        <v>165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394</v>
      </c>
      <c r="H36" s="5" t="s">
        <v>56</v>
      </c>
      <c r="I36" s="5" t="s">
        <v>169</v>
      </c>
      <c r="J36" s="15">
        <v>1980</v>
      </c>
      <c r="K36" s="7">
        <v>32</v>
      </c>
      <c r="L36" s="7">
        <f t="shared" si="0"/>
        <v>61.875</v>
      </c>
      <c r="M36" s="5" t="s">
        <v>9</v>
      </c>
      <c r="N36" s="5">
        <v>4</v>
      </c>
      <c r="O36" s="6">
        <f t="shared" si="1"/>
        <v>4.7377880859374999</v>
      </c>
      <c r="P36" s="6">
        <f t="shared" si="2"/>
        <v>0.49272996093749999</v>
      </c>
      <c r="Q36" s="10">
        <f t="shared" si="3"/>
        <v>1.026520751953125E-2</v>
      </c>
      <c r="R36" s="10">
        <f t="shared" si="4"/>
        <v>5.1059769265745597E-2</v>
      </c>
      <c r="S36" s="10">
        <f t="shared" si="5"/>
        <v>6.1324976785276847E-2</v>
      </c>
    </row>
    <row r="37" spans="1:19" x14ac:dyDescent="0.25">
      <c r="A37" s="5" t="s">
        <v>22</v>
      </c>
      <c r="B37" s="5" t="s">
        <v>26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394</v>
      </c>
      <c r="H37" s="5" t="s">
        <v>56</v>
      </c>
      <c r="I37" s="5" t="s">
        <v>57</v>
      </c>
      <c r="J37" s="15">
        <v>1750</v>
      </c>
      <c r="K37" s="7">
        <v>28.5</v>
      </c>
      <c r="L37" s="7">
        <f t="shared" si="0"/>
        <v>61.403508771929822</v>
      </c>
      <c r="M37" s="5" t="s">
        <v>9</v>
      </c>
      <c r="N37" s="5">
        <v>4</v>
      </c>
      <c r="O37" s="6">
        <f t="shared" si="1"/>
        <v>4.1238650353955055</v>
      </c>
      <c r="P37" s="6">
        <f t="shared" si="2"/>
        <v>0.42888196368113263</v>
      </c>
      <c r="Q37" s="10">
        <f t="shared" si="3"/>
        <v>8.9350409100235947E-3</v>
      </c>
      <c r="R37" s="10">
        <f t="shared" si="4"/>
        <v>4.6012460418506596E-2</v>
      </c>
      <c r="S37" s="10">
        <f t="shared" si="5"/>
        <v>5.4947501328530192E-2</v>
      </c>
    </row>
    <row r="38" spans="1:19" x14ac:dyDescent="0.25">
      <c r="A38" s="5" t="s">
        <v>8</v>
      </c>
      <c r="B38" s="5" t="s">
        <v>187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394</v>
      </c>
      <c r="H38" s="5" t="s">
        <v>56</v>
      </c>
      <c r="I38" s="5" t="s">
        <v>57</v>
      </c>
      <c r="J38" s="15">
        <v>2120</v>
      </c>
      <c r="K38" s="7">
        <v>32.200000000000003</v>
      </c>
      <c r="L38" s="7">
        <f t="shared" si="0"/>
        <v>65.838509316770185</v>
      </c>
      <c r="M38" s="5" t="s">
        <v>9</v>
      </c>
      <c r="N38" s="5">
        <v>4</v>
      </c>
      <c r="O38" s="6">
        <f t="shared" si="1"/>
        <v>5.7434898344971259</v>
      </c>
      <c r="P38" s="6">
        <f t="shared" si="2"/>
        <v>0.59732294278770115</v>
      </c>
      <c r="Q38" s="10">
        <f t="shared" si="3"/>
        <v>1.2444227974743772E-2</v>
      </c>
      <c r="R38" s="10">
        <f t="shared" si="4"/>
        <v>5.89900843101481E-2</v>
      </c>
      <c r="S38" s="10">
        <f t="shared" si="5"/>
        <v>7.1434312284891874E-2</v>
      </c>
    </row>
    <row r="39" spans="1:19" x14ac:dyDescent="0.25">
      <c r="A39" s="5" t="s">
        <v>8</v>
      </c>
      <c r="B39" s="5" t="s">
        <v>187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394</v>
      </c>
      <c r="H39" s="5" t="s">
        <v>56</v>
      </c>
      <c r="I39" s="5" t="s">
        <v>57</v>
      </c>
      <c r="J39" s="15">
        <v>2070</v>
      </c>
      <c r="K39" s="7">
        <v>31.4</v>
      </c>
      <c r="L39" s="7">
        <f t="shared" si="0"/>
        <v>65.923566878980893</v>
      </c>
      <c r="M39" s="5" t="s">
        <v>9</v>
      </c>
      <c r="N39" s="5">
        <v>4</v>
      </c>
      <c r="O39" s="6">
        <f t="shared" si="1"/>
        <v>5.6225296918739085</v>
      </c>
      <c r="P39" s="6">
        <f t="shared" si="2"/>
        <v>0.58474308795488661</v>
      </c>
      <c r="Q39" s="10">
        <f t="shared" si="3"/>
        <v>1.2182147665726803E-2</v>
      </c>
      <c r="R39" s="10">
        <f t="shared" si="4"/>
        <v>5.8055843919859323E-2</v>
      </c>
      <c r="S39" s="10">
        <f t="shared" si="5"/>
        <v>7.0237991585586121E-2</v>
      </c>
    </row>
    <row r="40" spans="1:19" x14ac:dyDescent="0.25">
      <c r="A40" s="5" t="s">
        <v>8</v>
      </c>
      <c r="B40" s="5" t="s">
        <v>187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394</v>
      </c>
      <c r="H40" s="5" t="s">
        <v>56</v>
      </c>
      <c r="I40" s="5" t="s">
        <v>57</v>
      </c>
      <c r="J40" s="15">
        <v>2010</v>
      </c>
      <c r="K40" s="7">
        <v>31.4</v>
      </c>
      <c r="L40" s="7">
        <f t="shared" si="0"/>
        <v>64.012738853503194</v>
      </c>
      <c r="M40" s="5" t="s">
        <v>9</v>
      </c>
      <c r="N40" s="5">
        <v>4</v>
      </c>
      <c r="O40" s="6">
        <f t="shared" si="1"/>
        <v>5.1476486115055389</v>
      </c>
      <c r="P40" s="6">
        <f t="shared" si="2"/>
        <v>0.53535545559657605</v>
      </c>
      <c r="Q40" s="10">
        <f t="shared" si="3"/>
        <v>1.1153238658262002E-2</v>
      </c>
      <c r="R40" s="10">
        <f t="shared" si="4"/>
        <v>5.4338018137809183E-2</v>
      </c>
      <c r="S40" s="10">
        <f t="shared" si="5"/>
        <v>6.5491256796071179E-2</v>
      </c>
    </row>
    <row r="41" spans="1:19" x14ac:dyDescent="0.25">
      <c r="A41" s="5" t="s">
        <v>8</v>
      </c>
      <c r="B41" s="5" t="s">
        <v>187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394</v>
      </c>
      <c r="H41" s="5" t="s">
        <v>56</v>
      </c>
      <c r="I41" s="5" t="s">
        <v>57</v>
      </c>
      <c r="J41" s="15">
        <v>1990</v>
      </c>
      <c r="K41" s="7">
        <v>29.5</v>
      </c>
      <c r="L41" s="7">
        <f t="shared" si="0"/>
        <v>67.457627118644069</v>
      </c>
      <c r="M41" s="5" t="s">
        <v>9</v>
      </c>
      <c r="N41" s="5">
        <v>4</v>
      </c>
      <c r="O41" s="6">
        <f t="shared" si="1"/>
        <v>5.6597234989945413</v>
      </c>
      <c r="P41" s="6">
        <f t="shared" si="2"/>
        <v>0.58861124389543229</v>
      </c>
      <c r="Q41" s="10">
        <f t="shared" si="3"/>
        <v>1.2262734247821505E-2</v>
      </c>
      <c r="R41" s="10">
        <f t="shared" si="4"/>
        <v>5.8343641943083634E-2</v>
      </c>
      <c r="S41" s="10">
        <f t="shared" si="5"/>
        <v>7.0606376190905137E-2</v>
      </c>
    </row>
    <row r="42" spans="1:19" x14ac:dyDescent="0.25">
      <c r="A42" s="5" t="s">
        <v>22</v>
      </c>
      <c r="B42" s="5" t="s">
        <v>63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394</v>
      </c>
      <c r="H42" s="5" t="s">
        <v>56</v>
      </c>
      <c r="I42" s="5" t="s">
        <v>151</v>
      </c>
      <c r="J42" s="15">
        <v>3550</v>
      </c>
      <c r="K42" s="7">
        <v>33.5</v>
      </c>
      <c r="L42" s="7">
        <f t="shared" si="0"/>
        <v>105.97014925373135</v>
      </c>
      <c r="M42" s="5" t="s">
        <v>9</v>
      </c>
      <c r="N42" s="5">
        <v>4</v>
      </c>
      <c r="O42" s="6">
        <f t="shared" si="1"/>
        <v>24.91583593227891</v>
      </c>
      <c r="P42" s="6">
        <f t="shared" si="2"/>
        <v>2.5912469369570066</v>
      </c>
      <c r="Q42" s="10">
        <f t="shared" si="3"/>
        <v>5.3984311186604302E-2</v>
      </c>
      <c r="R42" s="10">
        <f t="shared" si="4"/>
        <v>0.1773183662256573</v>
      </c>
      <c r="S42" s="10">
        <f t="shared" si="5"/>
        <v>0.2313026774122616</v>
      </c>
    </row>
    <row r="43" spans="1:19" x14ac:dyDescent="0.25">
      <c r="A43" s="5" t="s">
        <v>8</v>
      </c>
      <c r="B43" s="5" t="s">
        <v>217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394</v>
      </c>
      <c r="H43" s="5" t="s">
        <v>56</v>
      </c>
      <c r="I43" s="5" t="s">
        <v>151</v>
      </c>
      <c r="J43" s="15">
        <v>3550</v>
      </c>
      <c r="K43" s="7">
        <v>33.5</v>
      </c>
      <c r="L43" s="7">
        <f t="shared" si="0"/>
        <v>105.97014925373135</v>
      </c>
      <c r="M43" s="5" t="s">
        <v>9</v>
      </c>
      <c r="N43" s="5">
        <v>4</v>
      </c>
      <c r="O43" s="6">
        <f t="shared" si="1"/>
        <v>24.91583593227891</v>
      </c>
      <c r="P43" s="6">
        <f t="shared" si="2"/>
        <v>2.5912469369570066</v>
      </c>
      <c r="Q43" s="10">
        <f t="shared" si="3"/>
        <v>5.3984311186604302E-2</v>
      </c>
      <c r="R43" s="10">
        <f t="shared" si="4"/>
        <v>0.1773183662256573</v>
      </c>
      <c r="S43" s="10">
        <f t="shared" si="5"/>
        <v>0.2313026774122616</v>
      </c>
    </row>
    <row r="44" spans="1:19" x14ac:dyDescent="0.25">
      <c r="A44" s="5" t="s">
        <v>22</v>
      </c>
      <c r="B44" s="5" t="s">
        <v>63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394</v>
      </c>
      <c r="H44" s="5" t="s">
        <v>108</v>
      </c>
      <c r="I44" s="5" t="s">
        <v>109</v>
      </c>
      <c r="J44" s="15">
        <v>1600</v>
      </c>
      <c r="K44" s="7">
        <v>36</v>
      </c>
      <c r="L44" s="7">
        <f t="shared" si="0"/>
        <v>44.444444444444443</v>
      </c>
      <c r="M44" s="5" t="s">
        <v>9</v>
      </c>
      <c r="N44" s="5">
        <v>4</v>
      </c>
      <c r="O44" s="6">
        <f t="shared" si="1"/>
        <v>1.9753086419753083</v>
      </c>
      <c r="P44" s="6">
        <f t="shared" si="2"/>
        <v>0.20543209876543209</v>
      </c>
      <c r="Q44" s="10">
        <f t="shared" si="3"/>
        <v>4.2798353909465009E-3</v>
      </c>
      <c r="R44" s="10">
        <f t="shared" si="4"/>
        <v>2.6492524653412002E-2</v>
      </c>
      <c r="S44" s="10">
        <f t="shared" si="5"/>
        <v>3.0772360044358502E-2</v>
      </c>
    </row>
    <row r="45" spans="1:19" x14ac:dyDescent="0.25">
      <c r="A45" s="5" t="s">
        <v>22</v>
      </c>
      <c r="B45" s="5" t="s">
        <v>63</v>
      </c>
      <c r="C45" s="5" t="s">
        <v>27</v>
      </c>
      <c r="D45" s="5" t="s">
        <v>385</v>
      </c>
      <c r="E45" s="5" t="s">
        <v>387</v>
      </c>
      <c r="F45" s="5" t="s">
        <v>112</v>
      </c>
      <c r="G45" s="5" t="s">
        <v>395</v>
      </c>
      <c r="H45" s="5" t="s">
        <v>129</v>
      </c>
      <c r="I45" s="5" t="s">
        <v>130</v>
      </c>
      <c r="J45" s="15">
        <v>2560</v>
      </c>
      <c r="K45" s="7">
        <v>44</v>
      </c>
      <c r="L45" s="7">
        <f t="shared" si="0"/>
        <v>58.18181818181818</v>
      </c>
      <c r="M45" s="5" t="s">
        <v>9</v>
      </c>
      <c r="N45" s="5">
        <v>4</v>
      </c>
      <c r="O45" s="6">
        <f t="shared" si="1"/>
        <v>5.4161983471074375</v>
      </c>
      <c r="P45" s="6">
        <f t="shared" si="2"/>
        <v>0.56328462809917346</v>
      </c>
      <c r="Q45" s="10">
        <f t="shared" si="3"/>
        <v>1.173509641873278E-2</v>
      </c>
      <c r="R45" s="10">
        <f t="shared" si="4"/>
        <v>5.6450532702040132E-2</v>
      </c>
      <c r="S45" s="10">
        <f t="shared" si="5"/>
        <v>6.8185629120772917E-2</v>
      </c>
    </row>
    <row r="46" spans="1:19" x14ac:dyDescent="0.25">
      <c r="A46" s="5" t="s">
        <v>22</v>
      </c>
      <c r="B46" s="5" t="s">
        <v>63</v>
      </c>
      <c r="C46" s="5" t="s">
        <v>27</v>
      </c>
      <c r="D46" s="5" t="s">
        <v>385</v>
      </c>
      <c r="E46" s="5" t="s">
        <v>387</v>
      </c>
      <c r="F46" s="5" t="s">
        <v>112</v>
      </c>
      <c r="G46" s="5" t="s">
        <v>395</v>
      </c>
      <c r="H46" s="5" t="s">
        <v>123</v>
      </c>
      <c r="I46" s="5" t="s">
        <v>124</v>
      </c>
      <c r="J46" s="15">
        <v>1700</v>
      </c>
      <c r="K46" s="7">
        <v>36.5</v>
      </c>
      <c r="L46" s="7">
        <f t="shared" si="0"/>
        <v>46.575342465753423</v>
      </c>
      <c r="M46" s="5" t="s">
        <v>9</v>
      </c>
      <c r="N46" s="5">
        <v>4</v>
      </c>
      <c r="O46" s="6">
        <f t="shared" si="1"/>
        <v>2.3048414336648522</v>
      </c>
      <c r="P46" s="6">
        <f t="shared" si="2"/>
        <v>0.23970350910114463</v>
      </c>
      <c r="Q46" s="10">
        <f t="shared" si="3"/>
        <v>4.9938231062738462E-3</v>
      </c>
      <c r="R46" s="10">
        <f t="shared" si="4"/>
        <v>2.974253037207969E-2</v>
      </c>
      <c r="S46" s="10">
        <f t="shared" si="5"/>
        <v>3.4736353478353535E-2</v>
      </c>
    </row>
    <row r="47" spans="1:19" x14ac:dyDescent="0.25">
      <c r="A47" s="5" t="s">
        <v>22</v>
      </c>
      <c r="B47" s="5" t="s">
        <v>63</v>
      </c>
      <c r="C47" s="5" t="s">
        <v>27</v>
      </c>
      <c r="D47" s="5" t="s">
        <v>385</v>
      </c>
      <c r="E47" s="5" t="s">
        <v>387</v>
      </c>
      <c r="F47" s="5" t="s">
        <v>112</v>
      </c>
      <c r="G47" s="5" t="s">
        <v>395</v>
      </c>
      <c r="H47" s="5" t="s">
        <v>127</v>
      </c>
      <c r="I47" s="5" t="s">
        <v>128</v>
      </c>
      <c r="J47" s="15">
        <v>2495</v>
      </c>
      <c r="K47" s="7">
        <v>37</v>
      </c>
      <c r="L47" s="7">
        <f t="shared" si="0"/>
        <v>67.432432432432435</v>
      </c>
      <c r="M47" s="5" t="s">
        <v>9</v>
      </c>
      <c r="N47" s="5">
        <v>4</v>
      </c>
      <c r="O47" s="6">
        <f t="shared" si="1"/>
        <v>7.090685434167276</v>
      </c>
      <c r="P47" s="6">
        <f t="shared" si="2"/>
        <v>0.73743128515339662</v>
      </c>
      <c r="Q47" s="10">
        <f t="shared" si="3"/>
        <v>1.5363151774029096E-2</v>
      </c>
      <c r="R47" s="10">
        <f t="shared" si="4"/>
        <v>6.9089697094163655E-2</v>
      </c>
      <c r="S47" s="10">
        <f t="shared" si="5"/>
        <v>8.4452848868192751E-2</v>
      </c>
    </row>
    <row r="48" spans="1:19" x14ac:dyDescent="0.25">
      <c r="A48" s="5" t="s">
        <v>8</v>
      </c>
      <c r="B48" s="5" t="s">
        <v>239</v>
      </c>
      <c r="C48" s="5" t="s">
        <v>27</v>
      </c>
      <c r="D48" s="5" t="s">
        <v>385</v>
      </c>
      <c r="E48" s="5" t="s">
        <v>387</v>
      </c>
      <c r="F48" s="5" t="s">
        <v>112</v>
      </c>
      <c r="G48" s="5" t="s">
        <v>395</v>
      </c>
      <c r="H48" s="5" t="s">
        <v>127</v>
      </c>
      <c r="I48" s="5" t="s">
        <v>240</v>
      </c>
      <c r="J48" s="15">
        <v>3180</v>
      </c>
      <c r="K48" s="7">
        <v>49.3</v>
      </c>
      <c r="L48" s="7">
        <f t="shared" si="0"/>
        <v>64.503042596348891</v>
      </c>
      <c r="M48" s="5" t="s">
        <v>9</v>
      </c>
      <c r="N48" s="5">
        <v>4</v>
      </c>
      <c r="O48" s="6">
        <f t="shared" si="1"/>
        <v>8.2692769770704686</v>
      </c>
      <c r="P48" s="6">
        <f t="shared" si="2"/>
        <v>0.86000480561532866</v>
      </c>
      <c r="Q48" s="10">
        <f t="shared" si="3"/>
        <v>1.7916766783652682E-2</v>
      </c>
      <c r="R48" s="10">
        <f t="shared" si="4"/>
        <v>7.7534997706638811E-2</v>
      </c>
      <c r="S48" s="10">
        <f t="shared" si="5"/>
        <v>9.5451764490291496E-2</v>
      </c>
    </row>
    <row r="49" spans="1:19" x14ac:dyDescent="0.25">
      <c r="A49" s="5" t="s">
        <v>8</v>
      </c>
      <c r="B49" s="5" t="s">
        <v>333</v>
      </c>
      <c r="C49" s="5" t="s">
        <v>27</v>
      </c>
      <c r="D49" s="5" t="s">
        <v>385</v>
      </c>
      <c r="E49" s="5" t="s">
        <v>387</v>
      </c>
      <c r="F49" s="5" t="s">
        <v>112</v>
      </c>
      <c r="G49" s="5" t="s">
        <v>395</v>
      </c>
      <c r="H49" s="5" t="s">
        <v>127</v>
      </c>
      <c r="I49" s="5" t="s">
        <v>240</v>
      </c>
      <c r="J49" s="15">
        <v>2290</v>
      </c>
      <c r="K49" s="7">
        <v>25.4</v>
      </c>
      <c r="L49" s="7">
        <f t="shared" si="0"/>
        <v>90.157480314960637</v>
      </c>
      <c r="M49" s="5" t="s">
        <v>9</v>
      </c>
      <c r="N49" s="5">
        <v>4</v>
      </c>
      <c r="O49" s="6">
        <f t="shared" si="1"/>
        <v>11.633731361212723</v>
      </c>
      <c r="P49" s="6">
        <f t="shared" si="2"/>
        <v>1.2099080615661233</v>
      </c>
      <c r="Q49" s="10">
        <f t="shared" si="3"/>
        <v>2.5206417949294232E-2</v>
      </c>
      <c r="R49" s="10">
        <f t="shared" si="4"/>
        <v>0.10015817386585321</v>
      </c>
      <c r="S49" s="10">
        <f t="shared" si="5"/>
        <v>0.12536459181514745</v>
      </c>
    </row>
    <row r="50" spans="1:19" x14ac:dyDescent="0.25">
      <c r="A50" s="5" t="s">
        <v>8</v>
      </c>
      <c r="B50" s="5" t="s">
        <v>333</v>
      </c>
      <c r="C50" s="5" t="s">
        <v>27</v>
      </c>
      <c r="D50" s="5" t="s">
        <v>385</v>
      </c>
      <c r="E50" s="5" t="s">
        <v>387</v>
      </c>
      <c r="F50" s="5" t="s">
        <v>112</v>
      </c>
      <c r="G50" s="5" t="s">
        <v>395</v>
      </c>
      <c r="H50" s="5" t="s">
        <v>127</v>
      </c>
      <c r="I50" s="5" t="s">
        <v>334</v>
      </c>
      <c r="J50" s="15">
        <v>1900</v>
      </c>
      <c r="K50" s="7">
        <v>34.200000000000003</v>
      </c>
      <c r="L50" s="7">
        <f t="shared" si="0"/>
        <v>55.55555555555555</v>
      </c>
      <c r="M50" s="5" t="s">
        <v>9</v>
      </c>
      <c r="N50" s="5">
        <v>4</v>
      </c>
      <c r="O50" s="6">
        <f t="shared" si="1"/>
        <v>3.6651234567901225</v>
      </c>
      <c r="P50" s="6">
        <f t="shared" si="2"/>
        <v>0.38117283950617276</v>
      </c>
      <c r="Q50" s="10">
        <f t="shared" si="3"/>
        <v>7.9411008230452652E-3</v>
      </c>
      <c r="R50" s="10">
        <f t="shared" si="4"/>
        <v>4.2117596577025559E-2</v>
      </c>
      <c r="S50" s="10">
        <f t="shared" si="5"/>
        <v>5.0058697400070823E-2</v>
      </c>
    </row>
    <row r="51" spans="1:19" x14ac:dyDescent="0.25">
      <c r="A51" s="5" t="s">
        <v>8</v>
      </c>
      <c r="B51" s="5" t="s">
        <v>350</v>
      </c>
      <c r="C51" s="5" t="s">
        <v>27</v>
      </c>
      <c r="D51" s="5" t="s">
        <v>385</v>
      </c>
      <c r="E51" s="5" t="s">
        <v>387</v>
      </c>
      <c r="F51" s="5" t="s">
        <v>112</v>
      </c>
      <c r="G51" s="5" t="s">
        <v>391</v>
      </c>
      <c r="H51" s="5" t="s">
        <v>53</v>
      </c>
      <c r="I51" s="5" t="s">
        <v>349</v>
      </c>
      <c r="J51" s="15">
        <v>2700</v>
      </c>
      <c r="K51" s="7">
        <v>40.5</v>
      </c>
      <c r="L51" s="7">
        <f t="shared" si="0"/>
        <v>66.666666666666671</v>
      </c>
      <c r="M51" s="5" t="s">
        <v>9</v>
      </c>
      <c r="N51" s="5">
        <v>4</v>
      </c>
      <c r="O51" s="6">
        <f t="shared" si="1"/>
        <v>7.5000000000000009</v>
      </c>
      <c r="P51" s="6">
        <f t="shared" si="2"/>
        <v>0.78000000000000014</v>
      </c>
      <c r="Q51" s="10">
        <f t="shared" si="3"/>
        <v>1.6250000000000001E-2</v>
      </c>
      <c r="R51" s="10">
        <f t="shared" si="4"/>
        <v>7.2059803226958916E-2</v>
      </c>
      <c r="S51" s="10">
        <f t="shared" si="5"/>
        <v>8.8309803226958916E-2</v>
      </c>
    </row>
    <row r="52" spans="1:19" x14ac:dyDescent="0.25">
      <c r="A52" s="5" t="s">
        <v>8</v>
      </c>
      <c r="B52" s="5" t="s">
        <v>347</v>
      </c>
      <c r="C52" s="5" t="s">
        <v>27</v>
      </c>
      <c r="D52" s="5" t="s">
        <v>385</v>
      </c>
      <c r="E52" s="5" t="s">
        <v>387</v>
      </c>
      <c r="F52" s="5" t="s">
        <v>112</v>
      </c>
      <c r="G52" s="5" t="s">
        <v>391</v>
      </c>
      <c r="H52" s="5" t="s">
        <v>53</v>
      </c>
      <c r="I52" s="5" t="s">
        <v>349</v>
      </c>
      <c r="J52" s="15">
        <v>2500</v>
      </c>
      <c r="K52" s="7">
        <v>31</v>
      </c>
      <c r="L52" s="7">
        <f t="shared" si="0"/>
        <v>80.645161290322577</v>
      </c>
      <c r="M52" s="5" t="s">
        <v>9</v>
      </c>
      <c r="N52" s="5">
        <v>4</v>
      </c>
      <c r="O52" s="6">
        <f t="shared" si="1"/>
        <v>10.161940686784598</v>
      </c>
      <c r="P52" s="6">
        <f t="shared" si="2"/>
        <v>1.0568418314255983</v>
      </c>
      <c r="Q52" s="10">
        <f t="shared" si="3"/>
        <v>2.2017538154699964E-2</v>
      </c>
      <c r="R52" s="10">
        <f t="shared" si="4"/>
        <v>9.0496048477232735E-2</v>
      </c>
      <c r="S52" s="10">
        <f t="shared" si="5"/>
        <v>0.1125135866319327</v>
      </c>
    </row>
    <row r="53" spans="1:19" x14ac:dyDescent="0.25">
      <c r="A53" s="5" t="s">
        <v>22</v>
      </c>
      <c r="B53" s="5" t="s">
        <v>63</v>
      </c>
      <c r="C53" s="5" t="s">
        <v>27</v>
      </c>
      <c r="D53" s="5" t="s">
        <v>385</v>
      </c>
      <c r="E53" s="5" t="s">
        <v>387</v>
      </c>
      <c r="F53" s="5" t="s">
        <v>112</v>
      </c>
      <c r="G53" s="5" t="s">
        <v>391</v>
      </c>
      <c r="H53" s="5" t="s">
        <v>53</v>
      </c>
      <c r="I53" s="5" t="s">
        <v>145</v>
      </c>
      <c r="J53" s="15">
        <v>2200</v>
      </c>
      <c r="K53" s="7">
        <v>42.5</v>
      </c>
      <c r="L53" s="7">
        <f t="shared" si="0"/>
        <v>51.764705882352942</v>
      </c>
      <c r="M53" s="5" t="s">
        <v>9</v>
      </c>
      <c r="N53" s="5">
        <v>4</v>
      </c>
      <c r="O53" s="6">
        <f t="shared" si="1"/>
        <v>3.6844290657439451</v>
      </c>
      <c r="P53" s="6">
        <f t="shared" si="2"/>
        <v>0.38318062283737025</v>
      </c>
      <c r="Q53" s="10">
        <f t="shared" si="3"/>
        <v>7.9829296424452131E-3</v>
      </c>
      <c r="R53" s="10">
        <f t="shared" si="4"/>
        <v>4.2283874397514749E-2</v>
      </c>
      <c r="S53" s="10">
        <f t="shared" si="5"/>
        <v>5.0266804039959964E-2</v>
      </c>
    </row>
    <row r="54" spans="1:19" x14ac:dyDescent="0.25">
      <c r="A54" s="5" t="s">
        <v>8</v>
      </c>
      <c r="B54" s="5" t="s">
        <v>303</v>
      </c>
      <c r="C54" s="5" t="s">
        <v>27</v>
      </c>
      <c r="D54" s="5" t="s">
        <v>385</v>
      </c>
      <c r="E54" s="5" t="s">
        <v>387</v>
      </c>
      <c r="F54" s="5" t="s">
        <v>112</v>
      </c>
      <c r="G54" s="5" t="s">
        <v>391</v>
      </c>
      <c r="H54" s="5" t="s">
        <v>53</v>
      </c>
      <c r="I54" s="5" t="s">
        <v>305</v>
      </c>
      <c r="J54" s="15">
        <v>2710</v>
      </c>
      <c r="K54" s="7">
        <v>38</v>
      </c>
      <c r="L54" s="7">
        <f t="shared" si="0"/>
        <v>71.315789473684205</v>
      </c>
      <c r="M54" s="5" t="s">
        <v>9</v>
      </c>
      <c r="N54" s="5">
        <v>4</v>
      </c>
      <c r="O54" s="6">
        <f t="shared" si="1"/>
        <v>8.6143139716066468</v>
      </c>
      <c r="P54" s="6">
        <f t="shared" si="2"/>
        <v>0.8958886530470912</v>
      </c>
      <c r="Q54" s="10">
        <f t="shared" si="3"/>
        <v>1.8664346938481065E-2</v>
      </c>
      <c r="R54" s="10">
        <f t="shared" si="4"/>
        <v>7.9948928370579042E-2</v>
      </c>
      <c r="S54" s="10">
        <f t="shared" si="5"/>
        <v>9.8613275309060111E-2</v>
      </c>
    </row>
    <row r="55" spans="1:19" x14ac:dyDescent="0.25">
      <c r="A55" s="5" t="s">
        <v>8</v>
      </c>
      <c r="B55" s="5" t="s">
        <v>303</v>
      </c>
      <c r="C55" s="5" t="s">
        <v>27</v>
      </c>
      <c r="D55" s="5" t="s">
        <v>385</v>
      </c>
      <c r="E55" s="5" t="s">
        <v>387</v>
      </c>
      <c r="F55" s="5" t="s">
        <v>112</v>
      </c>
      <c r="G55" s="5" t="s">
        <v>391</v>
      </c>
      <c r="H55" s="5" t="s">
        <v>53</v>
      </c>
      <c r="I55" s="5" t="s">
        <v>305</v>
      </c>
      <c r="J55" s="15">
        <v>2500</v>
      </c>
      <c r="K55" s="7">
        <v>35</v>
      </c>
      <c r="L55" s="7">
        <f t="shared" si="0"/>
        <v>71.428571428571431</v>
      </c>
      <c r="M55" s="5" t="s">
        <v>9</v>
      </c>
      <c r="N55" s="5">
        <v>4</v>
      </c>
      <c r="O55" s="6">
        <f t="shared" si="1"/>
        <v>7.9719387755102051</v>
      </c>
      <c r="P55" s="6">
        <f t="shared" si="2"/>
        <v>0.82908163265306123</v>
      </c>
      <c r="Q55" s="10">
        <f t="shared" si="3"/>
        <v>1.7272534013605446E-2</v>
      </c>
      <c r="R55" s="10">
        <f t="shared" si="4"/>
        <v>7.5434512896593864E-2</v>
      </c>
      <c r="S55" s="10">
        <f t="shared" si="5"/>
        <v>9.2707046910199306E-2</v>
      </c>
    </row>
    <row r="56" spans="1:19" x14ac:dyDescent="0.25">
      <c r="A56" s="5" t="s">
        <v>8</v>
      </c>
      <c r="B56" s="5" t="s">
        <v>228</v>
      </c>
      <c r="C56" s="5" t="s">
        <v>27</v>
      </c>
      <c r="D56" s="5" t="s">
        <v>385</v>
      </c>
      <c r="E56" s="5" t="s">
        <v>387</v>
      </c>
      <c r="F56" s="5" t="s">
        <v>112</v>
      </c>
      <c r="G56" s="5" t="s">
        <v>391</v>
      </c>
      <c r="H56" s="5" t="s">
        <v>53</v>
      </c>
      <c r="I56" s="5" t="s">
        <v>230</v>
      </c>
      <c r="J56" s="15">
        <v>2600</v>
      </c>
      <c r="K56" s="7">
        <v>39.5</v>
      </c>
      <c r="L56" s="7">
        <f t="shared" si="0"/>
        <v>65.822784810126578</v>
      </c>
      <c r="M56" s="5" t="s">
        <v>9</v>
      </c>
      <c r="N56" s="5">
        <v>4</v>
      </c>
      <c r="O56" s="6">
        <f t="shared" si="1"/>
        <v>7.0405383752603745</v>
      </c>
      <c r="P56" s="6">
        <f t="shared" si="2"/>
        <v>0.73221599102707891</v>
      </c>
      <c r="Q56" s="10">
        <f t="shared" si="3"/>
        <v>1.5254499813064143E-2</v>
      </c>
      <c r="R56" s="10">
        <f t="shared" si="4"/>
        <v>6.8722907763020355E-2</v>
      </c>
      <c r="S56" s="10">
        <f t="shared" si="5"/>
        <v>8.3977407576084503E-2</v>
      </c>
    </row>
    <row r="57" spans="1:19" x14ac:dyDescent="0.25">
      <c r="A57" s="5" t="s">
        <v>8</v>
      </c>
      <c r="B57" s="5" t="s">
        <v>284</v>
      </c>
      <c r="C57" s="5" t="s">
        <v>27</v>
      </c>
      <c r="D57" s="5" t="s">
        <v>385</v>
      </c>
      <c r="E57" s="5" t="s">
        <v>387</v>
      </c>
      <c r="F57" s="5" t="s">
        <v>112</v>
      </c>
      <c r="G57" s="5" t="s">
        <v>391</v>
      </c>
      <c r="H57" s="5" t="s">
        <v>53</v>
      </c>
      <c r="I57" s="5" t="s">
        <v>285</v>
      </c>
      <c r="J57" s="15">
        <v>3000</v>
      </c>
      <c r="K57" s="7">
        <v>46.3</v>
      </c>
      <c r="L57" s="7">
        <f t="shared" si="0"/>
        <v>64.794816414686835</v>
      </c>
      <c r="M57" s="5" t="s">
        <v>9</v>
      </c>
      <c r="N57" s="5">
        <v>4</v>
      </c>
      <c r="O57" s="6">
        <f t="shared" si="1"/>
        <v>7.8719404391493191</v>
      </c>
      <c r="P57" s="6">
        <f t="shared" si="2"/>
        <v>0.81868180567152926</v>
      </c>
      <c r="Q57" s="10">
        <f t="shared" si="3"/>
        <v>1.7055870951490189E-2</v>
      </c>
      <c r="R57" s="10">
        <f t="shared" si="4"/>
        <v>7.4723718195041214E-2</v>
      </c>
      <c r="S57" s="10">
        <f t="shared" si="5"/>
        <v>9.1779589146531407E-2</v>
      </c>
    </row>
    <row r="58" spans="1:19" x14ac:dyDescent="0.25">
      <c r="A58" s="5" t="s">
        <v>8</v>
      </c>
      <c r="B58" s="5" t="s">
        <v>303</v>
      </c>
      <c r="C58" s="5" t="s">
        <v>27</v>
      </c>
      <c r="D58" s="5" t="s">
        <v>385</v>
      </c>
      <c r="E58" s="5" t="s">
        <v>387</v>
      </c>
      <c r="F58" s="5" t="s">
        <v>112</v>
      </c>
      <c r="G58" s="5" t="s">
        <v>391</v>
      </c>
      <c r="H58" s="5" t="s">
        <v>53</v>
      </c>
      <c r="I58" s="5" t="s">
        <v>304</v>
      </c>
      <c r="J58" s="15">
        <v>2330</v>
      </c>
      <c r="K58" s="7">
        <v>32</v>
      </c>
      <c r="L58" s="7">
        <f t="shared" si="0"/>
        <v>72.8125</v>
      </c>
      <c r="M58" s="5" t="s">
        <v>9</v>
      </c>
      <c r="N58" s="5">
        <v>4</v>
      </c>
      <c r="O58" s="6">
        <f t="shared" si="1"/>
        <v>7.7205426025390622</v>
      </c>
      <c r="P58" s="6">
        <f t="shared" si="2"/>
        <v>0.80293643066406251</v>
      </c>
      <c r="Q58" s="10">
        <f t="shared" si="3"/>
        <v>1.6727842305501301E-2</v>
      </c>
      <c r="R58" s="10">
        <f t="shared" si="4"/>
        <v>7.3643257759382366E-2</v>
      </c>
      <c r="S58" s="10">
        <f t="shared" si="5"/>
        <v>9.0371100064883664E-2</v>
      </c>
    </row>
    <row r="59" spans="1:19" x14ac:dyDescent="0.25">
      <c r="A59" s="5" t="s">
        <v>22</v>
      </c>
      <c r="B59" s="5" t="s">
        <v>63</v>
      </c>
      <c r="C59" s="5" t="s">
        <v>27</v>
      </c>
      <c r="D59" s="5" t="s">
        <v>385</v>
      </c>
      <c r="E59" s="5" t="s">
        <v>387</v>
      </c>
      <c r="F59" s="5" t="s">
        <v>112</v>
      </c>
      <c r="G59" s="5" t="s">
        <v>391</v>
      </c>
      <c r="H59" s="5" t="s">
        <v>53</v>
      </c>
      <c r="I59" s="5" t="s">
        <v>147</v>
      </c>
      <c r="J59" s="15">
        <v>2200</v>
      </c>
      <c r="K59" s="7">
        <v>33</v>
      </c>
      <c r="L59" s="7">
        <f t="shared" si="0"/>
        <v>66.666666666666671</v>
      </c>
      <c r="M59" s="5" t="s">
        <v>9</v>
      </c>
      <c r="N59" s="5">
        <v>4</v>
      </c>
      <c r="O59" s="6">
        <f t="shared" si="1"/>
        <v>6.1111111111111125</v>
      </c>
      <c r="P59" s="6">
        <f t="shared" si="2"/>
        <v>0.63555555555555565</v>
      </c>
      <c r="Q59" s="10">
        <f t="shared" si="3"/>
        <v>1.3240740740740742E-2</v>
      </c>
      <c r="R59" s="10">
        <f t="shared" si="4"/>
        <v>6.1799827002558427E-2</v>
      </c>
      <c r="S59" s="10">
        <f t="shared" si="5"/>
        <v>7.5040567743299175E-2</v>
      </c>
    </row>
    <row r="60" spans="1:19" x14ac:dyDescent="0.25">
      <c r="A60" s="5" t="s">
        <v>8</v>
      </c>
      <c r="B60" s="5" t="s">
        <v>228</v>
      </c>
      <c r="C60" s="5" t="s">
        <v>27</v>
      </c>
      <c r="D60" s="5" t="s">
        <v>385</v>
      </c>
      <c r="E60" s="5" t="s">
        <v>387</v>
      </c>
      <c r="F60" s="5" t="s">
        <v>112</v>
      </c>
      <c r="G60" s="5" t="s">
        <v>391</v>
      </c>
      <c r="H60" s="5" t="s">
        <v>53</v>
      </c>
      <c r="I60" s="5" t="s">
        <v>229</v>
      </c>
      <c r="J60" s="15">
        <v>2100</v>
      </c>
      <c r="K60" s="7">
        <v>34</v>
      </c>
      <c r="L60" s="7">
        <f t="shared" si="0"/>
        <v>61.764705882352942</v>
      </c>
      <c r="M60" s="5" t="s">
        <v>9</v>
      </c>
      <c r="N60" s="5">
        <v>4</v>
      </c>
      <c r="O60" s="6">
        <f t="shared" si="1"/>
        <v>5.0070285467128031</v>
      </c>
      <c r="P60" s="6">
        <f t="shared" si="2"/>
        <v>0.52073096885813142</v>
      </c>
      <c r="Q60" s="10">
        <f t="shared" si="3"/>
        <v>1.0848561851211073E-2</v>
      </c>
      <c r="R60" s="10">
        <f t="shared" si="4"/>
        <v>5.3220895151738591E-2</v>
      </c>
      <c r="S60" s="10">
        <f t="shared" si="5"/>
        <v>6.4069457002949665E-2</v>
      </c>
    </row>
    <row r="61" spans="1:19" x14ac:dyDescent="0.25">
      <c r="A61" s="5" t="s">
        <v>22</v>
      </c>
      <c r="B61" s="5" t="s">
        <v>26</v>
      </c>
      <c r="C61" s="5" t="s">
        <v>27</v>
      </c>
      <c r="D61" s="5" t="s">
        <v>385</v>
      </c>
      <c r="E61" s="5" t="s">
        <v>387</v>
      </c>
      <c r="F61" s="5" t="s">
        <v>112</v>
      </c>
      <c r="G61" s="5" t="s">
        <v>391</v>
      </c>
      <c r="H61" s="5" t="s">
        <v>53</v>
      </c>
      <c r="I61" s="5" t="s">
        <v>55</v>
      </c>
      <c r="J61" s="15">
        <v>3400</v>
      </c>
      <c r="K61" s="7">
        <v>37.5</v>
      </c>
      <c r="L61" s="7">
        <f t="shared" si="0"/>
        <v>90.666666666666671</v>
      </c>
      <c r="M61" s="5" t="s">
        <v>9</v>
      </c>
      <c r="N61" s="5">
        <v>4</v>
      </c>
      <c r="O61" s="6">
        <f t="shared" si="1"/>
        <v>17.468444444444447</v>
      </c>
      <c r="P61" s="6">
        <f t="shared" si="2"/>
        <v>1.8167182222222222</v>
      </c>
      <c r="Q61" s="10">
        <f t="shared" si="3"/>
        <v>3.7848296296296303E-2</v>
      </c>
      <c r="R61" s="10">
        <f t="shared" si="4"/>
        <v>0.13585880775908216</v>
      </c>
      <c r="S61" s="10">
        <f t="shared" si="5"/>
        <v>0.17370710405537845</v>
      </c>
    </row>
    <row r="62" spans="1:19" x14ac:dyDescent="0.25">
      <c r="A62" s="5" t="s">
        <v>8</v>
      </c>
      <c r="B62" s="5" t="s">
        <v>372</v>
      </c>
      <c r="C62" s="5" t="s">
        <v>27</v>
      </c>
      <c r="D62" s="5" t="s">
        <v>385</v>
      </c>
      <c r="E62" s="5" t="s">
        <v>387</v>
      </c>
      <c r="F62" s="5" t="s">
        <v>112</v>
      </c>
      <c r="G62" s="5" t="s">
        <v>391</v>
      </c>
      <c r="H62" s="5" t="s">
        <v>53</v>
      </c>
      <c r="I62" s="5" t="s">
        <v>374</v>
      </c>
      <c r="J62" s="15">
        <v>3460</v>
      </c>
      <c r="K62" s="7">
        <v>50.7</v>
      </c>
      <c r="L62" s="7">
        <f t="shared" si="0"/>
        <v>68.244575936883621</v>
      </c>
      <c r="M62" s="5" t="s">
        <v>9</v>
      </c>
      <c r="N62" s="5">
        <v>4</v>
      </c>
      <c r="O62" s="6">
        <f t="shared" si="1"/>
        <v>10.071459138140973</v>
      </c>
      <c r="P62" s="6">
        <f t="shared" si="2"/>
        <v>1.0474317503666613</v>
      </c>
      <c r="Q62" s="10">
        <f t="shared" si="3"/>
        <v>2.1821494799305442E-2</v>
      </c>
      <c r="R62" s="10">
        <f t="shared" si="4"/>
        <v>8.9891043220326733E-2</v>
      </c>
      <c r="S62" s="10">
        <f t="shared" si="5"/>
        <v>0.11171253801963217</v>
      </c>
    </row>
    <row r="63" spans="1:19" x14ac:dyDescent="0.25">
      <c r="A63" s="5" t="s">
        <v>22</v>
      </c>
      <c r="B63" s="5" t="s">
        <v>63</v>
      </c>
      <c r="C63" s="5" t="s">
        <v>27</v>
      </c>
      <c r="D63" s="5" t="s">
        <v>385</v>
      </c>
      <c r="E63" s="5" t="s">
        <v>387</v>
      </c>
      <c r="F63" s="5" t="s">
        <v>112</v>
      </c>
      <c r="G63" s="5" t="s">
        <v>391</v>
      </c>
      <c r="H63" s="5" t="s">
        <v>53</v>
      </c>
      <c r="I63" s="5" t="s">
        <v>114</v>
      </c>
      <c r="J63" s="15">
        <v>1700</v>
      </c>
      <c r="K63" s="7">
        <v>28</v>
      </c>
      <c r="L63" s="7">
        <f t="shared" si="0"/>
        <v>60.714285714285715</v>
      </c>
      <c r="M63" s="5" t="s">
        <v>9</v>
      </c>
      <c r="N63" s="5">
        <v>4</v>
      </c>
      <c r="O63" s="6">
        <f t="shared" si="1"/>
        <v>3.9166135204081631</v>
      </c>
      <c r="P63" s="6">
        <f t="shared" si="2"/>
        <v>0.40732780612244895</v>
      </c>
      <c r="Q63" s="10">
        <f t="shared" si="3"/>
        <v>8.4859959608843526E-3</v>
      </c>
      <c r="R63" s="10">
        <f t="shared" si="4"/>
        <v>4.4267007423098879E-2</v>
      </c>
      <c r="S63" s="10">
        <f t="shared" si="5"/>
        <v>5.2753003383983234E-2</v>
      </c>
    </row>
    <row r="64" spans="1:19" x14ac:dyDescent="0.25">
      <c r="A64" s="5" t="s">
        <v>22</v>
      </c>
      <c r="B64" s="5" t="s">
        <v>63</v>
      </c>
      <c r="C64" s="5" t="s">
        <v>27</v>
      </c>
      <c r="D64" s="5" t="s">
        <v>385</v>
      </c>
      <c r="E64" s="5" t="s">
        <v>387</v>
      </c>
      <c r="F64" s="5" t="s">
        <v>112</v>
      </c>
      <c r="G64" s="5" t="s">
        <v>391</v>
      </c>
      <c r="H64" s="5" t="s">
        <v>115</v>
      </c>
      <c r="I64" s="5" t="s">
        <v>116</v>
      </c>
      <c r="J64" s="15">
        <v>750</v>
      </c>
      <c r="K64" s="7">
        <v>23</v>
      </c>
      <c r="L64" s="7">
        <f t="shared" si="0"/>
        <v>32.608695652173914</v>
      </c>
      <c r="M64" s="5" t="s">
        <v>9</v>
      </c>
      <c r="N64" s="5">
        <v>4</v>
      </c>
      <c r="O64" s="6">
        <f t="shared" si="1"/>
        <v>0.49843454631379974</v>
      </c>
      <c r="P64" s="6">
        <f t="shared" si="2"/>
        <v>5.1837192816635173E-2</v>
      </c>
      <c r="Q64" s="10">
        <f t="shared" si="3"/>
        <v>1.0799415170132329E-3</v>
      </c>
      <c r="R64" s="10">
        <f t="shared" si="4"/>
        <v>9.431987704294223E-3</v>
      </c>
      <c r="S64" s="10">
        <f t="shared" si="5"/>
        <v>1.0511929221307456E-2</v>
      </c>
    </row>
    <row r="65" spans="1:19" x14ac:dyDescent="0.25">
      <c r="A65" s="5" t="s">
        <v>8</v>
      </c>
      <c r="B65" s="5" t="s">
        <v>372</v>
      </c>
      <c r="C65" s="5" t="s">
        <v>27</v>
      </c>
      <c r="D65" s="5" t="s">
        <v>385</v>
      </c>
      <c r="E65" s="5" t="s">
        <v>384</v>
      </c>
      <c r="F65" s="5" t="s">
        <v>91</v>
      </c>
      <c r="G65" s="5" t="s">
        <v>393</v>
      </c>
      <c r="H65" s="5" t="s">
        <v>92</v>
      </c>
      <c r="I65" s="5" t="s">
        <v>373</v>
      </c>
      <c r="J65" s="15">
        <v>2510</v>
      </c>
      <c r="K65" s="7">
        <v>41.4</v>
      </c>
      <c r="L65" s="7">
        <f t="shared" si="0"/>
        <v>60.628019323671502</v>
      </c>
      <c r="M65" s="5" t="s">
        <v>9</v>
      </c>
      <c r="N65" s="5">
        <v>4</v>
      </c>
      <c r="O65" s="6">
        <f t="shared" si="1"/>
        <v>5.7663433656561418</v>
      </c>
      <c r="P65" s="6">
        <f t="shared" si="2"/>
        <v>0.59969971002823874</v>
      </c>
      <c r="Q65" s="10">
        <f t="shared" si="3"/>
        <v>1.249374395892164E-2</v>
      </c>
      <c r="R65" s="10">
        <f t="shared" si="4"/>
        <v>5.9166039480103155E-2</v>
      </c>
      <c r="S65" s="10">
        <f t="shared" si="5"/>
        <v>7.1659783439024793E-2</v>
      </c>
    </row>
    <row r="66" spans="1:19" x14ac:dyDescent="0.25">
      <c r="A66" s="5" t="s">
        <v>22</v>
      </c>
      <c r="B66" s="5" t="s">
        <v>63</v>
      </c>
      <c r="C66" s="5" t="s">
        <v>27</v>
      </c>
      <c r="D66" s="5" t="s">
        <v>385</v>
      </c>
      <c r="E66" s="5" t="s">
        <v>384</v>
      </c>
      <c r="F66" s="5" t="s">
        <v>91</v>
      </c>
      <c r="G66" s="5" t="s">
        <v>393</v>
      </c>
      <c r="H66" s="5" t="s">
        <v>92</v>
      </c>
      <c r="I66" s="5" t="s">
        <v>19</v>
      </c>
      <c r="J66" s="15">
        <v>1585</v>
      </c>
      <c r="K66" s="7">
        <v>66</v>
      </c>
      <c r="L66" s="7">
        <f t="shared" si="0"/>
        <v>24.015151515151516</v>
      </c>
      <c r="M66" s="5" t="s">
        <v>9</v>
      </c>
      <c r="N66" s="5">
        <v>4</v>
      </c>
      <c r="O66" s="6">
        <f t="shared" si="1"/>
        <v>0.57132068196166208</v>
      </c>
      <c r="P66" s="6">
        <f t="shared" si="2"/>
        <v>5.941735092401286E-2</v>
      </c>
      <c r="Q66" s="10">
        <f t="shared" si="3"/>
        <v>1.2378614775836012E-3</v>
      </c>
      <c r="R66" s="10">
        <f t="shared" si="4"/>
        <v>1.0448575464998765E-2</v>
      </c>
      <c r="S66" s="10">
        <f t="shared" si="5"/>
        <v>1.1686436942582366E-2</v>
      </c>
    </row>
    <row r="67" spans="1:19" x14ac:dyDescent="0.25">
      <c r="A67" s="5" t="s">
        <v>8</v>
      </c>
      <c r="B67" s="5" t="s">
        <v>308</v>
      </c>
      <c r="C67" s="5" t="s">
        <v>27</v>
      </c>
      <c r="D67" s="5" t="s">
        <v>385</v>
      </c>
      <c r="E67" s="5" t="s">
        <v>384</v>
      </c>
      <c r="F67" s="5" t="s">
        <v>91</v>
      </c>
      <c r="G67" s="5" t="s">
        <v>393</v>
      </c>
      <c r="H67" s="5" t="s">
        <v>92</v>
      </c>
      <c r="I67" s="5" t="s">
        <v>309</v>
      </c>
      <c r="J67" s="15">
        <v>1215</v>
      </c>
      <c r="K67" s="7">
        <v>41</v>
      </c>
      <c r="L67" s="7">
        <f t="shared" si="0"/>
        <v>29.634146341463413</v>
      </c>
      <c r="M67" s="5" t="s">
        <v>9</v>
      </c>
      <c r="N67" s="5">
        <v>4</v>
      </c>
      <c r="O67" s="6">
        <f t="shared" si="1"/>
        <v>0.66686993419095775</v>
      </c>
      <c r="P67" s="6">
        <f t="shared" si="2"/>
        <v>6.9354473155859603E-2</v>
      </c>
      <c r="Q67" s="10">
        <f t="shared" si="3"/>
        <v>1.4448848574137418E-3</v>
      </c>
      <c r="R67" s="10">
        <f t="shared" si="4"/>
        <v>1.1733510805087846E-2</v>
      </c>
      <c r="S67" s="10">
        <f t="shared" si="5"/>
        <v>1.3178395662501587E-2</v>
      </c>
    </row>
    <row r="68" spans="1:19" x14ac:dyDescent="0.25">
      <c r="A68" s="5" t="s">
        <v>22</v>
      </c>
      <c r="B68" s="5" t="s">
        <v>63</v>
      </c>
      <c r="C68" s="5" t="s">
        <v>27</v>
      </c>
      <c r="D68" s="5" t="s">
        <v>385</v>
      </c>
      <c r="E68" s="5" t="s">
        <v>384</v>
      </c>
      <c r="F68" s="5" t="s">
        <v>91</v>
      </c>
      <c r="G68" s="5" t="s">
        <v>393</v>
      </c>
      <c r="H68" s="5" t="s">
        <v>93</v>
      </c>
      <c r="I68" s="5" t="s">
        <v>94</v>
      </c>
      <c r="J68" s="15">
        <v>2400</v>
      </c>
      <c r="K68" s="7">
        <v>30</v>
      </c>
      <c r="L68" s="7">
        <f t="shared" ref="L68:L130" si="6">J68/K68</f>
        <v>80</v>
      </c>
      <c r="M68" s="5" t="s">
        <v>9</v>
      </c>
      <c r="N68" s="5">
        <v>4</v>
      </c>
      <c r="O68" s="6">
        <f t="shared" ref="O68:O130" si="7">(J68*L68^2)/(1.6*10^6)</f>
        <v>9.6</v>
      </c>
      <c r="P68" s="6">
        <f t="shared" ref="P68:P130" si="8">(0.104*J68*L68^2)/(1.6*10^6)</f>
        <v>0.99839999999999995</v>
      </c>
      <c r="Q68" s="10">
        <f t="shared" ref="Q68:Q130" si="9">(0.104*O68)/(12*N68)</f>
        <v>2.0799999999999999E-2</v>
      </c>
      <c r="R68" s="10">
        <f t="shared" ref="R68:R130" si="10">0.0159*O68^0.75</f>
        <v>8.671626204879955E-2</v>
      </c>
      <c r="S68" s="10">
        <f t="shared" ref="S68:S130" si="11">Q68+R68</f>
        <v>0.10751626204879955</v>
      </c>
    </row>
    <row r="69" spans="1:19" x14ac:dyDescent="0.25">
      <c r="A69" s="5" t="s">
        <v>8</v>
      </c>
      <c r="B69" s="5" t="s">
        <v>336</v>
      </c>
      <c r="C69" s="5" t="s">
        <v>27</v>
      </c>
      <c r="D69" s="5" t="s">
        <v>385</v>
      </c>
      <c r="E69" s="5" t="s">
        <v>384</v>
      </c>
      <c r="F69" s="5" t="s">
        <v>91</v>
      </c>
      <c r="G69" s="5" t="s">
        <v>393</v>
      </c>
      <c r="H69" s="5" t="s">
        <v>93</v>
      </c>
      <c r="I69" s="5" t="s">
        <v>94</v>
      </c>
      <c r="J69" s="15">
        <v>2840</v>
      </c>
      <c r="K69" s="7">
        <v>30</v>
      </c>
      <c r="L69" s="7">
        <f t="shared" si="6"/>
        <v>94.666666666666671</v>
      </c>
      <c r="M69" s="5" t="s">
        <v>9</v>
      </c>
      <c r="N69" s="5">
        <v>4</v>
      </c>
      <c r="O69" s="6">
        <f t="shared" si="7"/>
        <v>15.907155555555557</v>
      </c>
      <c r="P69" s="6">
        <f t="shared" si="8"/>
        <v>1.6543441777777783</v>
      </c>
      <c r="Q69" s="10">
        <f t="shared" si="9"/>
        <v>3.4465503703703708E-2</v>
      </c>
      <c r="R69" s="10">
        <f t="shared" si="10"/>
        <v>0.12664601248462076</v>
      </c>
      <c r="S69" s="10">
        <f t="shared" si="11"/>
        <v>0.16111151618832448</v>
      </c>
    </row>
    <row r="70" spans="1:19" x14ac:dyDescent="0.25">
      <c r="A70" s="5" t="s">
        <v>8</v>
      </c>
      <c r="B70" s="5" t="s">
        <v>336</v>
      </c>
      <c r="C70" s="5" t="s">
        <v>27</v>
      </c>
      <c r="D70" s="5" t="s">
        <v>385</v>
      </c>
      <c r="E70" s="5" t="s">
        <v>384</v>
      </c>
      <c r="F70" s="5" t="s">
        <v>91</v>
      </c>
      <c r="G70" s="5" t="s">
        <v>393</v>
      </c>
      <c r="H70" s="5" t="s">
        <v>93</v>
      </c>
      <c r="I70" s="5" t="s">
        <v>338</v>
      </c>
      <c r="J70" s="15">
        <v>2620</v>
      </c>
      <c r="K70" s="7">
        <v>30.5</v>
      </c>
      <c r="L70" s="7">
        <f t="shared" si="6"/>
        <v>85.901639344262293</v>
      </c>
      <c r="M70" s="5" t="s">
        <v>9</v>
      </c>
      <c r="N70" s="5">
        <v>4</v>
      </c>
      <c r="O70" s="6">
        <f t="shared" si="7"/>
        <v>12.083262563826928</v>
      </c>
      <c r="P70" s="6">
        <f t="shared" si="8"/>
        <v>1.2566593066380003</v>
      </c>
      <c r="Q70" s="10">
        <f t="shared" si="9"/>
        <v>2.6180402221625012E-2</v>
      </c>
      <c r="R70" s="10">
        <f t="shared" si="10"/>
        <v>0.10304698364299147</v>
      </c>
      <c r="S70" s="10">
        <f t="shared" si="11"/>
        <v>0.12922738586461649</v>
      </c>
    </row>
    <row r="71" spans="1:19" x14ac:dyDescent="0.25">
      <c r="A71" s="5" t="s">
        <v>8</v>
      </c>
      <c r="B71" s="5" t="s">
        <v>165</v>
      </c>
      <c r="C71" s="5" t="s">
        <v>27</v>
      </c>
      <c r="D71" s="5" t="s">
        <v>385</v>
      </c>
      <c r="E71" s="5" t="s">
        <v>384</v>
      </c>
      <c r="F71" s="5" t="s">
        <v>30</v>
      </c>
      <c r="G71" s="5" t="s">
        <v>397</v>
      </c>
      <c r="H71" s="5" t="s">
        <v>36</v>
      </c>
      <c r="I71" s="5" t="s">
        <v>173</v>
      </c>
      <c r="J71" s="15">
        <v>3000</v>
      </c>
      <c r="K71" s="7">
        <v>21.5</v>
      </c>
      <c r="L71" s="7">
        <f t="shared" si="6"/>
        <v>139.53488372093022</v>
      </c>
      <c r="M71" s="5" t="s">
        <v>9</v>
      </c>
      <c r="N71" s="5">
        <v>4</v>
      </c>
      <c r="O71" s="6">
        <f t="shared" si="7"/>
        <v>36.50621957815035</v>
      </c>
      <c r="P71" s="6">
        <f t="shared" si="8"/>
        <v>3.7966468361276364</v>
      </c>
      <c r="Q71" s="10">
        <f t="shared" si="9"/>
        <v>7.9096809085992426E-2</v>
      </c>
      <c r="R71" s="10">
        <f t="shared" si="10"/>
        <v>0.23614147442789565</v>
      </c>
      <c r="S71" s="10">
        <f t="shared" si="11"/>
        <v>0.31523828351388805</v>
      </c>
    </row>
    <row r="72" spans="1:19" x14ac:dyDescent="0.25">
      <c r="A72" s="5" t="s">
        <v>8</v>
      </c>
      <c r="B72" s="5" t="s">
        <v>165</v>
      </c>
      <c r="C72" s="5" t="s">
        <v>27</v>
      </c>
      <c r="D72" s="5" t="s">
        <v>385</v>
      </c>
      <c r="E72" s="5" t="s">
        <v>384</v>
      </c>
      <c r="F72" s="5" t="s">
        <v>30</v>
      </c>
      <c r="G72" s="5" t="s">
        <v>397</v>
      </c>
      <c r="H72" s="5" t="s">
        <v>36</v>
      </c>
      <c r="I72" s="5" t="s">
        <v>174</v>
      </c>
      <c r="J72" s="15">
        <v>4700</v>
      </c>
      <c r="K72" s="7">
        <v>37</v>
      </c>
      <c r="L72" s="7">
        <f t="shared" si="6"/>
        <v>127.02702702702703</v>
      </c>
      <c r="M72" s="5" t="s">
        <v>9</v>
      </c>
      <c r="N72" s="5">
        <v>4</v>
      </c>
      <c r="O72" s="6">
        <f t="shared" si="7"/>
        <v>47.399105186267356</v>
      </c>
      <c r="P72" s="6">
        <f t="shared" si="8"/>
        <v>4.9295069393718043</v>
      </c>
      <c r="Q72" s="10">
        <f t="shared" si="9"/>
        <v>0.10269806123691261</v>
      </c>
      <c r="R72" s="10">
        <f t="shared" si="10"/>
        <v>0.28722664908804313</v>
      </c>
      <c r="S72" s="10">
        <f t="shared" si="11"/>
        <v>0.38992471032495574</v>
      </c>
    </row>
    <row r="73" spans="1:19" x14ac:dyDescent="0.25">
      <c r="A73" s="5" t="s">
        <v>22</v>
      </c>
      <c r="B73" s="5" t="s">
        <v>26</v>
      </c>
      <c r="C73" s="5" t="s">
        <v>27</v>
      </c>
      <c r="D73" s="5" t="s">
        <v>385</v>
      </c>
      <c r="E73" s="5" t="s">
        <v>384</v>
      </c>
      <c r="F73" s="5" t="s">
        <v>30</v>
      </c>
      <c r="G73" s="5" t="s">
        <v>397</v>
      </c>
      <c r="H73" s="5" t="s">
        <v>36</v>
      </c>
      <c r="I73" s="5" t="s">
        <v>18</v>
      </c>
      <c r="J73" s="15">
        <v>1850</v>
      </c>
      <c r="K73" s="7">
        <v>29</v>
      </c>
      <c r="L73" s="7">
        <f t="shared" si="6"/>
        <v>63.793103448275865</v>
      </c>
      <c r="M73" s="5" t="s">
        <v>9</v>
      </c>
      <c r="N73" s="5">
        <v>4</v>
      </c>
      <c r="O73" s="6">
        <f t="shared" si="7"/>
        <v>4.7054288049940549</v>
      </c>
      <c r="P73" s="6">
        <f t="shared" si="8"/>
        <v>0.48936459571938168</v>
      </c>
      <c r="Q73" s="10">
        <f t="shared" si="9"/>
        <v>1.0195095744153785E-2</v>
      </c>
      <c r="R73" s="10">
        <f t="shared" si="10"/>
        <v>5.0797990133562676E-2</v>
      </c>
      <c r="S73" s="10">
        <f t="shared" si="11"/>
        <v>6.0993085877716458E-2</v>
      </c>
    </row>
    <row r="74" spans="1:19" x14ac:dyDescent="0.25">
      <c r="A74" s="5" t="s">
        <v>8</v>
      </c>
      <c r="B74" s="5" t="s">
        <v>165</v>
      </c>
      <c r="C74" s="5" t="s">
        <v>27</v>
      </c>
      <c r="D74" s="5" t="s">
        <v>385</v>
      </c>
      <c r="E74" s="5" t="s">
        <v>384</v>
      </c>
      <c r="F74" s="5" t="s">
        <v>30</v>
      </c>
      <c r="G74" s="5" t="s">
        <v>397</v>
      </c>
      <c r="H74" s="5" t="s">
        <v>36</v>
      </c>
      <c r="I74" s="5" t="s">
        <v>18</v>
      </c>
      <c r="J74" s="15">
        <v>1600</v>
      </c>
      <c r="K74" s="7">
        <v>29</v>
      </c>
      <c r="L74" s="7">
        <f t="shared" si="6"/>
        <v>55.172413793103445</v>
      </c>
      <c r="M74" s="5" t="s">
        <v>9</v>
      </c>
      <c r="N74" s="5">
        <v>4</v>
      </c>
      <c r="O74" s="6">
        <f t="shared" si="7"/>
        <v>3.0439952437574314</v>
      </c>
      <c r="P74" s="6">
        <f t="shared" si="8"/>
        <v>0.31657550535077283</v>
      </c>
      <c r="Q74" s="10">
        <f t="shared" si="9"/>
        <v>6.5953230281411007E-3</v>
      </c>
      <c r="R74" s="10">
        <f t="shared" si="10"/>
        <v>3.6642078556231465E-2</v>
      </c>
      <c r="S74" s="10">
        <f t="shared" si="11"/>
        <v>4.3237401584372566E-2</v>
      </c>
    </row>
    <row r="75" spans="1:19" x14ac:dyDescent="0.25">
      <c r="A75" s="5" t="s">
        <v>8</v>
      </c>
      <c r="B75" s="5" t="s">
        <v>165</v>
      </c>
      <c r="C75" s="5" t="s">
        <v>27</v>
      </c>
      <c r="D75" s="5" t="s">
        <v>385</v>
      </c>
      <c r="E75" s="5" t="s">
        <v>384</v>
      </c>
      <c r="F75" s="5" t="s">
        <v>30</v>
      </c>
      <c r="G75" s="5" t="s">
        <v>397</v>
      </c>
      <c r="H75" s="5" t="s">
        <v>36</v>
      </c>
      <c r="I75" s="5" t="s">
        <v>180</v>
      </c>
      <c r="J75" s="15">
        <v>3850</v>
      </c>
      <c r="K75" s="7">
        <v>31</v>
      </c>
      <c r="L75" s="7">
        <f t="shared" si="6"/>
        <v>124.19354838709677</v>
      </c>
      <c r="M75" s="5" t="s">
        <v>9</v>
      </c>
      <c r="N75" s="5">
        <v>4</v>
      </c>
      <c r="O75" s="6">
        <f t="shared" si="7"/>
        <v>37.114090140478666</v>
      </c>
      <c r="P75" s="6">
        <f t="shared" si="8"/>
        <v>3.8598653746097806</v>
      </c>
      <c r="Q75" s="10">
        <f t="shared" si="9"/>
        <v>8.0413861971037101E-2</v>
      </c>
      <c r="R75" s="10">
        <f t="shared" si="10"/>
        <v>0.23908439899747766</v>
      </c>
      <c r="S75" s="10">
        <f t="shared" si="11"/>
        <v>0.31949826096851475</v>
      </c>
    </row>
    <row r="76" spans="1:19" x14ac:dyDescent="0.25">
      <c r="A76" s="5" t="s">
        <v>8</v>
      </c>
      <c r="B76" s="5" t="s">
        <v>165</v>
      </c>
      <c r="C76" s="5" t="s">
        <v>27</v>
      </c>
      <c r="D76" s="5" t="s">
        <v>385</v>
      </c>
      <c r="E76" s="5" t="s">
        <v>384</v>
      </c>
      <c r="F76" s="5" t="s">
        <v>30</v>
      </c>
      <c r="G76" s="5" t="s">
        <v>397</v>
      </c>
      <c r="H76" s="5" t="s">
        <v>36</v>
      </c>
      <c r="I76" s="5" t="s">
        <v>71</v>
      </c>
      <c r="J76" s="15">
        <v>2850</v>
      </c>
      <c r="K76" s="7">
        <v>31.5</v>
      </c>
      <c r="L76" s="7">
        <f t="shared" si="6"/>
        <v>90.476190476190482</v>
      </c>
      <c r="M76" s="5" t="s">
        <v>9</v>
      </c>
      <c r="N76" s="5">
        <v>4</v>
      </c>
      <c r="O76" s="6">
        <f t="shared" si="7"/>
        <v>14.5812074829932</v>
      </c>
      <c r="P76" s="6">
        <f t="shared" si="8"/>
        <v>1.5164455782312927</v>
      </c>
      <c r="Q76" s="10">
        <f t="shared" si="9"/>
        <v>3.1592616213151931E-2</v>
      </c>
      <c r="R76" s="10">
        <f t="shared" si="10"/>
        <v>0.11864303331746644</v>
      </c>
      <c r="S76" s="10">
        <f t="shared" si="11"/>
        <v>0.15023564953061835</v>
      </c>
    </row>
    <row r="77" spans="1:19" x14ac:dyDescent="0.25">
      <c r="A77" s="5" t="s">
        <v>22</v>
      </c>
      <c r="B77" s="5" t="s">
        <v>26</v>
      </c>
      <c r="C77" s="5" t="s">
        <v>27</v>
      </c>
      <c r="D77" s="5" t="s">
        <v>385</v>
      </c>
      <c r="E77" s="5" t="s">
        <v>384</v>
      </c>
      <c r="F77" s="5" t="s">
        <v>30</v>
      </c>
      <c r="G77" s="5" t="s">
        <v>397</v>
      </c>
      <c r="H77" s="5" t="s">
        <v>36</v>
      </c>
      <c r="I77" s="5" t="s">
        <v>37</v>
      </c>
      <c r="J77" s="15">
        <v>3100</v>
      </c>
      <c r="K77" s="7">
        <v>36</v>
      </c>
      <c r="L77" s="7">
        <f t="shared" si="6"/>
        <v>86.111111111111114</v>
      </c>
      <c r="M77" s="5" t="s">
        <v>9</v>
      </c>
      <c r="N77" s="5">
        <v>4</v>
      </c>
      <c r="O77" s="6">
        <f t="shared" si="7"/>
        <v>14.366801697530866</v>
      </c>
      <c r="P77" s="6">
        <f t="shared" si="8"/>
        <v>1.4941473765432098</v>
      </c>
      <c r="Q77" s="10">
        <f t="shared" si="9"/>
        <v>3.1128070344650208E-2</v>
      </c>
      <c r="R77" s="10">
        <f t="shared" si="10"/>
        <v>0.11733219553044927</v>
      </c>
      <c r="S77" s="10">
        <f t="shared" si="11"/>
        <v>0.14846026587509947</v>
      </c>
    </row>
    <row r="78" spans="1:19" x14ac:dyDescent="0.25">
      <c r="A78" s="5" t="s">
        <v>8</v>
      </c>
      <c r="B78" s="5" t="s">
        <v>165</v>
      </c>
      <c r="C78" s="5" t="s">
        <v>27</v>
      </c>
      <c r="D78" s="5" t="s">
        <v>385</v>
      </c>
      <c r="E78" s="5" t="s">
        <v>384</v>
      </c>
      <c r="F78" s="5" t="s">
        <v>30</v>
      </c>
      <c r="G78" s="5" t="s">
        <v>397</v>
      </c>
      <c r="H78" s="5" t="s">
        <v>36</v>
      </c>
      <c r="I78" s="5" t="s">
        <v>37</v>
      </c>
      <c r="J78" s="15">
        <v>3000</v>
      </c>
      <c r="K78" s="7">
        <v>34</v>
      </c>
      <c r="L78" s="7">
        <f t="shared" si="6"/>
        <v>88.235294117647058</v>
      </c>
      <c r="M78" s="5" t="s">
        <v>9</v>
      </c>
      <c r="N78" s="5">
        <v>4</v>
      </c>
      <c r="O78" s="6">
        <f t="shared" si="7"/>
        <v>14.597750865051902</v>
      </c>
      <c r="P78" s="6">
        <f t="shared" si="8"/>
        <v>1.5181660899653979</v>
      </c>
      <c r="Q78" s="10">
        <f t="shared" si="9"/>
        <v>3.1628460207612452E-2</v>
      </c>
      <c r="R78" s="10">
        <f t="shared" si="10"/>
        <v>0.11874397551321185</v>
      </c>
      <c r="S78" s="10">
        <f t="shared" si="11"/>
        <v>0.15037243572082432</v>
      </c>
    </row>
    <row r="79" spans="1:19" x14ac:dyDescent="0.25">
      <c r="A79" s="5" t="s">
        <v>8</v>
      </c>
      <c r="B79" s="5" t="s">
        <v>165</v>
      </c>
      <c r="C79" s="5" t="s">
        <v>27</v>
      </c>
      <c r="D79" s="5" t="s">
        <v>385</v>
      </c>
      <c r="E79" s="5" t="s">
        <v>384</v>
      </c>
      <c r="F79" s="5" t="s">
        <v>30</v>
      </c>
      <c r="G79" s="5" t="s">
        <v>397</v>
      </c>
      <c r="H79" s="5" t="s">
        <v>36</v>
      </c>
      <c r="I79" s="5" t="s">
        <v>182</v>
      </c>
      <c r="J79" s="15">
        <v>1450</v>
      </c>
      <c r="K79" s="7">
        <v>32</v>
      </c>
      <c r="L79" s="7">
        <f t="shared" si="6"/>
        <v>45.3125</v>
      </c>
      <c r="M79" s="5" t="s">
        <v>9</v>
      </c>
      <c r="N79" s="5">
        <v>4</v>
      </c>
      <c r="O79" s="6">
        <f t="shared" si="7"/>
        <v>1.8607330322265625</v>
      </c>
      <c r="P79" s="6">
        <f t="shared" si="8"/>
        <v>0.19351623535156245</v>
      </c>
      <c r="Q79" s="10">
        <f t="shared" si="9"/>
        <v>4.031588236490885E-3</v>
      </c>
      <c r="R79" s="10">
        <f t="shared" si="10"/>
        <v>2.5331457284123761E-2</v>
      </c>
      <c r="S79" s="10">
        <f t="shared" si="11"/>
        <v>2.9363045520614646E-2</v>
      </c>
    </row>
    <row r="80" spans="1:19" x14ac:dyDescent="0.25">
      <c r="A80" s="5" t="s">
        <v>8</v>
      </c>
      <c r="B80" s="5" t="s">
        <v>165</v>
      </c>
      <c r="C80" s="5" t="s">
        <v>27</v>
      </c>
      <c r="D80" s="5" t="s">
        <v>385</v>
      </c>
      <c r="E80" s="5" t="s">
        <v>384</v>
      </c>
      <c r="F80" s="5" t="s">
        <v>30</v>
      </c>
      <c r="G80" s="5" t="s">
        <v>397</v>
      </c>
      <c r="H80" s="5" t="s">
        <v>36</v>
      </c>
      <c r="I80" s="5" t="s">
        <v>184</v>
      </c>
      <c r="J80" s="15">
        <v>5250</v>
      </c>
      <c r="K80" s="7">
        <v>42.5</v>
      </c>
      <c r="L80" s="7">
        <f t="shared" si="6"/>
        <v>123.52941176470588</v>
      </c>
      <c r="M80" s="5" t="s">
        <v>9</v>
      </c>
      <c r="N80" s="5">
        <v>4</v>
      </c>
      <c r="O80" s="6">
        <f t="shared" si="7"/>
        <v>50.070285467128031</v>
      </c>
      <c r="P80" s="6">
        <f t="shared" si="8"/>
        <v>5.207309688581315</v>
      </c>
      <c r="Q80" s="10">
        <f t="shared" si="9"/>
        <v>0.10848561851211073</v>
      </c>
      <c r="R80" s="10">
        <f t="shared" si="10"/>
        <v>0.29928308707445306</v>
      </c>
      <c r="S80" s="10">
        <f t="shared" si="11"/>
        <v>0.40776870558656381</v>
      </c>
    </row>
    <row r="81" spans="1:19" x14ac:dyDescent="0.25">
      <c r="A81" s="5" t="s">
        <v>8</v>
      </c>
      <c r="B81" s="5" t="s">
        <v>165</v>
      </c>
      <c r="C81" s="5" t="s">
        <v>27</v>
      </c>
      <c r="D81" s="5" t="s">
        <v>385</v>
      </c>
      <c r="E81" s="5" t="s">
        <v>384</v>
      </c>
      <c r="F81" s="5" t="s">
        <v>30</v>
      </c>
      <c r="G81" s="5" t="s">
        <v>397</v>
      </c>
      <c r="H81" s="5" t="s">
        <v>36</v>
      </c>
      <c r="I81" s="5" t="s">
        <v>185</v>
      </c>
      <c r="J81" s="15">
        <v>3800</v>
      </c>
      <c r="K81" s="7">
        <v>19.5</v>
      </c>
      <c r="L81" s="7">
        <f t="shared" si="6"/>
        <v>194.87179487179486</v>
      </c>
      <c r="M81" s="5" t="s">
        <v>9</v>
      </c>
      <c r="N81" s="5">
        <v>4</v>
      </c>
      <c r="O81" s="6">
        <f t="shared" si="7"/>
        <v>90.190664036817864</v>
      </c>
      <c r="P81" s="6">
        <f t="shared" si="8"/>
        <v>9.3798290598290581</v>
      </c>
      <c r="Q81" s="10">
        <f t="shared" si="9"/>
        <v>0.19541310541310539</v>
      </c>
      <c r="R81" s="10">
        <f t="shared" si="10"/>
        <v>0.4653377789945094</v>
      </c>
      <c r="S81" s="10">
        <f t="shared" si="11"/>
        <v>0.66075088440761476</v>
      </c>
    </row>
    <row r="82" spans="1:19" x14ac:dyDescent="0.25">
      <c r="A82" s="5" t="s">
        <v>22</v>
      </c>
      <c r="B82" s="5" t="s">
        <v>26</v>
      </c>
      <c r="C82" s="5" t="s">
        <v>27</v>
      </c>
      <c r="D82" s="5" t="s">
        <v>385</v>
      </c>
      <c r="E82" s="5" t="s">
        <v>384</v>
      </c>
      <c r="F82" s="5" t="s">
        <v>30</v>
      </c>
      <c r="G82" s="5" t="s">
        <v>397</v>
      </c>
      <c r="H82" s="5" t="s">
        <v>36</v>
      </c>
      <c r="I82" s="5" t="s">
        <v>39</v>
      </c>
      <c r="J82" s="15">
        <v>1950</v>
      </c>
      <c r="K82" s="7">
        <v>38.5</v>
      </c>
      <c r="L82" s="7">
        <f t="shared" si="6"/>
        <v>50.649350649350652</v>
      </c>
      <c r="M82" s="5" t="s">
        <v>9</v>
      </c>
      <c r="N82" s="5">
        <v>4</v>
      </c>
      <c r="O82" s="6">
        <f t="shared" si="7"/>
        <v>3.1265285039635695</v>
      </c>
      <c r="P82" s="6">
        <f t="shared" si="8"/>
        <v>0.3251589644122112</v>
      </c>
      <c r="Q82" s="10">
        <f t="shared" si="9"/>
        <v>6.7741450919210668E-3</v>
      </c>
      <c r="R82" s="10">
        <f t="shared" si="10"/>
        <v>3.7384701610242169E-2</v>
      </c>
      <c r="S82" s="10">
        <f t="shared" si="11"/>
        <v>4.4158846702163232E-2</v>
      </c>
    </row>
    <row r="83" spans="1:19" x14ac:dyDescent="0.25">
      <c r="A83" s="5" t="s">
        <v>22</v>
      </c>
      <c r="B83" s="5" t="s">
        <v>63</v>
      </c>
      <c r="C83" s="5" t="s">
        <v>27</v>
      </c>
      <c r="D83" s="5" t="s">
        <v>385</v>
      </c>
      <c r="E83" s="5" t="s">
        <v>384</v>
      </c>
      <c r="F83" s="5" t="s">
        <v>30</v>
      </c>
      <c r="G83" s="5" t="s">
        <v>397</v>
      </c>
      <c r="H83" s="5" t="s">
        <v>36</v>
      </c>
      <c r="I83" s="5" t="s">
        <v>39</v>
      </c>
      <c r="J83" s="15">
        <v>1950</v>
      </c>
      <c r="K83" s="7">
        <v>38.5</v>
      </c>
      <c r="L83" s="7">
        <f t="shared" si="6"/>
        <v>50.649350649350652</v>
      </c>
      <c r="M83" s="5" t="s">
        <v>9</v>
      </c>
      <c r="N83" s="5">
        <v>4</v>
      </c>
      <c r="O83" s="6">
        <f t="shared" si="7"/>
        <v>3.1265285039635695</v>
      </c>
      <c r="P83" s="6">
        <f t="shared" si="8"/>
        <v>0.3251589644122112</v>
      </c>
      <c r="Q83" s="10">
        <f t="shared" si="9"/>
        <v>6.7741450919210668E-3</v>
      </c>
      <c r="R83" s="10">
        <f t="shared" si="10"/>
        <v>3.7384701610242169E-2</v>
      </c>
      <c r="S83" s="10">
        <f t="shared" si="11"/>
        <v>4.4158846702163232E-2</v>
      </c>
    </row>
    <row r="84" spans="1:19" x14ac:dyDescent="0.25">
      <c r="A84" s="5" t="s">
        <v>8</v>
      </c>
      <c r="B84" s="5" t="s">
        <v>165</v>
      </c>
      <c r="C84" s="5" t="s">
        <v>27</v>
      </c>
      <c r="D84" s="5" t="s">
        <v>385</v>
      </c>
      <c r="E84" s="5" t="s">
        <v>384</v>
      </c>
      <c r="F84" s="5" t="s">
        <v>30</v>
      </c>
      <c r="G84" s="5" t="s">
        <v>397</v>
      </c>
      <c r="H84" s="5" t="s">
        <v>36</v>
      </c>
      <c r="I84" s="5" t="s">
        <v>39</v>
      </c>
      <c r="J84" s="15">
        <v>1800</v>
      </c>
      <c r="K84" s="7">
        <v>38</v>
      </c>
      <c r="L84" s="7">
        <f t="shared" si="6"/>
        <v>47.368421052631582</v>
      </c>
      <c r="M84" s="5" t="s">
        <v>9</v>
      </c>
      <c r="N84" s="5">
        <v>4</v>
      </c>
      <c r="O84" s="6">
        <f t="shared" si="7"/>
        <v>2.5242382271468147</v>
      </c>
      <c r="P84" s="6">
        <f t="shared" si="8"/>
        <v>0.2625207756232687</v>
      </c>
      <c r="Q84" s="10">
        <f t="shared" si="9"/>
        <v>5.4691828254847643E-3</v>
      </c>
      <c r="R84" s="10">
        <f t="shared" si="10"/>
        <v>3.1841599745227871E-2</v>
      </c>
      <c r="S84" s="10">
        <f t="shared" si="11"/>
        <v>3.7310782570712638E-2</v>
      </c>
    </row>
    <row r="85" spans="1:19" x14ac:dyDescent="0.25">
      <c r="A85" s="5" t="s">
        <v>8</v>
      </c>
      <c r="B85" s="5" t="s">
        <v>165</v>
      </c>
      <c r="C85" s="5" t="s">
        <v>27</v>
      </c>
      <c r="D85" s="5" t="s">
        <v>385</v>
      </c>
      <c r="E85" s="5" t="s">
        <v>384</v>
      </c>
      <c r="F85" s="5" t="s">
        <v>30</v>
      </c>
      <c r="G85" s="5" t="s">
        <v>397</v>
      </c>
      <c r="H85" s="5" t="s">
        <v>36</v>
      </c>
      <c r="I85" s="5" t="s">
        <v>39</v>
      </c>
      <c r="J85" s="15">
        <v>1850</v>
      </c>
      <c r="K85" s="7">
        <v>38.5</v>
      </c>
      <c r="L85" s="7">
        <f t="shared" si="6"/>
        <v>48.051948051948052</v>
      </c>
      <c r="M85" s="5" t="s">
        <v>9</v>
      </c>
      <c r="N85" s="5">
        <v>4</v>
      </c>
      <c r="O85" s="6">
        <f t="shared" si="7"/>
        <v>2.6697693540226006</v>
      </c>
      <c r="P85" s="6">
        <f t="shared" si="8"/>
        <v>0.27765601281835045</v>
      </c>
      <c r="Q85" s="10">
        <f t="shared" si="9"/>
        <v>5.7845002670489677E-3</v>
      </c>
      <c r="R85" s="10">
        <f t="shared" si="10"/>
        <v>3.3208742598630749E-2</v>
      </c>
      <c r="S85" s="10">
        <f t="shared" si="11"/>
        <v>3.899324286567972E-2</v>
      </c>
    </row>
    <row r="86" spans="1:19" x14ac:dyDescent="0.25">
      <c r="A86" s="5" t="s">
        <v>8</v>
      </c>
      <c r="B86" s="5" t="s">
        <v>165</v>
      </c>
      <c r="C86" s="5" t="s">
        <v>27</v>
      </c>
      <c r="D86" s="5" t="s">
        <v>385</v>
      </c>
      <c r="E86" s="5" t="s">
        <v>384</v>
      </c>
      <c r="F86" s="5" t="s">
        <v>30</v>
      </c>
      <c r="G86" s="5" t="s">
        <v>397</v>
      </c>
      <c r="H86" s="5" t="s">
        <v>36</v>
      </c>
      <c r="I86" s="5" t="s">
        <v>186</v>
      </c>
      <c r="J86" s="15">
        <v>1250</v>
      </c>
      <c r="K86" s="7">
        <v>34</v>
      </c>
      <c r="L86" s="7">
        <f t="shared" si="6"/>
        <v>36.764705882352942</v>
      </c>
      <c r="M86" s="5" t="s">
        <v>9</v>
      </c>
      <c r="N86" s="5">
        <v>4</v>
      </c>
      <c r="O86" s="6">
        <f t="shared" si="7"/>
        <v>1.0559715614186851</v>
      </c>
      <c r="P86" s="6">
        <f t="shared" si="8"/>
        <v>0.10982104238754326</v>
      </c>
      <c r="Q86" s="10">
        <f t="shared" si="9"/>
        <v>2.2879383830738177E-3</v>
      </c>
      <c r="R86" s="10">
        <f t="shared" si="10"/>
        <v>1.65628966155872E-2</v>
      </c>
      <c r="S86" s="10">
        <f t="shared" si="11"/>
        <v>1.8850834998661019E-2</v>
      </c>
    </row>
    <row r="87" spans="1:19" x14ac:dyDescent="0.25">
      <c r="A87" s="5" t="s">
        <v>8</v>
      </c>
      <c r="B87" s="5" t="s">
        <v>220</v>
      </c>
      <c r="C87" s="5" t="s">
        <v>27</v>
      </c>
      <c r="D87" s="5" t="s">
        <v>385</v>
      </c>
      <c r="E87" s="5" t="s">
        <v>384</v>
      </c>
      <c r="F87" s="5" t="s">
        <v>30</v>
      </c>
      <c r="G87" s="5" t="s">
        <v>397</v>
      </c>
      <c r="H87" s="5" t="s">
        <v>64</v>
      </c>
      <c r="I87" s="5" t="s">
        <v>221</v>
      </c>
      <c r="J87" s="15">
        <v>4675</v>
      </c>
      <c r="K87" s="7">
        <v>30</v>
      </c>
      <c r="L87" s="7">
        <f t="shared" si="6"/>
        <v>155.83333333333334</v>
      </c>
      <c r="M87" s="5" t="s">
        <v>9</v>
      </c>
      <c r="N87" s="5">
        <v>4</v>
      </c>
      <c r="O87" s="6">
        <f t="shared" si="7"/>
        <v>70.954893663194454</v>
      </c>
      <c r="P87" s="6">
        <f t="shared" si="8"/>
        <v>7.3793089409722228</v>
      </c>
      <c r="Q87" s="10">
        <f t="shared" si="9"/>
        <v>0.15373560293692132</v>
      </c>
      <c r="R87" s="10">
        <f t="shared" si="10"/>
        <v>0.38871731788170716</v>
      </c>
      <c r="S87" s="10">
        <f t="shared" si="11"/>
        <v>0.5424529208186285</v>
      </c>
    </row>
    <row r="88" spans="1:19" x14ac:dyDescent="0.25">
      <c r="A88" s="5" t="s">
        <v>8</v>
      </c>
      <c r="B88" s="5" t="s">
        <v>220</v>
      </c>
      <c r="C88" s="5" t="s">
        <v>27</v>
      </c>
      <c r="D88" s="5" t="s">
        <v>385</v>
      </c>
      <c r="E88" s="5" t="s">
        <v>384</v>
      </c>
      <c r="F88" s="5" t="s">
        <v>30</v>
      </c>
      <c r="G88" s="5" t="s">
        <v>397</v>
      </c>
      <c r="H88" s="5" t="s">
        <v>64</v>
      </c>
      <c r="I88" s="5" t="s">
        <v>222</v>
      </c>
      <c r="J88" s="15">
        <v>7318</v>
      </c>
      <c r="K88" s="7">
        <v>42</v>
      </c>
      <c r="L88" s="7">
        <f t="shared" si="6"/>
        <v>174.23809523809524</v>
      </c>
      <c r="M88" s="5" t="s">
        <v>9</v>
      </c>
      <c r="N88" s="5">
        <v>4</v>
      </c>
      <c r="O88" s="6">
        <f t="shared" si="7"/>
        <v>138.85408214002268</v>
      </c>
      <c r="P88" s="6">
        <f t="shared" si="8"/>
        <v>14.440824542562359</v>
      </c>
      <c r="Q88" s="10">
        <f t="shared" si="9"/>
        <v>0.30085051130338247</v>
      </c>
      <c r="R88" s="10">
        <f t="shared" si="10"/>
        <v>0.64315568574253767</v>
      </c>
      <c r="S88" s="10">
        <f t="shared" si="11"/>
        <v>0.94400619704592015</v>
      </c>
    </row>
    <row r="89" spans="1:19" x14ac:dyDescent="0.25">
      <c r="A89" s="5" t="s">
        <v>8</v>
      </c>
      <c r="B89" s="5" t="s">
        <v>220</v>
      </c>
      <c r="C89" s="5" t="s">
        <v>27</v>
      </c>
      <c r="D89" s="5" t="s">
        <v>385</v>
      </c>
      <c r="E89" s="5" t="s">
        <v>384</v>
      </c>
      <c r="F89" s="5" t="s">
        <v>30</v>
      </c>
      <c r="G89" s="5" t="s">
        <v>397</v>
      </c>
      <c r="H89" s="5" t="s">
        <v>64</v>
      </c>
      <c r="I89" s="5" t="s">
        <v>222</v>
      </c>
      <c r="J89" s="15">
        <v>7175</v>
      </c>
      <c r="K89" s="7">
        <v>38</v>
      </c>
      <c r="L89" s="7">
        <f t="shared" si="6"/>
        <v>188.81578947368422</v>
      </c>
      <c r="M89" s="5" t="s">
        <v>9</v>
      </c>
      <c r="N89" s="5">
        <v>4</v>
      </c>
      <c r="O89" s="6">
        <f t="shared" si="7"/>
        <v>159.87425743377773</v>
      </c>
      <c r="P89" s="6">
        <f t="shared" si="8"/>
        <v>16.626922773112884</v>
      </c>
      <c r="Q89" s="10">
        <f t="shared" si="9"/>
        <v>0.34639422443985174</v>
      </c>
      <c r="R89" s="10">
        <f t="shared" si="10"/>
        <v>0.71487651439725008</v>
      </c>
      <c r="S89" s="10">
        <f t="shared" si="11"/>
        <v>1.0612707388371019</v>
      </c>
    </row>
    <row r="90" spans="1:19" x14ac:dyDescent="0.25">
      <c r="A90" s="5" t="s">
        <v>8</v>
      </c>
      <c r="B90" s="5" t="s">
        <v>220</v>
      </c>
      <c r="C90" s="5" t="s">
        <v>27</v>
      </c>
      <c r="D90" s="5" t="s">
        <v>385</v>
      </c>
      <c r="E90" s="5" t="s">
        <v>384</v>
      </c>
      <c r="F90" s="5" t="s">
        <v>30</v>
      </c>
      <c r="G90" s="5" t="s">
        <v>397</v>
      </c>
      <c r="H90" s="5" t="s">
        <v>64</v>
      </c>
      <c r="I90" s="5" t="s">
        <v>223</v>
      </c>
      <c r="J90" s="15">
        <v>2448</v>
      </c>
      <c r="K90" s="7">
        <v>17</v>
      </c>
      <c r="L90" s="7">
        <f t="shared" si="6"/>
        <v>144</v>
      </c>
      <c r="M90" s="5" t="s">
        <v>9</v>
      </c>
      <c r="N90" s="5">
        <v>4</v>
      </c>
      <c r="O90" s="6">
        <f t="shared" si="7"/>
        <v>31.72608</v>
      </c>
      <c r="P90" s="6">
        <f t="shared" si="8"/>
        <v>3.2995123199999994</v>
      </c>
      <c r="Q90" s="10">
        <f t="shared" si="9"/>
        <v>6.8739839999999997E-2</v>
      </c>
      <c r="R90" s="10">
        <f t="shared" si="10"/>
        <v>0.21254918085556765</v>
      </c>
      <c r="S90" s="10">
        <f t="shared" si="11"/>
        <v>0.28128902085556762</v>
      </c>
    </row>
    <row r="91" spans="1:19" x14ac:dyDescent="0.25">
      <c r="A91" s="5" t="s">
        <v>22</v>
      </c>
      <c r="B91" s="5" t="s">
        <v>26</v>
      </c>
      <c r="C91" s="5" t="s">
        <v>27</v>
      </c>
      <c r="D91" s="5" t="s">
        <v>385</v>
      </c>
      <c r="E91" s="5" t="s">
        <v>384</v>
      </c>
      <c r="F91" s="5" t="s">
        <v>30</v>
      </c>
      <c r="G91" s="5" t="s">
        <v>392</v>
      </c>
      <c r="H91" s="5" t="s">
        <v>31</v>
      </c>
      <c r="I91" s="5" t="s">
        <v>33</v>
      </c>
      <c r="J91" s="15">
        <v>1250</v>
      </c>
      <c r="K91" s="7">
        <v>25</v>
      </c>
      <c r="L91" s="7">
        <f t="shared" si="6"/>
        <v>50</v>
      </c>
      <c r="M91" s="5" t="s">
        <v>9</v>
      </c>
      <c r="N91" s="5">
        <v>4</v>
      </c>
      <c r="O91" s="6">
        <f t="shared" si="7"/>
        <v>1.953125</v>
      </c>
      <c r="P91" s="6">
        <f t="shared" si="8"/>
        <v>0.203125</v>
      </c>
      <c r="Q91" s="10">
        <f t="shared" si="9"/>
        <v>4.231770833333333E-3</v>
      </c>
      <c r="R91" s="10">
        <f t="shared" si="10"/>
        <v>2.6269067326101514E-2</v>
      </c>
      <c r="S91" s="10">
        <f t="shared" si="11"/>
        <v>3.0500838159434846E-2</v>
      </c>
    </row>
    <row r="92" spans="1:19" x14ac:dyDescent="0.25">
      <c r="A92" s="5" t="s">
        <v>22</v>
      </c>
      <c r="B92" s="5" t="s">
        <v>63</v>
      </c>
      <c r="C92" s="5" t="s">
        <v>27</v>
      </c>
      <c r="D92" s="5" t="s">
        <v>385</v>
      </c>
      <c r="E92" s="5" t="s">
        <v>384</v>
      </c>
      <c r="F92" s="5" t="s">
        <v>30</v>
      </c>
      <c r="G92" s="5" t="s">
        <v>392</v>
      </c>
      <c r="H92" s="5" t="s">
        <v>31</v>
      </c>
      <c r="I92" s="5" t="s">
        <v>33</v>
      </c>
      <c r="J92" s="15">
        <v>1050</v>
      </c>
      <c r="K92" s="7">
        <v>24.5</v>
      </c>
      <c r="L92" s="7">
        <f t="shared" si="6"/>
        <v>42.857142857142854</v>
      </c>
      <c r="M92" s="5" t="s">
        <v>9</v>
      </c>
      <c r="N92" s="5">
        <v>4</v>
      </c>
      <c r="O92" s="6">
        <f t="shared" si="7"/>
        <v>1.2053571428571428</v>
      </c>
      <c r="P92" s="6">
        <f t="shared" si="8"/>
        <v>0.12535714285714283</v>
      </c>
      <c r="Q92" s="10">
        <f t="shared" si="9"/>
        <v>2.6116071428571425E-3</v>
      </c>
      <c r="R92" s="10">
        <f t="shared" si="10"/>
        <v>1.8290851916478671E-2</v>
      </c>
      <c r="S92" s="10">
        <f t="shared" si="11"/>
        <v>2.0902459059335812E-2</v>
      </c>
    </row>
    <row r="93" spans="1:19" x14ac:dyDescent="0.25">
      <c r="A93" s="5" t="s">
        <v>8</v>
      </c>
      <c r="B93" s="5" t="s">
        <v>287</v>
      </c>
      <c r="C93" s="5" t="s">
        <v>27</v>
      </c>
      <c r="D93" s="5" t="s">
        <v>385</v>
      </c>
      <c r="E93" s="5" t="s">
        <v>384</v>
      </c>
      <c r="F93" s="5" t="s">
        <v>30</v>
      </c>
      <c r="G93" s="5" t="s">
        <v>392</v>
      </c>
      <c r="H93" s="5" t="s">
        <v>31</v>
      </c>
      <c r="I93" s="5" t="s">
        <v>33</v>
      </c>
      <c r="J93" s="15">
        <v>1000</v>
      </c>
      <c r="K93" s="7">
        <v>26.5</v>
      </c>
      <c r="L93" s="7">
        <f t="shared" si="6"/>
        <v>37.735849056603776</v>
      </c>
      <c r="M93" s="5" t="s">
        <v>9</v>
      </c>
      <c r="N93" s="5">
        <v>4</v>
      </c>
      <c r="O93" s="6">
        <f t="shared" si="7"/>
        <v>0.88999644001424005</v>
      </c>
      <c r="P93" s="6">
        <f t="shared" si="8"/>
        <v>9.2559629761480952E-2</v>
      </c>
      <c r="Q93" s="10">
        <f t="shared" si="9"/>
        <v>1.9283256200308535E-3</v>
      </c>
      <c r="R93" s="10">
        <f t="shared" si="10"/>
        <v>1.4569287935358966E-2</v>
      </c>
      <c r="S93" s="10">
        <f t="shared" si="11"/>
        <v>1.6497613555389819E-2</v>
      </c>
    </row>
    <row r="94" spans="1:19" x14ac:dyDescent="0.25">
      <c r="A94" s="5" t="s">
        <v>22</v>
      </c>
      <c r="B94" s="5" t="s">
        <v>63</v>
      </c>
      <c r="C94" s="5" t="s">
        <v>27</v>
      </c>
      <c r="D94" s="5" t="s">
        <v>385</v>
      </c>
      <c r="E94" s="5" t="s">
        <v>384</v>
      </c>
      <c r="F94" s="5" t="s">
        <v>30</v>
      </c>
      <c r="G94" s="5" t="s">
        <v>392</v>
      </c>
      <c r="H94" s="5" t="s">
        <v>31</v>
      </c>
      <c r="I94" s="5" t="s">
        <v>141</v>
      </c>
      <c r="J94" s="15">
        <v>3070</v>
      </c>
      <c r="K94" s="7">
        <v>32.5</v>
      </c>
      <c r="L94" s="7">
        <f t="shared" si="6"/>
        <v>94.461538461538467</v>
      </c>
      <c r="M94" s="5" t="s">
        <v>9</v>
      </c>
      <c r="N94" s="5">
        <v>4</v>
      </c>
      <c r="O94" s="6">
        <f t="shared" si="7"/>
        <v>17.120972189349114</v>
      </c>
      <c r="P94" s="6">
        <f t="shared" si="8"/>
        <v>1.7805811076923079</v>
      </c>
      <c r="Q94" s="10">
        <f t="shared" si="9"/>
        <v>3.7095439743589746E-2</v>
      </c>
      <c r="R94" s="10">
        <f t="shared" si="10"/>
        <v>0.13382690699889258</v>
      </c>
      <c r="S94" s="10">
        <f t="shared" si="11"/>
        <v>0.17092234674248233</v>
      </c>
    </row>
    <row r="95" spans="1:19" x14ac:dyDescent="0.25">
      <c r="A95" s="5" t="s">
        <v>8</v>
      </c>
      <c r="B95" s="5" t="s">
        <v>370</v>
      </c>
      <c r="C95" s="5" t="s">
        <v>27</v>
      </c>
      <c r="D95" s="5" t="s">
        <v>385</v>
      </c>
      <c r="E95" s="5" t="s">
        <v>384</v>
      </c>
      <c r="F95" s="5" t="s">
        <v>30</v>
      </c>
      <c r="G95" s="5" t="s">
        <v>392</v>
      </c>
      <c r="H95" s="5" t="s">
        <v>34</v>
      </c>
      <c r="I95" s="5" t="s">
        <v>371</v>
      </c>
      <c r="J95" s="15">
        <v>799</v>
      </c>
      <c r="K95" s="7">
        <v>21.8</v>
      </c>
      <c r="L95" s="7">
        <f t="shared" si="6"/>
        <v>36.651376146788991</v>
      </c>
      <c r="M95" s="5" t="s">
        <v>9</v>
      </c>
      <c r="N95" s="5">
        <v>4</v>
      </c>
      <c r="O95" s="6">
        <f t="shared" si="7"/>
        <v>0.67082210961829813</v>
      </c>
      <c r="P95" s="6">
        <f t="shared" si="8"/>
        <v>6.9765499400302994E-2</v>
      </c>
      <c r="Q95" s="10">
        <f t="shared" si="9"/>
        <v>1.4534479041729794E-3</v>
      </c>
      <c r="R95" s="10">
        <f t="shared" si="10"/>
        <v>1.1785625867435959E-2</v>
      </c>
      <c r="S95" s="10">
        <f t="shared" si="11"/>
        <v>1.3239073771608939E-2</v>
      </c>
    </row>
    <row r="96" spans="1:19" x14ac:dyDescent="0.25">
      <c r="A96" s="5" t="s">
        <v>8</v>
      </c>
      <c r="B96" s="5" t="s">
        <v>370</v>
      </c>
      <c r="C96" s="5" t="s">
        <v>27</v>
      </c>
      <c r="D96" s="5" t="s">
        <v>385</v>
      </c>
      <c r="E96" s="5" t="s">
        <v>384</v>
      </c>
      <c r="F96" s="5" t="s">
        <v>30</v>
      </c>
      <c r="G96" s="5" t="s">
        <v>392</v>
      </c>
      <c r="H96" s="5" t="s">
        <v>34</v>
      </c>
      <c r="I96" s="5" t="s">
        <v>371</v>
      </c>
      <c r="J96" s="15">
        <v>695</v>
      </c>
      <c r="K96" s="7">
        <v>19.5</v>
      </c>
      <c r="L96" s="7">
        <f t="shared" si="6"/>
        <v>35.641025641025642</v>
      </c>
      <c r="M96" s="5" t="s">
        <v>9</v>
      </c>
      <c r="N96" s="5">
        <v>4</v>
      </c>
      <c r="O96" s="6">
        <f t="shared" si="7"/>
        <v>0.55177905161078245</v>
      </c>
      <c r="P96" s="6">
        <f t="shared" si="8"/>
        <v>5.7385021367521369E-2</v>
      </c>
      <c r="Q96" s="10">
        <f t="shared" si="9"/>
        <v>1.1955212784900285E-3</v>
      </c>
      <c r="R96" s="10">
        <f t="shared" si="10"/>
        <v>1.0179373052067059E-2</v>
      </c>
      <c r="S96" s="10">
        <f t="shared" si="11"/>
        <v>1.1374894330557089E-2</v>
      </c>
    </row>
    <row r="97" spans="1:19" x14ac:dyDescent="0.25">
      <c r="A97" s="5" t="s">
        <v>8</v>
      </c>
      <c r="B97" s="5" t="s">
        <v>270</v>
      </c>
      <c r="C97" s="5" t="s">
        <v>27</v>
      </c>
      <c r="D97" s="5" t="s">
        <v>385</v>
      </c>
      <c r="E97" s="5" t="s">
        <v>384</v>
      </c>
      <c r="F97" s="5" t="s">
        <v>30</v>
      </c>
      <c r="G97" s="5" t="s">
        <v>392</v>
      </c>
      <c r="H97" s="5" t="s">
        <v>34</v>
      </c>
      <c r="I97" s="5" t="s">
        <v>274</v>
      </c>
      <c r="J97" s="15">
        <v>3450</v>
      </c>
      <c r="K97" s="7">
        <v>45</v>
      </c>
      <c r="L97" s="7">
        <f t="shared" si="6"/>
        <v>76.666666666666671</v>
      </c>
      <c r="M97" s="5" t="s">
        <v>9</v>
      </c>
      <c r="N97" s="5">
        <v>4</v>
      </c>
      <c r="O97" s="6">
        <f t="shared" si="7"/>
        <v>12.673958333333335</v>
      </c>
      <c r="P97" s="6">
        <f t="shared" si="8"/>
        <v>1.3180916666666669</v>
      </c>
      <c r="Q97" s="10">
        <f t="shared" si="9"/>
        <v>2.7460243055555559E-2</v>
      </c>
      <c r="R97" s="10">
        <f t="shared" si="10"/>
        <v>0.10680247834350282</v>
      </c>
      <c r="S97" s="10">
        <f t="shared" si="11"/>
        <v>0.13426272139905837</v>
      </c>
    </row>
    <row r="98" spans="1:19" x14ac:dyDescent="0.25">
      <c r="A98" s="5" t="s">
        <v>8</v>
      </c>
      <c r="B98" s="5" t="s">
        <v>270</v>
      </c>
      <c r="C98" s="5" t="s">
        <v>27</v>
      </c>
      <c r="D98" s="5" t="s">
        <v>385</v>
      </c>
      <c r="E98" s="5" t="s">
        <v>384</v>
      </c>
      <c r="F98" s="5" t="s">
        <v>30</v>
      </c>
      <c r="G98" s="5" t="s">
        <v>392</v>
      </c>
      <c r="H98" s="5" t="s">
        <v>34</v>
      </c>
      <c r="I98" s="5" t="s">
        <v>271</v>
      </c>
      <c r="J98" s="15">
        <v>3400</v>
      </c>
      <c r="K98" s="7">
        <v>38</v>
      </c>
      <c r="L98" s="7">
        <f t="shared" si="6"/>
        <v>89.473684210526315</v>
      </c>
      <c r="M98" s="5" t="s">
        <v>9</v>
      </c>
      <c r="N98" s="5">
        <v>4</v>
      </c>
      <c r="O98" s="6">
        <f t="shared" si="7"/>
        <v>17.011772853185594</v>
      </c>
      <c r="P98" s="6">
        <f t="shared" si="8"/>
        <v>1.7692243767313018</v>
      </c>
      <c r="Q98" s="10">
        <f t="shared" si="9"/>
        <v>3.6858841181902115E-2</v>
      </c>
      <c r="R98" s="10">
        <f t="shared" si="10"/>
        <v>0.13318622383409978</v>
      </c>
      <c r="S98" s="10">
        <f t="shared" si="11"/>
        <v>0.17004506501600189</v>
      </c>
    </row>
    <row r="99" spans="1:19" x14ac:dyDescent="0.25">
      <c r="A99" s="5" t="s">
        <v>8</v>
      </c>
      <c r="B99" s="5" t="s">
        <v>270</v>
      </c>
      <c r="C99" s="5" t="s">
        <v>27</v>
      </c>
      <c r="D99" s="5" t="s">
        <v>385</v>
      </c>
      <c r="E99" s="5" t="s">
        <v>384</v>
      </c>
      <c r="F99" s="5" t="s">
        <v>30</v>
      </c>
      <c r="G99" s="5" t="s">
        <v>392</v>
      </c>
      <c r="H99" s="5" t="s">
        <v>34</v>
      </c>
      <c r="I99" s="5" t="s">
        <v>276</v>
      </c>
      <c r="J99" s="15">
        <v>1900</v>
      </c>
      <c r="K99" s="7">
        <v>29.8</v>
      </c>
      <c r="L99" s="7">
        <f t="shared" si="6"/>
        <v>63.758389261744966</v>
      </c>
      <c r="M99" s="5" t="s">
        <v>9</v>
      </c>
      <c r="N99" s="5">
        <v>4</v>
      </c>
      <c r="O99" s="6">
        <f t="shared" si="7"/>
        <v>4.8273444889869825</v>
      </c>
      <c r="P99" s="6">
        <f t="shared" si="8"/>
        <v>0.50204382685464621</v>
      </c>
      <c r="Q99" s="10">
        <f t="shared" si="9"/>
        <v>1.0459246392805129E-2</v>
      </c>
      <c r="R99" s="10">
        <f t="shared" si="10"/>
        <v>5.1781943123725895E-2</v>
      </c>
      <c r="S99" s="10">
        <f t="shared" si="11"/>
        <v>6.2241189516531022E-2</v>
      </c>
    </row>
    <row r="100" spans="1:19" x14ac:dyDescent="0.25">
      <c r="A100" s="5" t="s">
        <v>8</v>
      </c>
      <c r="B100" s="5" t="s">
        <v>270</v>
      </c>
      <c r="C100" s="5" t="s">
        <v>27</v>
      </c>
      <c r="D100" s="5" t="s">
        <v>385</v>
      </c>
      <c r="E100" s="5" t="s">
        <v>384</v>
      </c>
      <c r="F100" s="5" t="s">
        <v>30</v>
      </c>
      <c r="G100" s="5" t="s">
        <v>392</v>
      </c>
      <c r="H100" s="5" t="s">
        <v>34</v>
      </c>
      <c r="I100" s="5" t="s">
        <v>275</v>
      </c>
      <c r="J100" s="15">
        <v>2390</v>
      </c>
      <c r="K100" s="7">
        <v>31.7</v>
      </c>
      <c r="L100" s="7">
        <f t="shared" si="6"/>
        <v>75.394321766561518</v>
      </c>
      <c r="M100" s="5" t="s">
        <v>9</v>
      </c>
      <c r="N100" s="5">
        <v>4</v>
      </c>
      <c r="O100" s="6">
        <f t="shared" si="7"/>
        <v>8.4909287334932184</v>
      </c>
      <c r="P100" s="6">
        <f t="shared" si="8"/>
        <v>0.88305658828329481</v>
      </c>
      <c r="Q100" s="10">
        <f t="shared" si="9"/>
        <v>1.8397012255901974E-2</v>
      </c>
      <c r="R100" s="10">
        <f t="shared" si="10"/>
        <v>7.9088533214020734E-2</v>
      </c>
      <c r="S100" s="10">
        <f t="shared" si="11"/>
        <v>9.7485545469922705E-2</v>
      </c>
    </row>
    <row r="101" spans="1:19" x14ac:dyDescent="0.25">
      <c r="A101" s="5" t="s">
        <v>8</v>
      </c>
      <c r="B101" s="5" t="s">
        <v>270</v>
      </c>
      <c r="C101" s="5" t="s">
        <v>27</v>
      </c>
      <c r="D101" s="5" t="s">
        <v>385</v>
      </c>
      <c r="E101" s="5" t="s">
        <v>384</v>
      </c>
      <c r="F101" s="5" t="s">
        <v>30</v>
      </c>
      <c r="G101" s="5" t="s">
        <v>392</v>
      </c>
      <c r="H101" s="5" t="s">
        <v>34</v>
      </c>
      <c r="I101" s="5" t="s">
        <v>272</v>
      </c>
      <c r="J101" s="15">
        <v>3180</v>
      </c>
      <c r="K101" s="7">
        <v>35</v>
      </c>
      <c r="L101" s="7">
        <f t="shared" si="6"/>
        <v>90.857142857142861</v>
      </c>
      <c r="M101" s="5" t="s">
        <v>9</v>
      </c>
      <c r="N101" s="5">
        <v>4</v>
      </c>
      <c r="O101" s="6">
        <f t="shared" si="7"/>
        <v>16.406853061224488</v>
      </c>
      <c r="P101" s="6">
        <f t="shared" si="8"/>
        <v>1.706312718367347</v>
      </c>
      <c r="Q101" s="10">
        <f t="shared" si="9"/>
        <v>3.554818163265306E-2</v>
      </c>
      <c r="R101" s="10">
        <f t="shared" si="10"/>
        <v>0.12961823122752753</v>
      </c>
      <c r="S101" s="10">
        <f t="shared" si="11"/>
        <v>0.16516641286018058</v>
      </c>
    </row>
    <row r="102" spans="1:19" x14ac:dyDescent="0.25">
      <c r="A102" s="5" t="s">
        <v>8</v>
      </c>
      <c r="B102" s="5" t="s">
        <v>270</v>
      </c>
      <c r="C102" s="5" t="s">
        <v>27</v>
      </c>
      <c r="D102" s="5" t="s">
        <v>385</v>
      </c>
      <c r="E102" s="5" t="s">
        <v>384</v>
      </c>
      <c r="F102" s="5" t="s">
        <v>30</v>
      </c>
      <c r="G102" s="5" t="s">
        <v>392</v>
      </c>
      <c r="H102" s="5" t="s">
        <v>34</v>
      </c>
      <c r="I102" s="5" t="s">
        <v>272</v>
      </c>
      <c r="J102" s="15">
        <v>3510</v>
      </c>
      <c r="K102" s="7">
        <v>38.200000000000003</v>
      </c>
      <c r="L102" s="7">
        <f t="shared" si="6"/>
        <v>91.8848167539267</v>
      </c>
      <c r="M102" s="5" t="s">
        <v>9</v>
      </c>
      <c r="N102" s="5">
        <v>4</v>
      </c>
      <c r="O102" s="6">
        <f t="shared" si="7"/>
        <v>18.52143538759902</v>
      </c>
      <c r="P102" s="6">
        <f t="shared" si="8"/>
        <v>1.9262292803102978</v>
      </c>
      <c r="Q102" s="10">
        <f t="shared" si="9"/>
        <v>4.0129776673131209E-2</v>
      </c>
      <c r="R102" s="10">
        <f t="shared" si="10"/>
        <v>0.14195578806050616</v>
      </c>
      <c r="S102" s="10">
        <f t="shared" si="11"/>
        <v>0.18208556473363735</v>
      </c>
    </row>
    <row r="103" spans="1:19" x14ac:dyDescent="0.25">
      <c r="A103" s="5" t="s">
        <v>8</v>
      </c>
      <c r="B103" s="5" t="s">
        <v>357</v>
      </c>
      <c r="C103" s="5" t="s">
        <v>27</v>
      </c>
      <c r="D103" s="5" t="s">
        <v>385</v>
      </c>
      <c r="E103" s="5" t="s">
        <v>384</v>
      </c>
      <c r="F103" s="5" t="s">
        <v>30</v>
      </c>
      <c r="G103" s="5" t="s">
        <v>392</v>
      </c>
      <c r="H103" s="5" t="s">
        <v>34</v>
      </c>
      <c r="I103" s="5" t="s">
        <v>318</v>
      </c>
      <c r="J103" s="15">
        <v>1800</v>
      </c>
      <c r="K103" s="7">
        <v>32</v>
      </c>
      <c r="L103" s="7">
        <f t="shared" si="6"/>
        <v>56.25</v>
      </c>
      <c r="M103" s="5" t="s">
        <v>9</v>
      </c>
      <c r="N103" s="5">
        <v>4</v>
      </c>
      <c r="O103" s="6">
        <f t="shared" si="7"/>
        <v>3.5595703125</v>
      </c>
      <c r="P103" s="6">
        <f t="shared" si="8"/>
        <v>0.37019531249999998</v>
      </c>
      <c r="Q103" s="10">
        <f t="shared" si="9"/>
        <v>7.71240234375E-3</v>
      </c>
      <c r="R103" s="10">
        <f t="shared" si="10"/>
        <v>4.1204562411128992E-2</v>
      </c>
      <c r="S103" s="10">
        <f t="shared" si="11"/>
        <v>4.8916964754878993E-2</v>
      </c>
    </row>
    <row r="104" spans="1:19" x14ac:dyDescent="0.25">
      <c r="A104" s="5" t="s">
        <v>22</v>
      </c>
      <c r="B104" s="5" t="s">
        <v>26</v>
      </c>
      <c r="C104" s="5" t="s">
        <v>27</v>
      </c>
      <c r="D104" s="5" t="s">
        <v>385</v>
      </c>
      <c r="E104" s="5" t="s">
        <v>384</v>
      </c>
      <c r="F104" s="5" t="s">
        <v>30</v>
      </c>
      <c r="G104" s="5" t="s">
        <v>392</v>
      </c>
      <c r="H104" s="5" t="s">
        <v>34</v>
      </c>
      <c r="I104" s="5" t="s">
        <v>35</v>
      </c>
      <c r="J104" s="15">
        <v>2500</v>
      </c>
      <c r="K104" s="7">
        <v>29.5</v>
      </c>
      <c r="L104" s="7">
        <f t="shared" si="6"/>
        <v>84.745762711864401</v>
      </c>
      <c r="M104" s="5" t="s">
        <v>9</v>
      </c>
      <c r="N104" s="5">
        <v>4</v>
      </c>
      <c r="O104" s="6">
        <f t="shared" si="7"/>
        <v>11.221631715024417</v>
      </c>
      <c r="P104" s="6">
        <f t="shared" si="8"/>
        <v>1.1670496983625394</v>
      </c>
      <c r="Q104" s="10">
        <f t="shared" si="9"/>
        <v>2.4313535382552903E-2</v>
      </c>
      <c r="R104" s="10">
        <f t="shared" si="10"/>
        <v>9.7485300079983322E-2</v>
      </c>
      <c r="S104" s="10">
        <f t="shared" si="11"/>
        <v>0.12179883546253623</v>
      </c>
    </row>
    <row r="105" spans="1:19" x14ac:dyDescent="0.25">
      <c r="A105" s="5" t="s">
        <v>8</v>
      </c>
      <c r="B105" s="5" t="s">
        <v>366</v>
      </c>
      <c r="C105" s="5" t="s">
        <v>27</v>
      </c>
      <c r="D105" s="5" t="s">
        <v>385</v>
      </c>
      <c r="E105" s="5" t="s">
        <v>384</v>
      </c>
      <c r="F105" s="5" t="s">
        <v>30</v>
      </c>
      <c r="G105" s="5" t="s">
        <v>392</v>
      </c>
      <c r="H105" s="5" t="s">
        <v>232</v>
      </c>
      <c r="I105" s="5" t="s">
        <v>367</v>
      </c>
      <c r="J105" s="15">
        <v>2530</v>
      </c>
      <c r="K105" s="7">
        <v>31.5</v>
      </c>
      <c r="L105" s="7">
        <f t="shared" si="6"/>
        <v>80.317460317460316</v>
      </c>
      <c r="M105" s="5" t="s">
        <v>9</v>
      </c>
      <c r="N105" s="5">
        <v>4</v>
      </c>
      <c r="O105" s="6">
        <f t="shared" si="7"/>
        <v>10.200476820357773</v>
      </c>
      <c r="P105" s="6">
        <f t="shared" si="8"/>
        <v>1.0608495893172085</v>
      </c>
      <c r="Q105" s="10">
        <f t="shared" si="9"/>
        <v>2.2101033110775173E-2</v>
      </c>
      <c r="R105" s="10">
        <f t="shared" si="10"/>
        <v>9.07533111467419E-2</v>
      </c>
      <c r="S105" s="10">
        <f t="shared" si="11"/>
        <v>0.11285434425751707</v>
      </c>
    </row>
    <row r="106" spans="1:19" x14ac:dyDescent="0.25">
      <c r="A106" s="5" t="s">
        <v>8</v>
      </c>
      <c r="B106" s="5" t="s">
        <v>346</v>
      </c>
      <c r="C106" s="5" t="s">
        <v>27</v>
      </c>
      <c r="D106" s="5" t="s">
        <v>385</v>
      </c>
      <c r="E106" s="5" t="s">
        <v>384</v>
      </c>
      <c r="F106" s="5" t="s">
        <v>30</v>
      </c>
      <c r="G106" s="5" t="s">
        <v>392</v>
      </c>
      <c r="H106" s="5" t="s">
        <v>232</v>
      </c>
      <c r="I106" s="5" t="s">
        <v>345</v>
      </c>
      <c r="J106" s="15">
        <v>3230</v>
      </c>
      <c r="K106" s="7">
        <v>33</v>
      </c>
      <c r="L106" s="7">
        <f t="shared" si="6"/>
        <v>97.878787878787875</v>
      </c>
      <c r="M106" s="5" t="s">
        <v>9</v>
      </c>
      <c r="N106" s="5">
        <v>4</v>
      </c>
      <c r="O106" s="6">
        <f t="shared" si="7"/>
        <v>19.340144054178143</v>
      </c>
      <c r="P106" s="6">
        <f t="shared" si="8"/>
        <v>2.0113749816345265</v>
      </c>
      <c r="Q106" s="10">
        <f t="shared" si="9"/>
        <v>4.1903645450719312E-2</v>
      </c>
      <c r="R106" s="10">
        <f t="shared" si="10"/>
        <v>0.14663643809535123</v>
      </c>
      <c r="S106" s="10">
        <f t="shared" si="11"/>
        <v>0.18854008354607055</v>
      </c>
    </row>
    <row r="107" spans="1:19" x14ac:dyDescent="0.25">
      <c r="A107" s="5" t="s">
        <v>8</v>
      </c>
      <c r="B107" s="5" t="s">
        <v>346</v>
      </c>
      <c r="C107" s="5" t="s">
        <v>27</v>
      </c>
      <c r="D107" s="5" t="s">
        <v>385</v>
      </c>
      <c r="E107" s="5" t="s">
        <v>384</v>
      </c>
      <c r="F107" s="5" t="s">
        <v>30</v>
      </c>
      <c r="G107" s="5" t="s">
        <v>392</v>
      </c>
      <c r="H107" s="5" t="s">
        <v>232</v>
      </c>
      <c r="I107" s="5" t="s">
        <v>345</v>
      </c>
      <c r="J107" s="15">
        <v>2950</v>
      </c>
      <c r="K107" s="7">
        <v>27.5</v>
      </c>
      <c r="L107" s="7">
        <f t="shared" si="6"/>
        <v>107.27272727272727</v>
      </c>
      <c r="M107" s="5" t="s">
        <v>9</v>
      </c>
      <c r="N107" s="5">
        <v>4</v>
      </c>
      <c r="O107" s="6">
        <f t="shared" si="7"/>
        <v>21.216838842975204</v>
      </c>
      <c r="P107" s="6">
        <f t="shared" si="8"/>
        <v>2.2065512396694213</v>
      </c>
      <c r="Q107" s="10">
        <f t="shared" si="9"/>
        <v>4.5969817493112936E-2</v>
      </c>
      <c r="R107" s="10">
        <f t="shared" si="10"/>
        <v>0.15718374523111669</v>
      </c>
      <c r="S107" s="10">
        <f t="shared" si="11"/>
        <v>0.20315356272422963</v>
      </c>
    </row>
    <row r="108" spans="1:19" x14ac:dyDescent="0.25">
      <c r="A108" s="5" t="s">
        <v>8</v>
      </c>
      <c r="B108" s="5" t="s">
        <v>344</v>
      </c>
      <c r="C108" s="5" t="s">
        <v>27</v>
      </c>
      <c r="D108" s="5" t="s">
        <v>385</v>
      </c>
      <c r="E108" s="5" t="s">
        <v>384</v>
      </c>
      <c r="F108" s="5" t="s">
        <v>30</v>
      </c>
      <c r="G108" s="5" t="s">
        <v>392</v>
      </c>
      <c r="H108" s="5" t="s">
        <v>232</v>
      </c>
      <c r="I108" s="5" t="s">
        <v>345</v>
      </c>
      <c r="J108" s="15">
        <v>3320</v>
      </c>
      <c r="K108" s="7">
        <v>30.8</v>
      </c>
      <c r="L108" s="7">
        <f t="shared" si="6"/>
        <v>107.79220779220779</v>
      </c>
      <c r="M108" s="5" t="s">
        <v>9</v>
      </c>
      <c r="N108" s="5">
        <v>4</v>
      </c>
      <c r="O108" s="6">
        <f t="shared" si="7"/>
        <v>24.109757125990889</v>
      </c>
      <c r="P108" s="6">
        <f t="shared" si="8"/>
        <v>2.5074147411030521</v>
      </c>
      <c r="Q108" s="10">
        <f t="shared" si="9"/>
        <v>5.2237807106313594E-2</v>
      </c>
      <c r="R108" s="10">
        <f t="shared" si="10"/>
        <v>0.17299826631519027</v>
      </c>
      <c r="S108" s="10">
        <f t="shared" si="11"/>
        <v>0.22523607342150387</v>
      </c>
    </row>
    <row r="109" spans="1:19" x14ac:dyDescent="0.25">
      <c r="A109" s="5" t="s">
        <v>8</v>
      </c>
      <c r="B109" s="5" t="s">
        <v>231</v>
      </c>
      <c r="C109" s="5" t="s">
        <v>27</v>
      </c>
      <c r="D109" s="5" t="s">
        <v>385</v>
      </c>
      <c r="E109" s="5" t="s">
        <v>384</v>
      </c>
      <c r="F109" s="5" t="s">
        <v>30</v>
      </c>
      <c r="G109" s="5" t="s">
        <v>392</v>
      </c>
      <c r="H109" s="5" t="s">
        <v>232</v>
      </c>
      <c r="I109" s="5" t="s">
        <v>67</v>
      </c>
      <c r="J109" s="15">
        <v>2290</v>
      </c>
      <c r="K109" s="7">
        <v>29</v>
      </c>
      <c r="L109" s="7">
        <f t="shared" si="6"/>
        <v>78.965517241379317</v>
      </c>
      <c r="M109" s="5" t="s">
        <v>9</v>
      </c>
      <c r="N109" s="5">
        <v>4</v>
      </c>
      <c r="O109" s="6">
        <f t="shared" si="7"/>
        <v>8.9246351070154581</v>
      </c>
      <c r="P109" s="6">
        <f t="shared" si="8"/>
        <v>0.9281620511296077</v>
      </c>
      <c r="Q109" s="10">
        <f t="shared" si="9"/>
        <v>1.9336709398533491E-2</v>
      </c>
      <c r="R109" s="10">
        <f t="shared" si="10"/>
        <v>8.2099398588030822E-2</v>
      </c>
      <c r="S109" s="10">
        <f t="shared" si="11"/>
        <v>0.10143610798656431</v>
      </c>
    </row>
    <row r="110" spans="1:19" x14ac:dyDescent="0.25">
      <c r="A110" s="5" t="s">
        <v>8</v>
      </c>
      <c r="B110" s="5" t="s">
        <v>366</v>
      </c>
      <c r="C110" s="5" t="s">
        <v>27</v>
      </c>
      <c r="D110" s="5" t="s">
        <v>385</v>
      </c>
      <c r="E110" s="5" t="s">
        <v>384</v>
      </c>
      <c r="F110" s="5" t="s">
        <v>30</v>
      </c>
      <c r="G110" s="5" t="s">
        <v>392</v>
      </c>
      <c r="H110" s="5" t="s">
        <v>232</v>
      </c>
      <c r="I110" s="5" t="s">
        <v>368</v>
      </c>
      <c r="J110" s="15">
        <v>2450</v>
      </c>
      <c r="K110" s="7">
        <v>30.5</v>
      </c>
      <c r="L110" s="7">
        <f t="shared" si="6"/>
        <v>80.327868852459019</v>
      </c>
      <c r="M110" s="5" t="s">
        <v>9</v>
      </c>
      <c r="N110" s="5">
        <v>4</v>
      </c>
      <c r="O110" s="6">
        <f t="shared" si="7"/>
        <v>9.880492475141093</v>
      </c>
      <c r="P110" s="6">
        <f t="shared" si="8"/>
        <v>1.0275712174146734</v>
      </c>
      <c r="Q110" s="10">
        <f t="shared" si="9"/>
        <v>2.1407733696139034E-2</v>
      </c>
      <c r="R110" s="10">
        <f t="shared" si="10"/>
        <v>8.8609659587763734E-2</v>
      </c>
      <c r="S110" s="10">
        <f t="shared" si="11"/>
        <v>0.11001739328390277</v>
      </c>
    </row>
    <row r="111" spans="1:19" x14ac:dyDescent="0.25">
      <c r="A111" s="5" t="s">
        <v>8</v>
      </c>
      <c r="B111" s="5" t="s">
        <v>366</v>
      </c>
      <c r="C111" s="5" t="s">
        <v>27</v>
      </c>
      <c r="D111" s="5" t="s">
        <v>385</v>
      </c>
      <c r="E111" s="5" t="s">
        <v>384</v>
      </c>
      <c r="F111" s="5" t="s">
        <v>30</v>
      </c>
      <c r="G111" s="5" t="s">
        <v>392</v>
      </c>
      <c r="H111" s="5" t="s">
        <v>232</v>
      </c>
      <c r="I111" s="5" t="s">
        <v>368</v>
      </c>
      <c r="J111" s="15">
        <v>2753</v>
      </c>
      <c r="K111" s="7">
        <v>32.799999999999997</v>
      </c>
      <c r="L111" s="7">
        <f t="shared" si="6"/>
        <v>83.932926829268297</v>
      </c>
      <c r="M111" s="5" t="s">
        <v>9</v>
      </c>
      <c r="N111" s="5">
        <v>4</v>
      </c>
      <c r="O111" s="6">
        <f t="shared" si="7"/>
        <v>12.121349234667795</v>
      </c>
      <c r="P111" s="6">
        <f t="shared" si="8"/>
        <v>1.2606203204054509</v>
      </c>
      <c r="Q111" s="10">
        <f t="shared" si="9"/>
        <v>2.6262923341780223E-2</v>
      </c>
      <c r="R111" s="10">
        <f t="shared" si="10"/>
        <v>0.10329049231083934</v>
      </c>
      <c r="S111" s="10">
        <f t="shared" si="11"/>
        <v>0.12955341565261957</v>
      </c>
    </row>
    <row r="112" spans="1:19" x14ac:dyDescent="0.25">
      <c r="A112" s="5" t="s">
        <v>8</v>
      </c>
      <c r="B112" s="5" t="s">
        <v>366</v>
      </c>
      <c r="C112" s="5" t="s">
        <v>27</v>
      </c>
      <c r="D112" s="5" t="s">
        <v>385</v>
      </c>
      <c r="E112" s="5" t="s">
        <v>384</v>
      </c>
      <c r="F112" s="5" t="s">
        <v>30</v>
      </c>
      <c r="G112" s="5" t="s">
        <v>392</v>
      </c>
      <c r="H112" s="5" t="s">
        <v>232</v>
      </c>
      <c r="I112" s="5" t="s">
        <v>35</v>
      </c>
      <c r="J112" s="15">
        <v>2748</v>
      </c>
      <c r="K112" s="7">
        <v>36.6</v>
      </c>
      <c r="L112" s="7">
        <f t="shared" si="6"/>
        <v>75.081967213114751</v>
      </c>
      <c r="M112" s="5" t="s">
        <v>9</v>
      </c>
      <c r="N112" s="5">
        <v>4</v>
      </c>
      <c r="O112" s="6">
        <f t="shared" si="7"/>
        <v>9.6820658425154509</v>
      </c>
      <c r="P112" s="6">
        <f t="shared" si="8"/>
        <v>1.0069348476216069</v>
      </c>
      <c r="Q112" s="10">
        <f t="shared" si="9"/>
        <v>2.0977809325450143E-2</v>
      </c>
      <c r="R112" s="10">
        <f t="shared" si="10"/>
        <v>8.7271642179623674E-2</v>
      </c>
      <c r="S112" s="10">
        <f t="shared" si="11"/>
        <v>0.10824945150507381</v>
      </c>
    </row>
    <row r="113" spans="1:19" x14ac:dyDescent="0.25">
      <c r="A113" s="5" t="s">
        <v>22</v>
      </c>
      <c r="B113" s="5" t="s">
        <v>63</v>
      </c>
      <c r="C113" s="5" t="s">
        <v>27</v>
      </c>
      <c r="D113" s="5" t="s">
        <v>385</v>
      </c>
      <c r="E113" s="5" t="s">
        <v>384</v>
      </c>
      <c r="F113" s="5" t="s">
        <v>30</v>
      </c>
      <c r="G113" s="5" t="s">
        <v>392</v>
      </c>
      <c r="H113" s="5" t="s">
        <v>66</v>
      </c>
      <c r="I113" s="5" t="s">
        <v>67</v>
      </c>
      <c r="J113" s="15">
        <v>2280</v>
      </c>
      <c r="K113" s="7">
        <v>29</v>
      </c>
      <c r="L113" s="7">
        <f t="shared" si="6"/>
        <v>78.620689655172413</v>
      </c>
      <c r="M113" s="5" t="s">
        <v>9</v>
      </c>
      <c r="N113" s="5">
        <v>4</v>
      </c>
      <c r="O113" s="6">
        <f t="shared" si="7"/>
        <v>8.8082282996432824</v>
      </c>
      <c r="P113" s="6">
        <f t="shared" si="8"/>
        <v>0.91605574316290117</v>
      </c>
      <c r="Q113" s="10">
        <f t="shared" si="9"/>
        <v>1.908449464922711E-2</v>
      </c>
      <c r="R113" s="10">
        <f t="shared" si="10"/>
        <v>8.1294945871818847E-2</v>
      </c>
      <c r="S113" s="10">
        <f t="shared" si="11"/>
        <v>0.10037944052104596</v>
      </c>
    </row>
    <row r="114" spans="1:19" x14ac:dyDescent="0.25">
      <c r="A114" s="5" t="s">
        <v>8</v>
      </c>
      <c r="B114" s="5" t="s">
        <v>241</v>
      </c>
      <c r="C114" s="5" t="s">
        <v>27</v>
      </c>
      <c r="D114" s="5" t="s">
        <v>385</v>
      </c>
      <c r="E114" s="5" t="s">
        <v>384</v>
      </c>
      <c r="F114" s="5" t="s">
        <v>30</v>
      </c>
      <c r="G114" s="5" t="s">
        <v>392</v>
      </c>
      <c r="H114" s="5" t="s">
        <v>40</v>
      </c>
      <c r="I114" s="5" t="s">
        <v>190</v>
      </c>
      <c r="J114" s="15">
        <v>2720</v>
      </c>
      <c r="K114" s="7">
        <v>30.3</v>
      </c>
      <c r="L114" s="7">
        <f t="shared" si="6"/>
        <v>89.768976897689768</v>
      </c>
      <c r="M114" s="5" t="s">
        <v>9</v>
      </c>
      <c r="N114" s="5">
        <v>4</v>
      </c>
      <c r="O114" s="6">
        <f t="shared" si="7"/>
        <v>13.69939766253853</v>
      </c>
      <c r="P114" s="6">
        <f t="shared" si="8"/>
        <v>1.4247373569040074</v>
      </c>
      <c r="Q114" s="10">
        <f t="shared" si="9"/>
        <v>2.9682028268833482E-2</v>
      </c>
      <c r="R114" s="10">
        <f t="shared" si="10"/>
        <v>0.11322002036146131</v>
      </c>
      <c r="S114" s="10">
        <f t="shared" si="11"/>
        <v>0.14290204863029479</v>
      </c>
    </row>
    <row r="115" spans="1:19" x14ac:dyDescent="0.25">
      <c r="A115" s="5" t="s">
        <v>8</v>
      </c>
      <c r="B115" s="5" t="s">
        <v>241</v>
      </c>
      <c r="C115" s="5" t="s">
        <v>27</v>
      </c>
      <c r="D115" s="5" t="s">
        <v>385</v>
      </c>
      <c r="E115" s="5" t="s">
        <v>384</v>
      </c>
      <c r="F115" s="5" t="s">
        <v>30</v>
      </c>
      <c r="G115" s="5" t="s">
        <v>392</v>
      </c>
      <c r="H115" s="5" t="s">
        <v>40</v>
      </c>
      <c r="I115" s="5" t="s">
        <v>258</v>
      </c>
      <c r="J115" s="15">
        <v>2320</v>
      </c>
      <c r="K115" s="7">
        <v>27.8</v>
      </c>
      <c r="L115" s="7">
        <f t="shared" si="6"/>
        <v>83.453237410071935</v>
      </c>
      <c r="M115" s="5" t="s">
        <v>9</v>
      </c>
      <c r="N115" s="5">
        <v>4</v>
      </c>
      <c r="O115" s="6">
        <f t="shared" si="7"/>
        <v>10.098442109621653</v>
      </c>
      <c r="P115" s="6">
        <f t="shared" si="8"/>
        <v>1.050237979400652</v>
      </c>
      <c r="Q115" s="10">
        <f t="shared" si="9"/>
        <v>2.1879957904180247E-2</v>
      </c>
      <c r="R115" s="10">
        <f t="shared" si="10"/>
        <v>9.0071606634706189E-2</v>
      </c>
      <c r="S115" s="10">
        <f t="shared" si="11"/>
        <v>0.11195156453888644</v>
      </c>
    </row>
    <row r="116" spans="1:19" x14ac:dyDescent="0.25">
      <c r="A116" s="5" t="s">
        <v>8</v>
      </c>
      <c r="B116" s="5" t="s">
        <v>241</v>
      </c>
      <c r="C116" s="5" t="s">
        <v>27</v>
      </c>
      <c r="D116" s="5" t="s">
        <v>385</v>
      </c>
      <c r="E116" s="5" t="s">
        <v>384</v>
      </c>
      <c r="F116" s="5" t="s">
        <v>30</v>
      </c>
      <c r="G116" s="5" t="s">
        <v>392</v>
      </c>
      <c r="H116" s="5" t="s">
        <v>40</v>
      </c>
      <c r="I116" s="5" t="s">
        <v>251</v>
      </c>
      <c r="J116" s="15">
        <v>1810</v>
      </c>
      <c r="K116" s="7">
        <v>26.5</v>
      </c>
      <c r="L116" s="7">
        <f t="shared" si="6"/>
        <v>68.301886792452834</v>
      </c>
      <c r="M116" s="5" t="s">
        <v>9</v>
      </c>
      <c r="N116" s="5">
        <v>4</v>
      </c>
      <c r="O116" s="6">
        <f t="shared" si="7"/>
        <v>5.2774483802064802</v>
      </c>
      <c r="P116" s="6">
        <f t="shared" si="8"/>
        <v>0.54885463154147374</v>
      </c>
      <c r="Q116" s="10">
        <f t="shared" si="9"/>
        <v>1.1434471490447374E-2</v>
      </c>
      <c r="R116" s="10">
        <f t="shared" si="10"/>
        <v>5.536242690304656E-2</v>
      </c>
      <c r="S116" s="10">
        <f t="shared" si="11"/>
        <v>6.6796898393493939E-2</v>
      </c>
    </row>
    <row r="117" spans="1:19" x14ac:dyDescent="0.25">
      <c r="A117" s="5" t="s">
        <v>8</v>
      </c>
      <c r="B117" s="5" t="s">
        <v>241</v>
      </c>
      <c r="C117" s="5" t="s">
        <v>27</v>
      </c>
      <c r="D117" s="5" t="s">
        <v>385</v>
      </c>
      <c r="E117" s="5" t="s">
        <v>384</v>
      </c>
      <c r="F117" s="5" t="s">
        <v>30</v>
      </c>
      <c r="G117" s="5" t="s">
        <v>392</v>
      </c>
      <c r="H117" s="5" t="s">
        <v>40</v>
      </c>
      <c r="I117" s="5" t="s">
        <v>261</v>
      </c>
      <c r="J117" s="15">
        <v>2450</v>
      </c>
      <c r="K117" s="7">
        <v>28</v>
      </c>
      <c r="L117" s="7">
        <f t="shared" si="6"/>
        <v>87.5</v>
      </c>
      <c r="M117" s="5" t="s">
        <v>9</v>
      </c>
      <c r="N117" s="5">
        <v>4</v>
      </c>
      <c r="O117" s="6">
        <f t="shared" si="7"/>
        <v>11.7236328125</v>
      </c>
      <c r="P117" s="6">
        <f t="shared" si="8"/>
        <v>1.2192578124999998</v>
      </c>
      <c r="Q117" s="10">
        <f t="shared" si="9"/>
        <v>2.5401204427083334E-2</v>
      </c>
      <c r="R117" s="10">
        <f t="shared" si="10"/>
        <v>0.10073810572305898</v>
      </c>
      <c r="S117" s="10">
        <f t="shared" si="11"/>
        <v>0.12613931015014232</v>
      </c>
    </row>
    <row r="118" spans="1:19" x14ac:dyDescent="0.25">
      <c r="A118" s="5" t="s">
        <v>8</v>
      </c>
      <c r="B118" s="5" t="s">
        <v>241</v>
      </c>
      <c r="C118" s="5" t="s">
        <v>27</v>
      </c>
      <c r="D118" s="5" t="s">
        <v>385</v>
      </c>
      <c r="E118" s="5" t="s">
        <v>384</v>
      </c>
      <c r="F118" s="5" t="s">
        <v>30</v>
      </c>
      <c r="G118" s="5" t="s">
        <v>392</v>
      </c>
      <c r="H118" s="5" t="s">
        <v>40</v>
      </c>
      <c r="I118" s="5" t="s">
        <v>243</v>
      </c>
      <c r="J118" s="15">
        <v>4550</v>
      </c>
      <c r="K118" s="7">
        <v>36</v>
      </c>
      <c r="L118" s="7">
        <f t="shared" si="6"/>
        <v>126.38888888888889</v>
      </c>
      <c r="M118" s="5" t="s">
        <v>9</v>
      </c>
      <c r="N118" s="5">
        <v>4</v>
      </c>
      <c r="O118" s="6">
        <f t="shared" si="7"/>
        <v>45.426492573302461</v>
      </c>
      <c r="P118" s="6">
        <f t="shared" si="8"/>
        <v>4.7243552276234562</v>
      </c>
      <c r="Q118" s="10">
        <f t="shared" si="9"/>
        <v>9.8424067242155341E-2</v>
      </c>
      <c r="R118" s="10">
        <f t="shared" si="10"/>
        <v>0.27821403095946923</v>
      </c>
      <c r="S118" s="10">
        <f t="shared" si="11"/>
        <v>0.37663809820162458</v>
      </c>
    </row>
    <row r="119" spans="1:19" x14ac:dyDescent="0.25">
      <c r="A119" s="5" t="s">
        <v>22</v>
      </c>
      <c r="B119" s="5" t="s">
        <v>63</v>
      </c>
      <c r="C119" s="5" t="s">
        <v>27</v>
      </c>
      <c r="D119" s="5" t="s">
        <v>385</v>
      </c>
      <c r="E119" s="5" t="s">
        <v>384</v>
      </c>
      <c r="F119" s="5" t="s">
        <v>30</v>
      </c>
      <c r="G119" s="5" t="s">
        <v>392</v>
      </c>
      <c r="H119" s="5" t="s">
        <v>40</v>
      </c>
      <c r="I119" s="5" t="s">
        <v>65</v>
      </c>
      <c r="J119" s="15">
        <v>2330</v>
      </c>
      <c r="K119" s="7">
        <v>27.5</v>
      </c>
      <c r="L119" s="7">
        <f t="shared" si="6"/>
        <v>84.727272727272734</v>
      </c>
      <c r="M119" s="5" t="s">
        <v>9</v>
      </c>
      <c r="N119" s="5">
        <v>4</v>
      </c>
      <c r="O119" s="6">
        <f t="shared" si="7"/>
        <v>10.453997520661158</v>
      </c>
      <c r="P119" s="6">
        <f t="shared" si="8"/>
        <v>1.0872157421487605</v>
      </c>
      <c r="Q119" s="10">
        <f t="shared" si="9"/>
        <v>2.2650327961432504E-2</v>
      </c>
      <c r="R119" s="10">
        <f t="shared" si="10"/>
        <v>9.2439783335974496E-2</v>
      </c>
      <c r="S119" s="10">
        <f t="shared" si="11"/>
        <v>0.115090111297407</v>
      </c>
    </row>
    <row r="120" spans="1:19" x14ac:dyDescent="0.25">
      <c r="A120" s="5" t="s">
        <v>22</v>
      </c>
      <c r="B120" s="5" t="s">
        <v>26</v>
      </c>
      <c r="C120" s="5" t="s">
        <v>27</v>
      </c>
      <c r="D120" s="5" t="s">
        <v>385</v>
      </c>
      <c r="E120" s="5" t="s">
        <v>384</v>
      </c>
      <c r="F120" s="5" t="s">
        <v>30</v>
      </c>
      <c r="G120" s="5" t="s">
        <v>392</v>
      </c>
      <c r="H120" s="5" t="s">
        <v>40</v>
      </c>
      <c r="I120" s="5" t="s">
        <v>42</v>
      </c>
      <c r="J120" s="15">
        <v>2100</v>
      </c>
      <c r="K120" s="7">
        <v>36</v>
      </c>
      <c r="L120" s="7">
        <f t="shared" si="6"/>
        <v>58.333333333333336</v>
      </c>
      <c r="M120" s="5" t="s">
        <v>9</v>
      </c>
      <c r="N120" s="5">
        <v>4</v>
      </c>
      <c r="O120" s="6">
        <f t="shared" si="7"/>
        <v>4.466145833333333</v>
      </c>
      <c r="P120" s="6">
        <f t="shared" si="8"/>
        <v>0.46447916666666667</v>
      </c>
      <c r="Q120" s="10">
        <f t="shared" si="9"/>
        <v>9.6766493055555538E-3</v>
      </c>
      <c r="R120" s="10">
        <f t="shared" si="10"/>
        <v>4.8848001391821147E-2</v>
      </c>
      <c r="S120" s="10">
        <f t="shared" si="11"/>
        <v>5.8524650697376703E-2</v>
      </c>
    </row>
    <row r="121" spans="1:19" x14ac:dyDescent="0.25">
      <c r="A121" s="5" t="s">
        <v>8</v>
      </c>
      <c r="B121" s="5" t="s">
        <v>241</v>
      </c>
      <c r="C121" s="5" t="s">
        <v>27</v>
      </c>
      <c r="D121" s="5" t="s">
        <v>385</v>
      </c>
      <c r="E121" s="5" t="s">
        <v>384</v>
      </c>
      <c r="F121" s="5" t="s">
        <v>30</v>
      </c>
      <c r="G121" s="5" t="s">
        <v>392</v>
      </c>
      <c r="H121" s="5" t="s">
        <v>40</v>
      </c>
      <c r="I121" s="5" t="s">
        <v>42</v>
      </c>
      <c r="J121" s="15">
        <v>2200</v>
      </c>
      <c r="K121" s="7">
        <v>36.5</v>
      </c>
      <c r="L121" s="7">
        <f t="shared" si="6"/>
        <v>60.273972602739725</v>
      </c>
      <c r="M121" s="5" t="s">
        <v>9</v>
      </c>
      <c r="N121" s="5">
        <v>4</v>
      </c>
      <c r="O121" s="6">
        <f t="shared" si="7"/>
        <v>4.995308688309251</v>
      </c>
      <c r="P121" s="6">
        <f t="shared" si="8"/>
        <v>0.51951210358416211</v>
      </c>
      <c r="Q121" s="10">
        <f t="shared" si="9"/>
        <v>1.0823168824670043E-2</v>
      </c>
      <c r="R121" s="10">
        <f t="shared" si="10"/>
        <v>5.3127437920794114E-2</v>
      </c>
      <c r="S121" s="10">
        <f t="shared" si="11"/>
        <v>6.3950606745464156E-2</v>
      </c>
    </row>
    <row r="122" spans="1:19" x14ac:dyDescent="0.25">
      <c r="A122" s="5" t="s">
        <v>8</v>
      </c>
      <c r="B122" s="5" t="s">
        <v>241</v>
      </c>
      <c r="C122" s="5" t="s">
        <v>27</v>
      </c>
      <c r="D122" s="5" t="s">
        <v>385</v>
      </c>
      <c r="E122" s="5" t="s">
        <v>384</v>
      </c>
      <c r="F122" s="5" t="s">
        <v>30</v>
      </c>
      <c r="G122" s="5" t="s">
        <v>392</v>
      </c>
      <c r="H122" s="5" t="s">
        <v>40</v>
      </c>
      <c r="I122" s="5" t="s">
        <v>259</v>
      </c>
      <c r="J122" s="15">
        <v>2340</v>
      </c>
      <c r="K122" s="7">
        <v>34.200000000000003</v>
      </c>
      <c r="L122" s="7">
        <f t="shared" si="6"/>
        <v>68.421052631578945</v>
      </c>
      <c r="M122" s="5" t="s">
        <v>9</v>
      </c>
      <c r="N122" s="5">
        <v>4</v>
      </c>
      <c r="O122" s="6">
        <f t="shared" si="7"/>
        <v>6.8466066481994456</v>
      </c>
      <c r="P122" s="6">
        <f t="shared" si="8"/>
        <v>0.71204709141274225</v>
      </c>
      <c r="Q122" s="10">
        <f t="shared" si="9"/>
        <v>1.4834314404432133E-2</v>
      </c>
      <c r="R122" s="10">
        <f t="shared" si="10"/>
        <v>6.7298232379061906E-2</v>
      </c>
      <c r="S122" s="10">
        <f t="shared" si="11"/>
        <v>8.2132546783494034E-2</v>
      </c>
    </row>
    <row r="123" spans="1:19" x14ac:dyDescent="0.25">
      <c r="A123" s="5" t="s">
        <v>8</v>
      </c>
      <c r="B123" s="5" t="s">
        <v>241</v>
      </c>
      <c r="C123" s="5" t="s">
        <v>27</v>
      </c>
      <c r="D123" s="5" t="s">
        <v>385</v>
      </c>
      <c r="E123" s="5" t="s">
        <v>384</v>
      </c>
      <c r="F123" s="5" t="s">
        <v>30</v>
      </c>
      <c r="G123" s="5" t="s">
        <v>392</v>
      </c>
      <c r="H123" s="5" t="s">
        <v>40</v>
      </c>
      <c r="I123" s="5" t="s">
        <v>50</v>
      </c>
      <c r="J123" s="15">
        <v>1915</v>
      </c>
      <c r="K123" s="7">
        <v>30</v>
      </c>
      <c r="L123" s="7">
        <f t="shared" si="6"/>
        <v>63.833333333333336</v>
      </c>
      <c r="M123" s="5" t="s">
        <v>9</v>
      </c>
      <c r="N123" s="5">
        <v>4</v>
      </c>
      <c r="O123" s="6">
        <f t="shared" si="7"/>
        <v>4.8768999131944453</v>
      </c>
      <c r="P123" s="6">
        <f t="shared" si="8"/>
        <v>0.50719759097222228</v>
      </c>
      <c r="Q123" s="10">
        <f t="shared" si="9"/>
        <v>1.0566616478587964E-2</v>
      </c>
      <c r="R123" s="10">
        <f t="shared" si="10"/>
        <v>5.2180111939267297E-2</v>
      </c>
      <c r="S123" s="10">
        <f t="shared" si="11"/>
        <v>6.2746728417855266E-2</v>
      </c>
    </row>
    <row r="124" spans="1:19" x14ac:dyDescent="0.25">
      <c r="A124" s="5" t="s">
        <v>8</v>
      </c>
      <c r="B124" s="5" t="s">
        <v>241</v>
      </c>
      <c r="C124" s="5" t="s">
        <v>27</v>
      </c>
      <c r="D124" s="5" t="s">
        <v>385</v>
      </c>
      <c r="E124" s="5" t="s">
        <v>384</v>
      </c>
      <c r="F124" s="5" t="s">
        <v>30</v>
      </c>
      <c r="G124" s="5" t="s">
        <v>392</v>
      </c>
      <c r="H124" s="5" t="s">
        <v>40</v>
      </c>
      <c r="I124" s="5" t="s">
        <v>262</v>
      </c>
      <c r="J124" s="15">
        <v>2100</v>
      </c>
      <c r="K124" s="7">
        <v>32</v>
      </c>
      <c r="L124" s="7">
        <f t="shared" si="6"/>
        <v>65.625</v>
      </c>
      <c r="M124" s="5" t="s">
        <v>9</v>
      </c>
      <c r="N124" s="5">
        <v>4</v>
      </c>
      <c r="O124" s="6">
        <f t="shared" si="7"/>
        <v>5.6524658203125</v>
      </c>
      <c r="P124" s="6">
        <f t="shared" si="8"/>
        <v>0.58785644531249992</v>
      </c>
      <c r="Q124" s="10">
        <f t="shared" si="9"/>
        <v>1.2247009277343748E-2</v>
      </c>
      <c r="R124" s="10">
        <f t="shared" si="10"/>
        <v>5.8287520740768706E-2</v>
      </c>
      <c r="S124" s="10">
        <f t="shared" si="11"/>
        <v>7.0534530018112454E-2</v>
      </c>
    </row>
    <row r="125" spans="1:19" x14ac:dyDescent="0.25">
      <c r="A125" s="5" t="s">
        <v>22</v>
      </c>
      <c r="B125" s="5" t="s">
        <v>26</v>
      </c>
      <c r="C125" s="5" t="s">
        <v>27</v>
      </c>
      <c r="D125" s="5" t="s">
        <v>385</v>
      </c>
      <c r="E125" s="5" t="s">
        <v>384</v>
      </c>
      <c r="F125" s="5" t="s">
        <v>30</v>
      </c>
      <c r="G125" s="5" t="s">
        <v>392</v>
      </c>
      <c r="H125" s="5" t="s">
        <v>40</v>
      </c>
      <c r="I125" s="5" t="s">
        <v>43</v>
      </c>
      <c r="J125" s="15">
        <v>2200</v>
      </c>
      <c r="K125" s="7">
        <v>36</v>
      </c>
      <c r="L125" s="7">
        <f t="shared" si="6"/>
        <v>61.111111111111114</v>
      </c>
      <c r="M125" s="5" t="s">
        <v>9</v>
      </c>
      <c r="N125" s="5">
        <v>4</v>
      </c>
      <c r="O125" s="6">
        <f t="shared" si="7"/>
        <v>5.1350308641975309</v>
      </c>
      <c r="P125" s="6">
        <f t="shared" si="8"/>
        <v>0.53404320987654319</v>
      </c>
      <c r="Q125" s="10">
        <f t="shared" si="9"/>
        <v>1.1125900205761317E-2</v>
      </c>
      <c r="R125" s="10">
        <f t="shared" si="10"/>
        <v>5.4238093824659765E-2</v>
      </c>
      <c r="S125" s="10">
        <f t="shared" si="11"/>
        <v>6.5363994030421077E-2</v>
      </c>
    </row>
    <row r="126" spans="1:19" x14ac:dyDescent="0.25">
      <c r="A126" s="5" t="s">
        <v>8</v>
      </c>
      <c r="B126" s="5" t="s">
        <v>241</v>
      </c>
      <c r="C126" s="5" t="s">
        <v>27</v>
      </c>
      <c r="D126" s="5" t="s">
        <v>385</v>
      </c>
      <c r="E126" s="5" t="s">
        <v>384</v>
      </c>
      <c r="F126" s="5" t="s">
        <v>30</v>
      </c>
      <c r="G126" s="5" t="s">
        <v>392</v>
      </c>
      <c r="H126" s="5" t="s">
        <v>40</v>
      </c>
      <c r="I126" s="5" t="s">
        <v>43</v>
      </c>
      <c r="J126" s="15">
        <v>2200</v>
      </c>
      <c r="K126" s="7">
        <v>33</v>
      </c>
      <c r="L126" s="7">
        <f t="shared" si="6"/>
        <v>66.666666666666671</v>
      </c>
      <c r="M126" s="5" t="s">
        <v>9</v>
      </c>
      <c r="N126" s="5">
        <v>4</v>
      </c>
      <c r="O126" s="6">
        <f t="shared" si="7"/>
        <v>6.1111111111111125</v>
      </c>
      <c r="P126" s="6">
        <f t="shared" si="8"/>
        <v>0.63555555555555565</v>
      </c>
      <c r="Q126" s="10">
        <f t="shared" si="9"/>
        <v>1.3240740740740742E-2</v>
      </c>
      <c r="R126" s="10">
        <f t="shared" si="10"/>
        <v>6.1799827002558427E-2</v>
      </c>
      <c r="S126" s="10">
        <f t="shared" si="11"/>
        <v>7.5040567743299175E-2</v>
      </c>
    </row>
    <row r="127" spans="1:19" x14ac:dyDescent="0.25">
      <c r="A127" s="5" t="s">
        <v>8</v>
      </c>
      <c r="B127" s="5" t="s">
        <v>241</v>
      </c>
      <c r="C127" s="5" t="s">
        <v>27</v>
      </c>
      <c r="D127" s="5" t="s">
        <v>385</v>
      </c>
      <c r="E127" s="5" t="s">
        <v>384</v>
      </c>
      <c r="F127" s="5" t="s">
        <v>30</v>
      </c>
      <c r="G127" s="5" t="s">
        <v>392</v>
      </c>
      <c r="H127" s="5" t="s">
        <v>40</v>
      </c>
      <c r="I127" s="5" t="s">
        <v>263</v>
      </c>
      <c r="J127" s="15">
        <v>2340</v>
      </c>
      <c r="K127" s="7">
        <v>42.5</v>
      </c>
      <c r="L127" s="7">
        <f t="shared" si="6"/>
        <v>55.058823529411768</v>
      </c>
      <c r="M127" s="5" t="s">
        <v>9</v>
      </c>
      <c r="N127" s="5">
        <v>4</v>
      </c>
      <c r="O127" s="6">
        <f t="shared" si="7"/>
        <v>4.4335307958477514</v>
      </c>
      <c r="P127" s="6">
        <f t="shared" si="8"/>
        <v>0.46108720276816617</v>
      </c>
      <c r="Q127" s="10">
        <f t="shared" si="9"/>
        <v>9.6059833910034607E-3</v>
      </c>
      <c r="R127" s="10">
        <f t="shared" si="10"/>
        <v>4.8580213759297074E-2</v>
      </c>
      <c r="S127" s="10">
        <f t="shared" si="11"/>
        <v>5.8186197150300531E-2</v>
      </c>
    </row>
    <row r="128" spans="1:19" x14ac:dyDescent="0.25">
      <c r="A128" s="5" t="s">
        <v>22</v>
      </c>
      <c r="B128" s="5" t="s">
        <v>26</v>
      </c>
      <c r="C128" s="5" t="s">
        <v>27</v>
      </c>
      <c r="D128" s="5" t="s">
        <v>385</v>
      </c>
      <c r="E128" s="5" t="s">
        <v>384</v>
      </c>
      <c r="F128" s="5" t="s">
        <v>30</v>
      </c>
      <c r="G128" s="5" t="s">
        <v>392</v>
      </c>
      <c r="H128" s="5" t="s">
        <v>40</v>
      </c>
      <c r="I128" s="5" t="s">
        <v>44</v>
      </c>
      <c r="J128" s="15">
        <v>3100</v>
      </c>
      <c r="K128" s="7">
        <v>40</v>
      </c>
      <c r="L128" s="7">
        <f t="shared" si="6"/>
        <v>77.5</v>
      </c>
      <c r="M128" s="5" t="s">
        <v>9</v>
      </c>
      <c r="N128" s="5">
        <v>4</v>
      </c>
      <c r="O128" s="6">
        <f t="shared" si="7"/>
        <v>11.637109375</v>
      </c>
      <c r="P128" s="6">
        <f t="shared" si="8"/>
        <v>1.2102593749999999</v>
      </c>
      <c r="Q128" s="10">
        <f t="shared" si="9"/>
        <v>2.5213736979166665E-2</v>
      </c>
      <c r="R128" s="10">
        <f t="shared" si="10"/>
        <v>0.10017998480100093</v>
      </c>
      <c r="S128" s="10">
        <f t="shared" si="11"/>
        <v>0.12539372178016761</v>
      </c>
    </row>
    <row r="129" spans="1:19" x14ac:dyDescent="0.25">
      <c r="A129" s="5" t="s">
        <v>8</v>
      </c>
      <c r="B129" s="5" t="s">
        <v>241</v>
      </c>
      <c r="C129" s="5" t="s">
        <v>27</v>
      </c>
      <c r="D129" s="5" t="s">
        <v>385</v>
      </c>
      <c r="E129" s="5" t="s">
        <v>384</v>
      </c>
      <c r="F129" s="5" t="s">
        <v>30</v>
      </c>
      <c r="G129" s="5" t="s">
        <v>392</v>
      </c>
      <c r="H129" s="5" t="s">
        <v>40</v>
      </c>
      <c r="I129" s="5" t="s">
        <v>44</v>
      </c>
      <c r="J129" s="15">
        <v>3100</v>
      </c>
      <c r="K129" s="7">
        <v>42.5</v>
      </c>
      <c r="L129" s="7">
        <f t="shared" si="6"/>
        <v>72.941176470588232</v>
      </c>
      <c r="M129" s="5" t="s">
        <v>9</v>
      </c>
      <c r="N129" s="5">
        <v>4</v>
      </c>
      <c r="O129" s="6">
        <f t="shared" si="7"/>
        <v>10.308304498269894</v>
      </c>
      <c r="P129" s="6">
        <f t="shared" si="8"/>
        <v>1.072063667820069</v>
      </c>
      <c r="Q129" s="10">
        <f t="shared" si="9"/>
        <v>2.2334659746251439E-2</v>
      </c>
      <c r="R129" s="10">
        <f t="shared" si="10"/>
        <v>9.1471869100578224E-2</v>
      </c>
      <c r="S129" s="10">
        <f t="shared" si="11"/>
        <v>0.11380652884682967</v>
      </c>
    </row>
    <row r="130" spans="1:19" x14ac:dyDescent="0.25">
      <c r="A130" s="5" t="s">
        <v>8</v>
      </c>
      <c r="B130" s="5" t="s">
        <v>241</v>
      </c>
      <c r="C130" s="5" t="s">
        <v>27</v>
      </c>
      <c r="D130" s="5" t="s">
        <v>385</v>
      </c>
      <c r="E130" s="5" t="s">
        <v>384</v>
      </c>
      <c r="F130" s="5" t="s">
        <v>30</v>
      </c>
      <c r="G130" s="5" t="s">
        <v>392</v>
      </c>
      <c r="H130" s="5" t="s">
        <v>40</v>
      </c>
      <c r="I130" s="5" t="s">
        <v>247</v>
      </c>
      <c r="J130" s="15">
        <v>2470</v>
      </c>
      <c r="K130" s="7">
        <v>33.5</v>
      </c>
      <c r="L130" s="7">
        <f t="shared" si="6"/>
        <v>73.731343283582092</v>
      </c>
      <c r="M130" s="5" t="s">
        <v>9</v>
      </c>
      <c r="N130" s="5">
        <v>4</v>
      </c>
      <c r="O130" s="6">
        <f t="shared" si="7"/>
        <v>8.3923050790822025</v>
      </c>
      <c r="P130" s="6">
        <f t="shared" si="8"/>
        <v>0.87279972822454899</v>
      </c>
      <c r="Q130" s="10">
        <f t="shared" si="9"/>
        <v>1.8183327671344771E-2</v>
      </c>
      <c r="R130" s="10">
        <f t="shared" si="10"/>
        <v>7.8398557442714095E-2</v>
      </c>
      <c r="S130" s="10">
        <f t="shared" si="11"/>
        <v>9.6581885114058866E-2</v>
      </c>
    </row>
    <row r="131" spans="1:19" x14ac:dyDescent="0.25">
      <c r="A131" s="5" t="s">
        <v>8</v>
      </c>
      <c r="B131" s="5" t="s">
        <v>241</v>
      </c>
      <c r="C131" s="5" t="s">
        <v>27</v>
      </c>
      <c r="D131" s="5" t="s">
        <v>385</v>
      </c>
      <c r="E131" s="5" t="s">
        <v>384</v>
      </c>
      <c r="F131" s="5" t="s">
        <v>30</v>
      </c>
      <c r="G131" s="5" t="s">
        <v>392</v>
      </c>
      <c r="H131" s="5" t="s">
        <v>40</v>
      </c>
      <c r="I131" s="5" t="s">
        <v>245</v>
      </c>
      <c r="J131" s="15">
        <v>1200</v>
      </c>
      <c r="K131" s="7">
        <v>18</v>
      </c>
      <c r="L131" s="7">
        <f t="shared" ref="L131:L153" si="12">J131/K131</f>
        <v>66.666666666666671</v>
      </c>
      <c r="M131" s="5" t="s">
        <v>9</v>
      </c>
      <c r="N131" s="5">
        <v>4</v>
      </c>
      <c r="O131" s="6">
        <f t="shared" ref="O131:O153" si="13">(J131*L131^2)/(1.6*10^6)</f>
        <v>3.3333333333333339</v>
      </c>
      <c r="P131" s="6">
        <f t="shared" ref="P131:P153" si="14">(0.104*J131*L131^2)/(1.6*10^6)</f>
        <v>0.34666666666666673</v>
      </c>
      <c r="Q131" s="10">
        <f t="shared" ref="Q131:Q153" si="15">(0.104*O131)/(12*N131)</f>
        <v>7.2222222222222236E-3</v>
      </c>
      <c r="R131" s="10">
        <f t="shared" ref="R131:R153" si="16">0.0159*O131^0.75</f>
        <v>3.9224388638091127E-2</v>
      </c>
      <c r="S131" s="10">
        <f t="shared" ref="S131:S153" si="17">Q131+R131</f>
        <v>4.6446610860313348E-2</v>
      </c>
    </row>
    <row r="132" spans="1:19" x14ac:dyDescent="0.25">
      <c r="A132" s="5" t="s">
        <v>22</v>
      </c>
      <c r="B132" s="5" t="s">
        <v>63</v>
      </c>
      <c r="C132" s="5" t="s">
        <v>27</v>
      </c>
      <c r="D132" s="5" t="s">
        <v>385</v>
      </c>
      <c r="E132" s="5" t="s">
        <v>384</v>
      </c>
      <c r="F132" s="5" t="s">
        <v>45</v>
      </c>
      <c r="G132" s="5" t="s">
        <v>390</v>
      </c>
      <c r="H132" s="5" t="s">
        <v>79</v>
      </c>
      <c r="I132" s="5" t="s">
        <v>80</v>
      </c>
      <c r="J132" s="15">
        <v>1225</v>
      </c>
      <c r="K132" s="7">
        <v>45</v>
      </c>
      <c r="L132" s="7">
        <f t="shared" si="12"/>
        <v>27.222222222222221</v>
      </c>
      <c r="M132" s="5" t="s">
        <v>9</v>
      </c>
      <c r="N132" s="5">
        <v>4</v>
      </c>
      <c r="O132" s="6">
        <f t="shared" si="13"/>
        <v>0.5673659336419753</v>
      </c>
      <c r="P132" s="6">
        <f t="shared" si="14"/>
        <v>5.900605709876542E-2</v>
      </c>
      <c r="Q132" s="10">
        <f t="shared" si="15"/>
        <v>1.2292928562242797E-3</v>
      </c>
      <c r="R132" s="10">
        <f t="shared" si="16"/>
        <v>1.0394283700610837E-2</v>
      </c>
      <c r="S132" s="10">
        <f t="shared" si="17"/>
        <v>1.1623576556835116E-2</v>
      </c>
    </row>
    <row r="133" spans="1:19" x14ac:dyDescent="0.25">
      <c r="A133" s="5" t="s">
        <v>22</v>
      </c>
      <c r="B133" s="5" t="s">
        <v>63</v>
      </c>
      <c r="C133" s="5" t="s">
        <v>27</v>
      </c>
      <c r="D133" s="5" t="s">
        <v>385</v>
      </c>
      <c r="E133" s="5" t="s">
        <v>384</v>
      </c>
      <c r="F133" s="5" t="s">
        <v>45</v>
      </c>
      <c r="G133" s="5" t="s">
        <v>390</v>
      </c>
      <c r="H133" s="5" t="s">
        <v>75</v>
      </c>
      <c r="I133" s="5" t="s">
        <v>76</v>
      </c>
      <c r="J133" s="15">
        <v>1450</v>
      </c>
      <c r="K133" s="7">
        <v>48.5</v>
      </c>
      <c r="L133" s="7">
        <f t="shared" si="12"/>
        <v>29.896907216494846</v>
      </c>
      <c r="M133" s="5" t="s">
        <v>9</v>
      </c>
      <c r="N133" s="5">
        <v>4</v>
      </c>
      <c r="O133" s="6">
        <f t="shared" si="13"/>
        <v>0.81002896163247951</v>
      </c>
      <c r="P133" s="6">
        <f t="shared" si="14"/>
        <v>8.4243012009777865E-2</v>
      </c>
      <c r="Q133" s="10">
        <f t="shared" si="15"/>
        <v>1.7550627502037055E-3</v>
      </c>
      <c r="R133" s="10">
        <f t="shared" si="16"/>
        <v>1.3576022042751284E-2</v>
      </c>
      <c r="S133" s="10">
        <f t="shared" si="17"/>
        <v>1.5331084792954988E-2</v>
      </c>
    </row>
    <row r="134" spans="1:19" x14ac:dyDescent="0.25">
      <c r="A134" s="5" t="s">
        <v>8</v>
      </c>
      <c r="B134" s="5" t="s">
        <v>206</v>
      </c>
      <c r="C134" s="5" t="s">
        <v>27</v>
      </c>
      <c r="D134" s="5" t="s">
        <v>385</v>
      </c>
      <c r="E134" s="5" t="s">
        <v>384</v>
      </c>
      <c r="F134" s="5" t="s">
        <v>45</v>
      </c>
      <c r="G134" s="5" t="s">
        <v>390</v>
      </c>
      <c r="H134" s="5" t="s">
        <v>46</v>
      </c>
      <c r="I134" s="5" t="s">
        <v>207</v>
      </c>
      <c r="J134" s="15">
        <v>1100</v>
      </c>
      <c r="K134" s="7">
        <v>32</v>
      </c>
      <c r="L134" s="7">
        <f t="shared" si="12"/>
        <v>34.375</v>
      </c>
      <c r="M134" s="5" t="s">
        <v>9</v>
      </c>
      <c r="N134" s="5">
        <v>4</v>
      </c>
      <c r="O134" s="6">
        <f t="shared" si="13"/>
        <v>0.8123779296875</v>
      </c>
      <c r="P134" s="6">
        <f t="shared" si="14"/>
        <v>8.4487304687500001E-2</v>
      </c>
      <c r="Q134" s="10">
        <f t="shared" si="15"/>
        <v>1.7601521809895834E-3</v>
      </c>
      <c r="R134" s="10">
        <f t="shared" si="16"/>
        <v>1.3605537743536752E-2</v>
      </c>
      <c r="S134" s="10">
        <f t="shared" si="17"/>
        <v>1.5365689924526336E-2</v>
      </c>
    </row>
    <row r="135" spans="1:19" x14ac:dyDescent="0.25">
      <c r="A135" s="5" t="s">
        <v>8</v>
      </c>
      <c r="B135" s="5" t="s">
        <v>209</v>
      </c>
      <c r="C135" s="5" t="s">
        <v>27</v>
      </c>
      <c r="D135" s="5" t="s">
        <v>385</v>
      </c>
      <c r="E135" s="5" t="s">
        <v>384</v>
      </c>
      <c r="F135" s="5" t="s">
        <v>45</v>
      </c>
      <c r="G135" s="5" t="s">
        <v>390</v>
      </c>
      <c r="H135" s="5" t="s">
        <v>46</v>
      </c>
      <c r="I135" s="5" t="s">
        <v>207</v>
      </c>
      <c r="J135" s="15">
        <v>1580</v>
      </c>
      <c r="K135" s="7">
        <v>52.7</v>
      </c>
      <c r="L135" s="7">
        <f t="shared" si="12"/>
        <v>29.981024667931688</v>
      </c>
      <c r="M135" s="5" t="s">
        <v>9</v>
      </c>
      <c r="N135" s="5">
        <v>4</v>
      </c>
      <c r="O135" s="6">
        <f t="shared" si="13"/>
        <v>0.88762606713738934</v>
      </c>
      <c r="P135" s="6">
        <f t="shared" si="14"/>
        <v>9.231311098228849E-2</v>
      </c>
      <c r="Q135" s="10">
        <f t="shared" si="15"/>
        <v>1.9231898121310103E-3</v>
      </c>
      <c r="R135" s="10">
        <f t="shared" si="16"/>
        <v>1.4540175890565775E-2</v>
      </c>
      <c r="S135" s="10">
        <f t="shared" si="17"/>
        <v>1.6463365702696783E-2</v>
      </c>
    </row>
    <row r="136" spans="1:19" x14ac:dyDescent="0.25">
      <c r="A136" s="5" t="s">
        <v>22</v>
      </c>
      <c r="B136" s="5" t="s">
        <v>26</v>
      </c>
      <c r="C136" s="5" t="s">
        <v>27</v>
      </c>
      <c r="D136" s="5" t="s">
        <v>385</v>
      </c>
      <c r="E136" s="5" t="s">
        <v>384</v>
      </c>
      <c r="F136" s="5" t="s">
        <v>45</v>
      </c>
      <c r="G136" s="5" t="s">
        <v>390</v>
      </c>
      <c r="H136" s="5" t="s">
        <v>46</v>
      </c>
      <c r="I136" s="5" t="s">
        <v>16</v>
      </c>
      <c r="J136" s="15">
        <v>1350</v>
      </c>
      <c r="K136" s="7">
        <v>35</v>
      </c>
      <c r="L136" s="7">
        <f t="shared" si="12"/>
        <v>38.571428571428569</v>
      </c>
      <c r="M136" s="5" t="s">
        <v>9</v>
      </c>
      <c r="N136" s="5">
        <v>4</v>
      </c>
      <c r="O136" s="6">
        <f t="shared" si="13"/>
        <v>1.2552933673469386</v>
      </c>
      <c r="P136" s="6">
        <f t="shared" si="14"/>
        <v>0.13055051020408162</v>
      </c>
      <c r="Q136" s="10">
        <f t="shared" si="15"/>
        <v>2.719802295918367E-3</v>
      </c>
      <c r="R136" s="10">
        <f t="shared" si="16"/>
        <v>1.8856281365180333E-2</v>
      </c>
      <c r="S136" s="10">
        <f t="shared" si="17"/>
        <v>2.1576083661098699E-2</v>
      </c>
    </row>
    <row r="137" spans="1:19" x14ac:dyDescent="0.25">
      <c r="A137" s="5" t="s">
        <v>22</v>
      </c>
      <c r="B137" s="5" t="s">
        <v>26</v>
      </c>
      <c r="C137" s="5" t="s">
        <v>27</v>
      </c>
      <c r="D137" s="5" t="s">
        <v>385</v>
      </c>
      <c r="E137" s="5" t="s">
        <v>384</v>
      </c>
      <c r="F137" s="5" t="s">
        <v>45</v>
      </c>
      <c r="G137" s="5" t="s">
        <v>390</v>
      </c>
      <c r="H137" s="5" t="s">
        <v>46</v>
      </c>
      <c r="I137" s="5" t="s">
        <v>47</v>
      </c>
      <c r="J137" s="15">
        <v>1150</v>
      </c>
      <c r="K137" s="7">
        <v>30</v>
      </c>
      <c r="L137" s="7">
        <f t="shared" si="12"/>
        <v>38.333333333333336</v>
      </c>
      <c r="M137" s="5" t="s">
        <v>9</v>
      </c>
      <c r="N137" s="5">
        <v>4</v>
      </c>
      <c r="O137" s="6">
        <f t="shared" si="13"/>
        <v>1.0561631944444445</v>
      </c>
      <c r="P137" s="6">
        <f t="shared" si="14"/>
        <v>0.10984097222222222</v>
      </c>
      <c r="Q137" s="10">
        <f t="shared" si="15"/>
        <v>2.288353587962963E-3</v>
      </c>
      <c r="R137" s="10">
        <f t="shared" si="16"/>
        <v>1.6565150885101746E-2</v>
      </c>
      <c r="S137" s="10">
        <f t="shared" si="17"/>
        <v>1.8853504473064709E-2</v>
      </c>
    </row>
    <row r="138" spans="1:19" x14ac:dyDescent="0.25">
      <c r="A138" s="5" t="s">
        <v>8</v>
      </c>
      <c r="B138" s="5" t="s">
        <v>202</v>
      </c>
      <c r="C138" s="5" t="s">
        <v>27</v>
      </c>
      <c r="D138" s="5" t="s">
        <v>385</v>
      </c>
      <c r="E138" s="5" t="s">
        <v>384</v>
      </c>
      <c r="F138" s="5" t="s">
        <v>45</v>
      </c>
      <c r="G138" s="5" t="s">
        <v>390</v>
      </c>
      <c r="H138" s="5" t="s">
        <v>46</v>
      </c>
      <c r="I138" s="5" t="s">
        <v>203</v>
      </c>
      <c r="J138" s="15">
        <v>1220</v>
      </c>
      <c r="K138" s="7">
        <v>29.6</v>
      </c>
      <c r="L138" s="7">
        <f t="shared" si="12"/>
        <v>41.216216216216218</v>
      </c>
      <c r="M138" s="5" t="s">
        <v>9</v>
      </c>
      <c r="N138" s="5">
        <v>4</v>
      </c>
      <c r="O138" s="6">
        <f t="shared" si="13"/>
        <v>1.2953170653761872</v>
      </c>
      <c r="P138" s="6">
        <f t="shared" si="14"/>
        <v>0.13471297479912345</v>
      </c>
      <c r="Q138" s="10">
        <f t="shared" si="15"/>
        <v>2.8065203083150717E-3</v>
      </c>
      <c r="R138" s="10">
        <f t="shared" si="16"/>
        <v>1.930541712752341E-2</v>
      </c>
      <c r="S138" s="10">
        <f t="shared" si="17"/>
        <v>2.2111937435838482E-2</v>
      </c>
    </row>
    <row r="139" spans="1:19" x14ac:dyDescent="0.25">
      <c r="A139" s="5" t="s">
        <v>8</v>
      </c>
      <c r="B139" s="5" t="s">
        <v>204</v>
      </c>
      <c r="C139" s="5" t="s">
        <v>27</v>
      </c>
      <c r="D139" s="5" t="s">
        <v>385</v>
      </c>
      <c r="E139" s="5" t="s">
        <v>384</v>
      </c>
      <c r="F139" s="5" t="s">
        <v>45</v>
      </c>
      <c r="G139" s="5" t="s">
        <v>390</v>
      </c>
      <c r="H139" s="5" t="s">
        <v>46</v>
      </c>
      <c r="I139" s="5" t="s">
        <v>203</v>
      </c>
      <c r="J139" s="15">
        <v>850</v>
      </c>
      <c r="K139" s="7">
        <v>32</v>
      </c>
      <c r="L139" s="7">
        <f t="shared" si="12"/>
        <v>26.5625</v>
      </c>
      <c r="M139" s="5" t="s">
        <v>9</v>
      </c>
      <c r="N139" s="5">
        <v>4</v>
      </c>
      <c r="O139" s="6">
        <f t="shared" si="13"/>
        <v>0.3748321533203125</v>
      </c>
      <c r="P139" s="6">
        <f t="shared" si="14"/>
        <v>3.8982543945312496E-2</v>
      </c>
      <c r="Q139" s="10">
        <f t="shared" si="15"/>
        <v>8.1213633219401034E-4</v>
      </c>
      <c r="R139" s="10">
        <f t="shared" si="16"/>
        <v>7.6168385941915153E-3</v>
      </c>
      <c r="S139" s="10">
        <f t="shared" si="17"/>
        <v>8.4289749263855261E-3</v>
      </c>
    </row>
    <row r="140" spans="1:19" x14ac:dyDescent="0.25">
      <c r="A140" s="5" t="s">
        <v>8</v>
      </c>
      <c r="B140" s="5" t="s">
        <v>201</v>
      </c>
      <c r="C140" s="5" t="s">
        <v>27</v>
      </c>
      <c r="D140" s="5" t="s">
        <v>385</v>
      </c>
      <c r="E140" s="5" t="s">
        <v>384</v>
      </c>
      <c r="F140" s="5" t="s">
        <v>45</v>
      </c>
      <c r="G140" s="5" t="s">
        <v>390</v>
      </c>
      <c r="H140" s="5" t="s">
        <v>46</v>
      </c>
      <c r="I140" s="5" t="s">
        <v>203</v>
      </c>
      <c r="J140" s="15">
        <v>965</v>
      </c>
      <c r="K140" s="7">
        <v>26.5</v>
      </c>
      <c r="L140" s="7">
        <f t="shared" si="12"/>
        <v>36.415094339622641</v>
      </c>
      <c r="M140" s="5" t="s">
        <v>9</v>
      </c>
      <c r="N140" s="5">
        <v>4</v>
      </c>
      <c r="O140" s="6">
        <f t="shared" si="13"/>
        <v>0.79977939213243143</v>
      </c>
      <c r="P140" s="6">
        <f t="shared" si="14"/>
        <v>8.3177056781772868E-2</v>
      </c>
      <c r="Q140" s="10">
        <f t="shared" si="15"/>
        <v>1.732855349620268E-3</v>
      </c>
      <c r="R140" s="10">
        <f t="shared" si="16"/>
        <v>1.3446980696864171E-2</v>
      </c>
      <c r="S140" s="10">
        <f t="shared" si="17"/>
        <v>1.517983604648444E-2</v>
      </c>
    </row>
    <row r="141" spans="1:19" x14ac:dyDescent="0.25">
      <c r="A141" s="5" t="s">
        <v>22</v>
      </c>
      <c r="B141" s="5" t="s">
        <v>26</v>
      </c>
      <c r="C141" s="5" t="s">
        <v>27</v>
      </c>
      <c r="D141" s="5" t="s">
        <v>385</v>
      </c>
      <c r="E141" s="5" t="s">
        <v>384</v>
      </c>
      <c r="F141" s="5" t="s">
        <v>45</v>
      </c>
      <c r="G141" s="5" t="s">
        <v>390</v>
      </c>
      <c r="H141" s="5" t="s">
        <v>46</v>
      </c>
      <c r="I141" s="5" t="s">
        <v>11</v>
      </c>
      <c r="J141" s="15">
        <v>1450</v>
      </c>
      <c r="K141" s="7">
        <v>29</v>
      </c>
      <c r="L141" s="7">
        <f t="shared" si="12"/>
        <v>50</v>
      </c>
      <c r="M141" s="5" t="s">
        <v>9</v>
      </c>
      <c r="N141" s="5">
        <v>4</v>
      </c>
      <c r="O141" s="6">
        <f t="shared" si="13"/>
        <v>2.265625</v>
      </c>
      <c r="P141" s="6">
        <f t="shared" si="14"/>
        <v>0.23562499999999997</v>
      </c>
      <c r="Q141" s="10">
        <f t="shared" si="15"/>
        <v>4.9088541666666664E-3</v>
      </c>
      <c r="R141" s="10">
        <f t="shared" si="16"/>
        <v>2.9362169777582138E-2</v>
      </c>
      <c r="S141" s="10">
        <f t="shared" si="17"/>
        <v>3.4271023944248802E-2</v>
      </c>
    </row>
    <row r="142" spans="1:19" x14ac:dyDescent="0.25">
      <c r="A142" s="5" t="s">
        <v>8</v>
      </c>
      <c r="B142" s="5" t="s">
        <v>339</v>
      </c>
      <c r="C142" s="5" t="s">
        <v>27</v>
      </c>
      <c r="D142" s="5" t="s">
        <v>385</v>
      </c>
      <c r="E142" s="5" t="s">
        <v>384</v>
      </c>
      <c r="F142" s="5" t="s">
        <v>45</v>
      </c>
      <c r="G142" s="5" t="s">
        <v>390</v>
      </c>
      <c r="H142" s="5" t="s">
        <v>46</v>
      </c>
      <c r="I142" s="5" t="s">
        <v>216</v>
      </c>
      <c r="J142" s="15">
        <v>801</v>
      </c>
      <c r="K142" s="7">
        <v>28.6</v>
      </c>
      <c r="L142" s="7">
        <f t="shared" si="12"/>
        <v>28.006993006993007</v>
      </c>
      <c r="M142" s="5" t="s">
        <v>9</v>
      </c>
      <c r="N142" s="5">
        <v>4</v>
      </c>
      <c r="O142" s="6">
        <f t="shared" si="13"/>
        <v>0.39268607343268619</v>
      </c>
      <c r="P142" s="6">
        <f t="shared" si="14"/>
        <v>4.0839351636999366E-2</v>
      </c>
      <c r="Q142" s="10">
        <f t="shared" si="15"/>
        <v>8.5081982577081994E-4</v>
      </c>
      <c r="R142" s="10">
        <f t="shared" si="16"/>
        <v>7.8873524666107624E-3</v>
      </c>
      <c r="S142" s="10">
        <f t="shared" si="17"/>
        <v>8.7381722923815831E-3</v>
      </c>
    </row>
    <row r="143" spans="1:19" x14ac:dyDescent="0.25">
      <c r="A143" s="5" t="s">
        <v>22</v>
      </c>
      <c r="B143" s="5" t="s">
        <v>63</v>
      </c>
      <c r="C143" s="5" t="s">
        <v>27</v>
      </c>
      <c r="D143" s="5" t="s">
        <v>385</v>
      </c>
      <c r="E143" s="5" t="s">
        <v>384</v>
      </c>
      <c r="F143" s="5" t="s">
        <v>45</v>
      </c>
      <c r="G143" s="5" t="s">
        <v>390</v>
      </c>
      <c r="H143" s="5" t="s">
        <v>46</v>
      </c>
      <c r="I143" s="5" t="s">
        <v>152</v>
      </c>
      <c r="J143" s="15">
        <v>1900</v>
      </c>
      <c r="K143" s="7">
        <v>49.5</v>
      </c>
      <c r="L143" s="7">
        <f t="shared" si="12"/>
        <v>38.383838383838381</v>
      </c>
      <c r="M143" s="5" t="s">
        <v>9</v>
      </c>
      <c r="N143" s="5">
        <v>4</v>
      </c>
      <c r="O143" s="6">
        <f t="shared" si="13"/>
        <v>1.7495663707784919</v>
      </c>
      <c r="P143" s="6">
        <f t="shared" si="14"/>
        <v>0.18195490256096314</v>
      </c>
      <c r="Q143" s="10">
        <f t="shared" si="15"/>
        <v>3.7907271366867321E-3</v>
      </c>
      <c r="R143" s="10">
        <f t="shared" si="16"/>
        <v>2.4187720476462712E-2</v>
      </c>
      <c r="S143" s="10">
        <f t="shared" si="17"/>
        <v>2.7978447613149444E-2</v>
      </c>
    </row>
    <row r="144" spans="1:19" x14ac:dyDescent="0.25">
      <c r="A144" s="5" t="s">
        <v>8</v>
      </c>
      <c r="B144" s="5" t="s">
        <v>375</v>
      </c>
      <c r="C144" s="5" t="s">
        <v>27</v>
      </c>
      <c r="D144" s="5" t="s">
        <v>385</v>
      </c>
      <c r="E144" s="5" t="s">
        <v>384</v>
      </c>
      <c r="F144" s="5" t="s">
        <v>45</v>
      </c>
      <c r="G144" s="5" t="s">
        <v>390</v>
      </c>
      <c r="H144" s="5" t="s">
        <v>46</v>
      </c>
      <c r="I144" s="5" t="s">
        <v>152</v>
      </c>
      <c r="J144" s="15">
        <v>1900</v>
      </c>
      <c r="K144" s="7">
        <v>50</v>
      </c>
      <c r="L144" s="7">
        <f t="shared" si="12"/>
        <v>38</v>
      </c>
      <c r="M144" s="5" t="s">
        <v>9</v>
      </c>
      <c r="N144" s="5">
        <v>4</v>
      </c>
      <c r="O144" s="6">
        <f t="shared" si="13"/>
        <v>1.71475</v>
      </c>
      <c r="P144" s="6">
        <f t="shared" si="14"/>
        <v>0.17833399999999996</v>
      </c>
      <c r="Q144" s="10">
        <f t="shared" si="15"/>
        <v>3.7152916666666667E-3</v>
      </c>
      <c r="R144" s="10">
        <f t="shared" si="16"/>
        <v>2.3825813226263679E-2</v>
      </c>
      <c r="S144" s="10">
        <f t="shared" si="17"/>
        <v>2.7541104892930345E-2</v>
      </c>
    </row>
    <row r="145" spans="1:19" x14ac:dyDescent="0.25">
      <c r="A145" s="5" t="s">
        <v>22</v>
      </c>
      <c r="B145" s="5" t="s">
        <v>26</v>
      </c>
      <c r="C145" s="5" t="s">
        <v>27</v>
      </c>
      <c r="D145" s="5" t="s">
        <v>385</v>
      </c>
      <c r="E145" s="5" t="s">
        <v>384</v>
      </c>
      <c r="F145" s="5" t="s">
        <v>45</v>
      </c>
      <c r="G145" s="5" t="s">
        <v>390</v>
      </c>
      <c r="H145" s="5" t="s">
        <v>46</v>
      </c>
      <c r="I145" s="5" t="s">
        <v>48</v>
      </c>
      <c r="J145" s="15">
        <v>1150</v>
      </c>
      <c r="K145" s="7">
        <v>34</v>
      </c>
      <c r="L145" s="7">
        <f t="shared" si="12"/>
        <v>33.823529411764703</v>
      </c>
      <c r="M145" s="5" t="s">
        <v>9</v>
      </c>
      <c r="N145" s="5">
        <v>4</v>
      </c>
      <c r="O145" s="6">
        <f t="shared" si="13"/>
        <v>0.8222723832179929</v>
      </c>
      <c r="P145" s="6">
        <f t="shared" si="14"/>
        <v>8.5516327854671254E-2</v>
      </c>
      <c r="Q145" s="10">
        <f t="shared" si="15"/>
        <v>1.7815901636389845E-3</v>
      </c>
      <c r="R145" s="10">
        <f t="shared" si="16"/>
        <v>1.3729632180540055E-2</v>
      </c>
      <c r="S145" s="10">
        <f t="shared" si="17"/>
        <v>1.5511222344179039E-2</v>
      </c>
    </row>
    <row r="146" spans="1:19" x14ac:dyDescent="0.25">
      <c r="A146" s="5" t="s">
        <v>22</v>
      </c>
      <c r="B146" s="5" t="s">
        <v>26</v>
      </c>
      <c r="C146" s="5" t="s">
        <v>27</v>
      </c>
      <c r="D146" s="5" t="s">
        <v>385</v>
      </c>
      <c r="E146" s="5" t="s">
        <v>384</v>
      </c>
      <c r="F146" s="5" t="s">
        <v>45</v>
      </c>
      <c r="G146" s="5" t="s">
        <v>390</v>
      </c>
      <c r="H146" s="5" t="s">
        <v>46</v>
      </c>
      <c r="I146" s="5" t="s">
        <v>49</v>
      </c>
      <c r="J146" s="15">
        <v>1400</v>
      </c>
      <c r="K146" s="7">
        <v>37.5</v>
      </c>
      <c r="L146" s="7">
        <f t="shared" si="12"/>
        <v>37.333333333333336</v>
      </c>
      <c r="M146" s="5" t="s">
        <v>9</v>
      </c>
      <c r="N146" s="5">
        <v>4</v>
      </c>
      <c r="O146" s="6">
        <f t="shared" si="13"/>
        <v>1.2195555555555557</v>
      </c>
      <c r="P146" s="6">
        <f t="shared" si="14"/>
        <v>0.1268337777777778</v>
      </c>
      <c r="Q146" s="10">
        <f t="shared" si="15"/>
        <v>2.6423703703703709E-3</v>
      </c>
      <c r="R146" s="10">
        <f t="shared" si="16"/>
        <v>1.8452206917572135E-2</v>
      </c>
      <c r="S146" s="10">
        <f t="shared" si="17"/>
        <v>2.1094577287942506E-2</v>
      </c>
    </row>
    <row r="147" spans="1:19" x14ac:dyDescent="0.25">
      <c r="A147" s="5" t="s">
        <v>22</v>
      </c>
      <c r="B147" s="5" t="s">
        <v>26</v>
      </c>
      <c r="C147" s="5" t="s">
        <v>27</v>
      </c>
      <c r="D147" s="5" t="s">
        <v>385</v>
      </c>
      <c r="E147" s="5" t="s">
        <v>384</v>
      </c>
      <c r="F147" s="5" t="s">
        <v>45</v>
      </c>
      <c r="G147" s="5" t="s">
        <v>390</v>
      </c>
      <c r="H147" s="5" t="s">
        <v>46</v>
      </c>
      <c r="I147" s="5" t="s">
        <v>50</v>
      </c>
      <c r="J147" s="15">
        <v>1650</v>
      </c>
      <c r="K147" s="7">
        <v>30</v>
      </c>
      <c r="L147" s="7">
        <f t="shared" si="12"/>
        <v>55</v>
      </c>
      <c r="M147" s="5" t="s">
        <v>9</v>
      </c>
      <c r="N147" s="5">
        <v>4</v>
      </c>
      <c r="O147" s="6">
        <f t="shared" si="13"/>
        <v>3.1195312500000001</v>
      </c>
      <c r="P147" s="6">
        <f t="shared" si="14"/>
        <v>0.32443125</v>
      </c>
      <c r="Q147" s="10">
        <f t="shared" si="15"/>
        <v>6.7589843749999998E-3</v>
      </c>
      <c r="R147" s="10">
        <f t="shared" si="16"/>
        <v>3.7321933071527903E-2</v>
      </c>
      <c r="S147" s="10">
        <f t="shared" si="17"/>
        <v>4.4080917446527902E-2</v>
      </c>
    </row>
    <row r="148" spans="1:19" x14ac:dyDescent="0.25">
      <c r="A148" s="5" t="s">
        <v>8</v>
      </c>
      <c r="B148" s="5" t="s">
        <v>233</v>
      </c>
      <c r="C148" s="5" t="s">
        <v>27</v>
      </c>
      <c r="D148" s="5" t="s">
        <v>385</v>
      </c>
      <c r="E148" s="5" t="s">
        <v>384</v>
      </c>
      <c r="F148" s="5" t="s">
        <v>45</v>
      </c>
      <c r="G148" s="5" t="s">
        <v>390</v>
      </c>
      <c r="H148" s="5" t="s">
        <v>46</v>
      </c>
      <c r="I148" s="5" t="s">
        <v>234</v>
      </c>
      <c r="J148" s="15">
        <v>1350</v>
      </c>
      <c r="K148" s="7">
        <v>40</v>
      </c>
      <c r="L148" s="7">
        <f t="shared" si="12"/>
        <v>33.75</v>
      </c>
      <c r="M148" s="5" t="s">
        <v>9</v>
      </c>
      <c r="N148" s="5">
        <v>4</v>
      </c>
      <c r="O148" s="6">
        <f t="shared" si="13"/>
        <v>0.96108398437499998</v>
      </c>
      <c r="P148" s="6">
        <f t="shared" si="14"/>
        <v>9.9952734375000005E-2</v>
      </c>
      <c r="Q148" s="10">
        <f t="shared" si="15"/>
        <v>2.0823486328124998E-3</v>
      </c>
      <c r="R148" s="10">
        <f t="shared" si="16"/>
        <v>1.5433631599993865E-2</v>
      </c>
      <c r="S148" s="10">
        <f t="shared" si="17"/>
        <v>1.7515980232806365E-2</v>
      </c>
    </row>
    <row r="149" spans="1:19" x14ac:dyDescent="0.25">
      <c r="A149" s="5" t="s">
        <v>22</v>
      </c>
      <c r="B149" s="5" t="s">
        <v>26</v>
      </c>
      <c r="C149" s="5" t="s">
        <v>27</v>
      </c>
      <c r="D149" s="5" t="s">
        <v>385</v>
      </c>
      <c r="E149" s="5" t="s">
        <v>384</v>
      </c>
      <c r="F149" s="5" t="s">
        <v>45</v>
      </c>
      <c r="G149" s="5" t="s">
        <v>390</v>
      </c>
      <c r="H149" s="5" t="s">
        <v>46</v>
      </c>
      <c r="I149" s="5" t="s">
        <v>51</v>
      </c>
      <c r="J149" s="15">
        <v>1400</v>
      </c>
      <c r="K149" s="7">
        <v>40</v>
      </c>
      <c r="L149" s="7">
        <f t="shared" si="12"/>
        <v>35</v>
      </c>
      <c r="M149" s="5" t="s">
        <v>9</v>
      </c>
      <c r="N149" s="5">
        <v>4</v>
      </c>
      <c r="O149" s="6">
        <f t="shared" si="13"/>
        <v>1.0718749999999999</v>
      </c>
      <c r="P149" s="6">
        <f t="shared" si="14"/>
        <v>0.111475</v>
      </c>
      <c r="Q149" s="10">
        <f t="shared" si="15"/>
        <v>2.322395833333333E-3</v>
      </c>
      <c r="R149" s="10">
        <f t="shared" si="16"/>
        <v>1.6749630490436755E-2</v>
      </c>
      <c r="S149" s="10">
        <f t="shared" si="17"/>
        <v>1.9072026323770089E-2</v>
      </c>
    </row>
    <row r="150" spans="1:19" x14ac:dyDescent="0.25">
      <c r="A150" s="5" t="s">
        <v>8</v>
      </c>
      <c r="B150" s="5" t="s">
        <v>192</v>
      </c>
      <c r="C150" s="5" t="s">
        <v>27</v>
      </c>
      <c r="D150" s="5" t="s">
        <v>385</v>
      </c>
      <c r="E150" s="5" t="s">
        <v>384</v>
      </c>
      <c r="F150" s="5" t="s">
        <v>45</v>
      </c>
      <c r="G150" s="5" t="s">
        <v>390</v>
      </c>
      <c r="H150" s="5" t="s">
        <v>46</v>
      </c>
      <c r="I150" s="5" t="s">
        <v>213</v>
      </c>
      <c r="J150" s="15">
        <v>960</v>
      </c>
      <c r="K150" s="7">
        <v>25.9</v>
      </c>
      <c r="L150" s="7">
        <f t="shared" si="12"/>
        <v>37.06563706563707</v>
      </c>
      <c r="M150" s="5" t="s">
        <v>9</v>
      </c>
      <c r="N150" s="5">
        <v>4</v>
      </c>
      <c r="O150" s="6">
        <f t="shared" si="13"/>
        <v>0.82431687064891723</v>
      </c>
      <c r="P150" s="6">
        <f t="shared" si="14"/>
        <v>8.5728954547487371E-2</v>
      </c>
      <c r="Q150" s="10">
        <f t="shared" si="15"/>
        <v>1.7860198864059873E-3</v>
      </c>
      <c r="R150" s="10">
        <f t="shared" si="16"/>
        <v>1.3755227116500256E-2</v>
      </c>
      <c r="S150" s="10">
        <f t="shared" si="17"/>
        <v>1.5541247002906242E-2</v>
      </c>
    </row>
    <row r="151" spans="1:19" x14ac:dyDescent="0.25">
      <c r="A151" s="5" t="s">
        <v>22</v>
      </c>
      <c r="B151" s="5" t="s">
        <v>63</v>
      </c>
      <c r="C151" s="5" t="s">
        <v>27</v>
      </c>
      <c r="D151" s="5" t="s">
        <v>385</v>
      </c>
      <c r="E151" s="5" t="s">
        <v>384</v>
      </c>
      <c r="F151" s="5" t="s">
        <v>45</v>
      </c>
      <c r="G151" s="5" t="s">
        <v>390</v>
      </c>
      <c r="H151" s="5" t="s">
        <v>46</v>
      </c>
      <c r="I151" s="5" t="s">
        <v>153</v>
      </c>
      <c r="J151" s="15">
        <v>1620</v>
      </c>
      <c r="K151" s="7">
        <v>41</v>
      </c>
      <c r="L151" s="7">
        <f t="shared" si="12"/>
        <v>39.512195121951223</v>
      </c>
      <c r="M151" s="5" t="s">
        <v>9</v>
      </c>
      <c r="N151" s="5">
        <v>4</v>
      </c>
      <c r="O151" s="6">
        <f t="shared" si="13"/>
        <v>1.5807287328970852</v>
      </c>
      <c r="P151" s="6">
        <f t="shared" si="14"/>
        <v>0.16439578822129686</v>
      </c>
      <c r="Q151" s="10">
        <f t="shared" si="15"/>
        <v>3.424912254610351E-3</v>
      </c>
      <c r="R151" s="10">
        <f t="shared" si="16"/>
        <v>2.241507183266496E-2</v>
      </c>
      <c r="S151" s="10">
        <f t="shared" si="17"/>
        <v>2.5839984087275312E-2</v>
      </c>
    </row>
    <row r="152" spans="1:19" x14ac:dyDescent="0.25">
      <c r="A152" s="5" t="s">
        <v>8</v>
      </c>
      <c r="B152" s="5" t="s">
        <v>375</v>
      </c>
      <c r="C152" s="5" t="s">
        <v>27</v>
      </c>
      <c r="D152" s="5" t="s">
        <v>385</v>
      </c>
      <c r="E152" s="5" t="s">
        <v>384</v>
      </c>
      <c r="F152" s="5" t="s">
        <v>45</v>
      </c>
      <c r="G152" s="5" t="s">
        <v>390</v>
      </c>
      <c r="H152" s="5" t="s">
        <v>46</v>
      </c>
      <c r="I152" s="5" t="s">
        <v>153</v>
      </c>
      <c r="J152" s="15">
        <v>1570</v>
      </c>
      <c r="K152" s="7">
        <v>41.7</v>
      </c>
      <c r="L152" s="7">
        <f t="shared" si="12"/>
        <v>37.649880095923258</v>
      </c>
      <c r="M152" s="5" t="s">
        <v>9</v>
      </c>
      <c r="N152" s="5">
        <v>4</v>
      </c>
      <c r="O152" s="6">
        <f t="shared" si="13"/>
        <v>1.3909350936516971</v>
      </c>
      <c r="P152" s="6">
        <f t="shared" si="14"/>
        <v>0.14465724973977651</v>
      </c>
      <c r="Q152" s="10">
        <f t="shared" si="15"/>
        <v>3.01369270291201E-3</v>
      </c>
      <c r="R152" s="10">
        <f t="shared" si="16"/>
        <v>2.0364665116242991E-2</v>
      </c>
      <c r="S152" s="10">
        <f t="shared" si="17"/>
        <v>2.3378357819155003E-2</v>
      </c>
    </row>
    <row r="153" spans="1:19" x14ac:dyDescent="0.25">
      <c r="A153" s="5" t="s">
        <v>22</v>
      </c>
      <c r="B153" s="5" t="s">
        <v>63</v>
      </c>
      <c r="C153" s="5" t="s">
        <v>27</v>
      </c>
      <c r="D153" s="5" t="s">
        <v>385</v>
      </c>
      <c r="E153" s="5" t="s">
        <v>384</v>
      </c>
      <c r="F153" s="5" t="s">
        <v>45</v>
      </c>
      <c r="G153" s="5" t="s">
        <v>390</v>
      </c>
      <c r="H153" s="5" t="s">
        <v>74</v>
      </c>
      <c r="I153" s="5" t="s">
        <v>24</v>
      </c>
      <c r="J153" s="15">
        <v>1200</v>
      </c>
      <c r="K153" s="7">
        <v>33</v>
      </c>
      <c r="L153" s="7">
        <f t="shared" si="12"/>
        <v>36.363636363636367</v>
      </c>
      <c r="M153" s="5" t="s">
        <v>9</v>
      </c>
      <c r="N153" s="5">
        <v>4</v>
      </c>
      <c r="O153" s="6">
        <f t="shared" si="13"/>
        <v>0.99173553719008278</v>
      </c>
      <c r="P153" s="6">
        <f t="shared" si="14"/>
        <v>0.10314049586776862</v>
      </c>
      <c r="Q153" s="10">
        <f t="shared" si="15"/>
        <v>2.1487603305785125E-3</v>
      </c>
      <c r="R153" s="10">
        <f t="shared" si="16"/>
        <v>1.5801344117068697E-2</v>
      </c>
      <c r="S153" s="10">
        <f t="shared" si="17"/>
        <v>1.7950104447647209E-2</v>
      </c>
    </row>
    <row r="154" spans="1:19" x14ac:dyDescent="0.25">
      <c r="J154" s="16">
        <f t="shared" ref="J154:S154" si="18">AVERAGE(J2:J153)</f>
        <v>2269.4144736842104</v>
      </c>
      <c r="K154" s="12">
        <f t="shared" si="18"/>
        <v>34.052631578947377</v>
      </c>
      <c r="L154" s="12">
        <f t="shared" si="18"/>
        <v>68.081123465045223</v>
      </c>
      <c r="M154" s="16" t="e">
        <f t="shared" si="18"/>
        <v>#DIV/0!</v>
      </c>
      <c r="N154" s="16">
        <f t="shared" si="18"/>
        <v>4</v>
      </c>
      <c r="O154" s="13">
        <f t="shared" si="18"/>
        <v>10.747989061896414</v>
      </c>
      <c r="P154" s="13">
        <f t="shared" si="18"/>
        <v>1.1177908624372268</v>
      </c>
      <c r="Q154" s="14">
        <f t="shared" si="18"/>
        <v>2.3287309634108889E-2</v>
      </c>
      <c r="R154" s="14">
        <f t="shared" si="18"/>
        <v>8.1522010701454012E-2</v>
      </c>
      <c r="S154" s="14">
        <f t="shared" si="18"/>
        <v>0.10480932033556287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9"/>
  <sheetViews>
    <sheetView topLeftCell="G1" workbookViewId="0">
      <pane ySplit="1" topLeftCell="A173" activePane="bottomLeft" state="frozen"/>
      <selection pane="bottomLeft" activeCell="L184" sqref="L184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905</v>
      </c>
      <c r="K2" s="7">
        <v>17.5</v>
      </c>
      <c r="L2" s="7">
        <f t="shared" ref="L2:L12" si="0">J2/K2</f>
        <v>51.714285714285715</v>
      </c>
      <c r="M2" s="5" t="s">
        <v>10</v>
      </c>
      <c r="N2" s="5">
        <v>4</v>
      </c>
      <c r="O2" s="6">
        <f t="shared" ref="O2:O12" si="1">(J2*L2^2)/(1.6*10^6)</f>
        <v>1.5126890306122449</v>
      </c>
      <c r="P2" s="6">
        <f t="shared" ref="P2:P12" si="2">(0.104*J2*L2^2)/(1.6*10^6)</f>
        <v>0.15731965918367344</v>
      </c>
      <c r="Q2" s="10">
        <f t="shared" ref="Q2:Q12" si="3">(0.104*O2)/(12*N2)</f>
        <v>3.2774928996598639E-3</v>
      </c>
      <c r="R2" s="10">
        <f t="shared" ref="R2:R12" si="4">0.0159*O2^0.75</f>
        <v>2.16874937766043E-2</v>
      </c>
      <c r="S2" s="10">
        <f t="shared" ref="S2:S12" si="5">Q2+R2</f>
        <v>2.4964986676264164E-2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1000</v>
      </c>
      <c r="K3" s="7">
        <v>18</v>
      </c>
      <c r="L3" s="7">
        <f t="shared" si="0"/>
        <v>55.555555555555557</v>
      </c>
      <c r="M3" s="5" t="s">
        <v>10</v>
      </c>
      <c r="N3" s="5">
        <v>4</v>
      </c>
      <c r="O3" s="6">
        <f t="shared" si="1"/>
        <v>1.9290123456790123</v>
      </c>
      <c r="P3" s="6">
        <f t="shared" si="2"/>
        <v>0.20061728395061729</v>
      </c>
      <c r="Q3" s="10">
        <f t="shared" si="3"/>
        <v>4.1795267489711926E-3</v>
      </c>
      <c r="R3" s="10">
        <f t="shared" si="4"/>
        <v>2.602545791867154E-2</v>
      </c>
      <c r="S3" s="10">
        <f t="shared" si="5"/>
        <v>3.0204984667642733E-2</v>
      </c>
    </row>
    <row r="4" spans="1:19" x14ac:dyDescent="0.25">
      <c r="A4" s="5" t="s">
        <v>8</v>
      </c>
      <c r="B4" s="5" t="s">
        <v>322</v>
      </c>
      <c r="C4" s="5" t="s">
        <v>27</v>
      </c>
      <c r="D4" s="5" t="s">
        <v>389</v>
      </c>
      <c r="E4" s="5" t="s">
        <v>388</v>
      </c>
      <c r="F4" s="5" t="s">
        <v>135</v>
      </c>
      <c r="G4" s="5" t="s">
        <v>407</v>
      </c>
      <c r="H4" s="5" t="s">
        <v>29</v>
      </c>
      <c r="I4" s="5" t="s">
        <v>13</v>
      </c>
      <c r="J4" s="15">
        <v>1100</v>
      </c>
      <c r="K4" s="7">
        <v>34</v>
      </c>
      <c r="L4" s="7">
        <f t="shared" si="0"/>
        <v>32.352941176470587</v>
      </c>
      <c r="M4" s="5" t="s">
        <v>10</v>
      </c>
      <c r="N4" s="5">
        <v>4</v>
      </c>
      <c r="O4" s="6">
        <f t="shared" si="1"/>
        <v>0.71961505190311426</v>
      </c>
      <c r="P4" s="6">
        <f t="shared" si="2"/>
        <v>7.4839965397923869E-2</v>
      </c>
      <c r="Q4" s="10">
        <f t="shared" si="3"/>
        <v>1.559165945790081E-3</v>
      </c>
      <c r="R4" s="10">
        <f t="shared" si="4"/>
        <v>1.2422880378669576E-2</v>
      </c>
      <c r="S4" s="10">
        <f t="shared" si="5"/>
        <v>1.3982046324459657E-2</v>
      </c>
    </row>
    <row r="5" spans="1:19" x14ac:dyDescent="0.25">
      <c r="A5" s="5" t="s">
        <v>22</v>
      </c>
      <c r="B5" s="5" t="s">
        <v>63</v>
      </c>
      <c r="C5" s="5" t="s">
        <v>27</v>
      </c>
      <c r="D5" s="5" t="s">
        <v>389</v>
      </c>
      <c r="E5" s="5" t="s">
        <v>388</v>
      </c>
      <c r="F5" s="5" t="s">
        <v>28</v>
      </c>
      <c r="G5" s="5" t="s">
        <v>398</v>
      </c>
      <c r="H5" s="5" t="s">
        <v>133</v>
      </c>
      <c r="I5" s="5" t="s">
        <v>134</v>
      </c>
      <c r="J5" s="15">
        <v>1075</v>
      </c>
      <c r="K5" s="7">
        <v>42</v>
      </c>
      <c r="L5" s="7">
        <f t="shared" si="0"/>
        <v>25.595238095238095</v>
      </c>
      <c r="M5" s="5" t="s">
        <v>10</v>
      </c>
      <c r="N5" s="5">
        <v>4</v>
      </c>
      <c r="O5" s="6">
        <f t="shared" si="1"/>
        <v>0.44015620571145125</v>
      </c>
      <c r="P5" s="6">
        <f t="shared" si="2"/>
        <v>4.577624539399093E-2</v>
      </c>
      <c r="Q5" s="10">
        <f t="shared" si="3"/>
        <v>9.5367177904147771E-4</v>
      </c>
      <c r="R5" s="10">
        <f t="shared" si="4"/>
        <v>8.5921578355539034E-3</v>
      </c>
      <c r="S5" s="10">
        <f t="shared" si="5"/>
        <v>9.5458296145953803E-3</v>
      </c>
    </row>
    <row r="6" spans="1:19" x14ac:dyDescent="0.25">
      <c r="A6" s="5" t="s">
        <v>22</v>
      </c>
      <c r="B6" s="5" t="s">
        <v>63</v>
      </c>
      <c r="C6" s="5" t="s">
        <v>27</v>
      </c>
      <c r="D6" s="5" t="s">
        <v>389</v>
      </c>
      <c r="E6" s="5" t="s">
        <v>388</v>
      </c>
      <c r="F6" s="5" t="s">
        <v>28</v>
      </c>
      <c r="G6" s="5" t="s">
        <v>398</v>
      </c>
      <c r="H6" s="5" t="s">
        <v>133</v>
      </c>
      <c r="I6" s="5" t="s">
        <v>25</v>
      </c>
      <c r="J6" s="15">
        <v>2100</v>
      </c>
      <c r="K6" s="7">
        <v>49</v>
      </c>
      <c r="L6" s="7">
        <f t="shared" si="0"/>
        <v>42.857142857142854</v>
      </c>
      <c r="M6" s="5" t="s">
        <v>10</v>
      </c>
      <c r="N6" s="5">
        <v>4</v>
      </c>
      <c r="O6" s="6">
        <f t="shared" si="1"/>
        <v>2.4107142857142856</v>
      </c>
      <c r="P6" s="6">
        <f t="shared" si="2"/>
        <v>0.25071428571428567</v>
      </c>
      <c r="Q6" s="10">
        <f t="shared" si="3"/>
        <v>5.223214285714285E-3</v>
      </c>
      <c r="R6" s="10">
        <f t="shared" si="4"/>
        <v>3.0761423617006903E-2</v>
      </c>
      <c r="S6" s="10">
        <f t="shared" si="5"/>
        <v>3.5984637902721189E-2</v>
      </c>
    </row>
    <row r="7" spans="1:19" x14ac:dyDescent="0.25">
      <c r="A7" s="5" t="s">
        <v>22</v>
      </c>
      <c r="B7" s="5" t="s">
        <v>63</v>
      </c>
      <c r="C7" s="5" t="s">
        <v>27</v>
      </c>
      <c r="D7" s="5" t="s">
        <v>389</v>
      </c>
      <c r="E7" s="5" t="s">
        <v>396</v>
      </c>
      <c r="F7" s="5" t="s">
        <v>136</v>
      </c>
      <c r="G7" s="5" t="s">
        <v>399</v>
      </c>
      <c r="H7" s="5" t="s">
        <v>137</v>
      </c>
      <c r="I7" s="5" t="s">
        <v>138</v>
      </c>
      <c r="J7" s="15">
        <v>1110</v>
      </c>
      <c r="K7" s="7">
        <v>29</v>
      </c>
      <c r="L7" s="7">
        <f t="shared" si="0"/>
        <v>38.275862068965516</v>
      </c>
      <c r="M7" s="5" t="s">
        <v>10</v>
      </c>
      <c r="N7" s="5">
        <v>4</v>
      </c>
      <c r="O7" s="6">
        <f t="shared" si="1"/>
        <v>1.0163726218787157</v>
      </c>
      <c r="P7" s="6">
        <f t="shared" si="2"/>
        <v>0.10570275267538644</v>
      </c>
      <c r="Q7" s="10">
        <f t="shared" si="3"/>
        <v>2.202140680737217E-3</v>
      </c>
      <c r="R7" s="10">
        <f t="shared" si="4"/>
        <v>1.609484663594286E-2</v>
      </c>
      <c r="S7" s="10">
        <f t="shared" si="5"/>
        <v>1.8296987316680079E-2</v>
      </c>
    </row>
    <row r="8" spans="1:19" x14ac:dyDescent="0.25">
      <c r="A8" s="5" t="s">
        <v>22</v>
      </c>
      <c r="B8" s="5" t="s">
        <v>63</v>
      </c>
      <c r="C8" s="5" t="s">
        <v>27</v>
      </c>
      <c r="D8" s="5" t="s">
        <v>389</v>
      </c>
      <c r="E8" s="5" t="s">
        <v>396</v>
      </c>
      <c r="F8" s="5" t="s">
        <v>136</v>
      </c>
      <c r="G8" s="5" t="s">
        <v>399</v>
      </c>
      <c r="H8" s="5" t="s">
        <v>139</v>
      </c>
      <c r="I8" s="5" t="s">
        <v>17</v>
      </c>
      <c r="J8" s="15">
        <v>935</v>
      </c>
      <c r="K8" s="7">
        <v>26</v>
      </c>
      <c r="L8" s="7">
        <f t="shared" si="0"/>
        <v>35.96153846153846</v>
      </c>
      <c r="M8" s="5" t="s">
        <v>10</v>
      </c>
      <c r="N8" s="5">
        <v>4</v>
      </c>
      <c r="O8" s="6">
        <f t="shared" si="1"/>
        <v>0.75573259522928993</v>
      </c>
      <c r="P8" s="6">
        <f t="shared" si="2"/>
        <v>7.8596189903846134E-2</v>
      </c>
      <c r="Q8" s="10">
        <f t="shared" si="3"/>
        <v>1.6374206229967947E-3</v>
      </c>
      <c r="R8" s="10">
        <f t="shared" si="4"/>
        <v>1.2887635362542798E-2</v>
      </c>
      <c r="S8" s="10">
        <f t="shared" si="5"/>
        <v>1.4525055985539593E-2</v>
      </c>
    </row>
    <row r="9" spans="1:19" x14ac:dyDescent="0.25">
      <c r="A9" s="5" t="s">
        <v>8</v>
      </c>
      <c r="B9" s="5" t="s">
        <v>224</v>
      </c>
      <c r="C9" s="5" t="s">
        <v>27</v>
      </c>
      <c r="D9" s="5" t="s">
        <v>389</v>
      </c>
      <c r="E9" s="5" t="s">
        <v>396</v>
      </c>
      <c r="F9" s="5" t="s">
        <v>136</v>
      </c>
      <c r="G9" s="5" t="s">
        <v>399</v>
      </c>
      <c r="H9" s="5" t="s">
        <v>139</v>
      </c>
      <c r="I9" s="5" t="s">
        <v>17</v>
      </c>
      <c r="J9" s="15">
        <v>800</v>
      </c>
      <c r="K9" s="7">
        <v>25.3</v>
      </c>
      <c r="L9" s="7">
        <f t="shared" si="0"/>
        <v>31.620553359683793</v>
      </c>
      <c r="M9" s="5" t="s">
        <v>10</v>
      </c>
      <c r="N9" s="5">
        <v>4</v>
      </c>
      <c r="O9" s="6">
        <f t="shared" si="1"/>
        <v>0.49992969738630499</v>
      </c>
      <c r="P9" s="6">
        <f t="shared" si="2"/>
        <v>5.1992688528175721E-2</v>
      </c>
      <c r="Q9" s="10">
        <f t="shared" si="3"/>
        <v>1.0831810110036608E-3</v>
      </c>
      <c r="R9" s="10">
        <f t="shared" si="4"/>
        <v>9.4531995646547125E-3</v>
      </c>
      <c r="S9" s="10">
        <f t="shared" si="5"/>
        <v>1.0536380575658373E-2</v>
      </c>
    </row>
    <row r="10" spans="1:19" x14ac:dyDescent="0.25">
      <c r="A10" s="5" t="s">
        <v>22</v>
      </c>
      <c r="B10" s="5" t="s">
        <v>63</v>
      </c>
      <c r="C10" s="5" t="s">
        <v>27</v>
      </c>
      <c r="D10" s="5" t="s">
        <v>389</v>
      </c>
      <c r="E10" s="5" t="s">
        <v>396</v>
      </c>
      <c r="F10" s="5" t="s">
        <v>136</v>
      </c>
      <c r="G10" s="5" t="s">
        <v>399</v>
      </c>
      <c r="H10" s="5" t="s">
        <v>139</v>
      </c>
      <c r="I10" s="5" t="s">
        <v>140</v>
      </c>
      <c r="J10" s="15">
        <v>940</v>
      </c>
      <c r="K10" s="7">
        <v>26.5</v>
      </c>
      <c r="L10" s="7">
        <f t="shared" si="0"/>
        <v>35.471698113207545</v>
      </c>
      <c r="M10" s="5" t="s">
        <v>10</v>
      </c>
      <c r="N10" s="5">
        <v>4</v>
      </c>
      <c r="O10" s="6">
        <f t="shared" si="1"/>
        <v>0.73921680313278748</v>
      </c>
      <c r="P10" s="6">
        <f t="shared" si="2"/>
        <v>7.6878547525809887E-2</v>
      </c>
      <c r="Q10" s="10">
        <f t="shared" si="3"/>
        <v>1.6016364067877062E-3</v>
      </c>
      <c r="R10" s="10">
        <f t="shared" si="4"/>
        <v>1.2675818060723713E-2</v>
      </c>
      <c r="S10" s="10">
        <f t="shared" si="5"/>
        <v>1.4277454467511419E-2</v>
      </c>
    </row>
    <row r="11" spans="1:19" x14ac:dyDescent="0.25">
      <c r="A11" s="5" t="s">
        <v>8</v>
      </c>
      <c r="B11" s="5" t="s">
        <v>224</v>
      </c>
      <c r="C11" s="5" t="s">
        <v>27</v>
      </c>
      <c r="D11" s="5" t="s">
        <v>389</v>
      </c>
      <c r="E11" s="5" t="s">
        <v>396</v>
      </c>
      <c r="F11" s="5" t="s">
        <v>136</v>
      </c>
      <c r="G11" s="5" t="s">
        <v>399</v>
      </c>
      <c r="H11" s="5" t="s">
        <v>139</v>
      </c>
      <c r="I11" s="5" t="s">
        <v>140</v>
      </c>
      <c r="J11" s="15">
        <v>970</v>
      </c>
      <c r="K11" s="7">
        <v>26.7</v>
      </c>
      <c r="L11" s="7">
        <f t="shared" si="0"/>
        <v>36.329588014981276</v>
      </c>
      <c r="M11" s="5" t="s">
        <v>10</v>
      </c>
      <c r="N11" s="5">
        <v>4</v>
      </c>
      <c r="O11" s="6">
        <f t="shared" si="1"/>
        <v>0.80015237273632689</v>
      </c>
      <c r="P11" s="6">
        <f t="shared" si="2"/>
        <v>8.3215846764577994E-2</v>
      </c>
      <c r="Q11" s="10">
        <f t="shared" si="3"/>
        <v>1.7336634742620416E-3</v>
      </c>
      <c r="R11" s="10">
        <f t="shared" si="4"/>
        <v>1.3451683716266281E-2</v>
      </c>
      <c r="S11" s="10">
        <f t="shared" si="5"/>
        <v>1.5185347190528322E-2</v>
      </c>
    </row>
    <row r="12" spans="1:19" x14ac:dyDescent="0.25">
      <c r="A12" s="5" t="s">
        <v>8</v>
      </c>
      <c r="B12" s="5" t="s">
        <v>224</v>
      </c>
      <c r="C12" s="5" t="s">
        <v>27</v>
      </c>
      <c r="D12" s="5" t="s">
        <v>389</v>
      </c>
      <c r="E12" s="5" t="s">
        <v>396</v>
      </c>
      <c r="F12" s="5" t="s">
        <v>136</v>
      </c>
      <c r="G12" s="5" t="s">
        <v>399</v>
      </c>
      <c r="H12" s="5" t="s">
        <v>139</v>
      </c>
      <c r="I12" s="5" t="s">
        <v>225</v>
      </c>
      <c r="J12" s="15">
        <v>820</v>
      </c>
      <c r="K12" s="7">
        <v>19.8</v>
      </c>
      <c r="L12" s="7">
        <f t="shared" si="0"/>
        <v>41.414141414141412</v>
      </c>
      <c r="M12" s="5" t="s">
        <v>10</v>
      </c>
      <c r="N12" s="5">
        <v>4</v>
      </c>
      <c r="O12" s="6">
        <f t="shared" si="1"/>
        <v>0.87900469339863263</v>
      </c>
      <c r="P12" s="6">
        <f t="shared" si="2"/>
        <v>9.1416488113457803E-2</v>
      </c>
      <c r="Q12" s="10">
        <f t="shared" si="3"/>
        <v>1.9045101690303705E-3</v>
      </c>
      <c r="R12" s="10">
        <f t="shared" si="4"/>
        <v>1.4434126921592894E-2</v>
      </c>
      <c r="S12" s="10">
        <f t="shared" si="5"/>
        <v>1.6338637090623265E-2</v>
      </c>
    </row>
    <row r="13" spans="1:19" x14ac:dyDescent="0.25">
      <c r="A13" s="5" t="s">
        <v>8</v>
      </c>
      <c r="B13" s="5" t="s">
        <v>277</v>
      </c>
      <c r="C13" s="5" t="s">
        <v>27</v>
      </c>
      <c r="D13" s="5" t="s">
        <v>385</v>
      </c>
      <c r="E13" s="5" t="s">
        <v>387</v>
      </c>
      <c r="F13" s="5" t="s">
        <v>52</v>
      </c>
      <c r="G13" s="5" t="s">
        <v>386</v>
      </c>
      <c r="H13" s="5" t="s">
        <v>58</v>
      </c>
      <c r="I13" s="5" t="s">
        <v>278</v>
      </c>
      <c r="J13" s="15">
        <v>1640</v>
      </c>
      <c r="K13" s="7">
        <v>30.3</v>
      </c>
      <c r="L13" s="7">
        <f t="shared" ref="L13:L75" si="6">J13/K13</f>
        <v>54.125412541254121</v>
      </c>
      <c r="M13" s="5" t="s">
        <v>10</v>
      </c>
      <c r="N13" s="5">
        <v>4</v>
      </c>
      <c r="O13" s="6">
        <f t="shared" ref="O13:O75" si="7">(J13*L13^2)/(1.6*10^6)</f>
        <v>3.0027992898299734</v>
      </c>
      <c r="P13" s="6">
        <f t="shared" ref="P13:P75" si="8">(0.104*J13*L13^2)/(1.6*10^6)</f>
        <v>0.31229112614231719</v>
      </c>
      <c r="Q13" s="10">
        <f t="shared" ref="Q13:Q75" si="9">(0.104*O13)/(12*N13)</f>
        <v>6.5060651279649417E-3</v>
      </c>
      <c r="R13" s="10">
        <f t="shared" ref="R13:R75" si="10">0.0159*O13^0.75</f>
        <v>3.6269523726956437E-2</v>
      </c>
      <c r="S13" s="10">
        <f t="shared" ref="S13:S75" si="11">Q13+R13</f>
        <v>4.277558885492138E-2</v>
      </c>
    </row>
    <row r="14" spans="1:19" x14ac:dyDescent="0.25">
      <c r="A14" s="5" t="s">
        <v>8</v>
      </c>
      <c r="B14" s="5" t="s">
        <v>291</v>
      </c>
      <c r="C14" s="5" t="s">
        <v>27</v>
      </c>
      <c r="D14" s="5" t="s">
        <v>385</v>
      </c>
      <c r="E14" s="5" t="s">
        <v>387</v>
      </c>
      <c r="F14" s="5" t="s">
        <v>52</v>
      </c>
      <c r="G14" s="5" t="s">
        <v>386</v>
      </c>
      <c r="H14" s="5" t="s">
        <v>58</v>
      </c>
      <c r="I14" s="5" t="s">
        <v>278</v>
      </c>
      <c r="J14" s="15">
        <v>1650</v>
      </c>
      <c r="K14" s="7">
        <v>31</v>
      </c>
      <c r="L14" s="7">
        <f t="shared" si="6"/>
        <v>53.225806451612904</v>
      </c>
      <c r="M14" s="5" t="s">
        <v>10</v>
      </c>
      <c r="N14" s="5">
        <v>4</v>
      </c>
      <c r="O14" s="6">
        <f t="shared" si="7"/>
        <v>2.9215172996878254</v>
      </c>
      <c r="P14" s="6">
        <f t="shared" si="8"/>
        <v>0.30383779916753384</v>
      </c>
      <c r="Q14" s="10">
        <f t="shared" si="9"/>
        <v>6.3299541493236217E-3</v>
      </c>
      <c r="R14" s="10">
        <f t="shared" si="10"/>
        <v>3.5530676056027069E-2</v>
      </c>
      <c r="S14" s="10">
        <f t="shared" si="11"/>
        <v>4.1860630205350691E-2</v>
      </c>
    </row>
    <row r="15" spans="1:19" x14ac:dyDescent="0.25">
      <c r="A15" s="5" t="s">
        <v>8</v>
      </c>
      <c r="B15" s="5" t="s">
        <v>291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257</v>
      </c>
      <c r="J15" s="15">
        <v>3850</v>
      </c>
      <c r="K15" s="7">
        <v>49</v>
      </c>
      <c r="L15" s="7">
        <f t="shared" si="6"/>
        <v>78.571428571428569</v>
      </c>
      <c r="M15" s="5" t="s">
        <v>10</v>
      </c>
      <c r="N15" s="5">
        <v>4</v>
      </c>
      <c r="O15" s="6">
        <f t="shared" si="7"/>
        <v>14.854910714285714</v>
      </c>
      <c r="P15" s="6">
        <f t="shared" si="8"/>
        <v>1.5449107142857141</v>
      </c>
      <c r="Q15" s="10">
        <f t="shared" si="9"/>
        <v>3.2185639880952376E-2</v>
      </c>
      <c r="R15" s="10">
        <f t="shared" si="10"/>
        <v>0.12030942708411221</v>
      </c>
      <c r="S15" s="10">
        <f t="shared" si="11"/>
        <v>0.1524950669650646</v>
      </c>
    </row>
    <row r="16" spans="1:19" x14ac:dyDescent="0.25">
      <c r="A16" s="5" t="s">
        <v>8</v>
      </c>
      <c r="B16" s="5" t="s">
        <v>291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292</v>
      </c>
      <c r="J16" s="15">
        <v>2300</v>
      </c>
      <c r="K16" s="7">
        <v>32.5</v>
      </c>
      <c r="L16" s="7">
        <f t="shared" si="6"/>
        <v>70.769230769230774</v>
      </c>
      <c r="M16" s="5" t="s">
        <v>10</v>
      </c>
      <c r="N16" s="5">
        <v>4</v>
      </c>
      <c r="O16" s="6">
        <f t="shared" si="7"/>
        <v>7.1994082840236695</v>
      </c>
      <c r="P16" s="6">
        <f t="shared" si="8"/>
        <v>0.74873846153846157</v>
      </c>
      <c r="Q16" s="10">
        <f t="shared" si="9"/>
        <v>1.5598717948717949E-2</v>
      </c>
      <c r="R16" s="10">
        <f t="shared" si="10"/>
        <v>6.9882708172427616E-2</v>
      </c>
      <c r="S16" s="10">
        <f t="shared" si="11"/>
        <v>8.5481426121145565E-2</v>
      </c>
    </row>
    <row r="17" spans="1:19" x14ac:dyDescent="0.25">
      <c r="A17" s="5" t="s">
        <v>8</v>
      </c>
      <c r="B17" s="5" t="s">
        <v>319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320</v>
      </c>
      <c r="J17" s="15">
        <v>2815</v>
      </c>
      <c r="K17" s="7">
        <v>31.3</v>
      </c>
      <c r="L17" s="7">
        <f t="shared" si="6"/>
        <v>89.936102236421718</v>
      </c>
      <c r="M17" s="5" t="s">
        <v>10</v>
      </c>
      <c r="N17" s="5">
        <v>4</v>
      </c>
      <c r="O17" s="6">
        <f t="shared" si="7"/>
        <v>14.23070906039155</v>
      </c>
      <c r="P17" s="6">
        <f t="shared" si="8"/>
        <v>1.4799937422807212</v>
      </c>
      <c r="Q17" s="10">
        <f t="shared" si="9"/>
        <v>3.0833202964181693E-2</v>
      </c>
      <c r="R17" s="10">
        <f t="shared" si="10"/>
        <v>0.11649761361336987</v>
      </c>
      <c r="S17" s="10">
        <f t="shared" si="11"/>
        <v>0.14733081657755157</v>
      </c>
    </row>
    <row r="18" spans="1:19" x14ac:dyDescent="0.25">
      <c r="A18" s="5" t="s">
        <v>22</v>
      </c>
      <c r="B18" s="5" t="s">
        <v>26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59</v>
      </c>
      <c r="J18" s="15">
        <v>1800</v>
      </c>
      <c r="K18" s="7">
        <v>32</v>
      </c>
      <c r="L18" s="7">
        <f t="shared" si="6"/>
        <v>56.25</v>
      </c>
      <c r="M18" s="5" t="s">
        <v>10</v>
      </c>
      <c r="N18" s="5">
        <v>4</v>
      </c>
      <c r="O18" s="6">
        <f t="shared" si="7"/>
        <v>3.5595703125</v>
      </c>
      <c r="P18" s="6">
        <f t="shared" si="8"/>
        <v>0.37019531249999998</v>
      </c>
      <c r="Q18" s="10">
        <f t="shared" si="9"/>
        <v>7.71240234375E-3</v>
      </c>
      <c r="R18" s="10">
        <f t="shared" si="10"/>
        <v>4.1204562411128992E-2</v>
      </c>
      <c r="S18" s="10">
        <f t="shared" si="11"/>
        <v>4.8916964754878993E-2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59</v>
      </c>
      <c r="J19" s="15">
        <v>1800</v>
      </c>
      <c r="K19" s="7">
        <v>32</v>
      </c>
      <c r="L19" s="7">
        <f t="shared" si="6"/>
        <v>56.25</v>
      </c>
      <c r="M19" s="5" t="s">
        <v>10</v>
      </c>
      <c r="N19" s="5">
        <v>4</v>
      </c>
      <c r="O19" s="6">
        <f t="shared" si="7"/>
        <v>3.5595703125</v>
      </c>
      <c r="P19" s="6">
        <f t="shared" si="8"/>
        <v>0.37019531249999998</v>
      </c>
      <c r="Q19" s="10">
        <f t="shared" si="9"/>
        <v>7.71240234375E-3</v>
      </c>
      <c r="R19" s="10">
        <f t="shared" si="10"/>
        <v>4.1204562411128992E-2</v>
      </c>
      <c r="S19" s="10">
        <f t="shared" si="11"/>
        <v>4.8916964754878993E-2</v>
      </c>
    </row>
    <row r="20" spans="1:19" x14ac:dyDescent="0.25">
      <c r="A20" s="5" t="s">
        <v>8</v>
      </c>
      <c r="B20" s="5" t="s">
        <v>291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59</v>
      </c>
      <c r="J20" s="15">
        <v>1700</v>
      </c>
      <c r="K20" s="7">
        <v>28</v>
      </c>
      <c r="L20" s="7">
        <f t="shared" si="6"/>
        <v>60.714285714285715</v>
      </c>
      <c r="M20" s="5" t="s">
        <v>10</v>
      </c>
      <c r="N20" s="5">
        <v>4</v>
      </c>
      <c r="O20" s="6">
        <f t="shared" si="7"/>
        <v>3.9166135204081631</v>
      </c>
      <c r="P20" s="6">
        <f t="shared" si="8"/>
        <v>0.40732780612244895</v>
      </c>
      <c r="Q20" s="10">
        <f t="shared" si="9"/>
        <v>8.4859959608843526E-3</v>
      </c>
      <c r="R20" s="10">
        <f t="shared" si="10"/>
        <v>4.4267007423098879E-2</v>
      </c>
      <c r="S20" s="10">
        <f t="shared" si="11"/>
        <v>5.2753003383983234E-2</v>
      </c>
    </row>
    <row r="21" spans="1:19" x14ac:dyDescent="0.25">
      <c r="A21" s="5" t="s">
        <v>8</v>
      </c>
      <c r="B21" s="5" t="s">
        <v>291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59</v>
      </c>
      <c r="J21" s="15">
        <v>1750</v>
      </c>
      <c r="K21" s="7">
        <v>22</v>
      </c>
      <c r="L21" s="7">
        <f t="shared" si="6"/>
        <v>79.545454545454547</v>
      </c>
      <c r="M21" s="5" t="s">
        <v>10</v>
      </c>
      <c r="N21" s="5">
        <v>4</v>
      </c>
      <c r="O21" s="6">
        <f t="shared" si="7"/>
        <v>6.9206805268595044</v>
      </c>
      <c r="P21" s="6">
        <f t="shared" si="8"/>
        <v>0.71975077479338845</v>
      </c>
      <c r="Q21" s="10">
        <f t="shared" si="9"/>
        <v>1.4994807808195593E-2</v>
      </c>
      <c r="R21" s="10">
        <f t="shared" si="10"/>
        <v>6.7843575117162297E-2</v>
      </c>
      <c r="S21" s="10">
        <f t="shared" si="11"/>
        <v>8.283838292535789E-2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59</v>
      </c>
      <c r="J22" s="15">
        <v>1850</v>
      </c>
      <c r="K22" s="7">
        <v>29.5</v>
      </c>
      <c r="L22" s="7">
        <f t="shared" si="6"/>
        <v>62.711864406779661</v>
      </c>
      <c r="M22" s="5" t="s">
        <v>10</v>
      </c>
      <c r="N22" s="5">
        <v>4</v>
      </c>
      <c r="O22" s="6">
        <f t="shared" si="7"/>
        <v>4.5472744900890554</v>
      </c>
      <c r="P22" s="6">
        <f t="shared" si="8"/>
        <v>0.47291654696926166</v>
      </c>
      <c r="Q22" s="10">
        <f t="shared" si="9"/>
        <v>9.8524280618596197E-3</v>
      </c>
      <c r="R22" s="10">
        <f t="shared" si="10"/>
        <v>4.9512003714677087E-2</v>
      </c>
      <c r="S22" s="10">
        <f t="shared" si="11"/>
        <v>5.9364431776536705E-2</v>
      </c>
    </row>
    <row r="23" spans="1:19" x14ac:dyDescent="0.25">
      <c r="A23" s="5" t="s">
        <v>8</v>
      </c>
      <c r="B23" s="5" t="s">
        <v>319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59</v>
      </c>
      <c r="J23" s="15">
        <v>1870</v>
      </c>
      <c r="K23" s="7">
        <v>29.2</v>
      </c>
      <c r="L23" s="7">
        <f t="shared" si="6"/>
        <v>64.041095890410958</v>
      </c>
      <c r="M23" s="5" t="s">
        <v>10</v>
      </c>
      <c r="N23" s="5">
        <v>4</v>
      </c>
      <c r="O23" s="6">
        <f t="shared" si="7"/>
        <v>4.7933499190748732</v>
      </c>
      <c r="P23" s="6">
        <f t="shared" si="8"/>
        <v>0.49850839158378674</v>
      </c>
      <c r="Q23" s="10">
        <f t="shared" si="9"/>
        <v>1.0385591491328892E-2</v>
      </c>
      <c r="R23" s="10">
        <f t="shared" si="10"/>
        <v>5.1508212041113E-2</v>
      </c>
      <c r="S23" s="10">
        <f t="shared" si="11"/>
        <v>6.1893803532441893E-2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293</v>
      </c>
      <c r="J24" s="15">
        <v>2500</v>
      </c>
      <c r="K24" s="7">
        <v>32.5</v>
      </c>
      <c r="L24" s="7">
        <f t="shared" si="6"/>
        <v>76.92307692307692</v>
      </c>
      <c r="M24" s="5" t="s">
        <v>10</v>
      </c>
      <c r="N24" s="5">
        <v>4</v>
      </c>
      <c r="O24" s="6">
        <f t="shared" si="7"/>
        <v>9.2455621301775128</v>
      </c>
      <c r="P24" s="6">
        <f t="shared" si="8"/>
        <v>0.96153846153846145</v>
      </c>
      <c r="Q24" s="10">
        <f t="shared" si="9"/>
        <v>2.0032051282051277E-2</v>
      </c>
      <c r="R24" s="10">
        <f t="shared" si="10"/>
        <v>8.4303793099258367E-2</v>
      </c>
      <c r="S24" s="10">
        <f t="shared" si="11"/>
        <v>0.10433584438130965</v>
      </c>
    </row>
    <row r="25" spans="1:19" x14ac:dyDescent="0.25">
      <c r="A25" s="5" t="s">
        <v>8</v>
      </c>
      <c r="B25" s="5" t="s">
        <v>311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293</v>
      </c>
      <c r="J25" s="15">
        <v>2700</v>
      </c>
      <c r="K25" s="7">
        <v>34</v>
      </c>
      <c r="L25" s="7">
        <f t="shared" si="6"/>
        <v>79.411764705882348</v>
      </c>
      <c r="M25" s="5" t="s">
        <v>10</v>
      </c>
      <c r="N25" s="5">
        <v>4</v>
      </c>
      <c r="O25" s="6">
        <f t="shared" si="7"/>
        <v>10.641760380622838</v>
      </c>
      <c r="P25" s="6">
        <f t="shared" si="8"/>
        <v>1.106743079584775</v>
      </c>
      <c r="Q25" s="10">
        <f t="shared" si="9"/>
        <v>2.3057147491349479E-2</v>
      </c>
      <c r="R25" s="10">
        <f t="shared" si="10"/>
        <v>9.3682232382394676E-2</v>
      </c>
      <c r="S25" s="10">
        <f t="shared" si="11"/>
        <v>0.11673937987374415</v>
      </c>
    </row>
    <row r="26" spans="1:19" x14ac:dyDescent="0.25">
      <c r="A26" s="5" t="s">
        <v>8</v>
      </c>
      <c r="B26" s="5" t="s">
        <v>291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294</v>
      </c>
      <c r="J26" s="15">
        <v>1800</v>
      </c>
      <c r="K26" s="7">
        <v>30</v>
      </c>
      <c r="L26" s="7">
        <f t="shared" si="6"/>
        <v>60</v>
      </c>
      <c r="M26" s="5" t="s">
        <v>10</v>
      </c>
      <c r="N26" s="5">
        <v>4</v>
      </c>
      <c r="O26" s="6">
        <f t="shared" si="7"/>
        <v>4.05</v>
      </c>
      <c r="P26" s="6">
        <f t="shared" si="8"/>
        <v>0.42120000000000002</v>
      </c>
      <c r="Q26" s="10">
        <f t="shared" si="9"/>
        <v>8.7749999999999998E-3</v>
      </c>
      <c r="R26" s="10">
        <f t="shared" si="10"/>
        <v>4.5392948339503428E-2</v>
      </c>
      <c r="S26" s="10">
        <f t="shared" si="11"/>
        <v>5.4167948339503426E-2</v>
      </c>
    </row>
    <row r="27" spans="1:19" x14ac:dyDescent="0.25">
      <c r="A27" s="5" t="s">
        <v>8</v>
      </c>
      <c r="B27" s="5" t="s">
        <v>299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58</v>
      </c>
      <c r="I27" s="5" t="s">
        <v>294</v>
      </c>
      <c r="J27" s="15">
        <v>1973</v>
      </c>
      <c r="K27" s="7">
        <v>28.4</v>
      </c>
      <c r="L27" s="7">
        <f t="shared" si="6"/>
        <v>69.471830985915503</v>
      </c>
      <c r="M27" s="5" t="s">
        <v>10</v>
      </c>
      <c r="N27" s="5">
        <v>4</v>
      </c>
      <c r="O27" s="6">
        <f t="shared" si="7"/>
        <v>5.9514747174729736</v>
      </c>
      <c r="P27" s="6">
        <f t="shared" si="8"/>
        <v>0.61895337061718914</v>
      </c>
      <c r="Q27" s="10">
        <f t="shared" si="9"/>
        <v>1.2894861887858109E-2</v>
      </c>
      <c r="R27" s="10">
        <f t="shared" si="10"/>
        <v>6.0585063731535917E-2</v>
      </c>
      <c r="S27" s="10">
        <f t="shared" si="11"/>
        <v>7.3479925619394024E-2</v>
      </c>
    </row>
    <row r="28" spans="1:19" x14ac:dyDescent="0.25">
      <c r="A28" s="5" t="s">
        <v>8</v>
      </c>
      <c r="B28" s="5" t="s">
        <v>291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58</v>
      </c>
      <c r="I28" s="5" t="s">
        <v>295</v>
      </c>
      <c r="J28" s="15">
        <v>2000</v>
      </c>
      <c r="K28" s="7">
        <v>27</v>
      </c>
      <c r="L28" s="7">
        <f t="shared" si="6"/>
        <v>74.074074074074076</v>
      </c>
      <c r="M28" s="5" t="s">
        <v>10</v>
      </c>
      <c r="N28" s="5">
        <v>4</v>
      </c>
      <c r="O28" s="6">
        <f t="shared" si="7"/>
        <v>6.8587105624142675</v>
      </c>
      <c r="P28" s="6">
        <f t="shared" si="8"/>
        <v>0.71330589849108383</v>
      </c>
      <c r="Q28" s="10">
        <f t="shared" si="9"/>
        <v>1.486053955189758E-2</v>
      </c>
      <c r="R28" s="10">
        <f t="shared" si="10"/>
        <v>6.7387443596961277E-2</v>
      </c>
      <c r="S28" s="10">
        <f t="shared" si="11"/>
        <v>8.2247983148858853E-2</v>
      </c>
    </row>
    <row r="29" spans="1:19" x14ac:dyDescent="0.25">
      <c r="A29" s="5" t="s">
        <v>22</v>
      </c>
      <c r="B29" s="5" t="s">
        <v>26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58</v>
      </c>
      <c r="I29" s="5" t="s">
        <v>60</v>
      </c>
      <c r="J29" s="15">
        <v>2600</v>
      </c>
      <c r="K29" s="7">
        <v>34</v>
      </c>
      <c r="L29" s="7">
        <f t="shared" si="6"/>
        <v>76.470588235294116</v>
      </c>
      <c r="M29" s="5" t="s">
        <v>10</v>
      </c>
      <c r="N29" s="5">
        <v>4</v>
      </c>
      <c r="O29" s="6">
        <f t="shared" si="7"/>
        <v>9.5025951557093435</v>
      </c>
      <c r="P29" s="6">
        <f t="shared" si="8"/>
        <v>0.98826989619377159</v>
      </c>
      <c r="Q29" s="10">
        <f t="shared" si="9"/>
        <v>2.0588956170703578E-2</v>
      </c>
      <c r="R29" s="10">
        <f t="shared" si="10"/>
        <v>8.6055532182463049E-2</v>
      </c>
      <c r="S29" s="10">
        <f t="shared" si="11"/>
        <v>0.10664448835316663</v>
      </c>
    </row>
    <row r="30" spans="1:19" x14ac:dyDescent="0.25">
      <c r="A30" s="5" t="s">
        <v>8</v>
      </c>
      <c r="B30" s="5" t="s">
        <v>291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58</v>
      </c>
      <c r="I30" s="5" t="s">
        <v>60</v>
      </c>
      <c r="J30" s="15">
        <v>2050</v>
      </c>
      <c r="K30" s="7">
        <v>29</v>
      </c>
      <c r="L30" s="7">
        <f t="shared" si="6"/>
        <v>70.689655172413794</v>
      </c>
      <c r="M30" s="5" t="s">
        <v>10</v>
      </c>
      <c r="N30" s="5">
        <v>4</v>
      </c>
      <c r="O30" s="6">
        <f t="shared" si="7"/>
        <v>6.4024412901307972</v>
      </c>
      <c r="P30" s="6">
        <f t="shared" si="8"/>
        <v>0.66585389417360286</v>
      </c>
      <c r="Q30" s="10">
        <f t="shared" si="9"/>
        <v>1.3871956128616726E-2</v>
      </c>
      <c r="R30" s="10">
        <f t="shared" si="10"/>
        <v>6.3996515472610566E-2</v>
      </c>
      <c r="S30" s="10">
        <f t="shared" si="11"/>
        <v>7.7868471601227285E-2</v>
      </c>
    </row>
    <row r="31" spans="1:19" x14ac:dyDescent="0.25">
      <c r="A31" s="5" t="s">
        <v>8</v>
      </c>
      <c r="B31" s="5" t="s">
        <v>291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58</v>
      </c>
      <c r="I31" s="5" t="s">
        <v>60</v>
      </c>
      <c r="J31" s="15">
        <v>2600</v>
      </c>
      <c r="K31" s="7">
        <v>34</v>
      </c>
      <c r="L31" s="7">
        <f t="shared" si="6"/>
        <v>76.470588235294116</v>
      </c>
      <c r="M31" s="5" t="s">
        <v>10</v>
      </c>
      <c r="N31" s="5">
        <v>4</v>
      </c>
      <c r="O31" s="6">
        <f t="shared" si="7"/>
        <v>9.5025951557093435</v>
      </c>
      <c r="P31" s="6">
        <f t="shared" si="8"/>
        <v>0.98826989619377159</v>
      </c>
      <c r="Q31" s="10">
        <f t="shared" si="9"/>
        <v>2.0588956170703578E-2</v>
      </c>
      <c r="R31" s="10">
        <f t="shared" si="10"/>
        <v>8.6055532182463049E-2</v>
      </c>
      <c r="S31" s="10">
        <f t="shared" si="11"/>
        <v>0.10664448835316663</v>
      </c>
    </row>
    <row r="32" spans="1:19" x14ac:dyDescent="0.25">
      <c r="A32" s="5" t="s">
        <v>22</v>
      </c>
      <c r="B32" s="5" t="s">
        <v>26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58</v>
      </c>
      <c r="I32" s="5" t="s">
        <v>61</v>
      </c>
      <c r="J32" s="15">
        <v>3100</v>
      </c>
      <c r="K32" s="7">
        <v>32.5</v>
      </c>
      <c r="L32" s="7">
        <f t="shared" si="6"/>
        <v>95.384615384615387</v>
      </c>
      <c r="M32" s="5" t="s">
        <v>10</v>
      </c>
      <c r="N32" s="5">
        <v>4</v>
      </c>
      <c r="O32" s="6">
        <f t="shared" si="7"/>
        <v>17.627810650887572</v>
      </c>
      <c r="P32" s="6">
        <f t="shared" si="8"/>
        <v>1.8332923076923076</v>
      </c>
      <c r="Q32" s="10">
        <f t="shared" si="9"/>
        <v>3.8193589743589738E-2</v>
      </c>
      <c r="R32" s="10">
        <f t="shared" si="10"/>
        <v>0.13678734086635241</v>
      </c>
      <c r="S32" s="10">
        <f t="shared" si="11"/>
        <v>0.17498093060994216</v>
      </c>
    </row>
    <row r="33" spans="1:19" x14ac:dyDescent="0.25">
      <c r="A33" s="5" t="s">
        <v>8</v>
      </c>
      <c r="B33" s="5" t="s">
        <v>291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386</v>
      </c>
      <c r="H33" s="5" t="s">
        <v>58</v>
      </c>
      <c r="I33" s="5" t="s">
        <v>61</v>
      </c>
      <c r="J33" s="15">
        <v>2800</v>
      </c>
      <c r="K33" s="7">
        <v>40</v>
      </c>
      <c r="L33" s="7">
        <f t="shared" si="6"/>
        <v>70</v>
      </c>
      <c r="M33" s="5" t="s">
        <v>10</v>
      </c>
      <c r="N33" s="5">
        <v>4</v>
      </c>
      <c r="O33" s="6">
        <f t="shared" si="7"/>
        <v>8.5749999999999993</v>
      </c>
      <c r="P33" s="6">
        <f t="shared" si="8"/>
        <v>0.89180000000000004</v>
      </c>
      <c r="Q33" s="10">
        <f t="shared" si="9"/>
        <v>1.8579166666666664E-2</v>
      </c>
      <c r="R33" s="10">
        <f t="shared" si="10"/>
        <v>7.9675119011575646E-2</v>
      </c>
      <c r="S33" s="10">
        <f t="shared" si="11"/>
        <v>9.8254285678242306E-2</v>
      </c>
    </row>
    <row r="34" spans="1:19" x14ac:dyDescent="0.25">
      <c r="A34" s="5" t="s">
        <v>8</v>
      </c>
      <c r="B34" s="5" t="s">
        <v>291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386</v>
      </c>
      <c r="H34" s="5" t="s">
        <v>58</v>
      </c>
      <c r="I34" s="5" t="s">
        <v>61</v>
      </c>
      <c r="J34" s="15">
        <v>2450</v>
      </c>
      <c r="K34" s="7">
        <v>29.1</v>
      </c>
      <c r="L34" s="7">
        <f t="shared" si="6"/>
        <v>84.192439862542955</v>
      </c>
      <c r="M34" s="5" t="s">
        <v>10</v>
      </c>
      <c r="N34" s="5">
        <v>4</v>
      </c>
      <c r="O34" s="6">
        <f t="shared" si="7"/>
        <v>10.854061861574614</v>
      </c>
      <c r="P34" s="6">
        <f t="shared" si="8"/>
        <v>1.1288224336037598</v>
      </c>
      <c r="Q34" s="10">
        <f t="shared" si="9"/>
        <v>2.3517134033411661E-2</v>
      </c>
      <c r="R34" s="10">
        <f t="shared" si="10"/>
        <v>9.508047521319099E-2</v>
      </c>
      <c r="S34" s="10">
        <f t="shared" si="11"/>
        <v>0.11859760924660265</v>
      </c>
    </row>
    <row r="35" spans="1:19" x14ac:dyDescent="0.25">
      <c r="A35" s="5" t="s">
        <v>8</v>
      </c>
      <c r="B35" s="5" t="s">
        <v>291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386</v>
      </c>
      <c r="H35" s="5" t="s">
        <v>58</v>
      </c>
      <c r="I35" s="5" t="s">
        <v>61</v>
      </c>
      <c r="J35" s="15">
        <v>3200</v>
      </c>
      <c r="K35" s="7">
        <v>33.5</v>
      </c>
      <c r="L35" s="7">
        <f t="shared" si="6"/>
        <v>95.522388059701498</v>
      </c>
      <c r="M35" s="5" t="s">
        <v>10</v>
      </c>
      <c r="N35" s="5">
        <v>4</v>
      </c>
      <c r="O35" s="6">
        <f t="shared" si="7"/>
        <v>18.249053241256405</v>
      </c>
      <c r="P35" s="6">
        <f t="shared" si="8"/>
        <v>1.8979015370906662</v>
      </c>
      <c r="Q35" s="10">
        <f t="shared" si="9"/>
        <v>3.9539615356055539E-2</v>
      </c>
      <c r="R35" s="10">
        <f t="shared" si="10"/>
        <v>0.14038715662039813</v>
      </c>
      <c r="S35" s="10">
        <f t="shared" si="11"/>
        <v>0.17992677197645368</v>
      </c>
    </row>
    <row r="36" spans="1:19" x14ac:dyDescent="0.25">
      <c r="A36" s="5" t="s">
        <v>8</v>
      </c>
      <c r="B36" s="5" t="s">
        <v>291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386</v>
      </c>
      <c r="H36" s="5" t="s">
        <v>58</v>
      </c>
      <c r="I36" s="5" t="s">
        <v>61</v>
      </c>
      <c r="J36" s="15">
        <v>2550</v>
      </c>
      <c r="K36" s="7">
        <v>31</v>
      </c>
      <c r="L36" s="7">
        <f t="shared" si="6"/>
        <v>82.258064516129039</v>
      </c>
      <c r="M36" s="5" t="s">
        <v>10</v>
      </c>
      <c r="N36" s="5">
        <v>4</v>
      </c>
      <c r="O36" s="6">
        <f t="shared" si="7"/>
        <v>10.783932752341313</v>
      </c>
      <c r="P36" s="6">
        <f t="shared" si="8"/>
        <v>1.1215290062434964</v>
      </c>
      <c r="Q36" s="10">
        <f t="shared" si="9"/>
        <v>2.336518763007284E-2</v>
      </c>
      <c r="R36" s="10">
        <f t="shared" si="10"/>
        <v>9.4619359210078843E-2</v>
      </c>
      <c r="S36" s="10">
        <f t="shared" si="11"/>
        <v>0.11798454684015168</v>
      </c>
    </row>
    <row r="37" spans="1:19" x14ac:dyDescent="0.25">
      <c r="A37" s="5" t="s">
        <v>8</v>
      </c>
      <c r="B37" s="5" t="s">
        <v>291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386</v>
      </c>
      <c r="H37" s="5" t="s">
        <v>58</v>
      </c>
      <c r="I37" s="5" t="s">
        <v>61</v>
      </c>
      <c r="J37" s="15">
        <v>2700</v>
      </c>
      <c r="K37" s="7">
        <v>29</v>
      </c>
      <c r="L37" s="7">
        <f t="shared" si="6"/>
        <v>93.103448275862064</v>
      </c>
      <c r="M37" s="5" t="s">
        <v>10</v>
      </c>
      <c r="N37" s="5">
        <v>4</v>
      </c>
      <c r="O37" s="6">
        <f t="shared" si="7"/>
        <v>14.627675386444706</v>
      </c>
      <c r="P37" s="6">
        <f t="shared" si="8"/>
        <v>1.5212782401902496</v>
      </c>
      <c r="Q37" s="10">
        <f t="shared" si="9"/>
        <v>3.1693296670630193E-2</v>
      </c>
      <c r="R37" s="10">
        <f t="shared" si="10"/>
        <v>0.11892649234015015</v>
      </c>
      <c r="S37" s="10">
        <f t="shared" si="11"/>
        <v>0.15061978901078035</v>
      </c>
    </row>
    <row r="38" spans="1:19" x14ac:dyDescent="0.25">
      <c r="A38" s="5" t="s">
        <v>8</v>
      </c>
      <c r="B38" s="5" t="s">
        <v>291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386</v>
      </c>
      <c r="H38" s="5" t="s">
        <v>58</v>
      </c>
      <c r="I38" s="5" t="s">
        <v>61</v>
      </c>
      <c r="J38" s="15">
        <v>2900</v>
      </c>
      <c r="K38" s="7">
        <v>29.5</v>
      </c>
      <c r="L38" s="7">
        <f t="shared" si="6"/>
        <v>98.305084745762713</v>
      </c>
      <c r="M38" s="5" t="s">
        <v>10</v>
      </c>
      <c r="N38" s="5">
        <v>4</v>
      </c>
      <c r="O38" s="6">
        <f t="shared" si="7"/>
        <v>17.515800057454758</v>
      </c>
      <c r="P38" s="6">
        <f t="shared" si="8"/>
        <v>1.8216432059752945</v>
      </c>
      <c r="Q38" s="10">
        <f t="shared" si="9"/>
        <v>3.7950900124485307E-2</v>
      </c>
      <c r="R38" s="10">
        <f t="shared" si="10"/>
        <v>0.13613494136615276</v>
      </c>
      <c r="S38" s="10">
        <f t="shared" si="11"/>
        <v>0.17408584149063805</v>
      </c>
    </row>
    <row r="39" spans="1:19" x14ac:dyDescent="0.25">
      <c r="A39" s="5" t="s">
        <v>8</v>
      </c>
      <c r="B39" s="5" t="s">
        <v>291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386</v>
      </c>
      <c r="H39" s="5" t="s">
        <v>58</v>
      </c>
      <c r="I39" s="5" t="s">
        <v>61</v>
      </c>
      <c r="J39" s="15">
        <v>3100</v>
      </c>
      <c r="K39" s="7">
        <v>32.5</v>
      </c>
      <c r="L39" s="7">
        <f t="shared" si="6"/>
        <v>95.384615384615387</v>
      </c>
      <c r="M39" s="5" t="s">
        <v>10</v>
      </c>
      <c r="N39" s="5">
        <v>4</v>
      </c>
      <c r="O39" s="6">
        <f t="shared" si="7"/>
        <v>17.627810650887572</v>
      </c>
      <c r="P39" s="6">
        <f t="shared" si="8"/>
        <v>1.8332923076923076</v>
      </c>
      <c r="Q39" s="10">
        <f t="shared" si="9"/>
        <v>3.8193589743589738E-2</v>
      </c>
      <c r="R39" s="10">
        <f t="shared" si="10"/>
        <v>0.13678734086635241</v>
      </c>
      <c r="S39" s="10">
        <f t="shared" si="11"/>
        <v>0.17498093060994216</v>
      </c>
    </row>
    <row r="40" spans="1:19" x14ac:dyDescent="0.25">
      <c r="A40" s="5" t="s">
        <v>8</v>
      </c>
      <c r="B40" s="5" t="s">
        <v>291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386</v>
      </c>
      <c r="H40" s="5" t="s">
        <v>58</v>
      </c>
      <c r="I40" s="5" t="s">
        <v>61</v>
      </c>
      <c r="J40" s="15">
        <v>2500</v>
      </c>
      <c r="K40" s="7">
        <v>34.5</v>
      </c>
      <c r="L40" s="7">
        <f t="shared" si="6"/>
        <v>72.463768115942031</v>
      </c>
      <c r="M40" s="5" t="s">
        <v>10</v>
      </c>
      <c r="N40" s="5">
        <v>4</v>
      </c>
      <c r="O40" s="6">
        <f t="shared" si="7"/>
        <v>8.2046838899390888</v>
      </c>
      <c r="P40" s="6">
        <f t="shared" si="8"/>
        <v>0.8532871245536654</v>
      </c>
      <c r="Q40" s="10">
        <f t="shared" si="9"/>
        <v>1.7776815094868025E-2</v>
      </c>
      <c r="R40" s="10">
        <f t="shared" si="10"/>
        <v>7.708032093428592E-2</v>
      </c>
      <c r="S40" s="10">
        <f t="shared" si="11"/>
        <v>9.4857136029153938E-2</v>
      </c>
    </row>
    <row r="41" spans="1:19" x14ac:dyDescent="0.25">
      <c r="A41" s="5" t="s">
        <v>8</v>
      </c>
      <c r="B41" s="5" t="s">
        <v>319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386</v>
      </c>
      <c r="H41" s="5" t="s">
        <v>58</v>
      </c>
      <c r="I41" s="5" t="s">
        <v>61</v>
      </c>
      <c r="J41" s="15">
        <v>2626</v>
      </c>
      <c r="K41" s="7">
        <v>31.5</v>
      </c>
      <c r="L41" s="7">
        <f t="shared" si="6"/>
        <v>83.365079365079367</v>
      </c>
      <c r="M41" s="5" t="s">
        <v>10</v>
      </c>
      <c r="N41" s="5">
        <v>4</v>
      </c>
      <c r="O41" s="6">
        <f t="shared" si="7"/>
        <v>11.406254960947342</v>
      </c>
      <c r="P41" s="6">
        <f t="shared" si="8"/>
        <v>1.1862505159385235</v>
      </c>
      <c r="Q41" s="10">
        <f t="shared" si="9"/>
        <v>2.4713552415385906E-2</v>
      </c>
      <c r="R41" s="10">
        <f t="shared" si="10"/>
        <v>9.8685746486399897E-2</v>
      </c>
      <c r="S41" s="10">
        <f t="shared" si="11"/>
        <v>0.1233992989017858</v>
      </c>
    </row>
    <row r="42" spans="1:19" x14ac:dyDescent="0.25">
      <c r="A42" s="5" t="s">
        <v>22</v>
      </c>
      <c r="B42" s="5" t="s">
        <v>63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386</v>
      </c>
      <c r="H42" s="5" t="s">
        <v>97</v>
      </c>
      <c r="I42" s="5" t="s">
        <v>61</v>
      </c>
      <c r="J42" s="15">
        <v>3200</v>
      </c>
      <c r="K42" s="7">
        <v>33.5</v>
      </c>
      <c r="L42" s="7">
        <f t="shared" si="6"/>
        <v>95.522388059701498</v>
      </c>
      <c r="M42" s="5" t="s">
        <v>10</v>
      </c>
      <c r="N42" s="5">
        <v>4</v>
      </c>
      <c r="O42" s="6">
        <f t="shared" si="7"/>
        <v>18.249053241256405</v>
      </c>
      <c r="P42" s="6">
        <f t="shared" si="8"/>
        <v>1.8979015370906662</v>
      </c>
      <c r="Q42" s="10">
        <f t="shared" si="9"/>
        <v>3.9539615356055539E-2</v>
      </c>
      <c r="R42" s="10">
        <f t="shared" si="10"/>
        <v>0.14038715662039813</v>
      </c>
      <c r="S42" s="10">
        <f t="shared" si="11"/>
        <v>0.17992677197645368</v>
      </c>
    </row>
    <row r="43" spans="1:19" x14ac:dyDescent="0.25">
      <c r="A43" s="5" t="s">
        <v>8</v>
      </c>
      <c r="B43" s="5" t="s">
        <v>287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386</v>
      </c>
      <c r="H43" s="5" t="s">
        <v>102</v>
      </c>
      <c r="I43" s="5" t="s">
        <v>218</v>
      </c>
      <c r="J43" s="15">
        <v>2600</v>
      </c>
      <c r="K43" s="7">
        <v>37.1</v>
      </c>
      <c r="L43" s="7">
        <f t="shared" si="6"/>
        <v>70.080862533692724</v>
      </c>
      <c r="M43" s="5" t="s">
        <v>10</v>
      </c>
      <c r="N43" s="5">
        <v>4</v>
      </c>
      <c r="O43" s="6">
        <f t="shared" si="7"/>
        <v>7.9809068518827972</v>
      </c>
      <c r="P43" s="6">
        <f t="shared" si="8"/>
        <v>0.83001431259581082</v>
      </c>
      <c r="Q43" s="10">
        <f t="shared" si="9"/>
        <v>1.729196484574606E-2</v>
      </c>
      <c r="R43" s="10">
        <f t="shared" si="10"/>
        <v>7.5498149303652243E-2</v>
      </c>
      <c r="S43" s="10">
        <f t="shared" si="11"/>
        <v>9.2790114149398306E-2</v>
      </c>
    </row>
    <row r="44" spans="1:19" x14ac:dyDescent="0.25">
      <c r="A44" s="5" t="s">
        <v>22</v>
      </c>
      <c r="B44" s="5" t="s">
        <v>63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386</v>
      </c>
      <c r="H44" s="5" t="s">
        <v>102</v>
      </c>
      <c r="I44" s="5" t="s">
        <v>73</v>
      </c>
      <c r="J44" s="15">
        <v>2190</v>
      </c>
      <c r="K44" s="7">
        <v>26.5</v>
      </c>
      <c r="L44" s="7">
        <f t="shared" si="6"/>
        <v>82.64150943396227</v>
      </c>
      <c r="M44" s="5" t="s">
        <v>10</v>
      </c>
      <c r="N44" s="5">
        <v>4</v>
      </c>
      <c r="O44" s="6">
        <f t="shared" si="7"/>
        <v>9.34804111783553</v>
      </c>
      <c r="P44" s="6">
        <f t="shared" si="8"/>
        <v>0.97219627625489502</v>
      </c>
      <c r="Q44" s="10">
        <f t="shared" si="9"/>
        <v>2.0254089088643647E-2</v>
      </c>
      <c r="R44" s="10">
        <f t="shared" si="10"/>
        <v>8.5003652032378002E-2</v>
      </c>
      <c r="S44" s="10">
        <f t="shared" si="11"/>
        <v>0.10525774112102165</v>
      </c>
    </row>
    <row r="45" spans="1:19" x14ac:dyDescent="0.25">
      <c r="A45" s="5" t="s">
        <v>8</v>
      </c>
      <c r="B45" s="5" t="s">
        <v>287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386</v>
      </c>
      <c r="H45" s="5" t="s">
        <v>102</v>
      </c>
      <c r="I45" s="5" t="s">
        <v>288</v>
      </c>
      <c r="J45" s="15">
        <v>2300</v>
      </c>
      <c r="K45" s="7">
        <v>33.700000000000003</v>
      </c>
      <c r="L45" s="7">
        <f t="shared" si="6"/>
        <v>68.249258160237389</v>
      </c>
      <c r="M45" s="5" t="s">
        <v>10</v>
      </c>
      <c r="N45" s="5">
        <v>4</v>
      </c>
      <c r="O45" s="6">
        <f t="shared" si="7"/>
        <v>6.6958192816701745</v>
      </c>
      <c r="P45" s="6">
        <f t="shared" si="8"/>
        <v>0.69636520529369805</v>
      </c>
      <c r="Q45" s="10">
        <f t="shared" si="9"/>
        <v>1.4507608443618711E-2</v>
      </c>
      <c r="R45" s="10">
        <f t="shared" si="10"/>
        <v>6.6183528454387561E-2</v>
      </c>
      <c r="S45" s="10">
        <f t="shared" si="11"/>
        <v>8.0691136898006277E-2</v>
      </c>
    </row>
    <row r="46" spans="1:19" x14ac:dyDescent="0.25">
      <c r="A46" s="5" t="s">
        <v>22</v>
      </c>
      <c r="B46" s="5" t="s">
        <v>63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386</v>
      </c>
      <c r="H46" s="5" t="s">
        <v>98</v>
      </c>
      <c r="I46" s="5" t="s">
        <v>99</v>
      </c>
      <c r="J46" s="15">
        <v>2450</v>
      </c>
      <c r="K46" s="7">
        <v>31</v>
      </c>
      <c r="L46" s="7">
        <f t="shared" si="6"/>
        <v>79.032258064516128</v>
      </c>
      <c r="M46" s="5" t="s">
        <v>10</v>
      </c>
      <c r="N46" s="5">
        <v>4</v>
      </c>
      <c r="O46" s="6">
        <f t="shared" si="7"/>
        <v>9.5643372788761702</v>
      </c>
      <c r="P46" s="6">
        <f t="shared" si="8"/>
        <v>0.99469107700312165</v>
      </c>
      <c r="Q46" s="10">
        <f t="shared" si="9"/>
        <v>2.0722730770898368E-2</v>
      </c>
      <c r="R46" s="10">
        <f t="shared" si="10"/>
        <v>8.6474545162582434E-2</v>
      </c>
      <c r="S46" s="10">
        <f t="shared" si="11"/>
        <v>0.1071972759334808</v>
      </c>
    </row>
    <row r="47" spans="1:19" x14ac:dyDescent="0.25">
      <c r="A47" s="5" t="s">
        <v>8</v>
      </c>
      <c r="B47" s="5" t="s">
        <v>319</v>
      </c>
      <c r="C47" s="5" t="s">
        <v>27</v>
      </c>
      <c r="D47" s="5" t="s">
        <v>385</v>
      </c>
      <c r="E47" s="5" t="s">
        <v>387</v>
      </c>
      <c r="F47" s="5" t="s">
        <v>52</v>
      </c>
      <c r="G47" s="5" t="s">
        <v>386</v>
      </c>
      <c r="H47" s="5" t="s">
        <v>98</v>
      </c>
      <c r="I47" s="5" t="s">
        <v>99</v>
      </c>
      <c r="J47" s="15">
        <v>2431</v>
      </c>
      <c r="K47" s="7">
        <v>31</v>
      </c>
      <c r="L47" s="7">
        <f t="shared" si="6"/>
        <v>78.41935483870968</v>
      </c>
      <c r="M47" s="5" t="s">
        <v>10</v>
      </c>
      <c r="N47" s="5">
        <v>4</v>
      </c>
      <c r="O47" s="6">
        <f t="shared" si="7"/>
        <v>9.3435412272372531</v>
      </c>
      <c r="P47" s="6">
        <f t="shared" si="8"/>
        <v>0.97172828763267438</v>
      </c>
      <c r="Q47" s="10">
        <f t="shared" si="9"/>
        <v>2.0244339325680715E-2</v>
      </c>
      <c r="R47" s="10">
        <f t="shared" si="10"/>
        <v>8.497296136544169E-2</v>
      </c>
      <c r="S47" s="10">
        <f t="shared" si="11"/>
        <v>0.10521730069112241</v>
      </c>
    </row>
    <row r="48" spans="1:19" x14ac:dyDescent="0.25">
      <c r="A48" s="5" t="s">
        <v>8</v>
      </c>
      <c r="B48" s="5" t="s">
        <v>319</v>
      </c>
      <c r="C48" s="5" t="s">
        <v>27</v>
      </c>
      <c r="D48" s="5" t="s">
        <v>385</v>
      </c>
      <c r="E48" s="5" t="s">
        <v>387</v>
      </c>
      <c r="F48" s="5" t="s">
        <v>52</v>
      </c>
      <c r="G48" s="5" t="s">
        <v>386</v>
      </c>
      <c r="H48" s="5" t="s">
        <v>98</v>
      </c>
      <c r="I48" s="5" t="s">
        <v>321</v>
      </c>
      <c r="J48" s="15">
        <v>2650</v>
      </c>
      <c r="K48" s="7">
        <v>28</v>
      </c>
      <c r="L48" s="7">
        <f t="shared" si="6"/>
        <v>94.642857142857139</v>
      </c>
      <c r="M48" s="5" t="s">
        <v>10</v>
      </c>
      <c r="N48" s="5">
        <v>4</v>
      </c>
      <c r="O48" s="6">
        <f t="shared" si="7"/>
        <v>14.835479113520405</v>
      </c>
      <c r="P48" s="6">
        <f t="shared" si="8"/>
        <v>1.5428898278061218</v>
      </c>
      <c r="Q48" s="10">
        <f t="shared" si="9"/>
        <v>3.2143538079294209E-2</v>
      </c>
      <c r="R48" s="10">
        <f t="shared" si="10"/>
        <v>0.12019137585847466</v>
      </c>
      <c r="S48" s="10">
        <f t="shared" si="11"/>
        <v>0.15233491393776888</v>
      </c>
    </row>
    <row r="49" spans="1:19" x14ac:dyDescent="0.25">
      <c r="A49" s="5" t="s">
        <v>22</v>
      </c>
      <c r="B49" s="5" t="s">
        <v>63</v>
      </c>
      <c r="C49" s="5" t="s">
        <v>27</v>
      </c>
      <c r="D49" s="5" t="s">
        <v>385</v>
      </c>
      <c r="E49" s="5" t="s">
        <v>387</v>
      </c>
      <c r="F49" s="5" t="s">
        <v>52</v>
      </c>
      <c r="G49" s="5" t="s">
        <v>386</v>
      </c>
      <c r="H49" s="5" t="s">
        <v>100</v>
      </c>
      <c r="I49" s="5" t="s">
        <v>101</v>
      </c>
      <c r="J49" s="15">
        <v>2700</v>
      </c>
      <c r="K49" s="7">
        <v>41</v>
      </c>
      <c r="L49" s="7">
        <f t="shared" si="6"/>
        <v>65.853658536585371</v>
      </c>
      <c r="M49" s="5" t="s">
        <v>10</v>
      </c>
      <c r="N49" s="5">
        <v>4</v>
      </c>
      <c r="O49" s="6">
        <f t="shared" si="7"/>
        <v>7.3181885782272476</v>
      </c>
      <c r="P49" s="6">
        <f t="shared" si="8"/>
        <v>0.76109161213563381</v>
      </c>
      <c r="Q49" s="10">
        <f t="shared" si="9"/>
        <v>1.5856075252825702E-2</v>
      </c>
      <c r="R49" s="10">
        <f t="shared" si="10"/>
        <v>7.0745663102872419E-2</v>
      </c>
      <c r="S49" s="10">
        <f t="shared" si="11"/>
        <v>8.6601738355698121E-2</v>
      </c>
    </row>
    <row r="50" spans="1:19" x14ac:dyDescent="0.25">
      <c r="A50" s="5" t="s">
        <v>22</v>
      </c>
      <c r="B50" s="5" t="s">
        <v>63</v>
      </c>
      <c r="C50" s="5" t="s">
        <v>27</v>
      </c>
      <c r="D50" s="5" t="s">
        <v>385</v>
      </c>
      <c r="E50" s="5" t="s">
        <v>387</v>
      </c>
      <c r="F50" s="5" t="s">
        <v>52</v>
      </c>
      <c r="G50" s="5" t="s">
        <v>394</v>
      </c>
      <c r="H50" s="5" t="s">
        <v>104</v>
      </c>
      <c r="I50" s="5" t="s">
        <v>105</v>
      </c>
      <c r="J50" s="15">
        <v>1050</v>
      </c>
      <c r="K50" s="7">
        <v>35</v>
      </c>
      <c r="L50" s="7">
        <f t="shared" si="6"/>
        <v>30</v>
      </c>
      <c r="M50" s="5" t="s">
        <v>10</v>
      </c>
      <c r="N50" s="5">
        <v>4</v>
      </c>
      <c r="O50" s="6">
        <f t="shared" si="7"/>
        <v>0.59062499999999996</v>
      </c>
      <c r="P50" s="6">
        <f t="shared" si="8"/>
        <v>6.1424999999999993E-2</v>
      </c>
      <c r="Q50" s="10">
        <f t="shared" si="9"/>
        <v>1.2796874999999998E-3</v>
      </c>
      <c r="R50" s="10">
        <f t="shared" si="10"/>
        <v>1.0712257254840325E-2</v>
      </c>
      <c r="S50" s="10">
        <f t="shared" si="11"/>
        <v>1.1991944754840325E-2</v>
      </c>
    </row>
    <row r="51" spans="1:19" x14ac:dyDescent="0.25">
      <c r="A51" s="5" t="s">
        <v>8</v>
      </c>
      <c r="B51" s="5" t="s">
        <v>161</v>
      </c>
      <c r="C51" s="5" t="s">
        <v>27</v>
      </c>
      <c r="D51" s="5" t="s">
        <v>385</v>
      </c>
      <c r="E51" s="5" t="s">
        <v>387</v>
      </c>
      <c r="F51" s="5" t="s">
        <v>52</v>
      </c>
      <c r="G51" s="5" t="s">
        <v>394</v>
      </c>
      <c r="H51" s="5" t="s">
        <v>104</v>
      </c>
      <c r="I51" s="5" t="s">
        <v>105</v>
      </c>
      <c r="J51" s="15">
        <v>920</v>
      </c>
      <c r="K51" s="7">
        <v>27</v>
      </c>
      <c r="L51" s="7">
        <f t="shared" si="6"/>
        <v>34.074074074074076</v>
      </c>
      <c r="M51" s="5" t="s">
        <v>10</v>
      </c>
      <c r="N51" s="5">
        <v>4</v>
      </c>
      <c r="O51" s="6">
        <f t="shared" si="7"/>
        <v>0.66759945130315512</v>
      </c>
      <c r="P51" s="6">
        <f t="shared" si="8"/>
        <v>6.9430342935528119E-2</v>
      </c>
      <c r="Q51" s="10">
        <f t="shared" si="9"/>
        <v>1.4464654778235028E-3</v>
      </c>
      <c r="R51" s="10">
        <f t="shared" si="10"/>
        <v>1.1743136325585789E-2</v>
      </c>
      <c r="S51" s="10">
        <f t="shared" si="11"/>
        <v>1.3189601803409291E-2</v>
      </c>
    </row>
    <row r="52" spans="1:19" x14ac:dyDescent="0.25">
      <c r="A52" s="5" t="s">
        <v>22</v>
      </c>
      <c r="B52" s="5" t="s">
        <v>63</v>
      </c>
      <c r="C52" s="5" t="s">
        <v>27</v>
      </c>
      <c r="D52" s="5" t="s">
        <v>385</v>
      </c>
      <c r="E52" s="5" t="s">
        <v>387</v>
      </c>
      <c r="F52" s="5" t="s">
        <v>52</v>
      </c>
      <c r="G52" s="5" t="s">
        <v>394</v>
      </c>
      <c r="H52" s="5" t="s">
        <v>110</v>
      </c>
      <c r="I52" s="5" t="s">
        <v>111</v>
      </c>
      <c r="J52" s="15">
        <v>3420</v>
      </c>
      <c r="K52" s="7">
        <v>39.5</v>
      </c>
      <c r="L52" s="7">
        <f t="shared" si="6"/>
        <v>86.582278481012665</v>
      </c>
      <c r="M52" s="5" t="s">
        <v>10</v>
      </c>
      <c r="N52" s="5">
        <v>4</v>
      </c>
      <c r="O52" s="6">
        <f t="shared" si="7"/>
        <v>16.023749399134758</v>
      </c>
      <c r="P52" s="6">
        <f t="shared" si="8"/>
        <v>1.6664699375100145</v>
      </c>
      <c r="Q52" s="10">
        <f t="shared" si="9"/>
        <v>3.4718123698125304E-2</v>
      </c>
      <c r="R52" s="10">
        <f t="shared" si="10"/>
        <v>0.1273415795347296</v>
      </c>
      <c r="S52" s="10">
        <f t="shared" si="11"/>
        <v>0.1620597032328549</v>
      </c>
    </row>
    <row r="53" spans="1:19" x14ac:dyDescent="0.25">
      <c r="A53" s="5" t="s">
        <v>8</v>
      </c>
      <c r="B53" s="5" t="s">
        <v>161</v>
      </c>
      <c r="C53" s="5" t="s">
        <v>27</v>
      </c>
      <c r="D53" s="5" t="s">
        <v>385</v>
      </c>
      <c r="E53" s="5" t="s">
        <v>387</v>
      </c>
      <c r="F53" s="5" t="s">
        <v>52</v>
      </c>
      <c r="G53" s="5" t="s">
        <v>394</v>
      </c>
      <c r="H53" s="5" t="s">
        <v>110</v>
      </c>
      <c r="I53" s="5" t="s">
        <v>162</v>
      </c>
      <c r="J53" s="15">
        <v>2300</v>
      </c>
      <c r="K53" s="7">
        <v>44</v>
      </c>
      <c r="L53" s="7">
        <f t="shared" si="6"/>
        <v>52.272727272727273</v>
      </c>
      <c r="M53" s="5" t="s">
        <v>10</v>
      </c>
      <c r="N53" s="5">
        <v>4</v>
      </c>
      <c r="O53" s="6">
        <f t="shared" si="7"/>
        <v>3.9278796487603307</v>
      </c>
      <c r="P53" s="6">
        <f t="shared" si="8"/>
        <v>0.4084994834710744</v>
      </c>
      <c r="Q53" s="10">
        <f t="shared" si="9"/>
        <v>8.5104059056473839E-3</v>
      </c>
      <c r="R53" s="10">
        <f t="shared" si="10"/>
        <v>4.4362473572488702E-2</v>
      </c>
      <c r="S53" s="10">
        <f t="shared" si="11"/>
        <v>5.2872879478136084E-2</v>
      </c>
    </row>
    <row r="54" spans="1:19" x14ac:dyDescent="0.25">
      <c r="A54" s="5" t="s">
        <v>8</v>
      </c>
      <c r="B54" s="5" t="s">
        <v>161</v>
      </c>
      <c r="C54" s="5" t="s">
        <v>27</v>
      </c>
      <c r="D54" s="5" t="s">
        <v>385</v>
      </c>
      <c r="E54" s="5" t="s">
        <v>387</v>
      </c>
      <c r="F54" s="5" t="s">
        <v>52</v>
      </c>
      <c r="G54" s="5" t="s">
        <v>394</v>
      </c>
      <c r="H54" s="5" t="s">
        <v>110</v>
      </c>
      <c r="I54" s="5" t="s">
        <v>162</v>
      </c>
      <c r="J54" s="15">
        <v>2630</v>
      </c>
      <c r="K54" s="7">
        <v>45</v>
      </c>
      <c r="L54" s="7">
        <f t="shared" si="6"/>
        <v>58.444444444444443</v>
      </c>
      <c r="M54" s="5" t="s">
        <v>10</v>
      </c>
      <c r="N54" s="5">
        <v>4</v>
      </c>
      <c r="O54" s="6">
        <f t="shared" si="7"/>
        <v>5.6146441358024681</v>
      </c>
      <c r="P54" s="6">
        <f t="shared" si="8"/>
        <v>0.58392299012345672</v>
      </c>
      <c r="Q54" s="10">
        <f t="shared" si="9"/>
        <v>1.2165062294238679E-2</v>
      </c>
      <c r="R54" s="10">
        <f t="shared" si="10"/>
        <v>5.799476604086666E-2</v>
      </c>
      <c r="S54" s="10">
        <f t="shared" si="11"/>
        <v>7.015982833510534E-2</v>
      </c>
    </row>
    <row r="55" spans="1:19" x14ac:dyDescent="0.25">
      <c r="A55" s="5" t="s">
        <v>22</v>
      </c>
      <c r="B55" s="5" t="s">
        <v>63</v>
      </c>
      <c r="C55" s="5" t="s">
        <v>27</v>
      </c>
      <c r="D55" s="5" t="s">
        <v>385</v>
      </c>
      <c r="E55" s="5" t="s">
        <v>387</v>
      </c>
      <c r="F55" s="5" t="s">
        <v>52</v>
      </c>
      <c r="G55" s="5" t="s">
        <v>394</v>
      </c>
      <c r="H55" s="5" t="s">
        <v>56</v>
      </c>
      <c r="I55" s="5" t="s">
        <v>148</v>
      </c>
      <c r="J55" s="15">
        <v>2950</v>
      </c>
      <c r="K55" s="7">
        <v>29.5</v>
      </c>
      <c r="L55" s="7">
        <f t="shared" si="6"/>
        <v>100</v>
      </c>
      <c r="M55" s="5" t="s">
        <v>10</v>
      </c>
      <c r="N55" s="5">
        <v>4</v>
      </c>
      <c r="O55" s="6">
        <f t="shared" si="7"/>
        <v>18.4375</v>
      </c>
      <c r="P55" s="6">
        <f t="shared" si="8"/>
        <v>1.9175</v>
      </c>
      <c r="Q55" s="10">
        <f t="shared" si="9"/>
        <v>3.9947916666666666E-2</v>
      </c>
      <c r="R55" s="10">
        <f t="shared" si="10"/>
        <v>0.14147302810302484</v>
      </c>
      <c r="S55" s="10">
        <f t="shared" si="11"/>
        <v>0.18142094476969151</v>
      </c>
    </row>
    <row r="56" spans="1:19" x14ac:dyDescent="0.25">
      <c r="A56" s="5" t="s">
        <v>22</v>
      </c>
      <c r="B56" s="5" t="s">
        <v>63</v>
      </c>
      <c r="C56" s="5" t="s">
        <v>27</v>
      </c>
      <c r="D56" s="5" t="s">
        <v>385</v>
      </c>
      <c r="E56" s="5" t="s">
        <v>387</v>
      </c>
      <c r="F56" s="5" t="s">
        <v>52</v>
      </c>
      <c r="G56" s="5" t="s">
        <v>394</v>
      </c>
      <c r="H56" s="5" t="s">
        <v>56</v>
      </c>
      <c r="I56" s="5" t="s">
        <v>149</v>
      </c>
      <c r="J56" s="15">
        <v>2150</v>
      </c>
      <c r="K56" s="7">
        <v>39</v>
      </c>
      <c r="L56" s="7">
        <f t="shared" si="6"/>
        <v>55.128205128205131</v>
      </c>
      <c r="M56" s="5" t="s">
        <v>10</v>
      </c>
      <c r="N56" s="5">
        <v>4</v>
      </c>
      <c r="O56" s="6">
        <f t="shared" si="7"/>
        <v>4.083816157133465</v>
      </c>
      <c r="P56" s="6">
        <f t="shared" si="8"/>
        <v>0.42471688034188038</v>
      </c>
      <c r="Q56" s="10">
        <f t="shared" si="9"/>
        <v>8.84826834045584E-3</v>
      </c>
      <c r="R56" s="10">
        <f t="shared" si="10"/>
        <v>4.5676914730833268E-2</v>
      </c>
      <c r="S56" s="10">
        <f t="shared" si="11"/>
        <v>5.4525183071289104E-2</v>
      </c>
    </row>
    <row r="57" spans="1:19" x14ac:dyDescent="0.25">
      <c r="A57" s="5" t="s">
        <v>22</v>
      </c>
      <c r="B57" s="5" t="s">
        <v>63</v>
      </c>
      <c r="C57" s="5" t="s">
        <v>27</v>
      </c>
      <c r="D57" s="5" t="s">
        <v>385</v>
      </c>
      <c r="E57" s="5" t="s">
        <v>387</v>
      </c>
      <c r="F57" s="5" t="s">
        <v>52</v>
      </c>
      <c r="G57" s="5" t="s">
        <v>394</v>
      </c>
      <c r="H57" s="5" t="s">
        <v>56</v>
      </c>
      <c r="I57" s="5" t="s">
        <v>103</v>
      </c>
      <c r="J57" s="15">
        <v>1650</v>
      </c>
      <c r="K57" s="7">
        <v>30.5</v>
      </c>
      <c r="L57" s="7">
        <f t="shared" si="6"/>
        <v>54.098360655737707</v>
      </c>
      <c r="M57" s="5" t="s">
        <v>10</v>
      </c>
      <c r="N57" s="5">
        <v>4</v>
      </c>
      <c r="O57" s="6">
        <f t="shared" si="7"/>
        <v>3.0180898951894655</v>
      </c>
      <c r="P57" s="6">
        <f t="shared" si="8"/>
        <v>0.31388134909970439</v>
      </c>
      <c r="Q57" s="10">
        <f t="shared" si="9"/>
        <v>6.5391947729105081E-3</v>
      </c>
      <c r="R57" s="10">
        <f t="shared" si="10"/>
        <v>3.6407952239914915E-2</v>
      </c>
      <c r="S57" s="10">
        <f t="shared" si="11"/>
        <v>4.2947147012825426E-2</v>
      </c>
    </row>
    <row r="58" spans="1:19" x14ac:dyDescent="0.25">
      <c r="A58" s="5" t="s">
        <v>8</v>
      </c>
      <c r="B58" s="5" t="s">
        <v>329</v>
      </c>
      <c r="C58" s="5" t="s">
        <v>27</v>
      </c>
      <c r="D58" s="5" t="s">
        <v>385</v>
      </c>
      <c r="E58" s="5" t="s">
        <v>387</v>
      </c>
      <c r="F58" s="5" t="s">
        <v>52</v>
      </c>
      <c r="G58" s="5" t="s">
        <v>394</v>
      </c>
      <c r="H58" s="5" t="s">
        <v>56</v>
      </c>
      <c r="I58" s="5" t="s">
        <v>103</v>
      </c>
      <c r="J58" s="15">
        <v>1260</v>
      </c>
      <c r="K58" s="7">
        <v>34</v>
      </c>
      <c r="L58" s="7">
        <f t="shared" si="6"/>
        <v>37.058823529411768</v>
      </c>
      <c r="M58" s="5" t="s">
        <v>10</v>
      </c>
      <c r="N58" s="5">
        <v>4</v>
      </c>
      <c r="O58" s="6">
        <f t="shared" si="7"/>
        <v>1.0815181660899655</v>
      </c>
      <c r="P58" s="6">
        <f t="shared" si="8"/>
        <v>0.11247788927335642</v>
      </c>
      <c r="Q58" s="10">
        <f t="shared" si="9"/>
        <v>2.3432893598615916E-3</v>
      </c>
      <c r="R58" s="10">
        <f t="shared" si="10"/>
        <v>1.6862520407650464E-2</v>
      </c>
      <c r="S58" s="10">
        <f t="shared" si="11"/>
        <v>1.9205809767512055E-2</v>
      </c>
    </row>
    <row r="59" spans="1:19" x14ac:dyDescent="0.25">
      <c r="A59" s="5" t="s">
        <v>8</v>
      </c>
      <c r="B59" s="5" t="s">
        <v>296</v>
      </c>
      <c r="C59" s="5" t="s">
        <v>27</v>
      </c>
      <c r="D59" s="5" t="s">
        <v>385</v>
      </c>
      <c r="E59" s="5" t="s">
        <v>387</v>
      </c>
      <c r="F59" s="5" t="s">
        <v>52</v>
      </c>
      <c r="G59" s="5" t="s">
        <v>394</v>
      </c>
      <c r="H59" s="5" t="s">
        <v>56</v>
      </c>
      <c r="I59" s="5" t="s">
        <v>298</v>
      </c>
      <c r="J59" s="15">
        <v>1540</v>
      </c>
      <c r="K59" s="7">
        <v>22</v>
      </c>
      <c r="L59" s="7">
        <f t="shared" si="6"/>
        <v>70</v>
      </c>
      <c r="M59" s="5" t="s">
        <v>10</v>
      </c>
      <c r="N59" s="5">
        <v>4</v>
      </c>
      <c r="O59" s="6">
        <f t="shared" si="7"/>
        <v>4.7162499999999996</v>
      </c>
      <c r="P59" s="6">
        <f t="shared" si="8"/>
        <v>0.49048999999999998</v>
      </c>
      <c r="Q59" s="10">
        <f t="shared" si="9"/>
        <v>1.0218541666666666E-2</v>
      </c>
      <c r="R59" s="10">
        <f t="shared" si="10"/>
        <v>5.0885581049188403E-2</v>
      </c>
      <c r="S59" s="10">
        <f t="shared" si="11"/>
        <v>6.1104122715855066E-2</v>
      </c>
    </row>
    <row r="60" spans="1:19" x14ac:dyDescent="0.25">
      <c r="A60" s="5" t="s">
        <v>8</v>
      </c>
      <c r="B60" s="5" t="s">
        <v>231</v>
      </c>
      <c r="C60" s="5" t="s">
        <v>27</v>
      </c>
      <c r="D60" s="5" t="s">
        <v>385</v>
      </c>
      <c r="E60" s="5" t="s">
        <v>387</v>
      </c>
      <c r="F60" s="5" t="s">
        <v>52</v>
      </c>
      <c r="G60" s="5" t="s">
        <v>394</v>
      </c>
      <c r="H60" s="5" t="s">
        <v>56</v>
      </c>
      <c r="I60" s="5" t="s">
        <v>218</v>
      </c>
      <c r="J60" s="15">
        <v>1510</v>
      </c>
      <c r="K60" s="7">
        <v>26</v>
      </c>
      <c r="L60" s="7">
        <f t="shared" si="6"/>
        <v>58.07692307692308</v>
      </c>
      <c r="M60" s="5" t="s">
        <v>10</v>
      </c>
      <c r="N60" s="5">
        <v>4</v>
      </c>
      <c r="O60" s="6">
        <f t="shared" si="7"/>
        <v>3.183201738165681</v>
      </c>
      <c r="P60" s="6">
        <f t="shared" si="8"/>
        <v>0.33105298076923079</v>
      </c>
      <c r="Q60" s="10">
        <f t="shared" si="9"/>
        <v>6.8969370993589747E-3</v>
      </c>
      <c r="R60" s="10">
        <f t="shared" si="10"/>
        <v>3.7891800910019258E-2</v>
      </c>
      <c r="S60" s="10">
        <f t="shared" si="11"/>
        <v>4.4788738009378229E-2</v>
      </c>
    </row>
    <row r="61" spans="1:19" x14ac:dyDescent="0.25">
      <c r="A61" s="5" t="s">
        <v>8</v>
      </c>
      <c r="B61" s="5" t="s">
        <v>165</v>
      </c>
      <c r="C61" s="5" t="s">
        <v>27</v>
      </c>
      <c r="D61" s="5" t="s">
        <v>385</v>
      </c>
      <c r="E61" s="5" t="s">
        <v>387</v>
      </c>
      <c r="F61" s="5" t="s">
        <v>52</v>
      </c>
      <c r="G61" s="5" t="s">
        <v>394</v>
      </c>
      <c r="H61" s="5" t="s">
        <v>56</v>
      </c>
      <c r="I61" s="5" t="s">
        <v>169</v>
      </c>
      <c r="J61" s="15">
        <v>2160</v>
      </c>
      <c r="K61" s="7">
        <v>31</v>
      </c>
      <c r="L61" s="7">
        <f t="shared" si="6"/>
        <v>69.677419354838705</v>
      </c>
      <c r="M61" s="5" t="s">
        <v>10</v>
      </c>
      <c r="N61" s="5">
        <v>4</v>
      </c>
      <c r="O61" s="6">
        <f t="shared" si="7"/>
        <v>6.5541727367325695</v>
      </c>
      <c r="P61" s="6">
        <f t="shared" si="8"/>
        <v>0.68163396462018722</v>
      </c>
      <c r="Q61" s="10">
        <f t="shared" si="9"/>
        <v>1.42007075962539E-2</v>
      </c>
      <c r="R61" s="10">
        <f t="shared" si="10"/>
        <v>6.5130668631830216E-2</v>
      </c>
      <c r="S61" s="10">
        <f t="shared" si="11"/>
        <v>7.9331376228084116E-2</v>
      </c>
    </row>
    <row r="62" spans="1:19" x14ac:dyDescent="0.25">
      <c r="A62" s="5" t="s">
        <v>8</v>
      </c>
      <c r="B62" s="5" t="s">
        <v>161</v>
      </c>
      <c r="C62" s="5" t="s">
        <v>27</v>
      </c>
      <c r="D62" s="5" t="s">
        <v>385</v>
      </c>
      <c r="E62" s="5" t="s">
        <v>387</v>
      </c>
      <c r="F62" s="5" t="s">
        <v>52</v>
      </c>
      <c r="G62" s="5" t="s">
        <v>394</v>
      </c>
      <c r="H62" s="5" t="s">
        <v>56</v>
      </c>
      <c r="I62" s="5" t="s">
        <v>164</v>
      </c>
      <c r="J62" s="15">
        <v>2010</v>
      </c>
      <c r="K62" s="7">
        <v>25</v>
      </c>
      <c r="L62" s="7">
        <f t="shared" si="6"/>
        <v>80.400000000000006</v>
      </c>
      <c r="M62" s="5" t="s">
        <v>10</v>
      </c>
      <c r="N62" s="5">
        <v>4</v>
      </c>
      <c r="O62" s="6">
        <f t="shared" si="7"/>
        <v>8.1206010000000006</v>
      </c>
      <c r="P62" s="6">
        <f t="shared" si="8"/>
        <v>0.84454250400000008</v>
      </c>
      <c r="Q62" s="10">
        <f t="shared" si="9"/>
        <v>1.7594635500000001E-2</v>
      </c>
      <c r="R62" s="10">
        <f t="shared" si="10"/>
        <v>7.6487110304618008E-2</v>
      </c>
      <c r="S62" s="10">
        <f t="shared" si="11"/>
        <v>9.4081745804618006E-2</v>
      </c>
    </row>
    <row r="63" spans="1:19" x14ac:dyDescent="0.25">
      <c r="A63" s="5" t="s">
        <v>22</v>
      </c>
      <c r="B63" s="5" t="s">
        <v>63</v>
      </c>
      <c r="C63" s="5" t="s">
        <v>27</v>
      </c>
      <c r="D63" s="5" t="s">
        <v>385</v>
      </c>
      <c r="E63" s="5" t="s">
        <v>387</v>
      </c>
      <c r="F63" s="5" t="s">
        <v>52</v>
      </c>
      <c r="G63" s="5" t="s">
        <v>394</v>
      </c>
      <c r="H63" s="5" t="s">
        <v>56</v>
      </c>
      <c r="I63" s="5" t="s">
        <v>150</v>
      </c>
      <c r="J63" s="15">
        <v>1795</v>
      </c>
      <c r="K63" s="7">
        <v>26</v>
      </c>
      <c r="L63" s="7">
        <f t="shared" si="6"/>
        <v>69.038461538461533</v>
      </c>
      <c r="M63" s="5" t="s">
        <v>10</v>
      </c>
      <c r="N63" s="5">
        <v>4</v>
      </c>
      <c r="O63" s="6">
        <f t="shared" si="7"/>
        <v>5.3472031018860937</v>
      </c>
      <c r="P63" s="6">
        <f t="shared" si="8"/>
        <v>0.55610912259615364</v>
      </c>
      <c r="Q63" s="10">
        <f t="shared" si="9"/>
        <v>1.1585606720753204E-2</v>
      </c>
      <c r="R63" s="10">
        <f t="shared" si="10"/>
        <v>5.5910340147592871E-2</v>
      </c>
      <c r="S63" s="10">
        <f t="shared" si="11"/>
        <v>6.7495946868346077E-2</v>
      </c>
    </row>
    <row r="64" spans="1:19" x14ac:dyDescent="0.25">
      <c r="A64" s="5" t="s">
        <v>22</v>
      </c>
      <c r="B64" s="5" t="s">
        <v>26</v>
      </c>
      <c r="C64" s="5" t="s">
        <v>27</v>
      </c>
      <c r="D64" s="5" t="s">
        <v>385</v>
      </c>
      <c r="E64" s="5" t="s">
        <v>387</v>
      </c>
      <c r="F64" s="5" t="s">
        <v>52</v>
      </c>
      <c r="G64" s="5" t="s">
        <v>394</v>
      </c>
      <c r="H64" s="5" t="s">
        <v>56</v>
      </c>
      <c r="I64" s="5" t="s">
        <v>57</v>
      </c>
      <c r="J64" s="15">
        <v>1800</v>
      </c>
      <c r="K64" s="7">
        <v>31</v>
      </c>
      <c r="L64" s="7">
        <f t="shared" si="6"/>
        <v>58.064516129032256</v>
      </c>
      <c r="M64" s="5" t="s">
        <v>10</v>
      </c>
      <c r="N64" s="5">
        <v>4</v>
      </c>
      <c r="O64" s="6">
        <f t="shared" si="7"/>
        <v>3.7929240374609781</v>
      </c>
      <c r="P64" s="6">
        <f t="shared" si="8"/>
        <v>0.39446409989594167</v>
      </c>
      <c r="Q64" s="10">
        <f t="shared" si="9"/>
        <v>8.2180020811654531E-3</v>
      </c>
      <c r="R64" s="10">
        <f t="shared" si="10"/>
        <v>4.3214324927592522E-2</v>
      </c>
      <c r="S64" s="10">
        <f t="shared" si="11"/>
        <v>5.1432327008757973E-2</v>
      </c>
    </row>
    <row r="65" spans="1:19" x14ac:dyDescent="0.25">
      <c r="A65" s="5" t="s">
        <v>8</v>
      </c>
      <c r="B65" s="5" t="s">
        <v>187</v>
      </c>
      <c r="C65" s="5" t="s">
        <v>27</v>
      </c>
      <c r="D65" s="5" t="s">
        <v>385</v>
      </c>
      <c r="E65" s="5" t="s">
        <v>387</v>
      </c>
      <c r="F65" s="5" t="s">
        <v>52</v>
      </c>
      <c r="G65" s="5" t="s">
        <v>394</v>
      </c>
      <c r="H65" s="5" t="s">
        <v>56</v>
      </c>
      <c r="I65" s="5" t="s">
        <v>57</v>
      </c>
      <c r="J65" s="15">
        <v>2110</v>
      </c>
      <c r="K65" s="7">
        <v>31.7</v>
      </c>
      <c r="L65" s="7">
        <f t="shared" si="6"/>
        <v>66.561514195583598</v>
      </c>
      <c r="M65" s="5" t="s">
        <v>10</v>
      </c>
      <c r="N65" s="5">
        <v>4</v>
      </c>
      <c r="O65" s="6">
        <f t="shared" si="7"/>
        <v>5.842636383086707</v>
      </c>
      <c r="P65" s="6">
        <f t="shared" si="8"/>
        <v>0.60763418384101753</v>
      </c>
      <c r="Q65" s="10">
        <f t="shared" si="9"/>
        <v>1.2659045496687865E-2</v>
      </c>
      <c r="R65" s="10">
        <f t="shared" si="10"/>
        <v>5.9752181885174414E-2</v>
      </c>
      <c r="S65" s="10">
        <f t="shared" si="11"/>
        <v>7.2411227381862286E-2</v>
      </c>
    </row>
    <row r="66" spans="1:19" x14ac:dyDescent="0.25">
      <c r="A66" s="5" t="s">
        <v>8</v>
      </c>
      <c r="B66" s="5" t="s">
        <v>187</v>
      </c>
      <c r="C66" s="5" t="s">
        <v>27</v>
      </c>
      <c r="D66" s="5" t="s">
        <v>385</v>
      </c>
      <c r="E66" s="5" t="s">
        <v>387</v>
      </c>
      <c r="F66" s="5" t="s">
        <v>52</v>
      </c>
      <c r="G66" s="5" t="s">
        <v>394</v>
      </c>
      <c r="H66" s="5" t="s">
        <v>56</v>
      </c>
      <c r="I66" s="5" t="s">
        <v>57</v>
      </c>
      <c r="J66" s="15">
        <v>2090</v>
      </c>
      <c r="K66" s="7">
        <v>30</v>
      </c>
      <c r="L66" s="7">
        <f t="shared" si="6"/>
        <v>69.666666666666671</v>
      </c>
      <c r="M66" s="5" t="s">
        <v>10</v>
      </c>
      <c r="N66" s="5">
        <v>4</v>
      </c>
      <c r="O66" s="6">
        <f t="shared" si="7"/>
        <v>6.3398118055555566</v>
      </c>
      <c r="P66" s="6">
        <f t="shared" si="8"/>
        <v>0.65934042777777779</v>
      </c>
      <c r="Q66" s="10">
        <f t="shared" si="9"/>
        <v>1.3736258912037039E-2</v>
      </c>
      <c r="R66" s="10">
        <f t="shared" si="10"/>
        <v>6.3526422548826608E-2</v>
      </c>
      <c r="S66" s="10">
        <f t="shared" si="11"/>
        <v>7.7262681460863653E-2</v>
      </c>
    </row>
    <row r="67" spans="1:19" x14ac:dyDescent="0.25">
      <c r="A67" s="5" t="s">
        <v>8</v>
      </c>
      <c r="B67" s="5" t="s">
        <v>187</v>
      </c>
      <c r="C67" s="5" t="s">
        <v>27</v>
      </c>
      <c r="D67" s="5" t="s">
        <v>385</v>
      </c>
      <c r="E67" s="5" t="s">
        <v>387</v>
      </c>
      <c r="F67" s="5" t="s">
        <v>52</v>
      </c>
      <c r="G67" s="5" t="s">
        <v>394</v>
      </c>
      <c r="H67" s="5" t="s">
        <v>56</v>
      </c>
      <c r="I67" s="5" t="s">
        <v>57</v>
      </c>
      <c r="J67" s="15">
        <v>1980</v>
      </c>
      <c r="K67" s="7">
        <v>30.4</v>
      </c>
      <c r="L67" s="7">
        <f t="shared" si="6"/>
        <v>65.131578947368425</v>
      </c>
      <c r="M67" s="5" t="s">
        <v>10</v>
      </c>
      <c r="N67" s="5">
        <v>4</v>
      </c>
      <c r="O67" s="6">
        <f t="shared" si="7"/>
        <v>5.2496266880193909</v>
      </c>
      <c r="P67" s="6">
        <f t="shared" si="8"/>
        <v>0.54596117555401669</v>
      </c>
      <c r="Q67" s="10">
        <f t="shared" si="9"/>
        <v>1.1374191157375346E-2</v>
      </c>
      <c r="R67" s="10">
        <f t="shared" si="10"/>
        <v>5.5143387293808285E-2</v>
      </c>
      <c r="S67" s="10">
        <f t="shared" si="11"/>
        <v>6.6517578451183626E-2</v>
      </c>
    </row>
    <row r="68" spans="1:19" x14ac:dyDescent="0.25">
      <c r="A68" s="5" t="s">
        <v>8</v>
      </c>
      <c r="B68" s="5" t="s">
        <v>187</v>
      </c>
      <c r="C68" s="5" t="s">
        <v>27</v>
      </c>
      <c r="D68" s="5" t="s">
        <v>385</v>
      </c>
      <c r="E68" s="5" t="s">
        <v>387</v>
      </c>
      <c r="F68" s="5" t="s">
        <v>52</v>
      </c>
      <c r="G68" s="5" t="s">
        <v>394</v>
      </c>
      <c r="H68" s="5" t="s">
        <v>56</v>
      </c>
      <c r="I68" s="5" t="s">
        <v>57</v>
      </c>
      <c r="J68" s="15">
        <v>1980</v>
      </c>
      <c r="K68" s="7">
        <v>31.2</v>
      </c>
      <c r="L68" s="7">
        <f t="shared" si="6"/>
        <v>63.46153846153846</v>
      </c>
      <c r="M68" s="5" t="s">
        <v>10</v>
      </c>
      <c r="N68" s="5">
        <v>4</v>
      </c>
      <c r="O68" s="6">
        <f t="shared" si="7"/>
        <v>4.9838664940828403</v>
      </c>
      <c r="P68" s="6">
        <f t="shared" si="8"/>
        <v>0.51832211538461537</v>
      </c>
      <c r="Q68" s="10">
        <f t="shared" si="9"/>
        <v>1.0798377403846154E-2</v>
      </c>
      <c r="R68" s="10">
        <f t="shared" si="10"/>
        <v>5.3036141958594116E-2</v>
      </c>
      <c r="S68" s="10">
        <f t="shared" si="11"/>
        <v>6.3834519362440265E-2</v>
      </c>
    </row>
    <row r="69" spans="1:19" x14ac:dyDescent="0.25">
      <c r="A69" s="5" t="s">
        <v>8</v>
      </c>
      <c r="B69" s="5" t="s">
        <v>187</v>
      </c>
      <c r="C69" s="5" t="s">
        <v>27</v>
      </c>
      <c r="D69" s="5" t="s">
        <v>385</v>
      </c>
      <c r="E69" s="5" t="s">
        <v>387</v>
      </c>
      <c r="F69" s="5" t="s">
        <v>52</v>
      </c>
      <c r="G69" s="5" t="s">
        <v>394</v>
      </c>
      <c r="H69" s="5" t="s">
        <v>56</v>
      </c>
      <c r="I69" s="5" t="s">
        <v>57</v>
      </c>
      <c r="J69" s="15">
        <v>2200</v>
      </c>
      <c r="K69" s="7">
        <v>29</v>
      </c>
      <c r="L69" s="7">
        <f t="shared" si="6"/>
        <v>75.862068965517238</v>
      </c>
      <c r="M69" s="5" t="s">
        <v>10</v>
      </c>
      <c r="N69" s="5">
        <v>4</v>
      </c>
      <c r="O69" s="6">
        <f t="shared" si="7"/>
        <v>7.9131985731272296</v>
      </c>
      <c r="P69" s="6">
        <f t="shared" si="8"/>
        <v>0.82297265160523181</v>
      </c>
      <c r="Q69" s="10">
        <f t="shared" si="9"/>
        <v>1.7145263575108996E-2</v>
      </c>
      <c r="R69" s="10">
        <f t="shared" si="10"/>
        <v>7.501725564715013E-2</v>
      </c>
      <c r="S69" s="10">
        <f t="shared" si="11"/>
        <v>9.2162519222259126E-2</v>
      </c>
    </row>
    <row r="70" spans="1:19" x14ac:dyDescent="0.25">
      <c r="A70" s="5" t="s">
        <v>8</v>
      </c>
      <c r="B70" s="5" t="s">
        <v>187</v>
      </c>
      <c r="C70" s="5" t="s">
        <v>27</v>
      </c>
      <c r="D70" s="5" t="s">
        <v>385</v>
      </c>
      <c r="E70" s="5" t="s">
        <v>387</v>
      </c>
      <c r="F70" s="5" t="s">
        <v>52</v>
      </c>
      <c r="G70" s="5" t="s">
        <v>394</v>
      </c>
      <c r="H70" s="5" t="s">
        <v>56</v>
      </c>
      <c r="I70" s="5" t="s">
        <v>57</v>
      </c>
      <c r="J70" s="15">
        <v>2175</v>
      </c>
      <c r="K70" s="7">
        <v>31.3</v>
      </c>
      <c r="L70" s="7">
        <f t="shared" si="6"/>
        <v>69.488817891373799</v>
      </c>
      <c r="M70" s="5" t="s">
        <v>10</v>
      </c>
      <c r="N70" s="5">
        <v>4</v>
      </c>
      <c r="O70" s="6">
        <f t="shared" si="7"/>
        <v>6.5640083693566336</v>
      </c>
      <c r="P70" s="6">
        <f t="shared" si="8"/>
        <v>0.68265687041308976</v>
      </c>
      <c r="Q70" s="10">
        <f t="shared" si="9"/>
        <v>1.4222018133606039E-2</v>
      </c>
      <c r="R70" s="10">
        <f t="shared" si="10"/>
        <v>6.5203959487576693E-2</v>
      </c>
      <c r="S70" s="10">
        <f t="shared" si="11"/>
        <v>7.9425977621182725E-2</v>
      </c>
    </row>
    <row r="71" spans="1:19" x14ac:dyDescent="0.25">
      <c r="A71" s="5" t="s">
        <v>8</v>
      </c>
      <c r="B71" s="5" t="s">
        <v>291</v>
      </c>
      <c r="C71" s="5" t="s">
        <v>27</v>
      </c>
      <c r="D71" s="5" t="s">
        <v>385</v>
      </c>
      <c r="E71" s="5" t="s">
        <v>387</v>
      </c>
      <c r="F71" s="5" t="s">
        <v>52</v>
      </c>
      <c r="G71" s="5" t="s">
        <v>394</v>
      </c>
      <c r="H71" s="5" t="s">
        <v>56</v>
      </c>
      <c r="I71" s="5" t="s">
        <v>57</v>
      </c>
      <c r="J71" s="15">
        <v>1742</v>
      </c>
      <c r="K71" s="7">
        <v>24.9</v>
      </c>
      <c r="L71" s="7">
        <f t="shared" si="6"/>
        <v>69.959839357429729</v>
      </c>
      <c r="M71" s="5" t="s">
        <v>10</v>
      </c>
      <c r="N71" s="5">
        <v>4</v>
      </c>
      <c r="O71" s="6">
        <f t="shared" si="7"/>
        <v>5.3287552700762904</v>
      </c>
      <c r="P71" s="6">
        <f t="shared" si="8"/>
        <v>0.55419054808793411</v>
      </c>
      <c r="Q71" s="10">
        <f t="shared" si="9"/>
        <v>1.154563641849863E-2</v>
      </c>
      <c r="R71" s="10">
        <f t="shared" si="10"/>
        <v>5.5765609812803228E-2</v>
      </c>
      <c r="S71" s="10">
        <f t="shared" si="11"/>
        <v>6.7311246231301858E-2</v>
      </c>
    </row>
    <row r="72" spans="1:19" x14ac:dyDescent="0.25">
      <c r="A72" s="5" t="s">
        <v>8</v>
      </c>
      <c r="B72" s="5" t="s">
        <v>329</v>
      </c>
      <c r="C72" s="5" t="s">
        <v>27</v>
      </c>
      <c r="D72" s="5" t="s">
        <v>385</v>
      </c>
      <c r="E72" s="5" t="s">
        <v>387</v>
      </c>
      <c r="F72" s="5" t="s">
        <v>52</v>
      </c>
      <c r="G72" s="5" t="s">
        <v>394</v>
      </c>
      <c r="H72" s="5" t="s">
        <v>56</v>
      </c>
      <c r="I72" s="5" t="s">
        <v>94</v>
      </c>
      <c r="J72" s="15">
        <v>3680</v>
      </c>
      <c r="K72" s="7">
        <v>35.5</v>
      </c>
      <c r="L72" s="7">
        <f t="shared" si="6"/>
        <v>103.66197183098592</v>
      </c>
      <c r="M72" s="5" t="s">
        <v>10</v>
      </c>
      <c r="N72" s="5">
        <v>4</v>
      </c>
      <c r="O72" s="6">
        <f t="shared" si="7"/>
        <v>24.715350128942671</v>
      </c>
      <c r="P72" s="6">
        <f t="shared" si="8"/>
        <v>2.5703964134100374</v>
      </c>
      <c r="Q72" s="10">
        <f t="shared" si="9"/>
        <v>5.3549925279375778E-2</v>
      </c>
      <c r="R72" s="10">
        <f t="shared" si="10"/>
        <v>0.17624718927922817</v>
      </c>
      <c r="S72" s="10">
        <f t="shared" si="11"/>
        <v>0.22979711455860394</v>
      </c>
    </row>
    <row r="73" spans="1:19" x14ac:dyDescent="0.25">
      <c r="A73" s="5" t="s">
        <v>22</v>
      </c>
      <c r="B73" s="5" t="s">
        <v>63</v>
      </c>
      <c r="C73" s="5" t="s">
        <v>27</v>
      </c>
      <c r="D73" s="5" t="s">
        <v>385</v>
      </c>
      <c r="E73" s="5" t="s">
        <v>387</v>
      </c>
      <c r="F73" s="5" t="s">
        <v>52</v>
      </c>
      <c r="G73" s="5" t="s">
        <v>394</v>
      </c>
      <c r="H73" s="5" t="s">
        <v>56</v>
      </c>
      <c r="I73" s="5" t="s">
        <v>151</v>
      </c>
      <c r="J73" s="15">
        <v>3150</v>
      </c>
      <c r="K73" s="7">
        <v>32.5</v>
      </c>
      <c r="L73" s="7">
        <f t="shared" si="6"/>
        <v>96.92307692307692</v>
      </c>
      <c r="M73" s="5" t="s">
        <v>10</v>
      </c>
      <c r="N73" s="5">
        <v>4</v>
      </c>
      <c r="O73" s="6">
        <f t="shared" si="7"/>
        <v>18.494600591715976</v>
      </c>
      <c r="P73" s="6">
        <f t="shared" si="8"/>
        <v>1.9234384615384612</v>
      </c>
      <c r="Q73" s="10">
        <f t="shared" si="9"/>
        <v>4.0071634615384613E-2</v>
      </c>
      <c r="R73" s="10">
        <f t="shared" si="10"/>
        <v>0.14180150554274765</v>
      </c>
      <c r="S73" s="10">
        <f t="shared" si="11"/>
        <v>0.18187314015813227</v>
      </c>
    </row>
    <row r="74" spans="1:19" x14ac:dyDescent="0.25">
      <c r="A74" s="5" t="s">
        <v>8</v>
      </c>
      <c r="B74" s="5" t="s">
        <v>217</v>
      </c>
      <c r="C74" s="5" t="s">
        <v>27</v>
      </c>
      <c r="D74" s="5" t="s">
        <v>385</v>
      </c>
      <c r="E74" s="5" t="s">
        <v>387</v>
      </c>
      <c r="F74" s="5" t="s">
        <v>52</v>
      </c>
      <c r="G74" s="5" t="s">
        <v>394</v>
      </c>
      <c r="H74" s="5" t="s">
        <v>56</v>
      </c>
      <c r="I74" s="5" t="s">
        <v>151</v>
      </c>
      <c r="J74" s="15">
        <v>3100</v>
      </c>
      <c r="K74" s="7">
        <v>34.1</v>
      </c>
      <c r="L74" s="7">
        <f t="shared" si="6"/>
        <v>90.909090909090907</v>
      </c>
      <c r="M74" s="5" t="s">
        <v>10</v>
      </c>
      <c r="N74" s="5">
        <v>4</v>
      </c>
      <c r="O74" s="6">
        <f t="shared" si="7"/>
        <v>16.012396694214875</v>
      </c>
      <c r="P74" s="6">
        <f t="shared" si="8"/>
        <v>1.6652892561983468</v>
      </c>
      <c r="Q74" s="10">
        <f t="shared" si="9"/>
        <v>3.4693526170798898E-2</v>
      </c>
      <c r="R74" s="10">
        <f t="shared" si="10"/>
        <v>0.12727390813293155</v>
      </c>
      <c r="S74" s="10">
        <f t="shared" si="11"/>
        <v>0.16196743430373045</v>
      </c>
    </row>
    <row r="75" spans="1:19" x14ac:dyDescent="0.25">
      <c r="A75" s="5" t="s">
        <v>22</v>
      </c>
      <c r="B75" s="5" t="s">
        <v>63</v>
      </c>
      <c r="C75" s="5" t="s">
        <v>27</v>
      </c>
      <c r="D75" s="5" t="s">
        <v>385</v>
      </c>
      <c r="E75" s="5" t="s">
        <v>387</v>
      </c>
      <c r="F75" s="5" t="s">
        <v>52</v>
      </c>
      <c r="G75" s="5" t="s">
        <v>394</v>
      </c>
      <c r="H75" s="5" t="s">
        <v>106</v>
      </c>
      <c r="I75" s="5" t="s">
        <v>107</v>
      </c>
      <c r="J75" s="15">
        <v>1025</v>
      </c>
      <c r="K75" s="7">
        <v>23.5</v>
      </c>
      <c r="L75" s="7">
        <f t="shared" si="6"/>
        <v>43.617021276595743</v>
      </c>
      <c r="M75" s="5" t="s">
        <v>10</v>
      </c>
      <c r="N75" s="5">
        <v>4</v>
      </c>
      <c r="O75" s="6">
        <f t="shared" si="7"/>
        <v>1.2187535366681754</v>
      </c>
      <c r="P75" s="6">
        <f t="shared" si="8"/>
        <v>0.12675036781349025</v>
      </c>
      <c r="Q75" s="10">
        <f t="shared" si="9"/>
        <v>2.640632662781047E-3</v>
      </c>
      <c r="R75" s="10">
        <f t="shared" si="10"/>
        <v>1.8443105096462079E-2</v>
      </c>
      <c r="S75" s="10">
        <f t="shared" si="11"/>
        <v>2.1083737759243125E-2</v>
      </c>
    </row>
    <row r="76" spans="1:19" x14ac:dyDescent="0.25">
      <c r="A76" s="5" t="s">
        <v>8</v>
      </c>
      <c r="B76" s="5" t="s">
        <v>154</v>
      </c>
      <c r="C76" s="5" t="s">
        <v>27</v>
      </c>
      <c r="D76" s="5" t="s">
        <v>385</v>
      </c>
      <c r="E76" s="5" t="s">
        <v>387</v>
      </c>
      <c r="F76" s="5" t="s">
        <v>52</v>
      </c>
      <c r="G76" s="5" t="s">
        <v>394</v>
      </c>
      <c r="H76" s="5" t="s">
        <v>108</v>
      </c>
      <c r="I76" s="5" t="s">
        <v>155</v>
      </c>
      <c r="J76" s="15">
        <v>1570</v>
      </c>
      <c r="K76" s="7">
        <v>32.5</v>
      </c>
      <c r="L76" s="7">
        <f t="shared" ref="L76:L139" si="12">J76/K76</f>
        <v>48.307692307692307</v>
      </c>
      <c r="M76" s="5" t="s">
        <v>10</v>
      </c>
      <c r="N76" s="5">
        <v>4</v>
      </c>
      <c r="O76" s="6">
        <f t="shared" ref="O76:O139" si="13">(J76*L76^2)/(1.6*10^6)</f>
        <v>2.2898775147928991</v>
      </c>
      <c r="P76" s="6">
        <f t="shared" ref="P76:P139" si="14">(0.104*J76*L76^2)/(1.6*10^6)</f>
        <v>0.2381472615384615</v>
      </c>
      <c r="Q76" s="10">
        <f t="shared" ref="Q76:Q139" si="15">(0.104*O76)/(12*N76)</f>
        <v>4.9614012820512815E-3</v>
      </c>
      <c r="R76" s="10">
        <f t="shared" ref="R76:R139" si="16">0.0159*O76^0.75</f>
        <v>2.9597587543075777E-2</v>
      </c>
      <c r="S76" s="10">
        <f t="shared" ref="S76:S139" si="17">Q76+R76</f>
        <v>3.4558988825127056E-2</v>
      </c>
    </row>
    <row r="77" spans="1:19" x14ac:dyDescent="0.25">
      <c r="A77" s="5" t="s">
        <v>22</v>
      </c>
      <c r="B77" s="5" t="s">
        <v>63</v>
      </c>
      <c r="C77" s="5" t="s">
        <v>27</v>
      </c>
      <c r="D77" s="5" t="s">
        <v>385</v>
      </c>
      <c r="E77" s="5" t="s">
        <v>387</v>
      </c>
      <c r="F77" s="5" t="s">
        <v>112</v>
      </c>
      <c r="G77" s="5" t="s">
        <v>395</v>
      </c>
      <c r="H77" s="5" t="s">
        <v>131</v>
      </c>
      <c r="I77" s="5" t="s">
        <v>132</v>
      </c>
      <c r="J77" s="15">
        <v>1175</v>
      </c>
      <c r="K77" s="7">
        <v>40</v>
      </c>
      <c r="L77" s="7">
        <f t="shared" si="12"/>
        <v>29.375</v>
      </c>
      <c r="M77" s="5" t="s">
        <v>10</v>
      </c>
      <c r="N77" s="5">
        <v>4</v>
      </c>
      <c r="O77" s="6">
        <f t="shared" si="13"/>
        <v>0.63368530273437496</v>
      </c>
      <c r="P77" s="6">
        <f t="shared" si="14"/>
        <v>6.5903271484374998E-2</v>
      </c>
      <c r="Q77" s="10">
        <f t="shared" si="15"/>
        <v>1.3729848225911459E-3</v>
      </c>
      <c r="R77" s="10">
        <f t="shared" si="16"/>
        <v>1.1292818553521496E-2</v>
      </c>
      <c r="S77" s="10">
        <f t="shared" si="17"/>
        <v>1.2665803376112641E-2</v>
      </c>
    </row>
    <row r="78" spans="1:19" x14ac:dyDescent="0.25">
      <c r="A78" s="5" t="s">
        <v>22</v>
      </c>
      <c r="B78" s="5" t="s">
        <v>63</v>
      </c>
      <c r="C78" s="5" t="s">
        <v>27</v>
      </c>
      <c r="D78" s="5" t="s">
        <v>385</v>
      </c>
      <c r="E78" s="5" t="s">
        <v>387</v>
      </c>
      <c r="F78" s="5" t="s">
        <v>112</v>
      </c>
      <c r="G78" s="5" t="s">
        <v>395</v>
      </c>
      <c r="H78" s="5" t="s">
        <v>129</v>
      </c>
      <c r="I78" s="5" t="s">
        <v>130</v>
      </c>
      <c r="J78" s="15">
        <v>2750</v>
      </c>
      <c r="K78" s="7">
        <v>41.5</v>
      </c>
      <c r="L78" s="7">
        <f t="shared" si="12"/>
        <v>66.265060240963862</v>
      </c>
      <c r="M78" s="5" t="s">
        <v>10</v>
      </c>
      <c r="N78" s="5">
        <v>4</v>
      </c>
      <c r="O78" s="6">
        <f t="shared" si="13"/>
        <v>7.5471312962694164</v>
      </c>
      <c r="P78" s="6">
        <f t="shared" si="14"/>
        <v>0.78490165481201923</v>
      </c>
      <c r="Q78" s="10">
        <f t="shared" si="15"/>
        <v>1.6352117808583734E-2</v>
      </c>
      <c r="R78" s="10">
        <f t="shared" si="16"/>
        <v>7.2399164332052277E-2</v>
      </c>
      <c r="S78" s="10">
        <f t="shared" si="17"/>
        <v>8.8751282140636018E-2</v>
      </c>
    </row>
    <row r="79" spans="1:19" x14ac:dyDescent="0.25">
      <c r="A79" s="5" t="s">
        <v>22</v>
      </c>
      <c r="B79" s="5" t="s">
        <v>63</v>
      </c>
      <c r="C79" s="5" t="s">
        <v>27</v>
      </c>
      <c r="D79" s="5" t="s">
        <v>385</v>
      </c>
      <c r="E79" s="5" t="s">
        <v>387</v>
      </c>
      <c r="F79" s="5" t="s">
        <v>112</v>
      </c>
      <c r="G79" s="5" t="s">
        <v>395</v>
      </c>
      <c r="H79" s="5" t="s">
        <v>123</v>
      </c>
      <c r="I79" s="5" t="s">
        <v>124</v>
      </c>
      <c r="J79" s="15">
        <v>1900</v>
      </c>
      <c r="K79" s="7">
        <v>31</v>
      </c>
      <c r="L79" s="7">
        <f t="shared" si="12"/>
        <v>61.29032258064516</v>
      </c>
      <c r="M79" s="5" t="s">
        <v>10</v>
      </c>
      <c r="N79" s="5">
        <v>4</v>
      </c>
      <c r="O79" s="6">
        <f t="shared" si="13"/>
        <v>4.4608480749219561</v>
      </c>
      <c r="P79" s="6">
        <f t="shared" si="14"/>
        <v>0.46392819979188343</v>
      </c>
      <c r="Q79" s="10">
        <f t="shared" si="15"/>
        <v>9.6651708289975709E-3</v>
      </c>
      <c r="R79" s="10">
        <f t="shared" si="16"/>
        <v>4.8804537187392021E-2</v>
      </c>
      <c r="S79" s="10">
        <f t="shared" si="17"/>
        <v>5.8469708016389593E-2</v>
      </c>
    </row>
    <row r="80" spans="1:19" x14ac:dyDescent="0.25">
      <c r="A80" s="5" t="s">
        <v>22</v>
      </c>
      <c r="B80" s="5" t="s">
        <v>63</v>
      </c>
      <c r="C80" s="5" t="s">
        <v>27</v>
      </c>
      <c r="D80" s="5" t="s">
        <v>385</v>
      </c>
      <c r="E80" s="5" t="s">
        <v>387</v>
      </c>
      <c r="F80" s="5" t="s">
        <v>112</v>
      </c>
      <c r="G80" s="5" t="s">
        <v>395</v>
      </c>
      <c r="H80" s="5" t="s">
        <v>127</v>
      </c>
      <c r="I80" s="5" t="s">
        <v>128</v>
      </c>
      <c r="J80" s="15">
        <v>2730</v>
      </c>
      <c r="K80" s="7">
        <v>35.5</v>
      </c>
      <c r="L80" s="7">
        <f t="shared" si="12"/>
        <v>76.901408450704224</v>
      </c>
      <c r="M80" s="5" t="s">
        <v>10</v>
      </c>
      <c r="N80" s="5">
        <v>4</v>
      </c>
      <c r="O80" s="6">
        <f t="shared" si="13"/>
        <v>10.09046667327911</v>
      </c>
      <c r="P80" s="6">
        <f t="shared" si="14"/>
        <v>1.0494085340210273</v>
      </c>
      <c r="Q80" s="10">
        <f t="shared" si="15"/>
        <v>2.1862677792104736E-2</v>
      </c>
      <c r="R80" s="10">
        <f t="shared" si="16"/>
        <v>9.0018249545225748E-2</v>
      </c>
      <c r="S80" s="10">
        <f t="shared" si="17"/>
        <v>0.11188092733733049</v>
      </c>
    </row>
    <row r="81" spans="1:19" x14ac:dyDescent="0.25">
      <c r="A81" s="5" t="s">
        <v>8</v>
      </c>
      <c r="B81" s="5" t="s">
        <v>333</v>
      </c>
      <c r="C81" s="5" t="s">
        <v>27</v>
      </c>
      <c r="D81" s="5" t="s">
        <v>385</v>
      </c>
      <c r="E81" s="5" t="s">
        <v>387</v>
      </c>
      <c r="F81" s="5" t="s">
        <v>112</v>
      </c>
      <c r="G81" s="5" t="s">
        <v>395</v>
      </c>
      <c r="H81" s="5" t="s">
        <v>127</v>
      </c>
      <c r="I81" s="5" t="s">
        <v>335</v>
      </c>
      <c r="J81" s="15">
        <v>2210</v>
      </c>
      <c r="K81" s="7">
        <v>28.6</v>
      </c>
      <c r="L81" s="7">
        <f t="shared" si="12"/>
        <v>77.272727272727266</v>
      </c>
      <c r="M81" s="5" t="s">
        <v>10</v>
      </c>
      <c r="N81" s="5">
        <v>4</v>
      </c>
      <c r="O81" s="6">
        <f t="shared" si="13"/>
        <v>8.2475464876033033</v>
      </c>
      <c r="P81" s="6">
        <f t="shared" si="14"/>
        <v>0.85774483471074359</v>
      </c>
      <c r="Q81" s="10">
        <f t="shared" si="15"/>
        <v>1.7869684056473822E-2</v>
      </c>
      <c r="R81" s="10">
        <f t="shared" si="16"/>
        <v>7.7382134205359915E-2</v>
      </c>
      <c r="S81" s="10">
        <f t="shared" si="17"/>
        <v>9.5251818261833737E-2</v>
      </c>
    </row>
    <row r="82" spans="1:19" x14ac:dyDescent="0.25">
      <c r="A82" s="5" t="s">
        <v>8</v>
      </c>
      <c r="B82" s="5" t="s">
        <v>239</v>
      </c>
      <c r="C82" s="5" t="s">
        <v>27</v>
      </c>
      <c r="D82" s="5" t="s">
        <v>385</v>
      </c>
      <c r="E82" s="5" t="s">
        <v>387</v>
      </c>
      <c r="F82" s="5" t="s">
        <v>112</v>
      </c>
      <c r="G82" s="5" t="s">
        <v>395</v>
      </c>
      <c r="H82" s="5" t="s">
        <v>127</v>
      </c>
      <c r="I82" s="5" t="s">
        <v>240</v>
      </c>
      <c r="J82" s="15">
        <v>2800</v>
      </c>
      <c r="K82" s="7">
        <v>34.299999999999997</v>
      </c>
      <c r="L82" s="7">
        <f t="shared" si="12"/>
        <v>81.632653061224502</v>
      </c>
      <c r="M82" s="5" t="s">
        <v>10</v>
      </c>
      <c r="N82" s="5">
        <v>4</v>
      </c>
      <c r="O82" s="6">
        <f t="shared" si="13"/>
        <v>11.661807580174932</v>
      </c>
      <c r="P82" s="6">
        <f t="shared" si="14"/>
        <v>1.2128279883381927</v>
      </c>
      <c r="Q82" s="10">
        <f t="shared" si="15"/>
        <v>2.5267249757045685E-2</v>
      </c>
      <c r="R82" s="10">
        <f t="shared" si="16"/>
        <v>0.10033940647782641</v>
      </c>
      <c r="S82" s="10">
        <f t="shared" si="17"/>
        <v>0.1256066562348721</v>
      </c>
    </row>
    <row r="83" spans="1:19" x14ac:dyDescent="0.25">
      <c r="A83" s="5" t="s">
        <v>8</v>
      </c>
      <c r="B83" s="5" t="s">
        <v>333</v>
      </c>
      <c r="C83" s="5" t="s">
        <v>27</v>
      </c>
      <c r="D83" s="5" t="s">
        <v>385</v>
      </c>
      <c r="E83" s="5" t="s">
        <v>387</v>
      </c>
      <c r="F83" s="5" t="s">
        <v>112</v>
      </c>
      <c r="G83" s="5" t="s">
        <v>395</v>
      </c>
      <c r="H83" s="5" t="s">
        <v>127</v>
      </c>
      <c r="I83" s="5" t="s">
        <v>240</v>
      </c>
      <c r="J83" s="15">
        <v>2630</v>
      </c>
      <c r="K83" s="7">
        <v>31.3</v>
      </c>
      <c r="L83" s="7">
        <f t="shared" si="12"/>
        <v>84.025559105431313</v>
      </c>
      <c r="M83" s="5" t="s">
        <v>10</v>
      </c>
      <c r="N83" s="5">
        <v>4</v>
      </c>
      <c r="O83" s="6">
        <f t="shared" si="13"/>
        <v>11.60535922077392</v>
      </c>
      <c r="P83" s="6">
        <f t="shared" si="14"/>
        <v>1.2069573589604874</v>
      </c>
      <c r="Q83" s="10">
        <f t="shared" si="15"/>
        <v>2.5144944978343492E-2</v>
      </c>
      <c r="R83" s="10">
        <f t="shared" si="16"/>
        <v>9.9974919960367822E-2</v>
      </c>
      <c r="S83" s="10">
        <f t="shared" si="17"/>
        <v>0.1251198649387113</v>
      </c>
    </row>
    <row r="84" spans="1:19" x14ac:dyDescent="0.25">
      <c r="A84" s="5" t="s">
        <v>8</v>
      </c>
      <c r="B84" s="5" t="s">
        <v>281</v>
      </c>
      <c r="C84" s="5" t="s">
        <v>27</v>
      </c>
      <c r="D84" s="5" t="s">
        <v>385</v>
      </c>
      <c r="E84" s="5" t="s">
        <v>387</v>
      </c>
      <c r="F84" s="5" t="s">
        <v>112</v>
      </c>
      <c r="G84" s="5" t="s">
        <v>395</v>
      </c>
      <c r="H84" s="5" t="s">
        <v>127</v>
      </c>
      <c r="I84" s="5" t="s">
        <v>283</v>
      </c>
      <c r="J84" s="15">
        <v>2700</v>
      </c>
      <c r="K84" s="7">
        <v>35.5</v>
      </c>
      <c r="L84" s="7">
        <f t="shared" si="12"/>
        <v>76.056338028169009</v>
      </c>
      <c r="M84" s="5" t="s">
        <v>10</v>
      </c>
      <c r="N84" s="5">
        <v>4</v>
      </c>
      <c r="O84" s="6">
        <f t="shared" si="13"/>
        <v>9.761456060305493</v>
      </c>
      <c r="P84" s="6">
        <f t="shared" si="14"/>
        <v>1.0151914302717713</v>
      </c>
      <c r="Q84" s="10">
        <f t="shared" si="15"/>
        <v>2.1149821463995234E-2</v>
      </c>
      <c r="R84" s="10">
        <f t="shared" si="16"/>
        <v>8.7807796146606665E-2</v>
      </c>
      <c r="S84" s="10">
        <f t="shared" si="17"/>
        <v>0.1089576176106019</v>
      </c>
    </row>
    <row r="85" spans="1:19" x14ac:dyDescent="0.25">
      <c r="A85" s="5" t="s">
        <v>8</v>
      </c>
      <c r="B85" s="5" t="s">
        <v>333</v>
      </c>
      <c r="C85" s="5" t="s">
        <v>27</v>
      </c>
      <c r="D85" s="5" t="s">
        <v>385</v>
      </c>
      <c r="E85" s="5" t="s">
        <v>387</v>
      </c>
      <c r="F85" s="5" t="s">
        <v>112</v>
      </c>
      <c r="G85" s="5" t="s">
        <v>395</v>
      </c>
      <c r="H85" s="5" t="s">
        <v>127</v>
      </c>
      <c r="I85" s="5" t="s">
        <v>334</v>
      </c>
      <c r="J85" s="15">
        <v>2470</v>
      </c>
      <c r="K85" s="7">
        <v>32.4</v>
      </c>
      <c r="L85" s="7">
        <f t="shared" si="12"/>
        <v>76.23456790123457</v>
      </c>
      <c r="M85" s="5" t="s">
        <v>10</v>
      </c>
      <c r="N85" s="5">
        <v>4</v>
      </c>
      <c r="O85" s="6">
        <f t="shared" si="13"/>
        <v>8.9718262983920134</v>
      </c>
      <c r="P85" s="6">
        <f t="shared" si="14"/>
        <v>0.93306993503276947</v>
      </c>
      <c r="Q85" s="10">
        <f t="shared" si="15"/>
        <v>1.9438956979849362E-2</v>
      </c>
      <c r="R85" s="10">
        <f t="shared" si="16"/>
        <v>8.2424774346458729E-2</v>
      </c>
      <c r="S85" s="10">
        <f t="shared" si="17"/>
        <v>0.10186373132630809</v>
      </c>
    </row>
    <row r="86" spans="1:19" x14ac:dyDescent="0.25">
      <c r="A86" s="5" t="s">
        <v>8</v>
      </c>
      <c r="B86" s="5" t="s">
        <v>156</v>
      </c>
      <c r="C86" s="5" t="s">
        <v>27</v>
      </c>
      <c r="D86" s="5" t="s">
        <v>385</v>
      </c>
      <c r="E86" s="5" t="s">
        <v>387</v>
      </c>
      <c r="F86" s="5" t="s">
        <v>112</v>
      </c>
      <c r="G86" s="5" t="s">
        <v>395</v>
      </c>
      <c r="H86" s="5" t="s">
        <v>127</v>
      </c>
      <c r="I86" s="5" t="s">
        <v>160</v>
      </c>
      <c r="J86" s="15">
        <v>2119</v>
      </c>
      <c r="K86" s="7">
        <v>36</v>
      </c>
      <c r="L86" s="7">
        <f t="shared" si="12"/>
        <v>58.861111111111114</v>
      </c>
      <c r="M86" s="5" t="s">
        <v>10</v>
      </c>
      <c r="N86" s="5">
        <v>4</v>
      </c>
      <c r="O86" s="6">
        <f t="shared" si="13"/>
        <v>4.5884698876350312</v>
      </c>
      <c r="P86" s="6">
        <f t="shared" si="14"/>
        <v>0.47720086831404318</v>
      </c>
      <c r="Q86" s="10">
        <f t="shared" si="15"/>
        <v>9.9416847565425674E-3</v>
      </c>
      <c r="R86" s="10">
        <f t="shared" si="16"/>
        <v>4.9848034494641785E-2</v>
      </c>
      <c r="S86" s="10">
        <f t="shared" si="17"/>
        <v>5.9789719251184356E-2</v>
      </c>
    </row>
    <row r="87" spans="1:19" x14ac:dyDescent="0.25">
      <c r="A87" s="5" t="s">
        <v>22</v>
      </c>
      <c r="B87" s="5" t="s">
        <v>63</v>
      </c>
      <c r="C87" s="5" t="s">
        <v>27</v>
      </c>
      <c r="D87" s="5" t="s">
        <v>385</v>
      </c>
      <c r="E87" s="5" t="s">
        <v>387</v>
      </c>
      <c r="F87" s="5" t="s">
        <v>112</v>
      </c>
      <c r="G87" s="5" t="s">
        <v>395</v>
      </c>
      <c r="H87" s="5" t="s">
        <v>125</v>
      </c>
      <c r="I87" s="5" t="s">
        <v>126</v>
      </c>
      <c r="J87" s="15">
        <v>1150</v>
      </c>
      <c r="K87" s="7">
        <v>22.5</v>
      </c>
      <c r="L87" s="7">
        <f t="shared" si="12"/>
        <v>51.111111111111114</v>
      </c>
      <c r="M87" s="5" t="s">
        <v>10</v>
      </c>
      <c r="N87" s="5">
        <v>4</v>
      </c>
      <c r="O87" s="6">
        <f t="shared" si="13"/>
        <v>1.8776234567901235</v>
      </c>
      <c r="P87" s="6">
        <f t="shared" si="14"/>
        <v>0.19527283950617286</v>
      </c>
      <c r="Q87" s="10">
        <f t="shared" si="15"/>
        <v>4.0681841563786009E-3</v>
      </c>
      <c r="R87" s="10">
        <f t="shared" si="16"/>
        <v>2.5503718193814025E-2</v>
      </c>
      <c r="S87" s="10">
        <f t="shared" si="17"/>
        <v>2.9571902350192626E-2</v>
      </c>
    </row>
    <row r="88" spans="1:19" x14ac:dyDescent="0.25">
      <c r="A88" s="5" t="s">
        <v>22</v>
      </c>
      <c r="B88" s="5" t="s">
        <v>63</v>
      </c>
      <c r="C88" s="5" t="s">
        <v>27</v>
      </c>
      <c r="D88" s="5" t="s">
        <v>385</v>
      </c>
      <c r="E88" s="5" t="s">
        <v>387</v>
      </c>
      <c r="F88" s="5" t="s">
        <v>112</v>
      </c>
      <c r="G88" s="5" t="s">
        <v>391</v>
      </c>
      <c r="H88" s="5" t="s">
        <v>117</v>
      </c>
      <c r="I88" s="5" t="s">
        <v>118</v>
      </c>
      <c r="J88" s="15">
        <v>570</v>
      </c>
      <c r="K88" s="7">
        <v>20</v>
      </c>
      <c r="L88" s="7">
        <f t="shared" si="12"/>
        <v>28.5</v>
      </c>
      <c r="M88" s="5" t="s">
        <v>10</v>
      </c>
      <c r="N88" s="5">
        <v>4</v>
      </c>
      <c r="O88" s="6">
        <f t="shared" si="13"/>
        <v>0.28936406250000002</v>
      </c>
      <c r="P88" s="6">
        <f t="shared" si="14"/>
        <v>3.0093862499999995E-2</v>
      </c>
      <c r="Q88" s="10">
        <f t="shared" si="15"/>
        <v>6.2695546875000008E-4</v>
      </c>
      <c r="R88" s="10">
        <f t="shared" si="16"/>
        <v>6.2730762879062542E-3</v>
      </c>
      <c r="S88" s="10">
        <f t="shared" si="17"/>
        <v>6.9000317566562542E-3</v>
      </c>
    </row>
    <row r="89" spans="1:19" x14ac:dyDescent="0.25">
      <c r="A89" s="5" t="s">
        <v>22</v>
      </c>
      <c r="B89" s="5" t="s">
        <v>63</v>
      </c>
      <c r="C89" s="5" t="s">
        <v>27</v>
      </c>
      <c r="D89" s="5" t="s">
        <v>385</v>
      </c>
      <c r="E89" s="5" t="s">
        <v>387</v>
      </c>
      <c r="F89" s="5" t="s">
        <v>112</v>
      </c>
      <c r="G89" s="5" t="s">
        <v>391</v>
      </c>
      <c r="H89" s="5" t="s">
        <v>122</v>
      </c>
      <c r="I89" s="5" t="s">
        <v>19</v>
      </c>
      <c r="J89" s="15">
        <v>1200</v>
      </c>
      <c r="K89" s="7">
        <v>42</v>
      </c>
      <c r="L89" s="7">
        <f t="shared" si="12"/>
        <v>28.571428571428573</v>
      </c>
      <c r="M89" s="5" t="s">
        <v>10</v>
      </c>
      <c r="N89" s="5">
        <v>4</v>
      </c>
      <c r="O89" s="6">
        <f t="shared" si="13"/>
        <v>0.61224489795918369</v>
      </c>
      <c r="P89" s="6">
        <f t="shared" si="14"/>
        <v>6.3673469387755102E-2</v>
      </c>
      <c r="Q89" s="10">
        <f t="shared" si="15"/>
        <v>1.326530612244898E-3</v>
      </c>
      <c r="R89" s="10">
        <f t="shared" si="16"/>
        <v>1.1005024287086839E-2</v>
      </c>
      <c r="S89" s="10">
        <f t="shared" si="17"/>
        <v>1.2331554899331737E-2</v>
      </c>
    </row>
    <row r="90" spans="1:19" x14ac:dyDescent="0.25">
      <c r="A90" s="5" t="s">
        <v>22</v>
      </c>
      <c r="B90" s="5" t="s">
        <v>63</v>
      </c>
      <c r="C90" s="5" t="s">
        <v>27</v>
      </c>
      <c r="D90" s="5" t="s">
        <v>385</v>
      </c>
      <c r="E90" s="5" t="s">
        <v>387</v>
      </c>
      <c r="F90" s="5" t="s">
        <v>112</v>
      </c>
      <c r="G90" s="5" t="s">
        <v>391</v>
      </c>
      <c r="H90" s="5" t="s">
        <v>53</v>
      </c>
      <c r="I90" s="5" t="s">
        <v>143</v>
      </c>
      <c r="J90" s="15">
        <v>2360</v>
      </c>
      <c r="K90" s="7">
        <v>39.5</v>
      </c>
      <c r="L90" s="7">
        <f t="shared" si="12"/>
        <v>59.746835443037973</v>
      </c>
      <c r="M90" s="5" t="s">
        <v>10</v>
      </c>
      <c r="N90" s="5">
        <v>4</v>
      </c>
      <c r="O90" s="6">
        <f t="shared" si="13"/>
        <v>5.2652844095497517</v>
      </c>
      <c r="P90" s="6">
        <f t="shared" si="14"/>
        <v>0.54758957859317414</v>
      </c>
      <c r="Q90" s="10">
        <f t="shared" si="15"/>
        <v>1.1408116220691128E-2</v>
      </c>
      <c r="R90" s="10">
        <f t="shared" si="16"/>
        <v>5.5266695818139089E-2</v>
      </c>
      <c r="S90" s="10">
        <f t="shared" si="17"/>
        <v>6.6674812038830217E-2</v>
      </c>
    </row>
    <row r="91" spans="1:19" x14ac:dyDescent="0.25">
      <c r="A91" s="5" t="s">
        <v>8</v>
      </c>
      <c r="B91" s="5" t="s">
        <v>363</v>
      </c>
      <c r="C91" s="5" t="s">
        <v>27</v>
      </c>
      <c r="D91" s="5" t="s">
        <v>385</v>
      </c>
      <c r="E91" s="5" t="s">
        <v>387</v>
      </c>
      <c r="F91" s="5" t="s">
        <v>112</v>
      </c>
      <c r="G91" s="5" t="s">
        <v>391</v>
      </c>
      <c r="H91" s="5" t="s">
        <v>53</v>
      </c>
      <c r="I91" s="5" t="s">
        <v>167</v>
      </c>
      <c r="J91" s="15">
        <v>2300</v>
      </c>
      <c r="K91" s="7">
        <v>26.3</v>
      </c>
      <c r="L91" s="7">
        <f t="shared" si="12"/>
        <v>87.452471482889734</v>
      </c>
      <c r="M91" s="5" t="s">
        <v>10</v>
      </c>
      <c r="N91" s="5">
        <v>4</v>
      </c>
      <c r="O91" s="6">
        <f t="shared" si="13"/>
        <v>10.993906229669362</v>
      </c>
      <c r="P91" s="6">
        <f t="shared" si="14"/>
        <v>1.1433662478856135</v>
      </c>
      <c r="Q91" s="10">
        <f t="shared" si="15"/>
        <v>2.3820130164283613E-2</v>
      </c>
      <c r="R91" s="10">
        <f t="shared" si="16"/>
        <v>9.5997770223245141E-2</v>
      </c>
      <c r="S91" s="10">
        <f t="shared" si="17"/>
        <v>0.11981790038752875</v>
      </c>
    </row>
    <row r="92" spans="1:19" x14ac:dyDescent="0.25">
      <c r="A92" s="5" t="s">
        <v>8</v>
      </c>
      <c r="B92" s="5" t="s">
        <v>347</v>
      </c>
      <c r="C92" s="5" t="s">
        <v>27</v>
      </c>
      <c r="D92" s="5" t="s">
        <v>385</v>
      </c>
      <c r="E92" s="5" t="s">
        <v>387</v>
      </c>
      <c r="F92" s="5" t="s">
        <v>112</v>
      </c>
      <c r="G92" s="5" t="s">
        <v>391</v>
      </c>
      <c r="H92" s="5" t="s">
        <v>53</v>
      </c>
      <c r="I92" s="5" t="s">
        <v>348</v>
      </c>
      <c r="J92" s="15">
        <v>1750</v>
      </c>
      <c r="K92" s="7">
        <v>38</v>
      </c>
      <c r="L92" s="7">
        <f t="shared" si="12"/>
        <v>46.05263157894737</v>
      </c>
      <c r="M92" s="5" t="s">
        <v>10</v>
      </c>
      <c r="N92" s="5">
        <v>4</v>
      </c>
      <c r="O92" s="6">
        <f t="shared" si="13"/>
        <v>2.3196740824099722</v>
      </c>
      <c r="P92" s="6">
        <f t="shared" si="14"/>
        <v>0.24124610457063711</v>
      </c>
      <c r="Q92" s="10">
        <f t="shared" si="15"/>
        <v>5.0259605118882734E-3</v>
      </c>
      <c r="R92" s="10">
        <f t="shared" si="16"/>
        <v>2.988596970978951E-2</v>
      </c>
      <c r="S92" s="10">
        <f t="shared" si="17"/>
        <v>3.4911930221677781E-2</v>
      </c>
    </row>
    <row r="93" spans="1:19" x14ac:dyDescent="0.25">
      <c r="A93" s="5" t="s">
        <v>8</v>
      </c>
      <c r="B93" s="5" t="s">
        <v>347</v>
      </c>
      <c r="C93" s="5" t="s">
        <v>27</v>
      </c>
      <c r="D93" s="5" t="s">
        <v>385</v>
      </c>
      <c r="E93" s="5" t="s">
        <v>387</v>
      </c>
      <c r="F93" s="5" t="s">
        <v>112</v>
      </c>
      <c r="G93" s="5" t="s">
        <v>391</v>
      </c>
      <c r="H93" s="5" t="s">
        <v>53</v>
      </c>
      <c r="I93" s="5" t="s">
        <v>348</v>
      </c>
      <c r="J93" s="15">
        <v>1450</v>
      </c>
      <c r="K93" s="7">
        <v>30</v>
      </c>
      <c r="L93" s="7">
        <f t="shared" si="12"/>
        <v>48.333333333333336</v>
      </c>
      <c r="M93" s="5" t="s">
        <v>10</v>
      </c>
      <c r="N93" s="5">
        <v>4</v>
      </c>
      <c r="O93" s="6">
        <f t="shared" si="13"/>
        <v>2.1171006944444448</v>
      </c>
      <c r="P93" s="6">
        <f t="shared" si="14"/>
        <v>0.22017847222222223</v>
      </c>
      <c r="Q93" s="10">
        <f t="shared" si="15"/>
        <v>4.5870515046296306E-3</v>
      </c>
      <c r="R93" s="10">
        <f t="shared" si="16"/>
        <v>2.7906364358137148E-2</v>
      </c>
      <c r="S93" s="10">
        <f t="shared" si="17"/>
        <v>3.2493415862766779E-2</v>
      </c>
    </row>
    <row r="94" spans="1:19" x14ac:dyDescent="0.25">
      <c r="A94" s="5" t="s">
        <v>8</v>
      </c>
      <c r="B94" s="5" t="s">
        <v>350</v>
      </c>
      <c r="C94" s="5" t="s">
        <v>27</v>
      </c>
      <c r="D94" s="5" t="s">
        <v>385</v>
      </c>
      <c r="E94" s="5" t="s">
        <v>387</v>
      </c>
      <c r="F94" s="5" t="s">
        <v>112</v>
      </c>
      <c r="G94" s="5" t="s">
        <v>391</v>
      </c>
      <c r="H94" s="5" t="s">
        <v>53</v>
      </c>
      <c r="I94" s="5" t="s">
        <v>349</v>
      </c>
      <c r="J94" s="15">
        <v>2650</v>
      </c>
      <c r="K94" s="7">
        <v>40</v>
      </c>
      <c r="L94" s="7">
        <f t="shared" si="12"/>
        <v>66.25</v>
      </c>
      <c r="M94" s="5" t="s">
        <v>10</v>
      </c>
      <c r="N94" s="5">
        <v>4</v>
      </c>
      <c r="O94" s="6">
        <f t="shared" si="13"/>
        <v>7.2693847656250004</v>
      </c>
      <c r="P94" s="6">
        <f t="shared" si="14"/>
        <v>0.75601601562499987</v>
      </c>
      <c r="Q94" s="10">
        <f t="shared" si="15"/>
        <v>1.5750333658854167E-2</v>
      </c>
      <c r="R94" s="10">
        <f t="shared" si="16"/>
        <v>7.0391523800442932E-2</v>
      </c>
      <c r="S94" s="10">
        <f t="shared" si="17"/>
        <v>8.6141857459297103E-2</v>
      </c>
    </row>
    <row r="95" spans="1:19" x14ac:dyDescent="0.25">
      <c r="A95" s="5" t="s">
        <v>8</v>
      </c>
      <c r="B95" s="5" t="s">
        <v>347</v>
      </c>
      <c r="C95" s="5" t="s">
        <v>27</v>
      </c>
      <c r="D95" s="5" t="s">
        <v>385</v>
      </c>
      <c r="E95" s="5" t="s">
        <v>387</v>
      </c>
      <c r="F95" s="5" t="s">
        <v>112</v>
      </c>
      <c r="G95" s="5" t="s">
        <v>391</v>
      </c>
      <c r="H95" s="5" t="s">
        <v>53</v>
      </c>
      <c r="I95" s="5" t="s">
        <v>349</v>
      </c>
      <c r="J95" s="15">
        <v>2500</v>
      </c>
      <c r="K95" s="7">
        <v>33.700000000000003</v>
      </c>
      <c r="L95" s="7">
        <f t="shared" si="12"/>
        <v>74.183976261127597</v>
      </c>
      <c r="M95" s="5" t="s">
        <v>10</v>
      </c>
      <c r="N95" s="5">
        <v>4</v>
      </c>
      <c r="O95" s="6">
        <f t="shared" si="13"/>
        <v>8.5988473967367849</v>
      </c>
      <c r="P95" s="6">
        <f t="shared" si="14"/>
        <v>0.89428012926062572</v>
      </c>
      <c r="Q95" s="10">
        <f t="shared" si="15"/>
        <v>1.8630836026263035E-2</v>
      </c>
      <c r="R95" s="10">
        <f t="shared" si="16"/>
        <v>7.9841245929260979E-2</v>
      </c>
      <c r="S95" s="10">
        <f t="shared" si="17"/>
        <v>9.847208195552401E-2</v>
      </c>
    </row>
    <row r="96" spans="1:19" x14ac:dyDescent="0.25">
      <c r="A96" s="5" t="s">
        <v>22</v>
      </c>
      <c r="B96" s="5" t="s">
        <v>63</v>
      </c>
      <c r="C96" s="5" t="s">
        <v>27</v>
      </c>
      <c r="D96" s="5" t="s">
        <v>385</v>
      </c>
      <c r="E96" s="5" t="s">
        <v>387</v>
      </c>
      <c r="F96" s="5" t="s">
        <v>112</v>
      </c>
      <c r="G96" s="5" t="s">
        <v>391</v>
      </c>
      <c r="H96" s="5" t="s">
        <v>53</v>
      </c>
      <c r="I96" s="5" t="s">
        <v>144</v>
      </c>
      <c r="J96" s="15">
        <v>3050</v>
      </c>
      <c r="K96" s="7">
        <v>41</v>
      </c>
      <c r="L96" s="7">
        <f t="shared" si="12"/>
        <v>74.390243902439025</v>
      </c>
      <c r="M96" s="5" t="s">
        <v>10</v>
      </c>
      <c r="N96" s="5">
        <v>4</v>
      </c>
      <c r="O96" s="6">
        <f t="shared" si="13"/>
        <v>10.549012864366448</v>
      </c>
      <c r="P96" s="6">
        <f t="shared" si="14"/>
        <v>1.0970973378941107</v>
      </c>
      <c r="Q96" s="10">
        <f t="shared" si="15"/>
        <v>2.2856194539460636E-2</v>
      </c>
      <c r="R96" s="10">
        <f t="shared" si="16"/>
        <v>9.3069202129934317E-2</v>
      </c>
      <c r="S96" s="10">
        <f t="shared" si="17"/>
        <v>0.11592539666939496</v>
      </c>
    </row>
    <row r="97" spans="1:19" x14ac:dyDescent="0.25">
      <c r="A97" s="5" t="s">
        <v>8</v>
      </c>
      <c r="B97" s="5" t="s">
        <v>378</v>
      </c>
      <c r="C97" s="5" t="s">
        <v>27</v>
      </c>
      <c r="D97" s="5" t="s">
        <v>385</v>
      </c>
      <c r="E97" s="5" t="s">
        <v>387</v>
      </c>
      <c r="F97" s="5" t="s">
        <v>112</v>
      </c>
      <c r="G97" s="5" t="s">
        <v>391</v>
      </c>
      <c r="H97" s="5" t="s">
        <v>53</v>
      </c>
      <c r="I97" s="5" t="s">
        <v>144</v>
      </c>
      <c r="J97" s="15">
        <v>3100</v>
      </c>
      <c r="K97" s="7">
        <v>41</v>
      </c>
      <c r="L97" s="7">
        <f t="shared" si="12"/>
        <v>75.609756097560975</v>
      </c>
      <c r="M97" s="5" t="s">
        <v>10</v>
      </c>
      <c r="N97" s="5">
        <v>4</v>
      </c>
      <c r="O97" s="6">
        <f t="shared" si="13"/>
        <v>11.076368233194525</v>
      </c>
      <c r="P97" s="6">
        <f t="shared" si="14"/>
        <v>1.1519422962522305</v>
      </c>
      <c r="Q97" s="10">
        <f t="shared" si="15"/>
        <v>2.3998797838588135E-2</v>
      </c>
      <c r="R97" s="10">
        <f t="shared" si="16"/>
        <v>9.6537303394980123E-2</v>
      </c>
      <c r="S97" s="10">
        <f t="shared" si="17"/>
        <v>0.12053610123356825</v>
      </c>
    </row>
    <row r="98" spans="1:19" x14ac:dyDescent="0.25">
      <c r="A98" s="5" t="s">
        <v>8</v>
      </c>
      <c r="B98" s="5" t="s">
        <v>156</v>
      </c>
      <c r="C98" s="5" t="s">
        <v>27</v>
      </c>
      <c r="D98" s="5" t="s">
        <v>385</v>
      </c>
      <c r="E98" s="5" t="s">
        <v>387</v>
      </c>
      <c r="F98" s="5" t="s">
        <v>112</v>
      </c>
      <c r="G98" s="5" t="s">
        <v>391</v>
      </c>
      <c r="H98" s="5" t="s">
        <v>53</v>
      </c>
      <c r="I98" s="5" t="s">
        <v>157</v>
      </c>
      <c r="J98" s="15">
        <v>1152</v>
      </c>
      <c r="K98" s="7">
        <v>33</v>
      </c>
      <c r="L98" s="7">
        <f t="shared" si="12"/>
        <v>34.909090909090907</v>
      </c>
      <c r="M98" s="5" t="s">
        <v>10</v>
      </c>
      <c r="N98" s="5">
        <v>4</v>
      </c>
      <c r="O98" s="6">
        <f t="shared" si="13"/>
        <v>0.87742413223140481</v>
      </c>
      <c r="P98" s="6">
        <f t="shared" si="14"/>
        <v>9.1252109752066102E-2</v>
      </c>
      <c r="Q98" s="10">
        <f t="shared" si="15"/>
        <v>1.9010856198347105E-3</v>
      </c>
      <c r="R98" s="10">
        <f t="shared" si="16"/>
        <v>1.4414656759212731E-2</v>
      </c>
      <c r="S98" s="10">
        <f t="shared" si="17"/>
        <v>1.631574237904744E-2</v>
      </c>
    </row>
    <row r="99" spans="1:19" x14ac:dyDescent="0.25">
      <c r="A99" s="5" t="s">
        <v>22</v>
      </c>
      <c r="B99" s="5" t="s">
        <v>63</v>
      </c>
      <c r="C99" s="5" t="s">
        <v>27</v>
      </c>
      <c r="D99" s="5" t="s">
        <v>385</v>
      </c>
      <c r="E99" s="5" t="s">
        <v>387</v>
      </c>
      <c r="F99" s="5" t="s">
        <v>112</v>
      </c>
      <c r="G99" s="5" t="s">
        <v>391</v>
      </c>
      <c r="H99" s="5" t="s">
        <v>53</v>
      </c>
      <c r="I99" s="5" t="s">
        <v>146</v>
      </c>
      <c r="J99" s="15">
        <v>1550</v>
      </c>
      <c r="K99" s="7">
        <v>29</v>
      </c>
      <c r="L99" s="7">
        <f t="shared" si="12"/>
        <v>53.448275862068968</v>
      </c>
      <c r="M99" s="5" t="s">
        <v>10</v>
      </c>
      <c r="N99" s="5">
        <v>4</v>
      </c>
      <c r="O99" s="6">
        <f t="shared" si="13"/>
        <v>2.7674457491082052</v>
      </c>
      <c r="P99" s="6">
        <f t="shared" si="14"/>
        <v>0.28781435790725329</v>
      </c>
      <c r="Q99" s="10">
        <f t="shared" si="15"/>
        <v>5.9961324564011117E-3</v>
      </c>
      <c r="R99" s="10">
        <f t="shared" si="16"/>
        <v>3.4115870826390664E-2</v>
      </c>
      <c r="S99" s="10">
        <f t="shared" si="17"/>
        <v>4.0112003282791776E-2</v>
      </c>
    </row>
    <row r="100" spans="1:19" x14ac:dyDescent="0.25">
      <c r="A100" s="5" t="s">
        <v>22</v>
      </c>
      <c r="B100" s="5" t="s">
        <v>63</v>
      </c>
      <c r="C100" s="5" t="s">
        <v>27</v>
      </c>
      <c r="D100" s="5" t="s">
        <v>385</v>
      </c>
      <c r="E100" s="5" t="s">
        <v>387</v>
      </c>
      <c r="F100" s="5" t="s">
        <v>112</v>
      </c>
      <c r="G100" s="5" t="s">
        <v>391</v>
      </c>
      <c r="H100" s="5" t="s">
        <v>53</v>
      </c>
      <c r="I100" s="5" t="s">
        <v>113</v>
      </c>
      <c r="J100" s="15">
        <v>2900</v>
      </c>
      <c r="K100" s="7">
        <v>40</v>
      </c>
      <c r="L100" s="7">
        <f t="shared" si="12"/>
        <v>72.5</v>
      </c>
      <c r="M100" s="5" t="s">
        <v>10</v>
      </c>
      <c r="N100" s="5">
        <v>4</v>
      </c>
      <c r="O100" s="6">
        <f t="shared" si="13"/>
        <v>9.5269531250000004</v>
      </c>
      <c r="P100" s="6">
        <f t="shared" si="14"/>
        <v>0.9908031249999999</v>
      </c>
      <c r="Q100" s="10">
        <f t="shared" si="15"/>
        <v>2.0641731770833335E-2</v>
      </c>
      <c r="R100" s="10">
        <f t="shared" si="16"/>
        <v>8.6220918616187289E-2</v>
      </c>
      <c r="S100" s="10">
        <f t="shared" si="17"/>
        <v>0.10686265038702063</v>
      </c>
    </row>
    <row r="101" spans="1:19" x14ac:dyDescent="0.25">
      <c r="A101" s="5" t="s">
        <v>22</v>
      </c>
      <c r="B101" s="5" t="s">
        <v>63</v>
      </c>
      <c r="C101" s="5" t="s">
        <v>27</v>
      </c>
      <c r="D101" s="5" t="s">
        <v>385</v>
      </c>
      <c r="E101" s="5" t="s">
        <v>387</v>
      </c>
      <c r="F101" s="5" t="s">
        <v>112</v>
      </c>
      <c r="G101" s="5" t="s">
        <v>391</v>
      </c>
      <c r="H101" s="5" t="s">
        <v>53</v>
      </c>
      <c r="I101" s="5" t="s">
        <v>145</v>
      </c>
      <c r="J101" s="15">
        <v>2100</v>
      </c>
      <c r="K101" s="7">
        <v>38.5</v>
      </c>
      <c r="L101" s="7">
        <f t="shared" si="12"/>
        <v>54.545454545454547</v>
      </c>
      <c r="M101" s="5" t="s">
        <v>10</v>
      </c>
      <c r="N101" s="5">
        <v>4</v>
      </c>
      <c r="O101" s="6">
        <f t="shared" si="13"/>
        <v>3.9049586776859506</v>
      </c>
      <c r="P101" s="6">
        <f t="shared" si="14"/>
        <v>0.40611570247933887</v>
      </c>
      <c r="Q101" s="10">
        <f t="shared" si="15"/>
        <v>8.4607438016528931E-3</v>
      </c>
      <c r="R101" s="10">
        <f t="shared" si="16"/>
        <v>4.4168175137387092E-2</v>
      </c>
      <c r="S101" s="10">
        <f t="shared" si="17"/>
        <v>5.2628918939039981E-2</v>
      </c>
    </row>
    <row r="102" spans="1:19" x14ac:dyDescent="0.25">
      <c r="A102" s="5" t="s">
        <v>8</v>
      </c>
      <c r="B102" s="5" t="s">
        <v>281</v>
      </c>
      <c r="C102" s="5" t="s">
        <v>27</v>
      </c>
      <c r="D102" s="5" t="s">
        <v>385</v>
      </c>
      <c r="E102" s="5" t="s">
        <v>387</v>
      </c>
      <c r="F102" s="5" t="s">
        <v>112</v>
      </c>
      <c r="G102" s="5" t="s">
        <v>391</v>
      </c>
      <c r="H102" s="5" t="s">
        <v>53</v>
      </c>
      <c r="I102" s="5" t="s">
        <v>282</v>
      </c>
      <c r="J102" s="15">
        <v>1700</v>
      </c>
      <c r="K102" s="7">
        <v>37</v>
      </c>
      <c r="L102" s="7">
        <f t="shared" si="12"/>
        <v>45.945945945945944</v>
      </c>
      <c r="M102" s="5" t="s">
        <v>10</v>
      </c>
      <c r="N102" s="5">
        <v>4</v>
      </c>
      <c r="O102" s="6">
        <f t="shared" si="13"/>
        <v>2.2429693206720231</v>
      </c>
      <c r="P102" s="6">
        <f t="shared" si="14"/>
        <v>0.23326880934989039</v>
      </c>
      <c r="Q102" s="10">
        <f t="shared" si="15"/>
        <v>4.8597668614560495E-3</v>
      </c>
      <c r="R102" s="10">
        <f t="shared" si="16"/>
        <v>2.9141682641278973E-2</v>
      </c>
      <c r="S102" s="10">
        <f t="shared" si="17"/>
        <v>3.4001449502735023E-2</v>
      </c>
    </row>
    <row r="103" spans="1:19" x14ac:dyDescent="0.25">
      <c r="A103" s="5" t="s">
        <v>8</v>
      </c>
      <c r="B103" s="5" t="s">
        <v>322</v>
      </c>
      <c r="C103" s="5" t="s">
        <v>27</v>
      </c>
      <c r="D103" s="5" t="s">
        <v>385</v>
      </c>
      <c r="E103" s="5" t="s">
        <v>387</v>
      </c>
      <c r="F103" s="5" t="s">
        <v>112</v>
      </c>
      <c r="G103" s="5" t="s">
        <v>391</v>
      </c>
      <c r="H103" s="5" t="s">
        <v>53</v>
      </c>
      <c r="I103" s="5" t="s">
        <v>282</v>
      </c>
      <c r="J103" s="15">
        <v>2100</v>
      </c>
      <c r="K103" s="7">
        <v>29</v>
      </c>
      <c r="L103" s="7">
        <f t="shared" si="12"/>
        <v>72.41379310344827</v>
      </c>
      <c r="M103" s="5" t="s">
        <v>10</v>
      </c>
      <c r="N103" s="5">
        <v>4</v>
      </c>
      <c r="O103" s="6">
        <f t="shared" si="13"/>
        <v>6.8824316290130785</v>
      </c>
      <c r="P103" s="6">
        <f t="shared" si="14"/>
        <v>0.71577288941736017</v>
      </c>
      <c r="Q103" s="10">
        <f t="shared" si="15"/>
        <v>1.4911935196195004E-2</v>
      </c>
      <c r="R103" s="10">
        <f t="shared" si="16"/>
        <v>6.7562164336175956E-2</v>
      </c>
      <c r="S103" s="10">
        <f t="shared" si="17"/>
        <v>8.2474099532370962E-2</v>
      </c>
    </row>
    <row r="104" spans="1:19" x14ac:dyDescent="0.25">
      <c r="A104" s="5" t="s">
        <v>8</v>
      </c>
      <c r="B104" s="5" t="s">
        <v>303</v>
      </c>
      <c r="C104" s="5" t="s">
        <v>27</v>
      </c>
      <c r="D104" s="5" t="s">
        <v>385</v>
      </c>
      <c r="E104" s="5" t="s">
        <v>387</v>
      </c>
      <c r="F104" s="5" t="s">
        <v>112</v>
      </c>
      <c r="G104" s="5" t="s">
        <v>391</v>
      </c>
      <c r="H104" s="5" t="s">
        <v>53</v>
      </c>
      <c r="I104" s="5" t="s">
        <v>306</v>
      </c>
      <c r="J104" s="15">
        <v>925</v>
      </c>
      <c r="K104" s="7">
        <v>25</v>
      </c>
      <c r="L104" s="7">
        <f t="shared" si="12"/>
        <v>37</v>
      </c>
      <c r="M104" s="5" t="s">
        <v>10</v>
      </c>
      <c r="N104" s="5">
        <v>4</v>
      </c>
      <c r="O104" s="6">
        <f t="shared" si="13"/>
        <v>0.79145312499999998</v>
      </c>
      <c r="P104" s="6">
        <f t="shared" si="14"/>
        <v>8.2311124999999999E-2</v>
      </c>
      <c r="Q104" s="10">
        <f t="shared" si="15"/>
        <v>1.7148151041666666E-3</v>
      </c>
      <c r="R104" s="10">
        <f t="shared" si="16"/>
        <v>1.3341849057898118E-2</v>
      </c>
      <c r="S104" s="10">
        <f t="shared" si="17"/>
        <v>1.5056664162064784E-2</v>
      </c>
    </row>
    <row r="105" spans="1:19" x14ac:dyDescent="0.25">
      <c r="A105" s="5" t="s">
        <v>8</v>
      </c>
      <c r="B105" s="5" t="s">
        <v>303</v>
      </c>
      <c r="C105" s="5" t="s">
        <v>27</v>
      </c>
      <c r="D105" s="5" t="s">
        <v>385</v>
      </c>
      <c r="E105" s="5" t="s">
        <v>387</v>
      </c>
      <c r="F105" s="5" t="s">
        <v>112</v>
      </c>
      <c r="G105" s="5" t="s">
        <v>391</v>
      </c>
      <c r="H105" s="5" t="s">
        <v>53</v>
      </c>
      <c r="I105" s="5" t="s">
        <v>305</v>
      </c>
      <c r="J105" s="15">
        <v>3250</v>
      </c>
      <c r="K105" s="7">
        <v>35.5</v>
      </c>
      <c r="L105" s="7">
        <f t="shared" si="12"/>
        <v>91.549295774647888</v>
      </c>
      <c r="M105" s="5" t="s">
        <v>10</v>
      </c>
      <c r="N105" s="5">
        <v>4</v>
      </c>
      <c r="O105" s="6">
        <f t="shared" si="13"/>
        <v>17.024461912318984</v>
      </c>
      <c r="P105" s="6">
        <f t="shared" si="14"/>
        <v>1.7705440388811744</v>
      </c>
      <c r="Q105" s="10">
        <f t="shared" si="15"/>
        <v>3.6886334143357798E-2</v>
      </c>
      <c r="R105" s="10">
        <f t="shared" si="16"/>
        <v>0.13326072446206286</v>
      </c>
      <c r="S105" s="10">
        <f t="shared" si="17"/>
        <v>0.17014705860542065</v>
      </c>
    </row>
    <row r="106" spans="1:19" x14ac:dyDescent="0.25">
      <c r="A106" s="5" t="s">
        <v>8</v>
      </c>
      <c r="B106" s="5" t="s">
        <v>303</v>
      </c>
      <c r="C106" s="5" t="s">
        <v>27</v>
      </c>
      <c r="D106" s="5" t="s">
        <v>385</v>
      </c>
      <c r="E106" s="5" t="s">
        <v>387</v>
      </c>
      <c r="F106" s="5" t="s">
        <v>112</v>
      </c>
      <c r="G106" s="5" t="s">
        <v>391</v>
      </c>
      <c r="H106" s="5" t="s">
        <v>53</v>
      </c>
      <c r="I106" s="5" t="s">
        <v>305</v>
      </c>
      <c r="J106" s="15">
        <v>2660</v>
      </c>
      <c r="K106" s="7">
        <v>33.5</v>
      </c>
      <c r="L106" s="7">
        <f t="shared" si="12"/>
        <v>79.402985074626869</v>
      </c>
      <c r="M106" s="5" t="s">
        <v>10</v>
      </c>
      <c r="N106" s="5">
        <v>4</v>
      </c>
      <c r="O106" s="6">
        <f t="shared" si="13"/>
        <v>10.481786589440857</v>
      </c>
      <c r="P106" s="6">
        <f t="shared" si="14"/>
        <v>1.0901058053018491</v>
      </c>
      <c r="Q106" s="10">
        <f t="shared" si="15"/>
        <v>2.2710537610455189E-2</v>
      </c>
      <c r="R106" s="10">
        <f t="shared" si="16"/>
        <v>9.2624016415838617E-2</v>
      </c>
      <c r="S106" s="10">
        <f t="shared" si="17"/>
        <v>0.11533455402629381</v>
      </c>
    </row>
    <row r="107" spans="1:19" x14ac:dyDescent="0.25">
      <c r="A107" s="5" t="s">
        <v>8</v>
      </c>
      <c r="B107" s="5" t="s">
        <v>330</v>
      </c>
      <c r="C107" s="5" t="s">
        <v>27</v>
      </c>
      <c r="D107" s="5" t="s">
        <v>385</v>
      </c>
      <c r="E107" s="5" t="s">
        <v>387</v>
      </c>
      <c r="F107" s="5" t="s">
        <v>112</v>
      </c>
      <c r="G107" s="5" t="s">
        <v>391</v>
      </c>
      <c r="H107" s="5" t="s">
        <v>53</v>
      </c>
      <c r="I107" s="5" t="s">
        <v>331</v>
      </c>
      <c r="J107" s="15">
        <v>3000</v>
      </c>
      <c r="K107" s="7">
        <v>44</v>
      </c>
      <c r="L107" s="7">
        <f t="shared" si="12"/>
        <v>68.181818181818187</v>
      </c>
      <c r="M107" s="5" t="s">
        <v>10</v>
      </c>
      <c r="N107" s="5">
        <v>4</v>
      </c>
      <c r="O107" s="6">
        <f t="shared" si="13"/>
        <v>8.7164256198347125</v>
      </c>
      <c r="P107" s="6">
        <f t="shared" si="14"/>
        <v>0.90650826446281008</v>
      </c>
      <c r="Q107" s="10">
        <f t="shared" si="15"/>
        <v>1.8885588842975209E-2</v>
      </c>
      <c r="R107" s="10">
        <f t="shared" si="16"/>
        <v>8.0658649416804964E-2</v>
      </c>
      <c r="S107" s="10">
        <f t="shared" si="17"/>
        <v>9.9544238259780177E-2</v>
      </c>
    </row>
    <row r="108" spans="1:19" x14ac:dyDescent="0.25">
      <c r="A108" s="5" t="s">
        <v>8</v>
      </c>
      <c r="B108" s="5" t="s">
        <v>330</v>
      </c>
      <c r="C108" s="5" t="s">
        <v>27</v>
      </c>
      <c r="D108" s="5" t="s">
        <v>385</v>
      </c>
      <c r="E108" s="5" t="s">
        <v>387</v>
      </c>
      <c r="F108" s="5" t="s">
        <v>112</v>
      </c>
      <c r="G108" s="5" t="s">
        <v>391</v>
      </c>
      <c r="H108" s="5" t="s">
        <v>53</v>
      </c>
      <c r="I108" s="5" t="s">
        <v>331</v>
      </c>
      <c r="J108" s="15">
        <v>2950</v>
      </c>
      <c r="K108" s="7">
        <v>38</v>
      </c>
      <c r="L108" s="7">
        <f t="shared" si="12"/>
        <v>77.631578947368425</v>
      </c>
      <c r="M108" s="5" t="s">
        <v>10</v>
      </c>
      <c r="N108" s="5">
        <v>4</v>
      </c>
      <c r="O108" s="6">
        <f t="shared" si="13"/>
        <v>11.111658154432133</v>
      </c>
      <c r="P108" s="6">
        <f t="shared" si="14"/>
        <v>1.155612448060942</v>
      </c>
      <c r="Q108" s="10">
        <f t="shared" si="15"/>
        <v>2.4075259334602955E-2</v>
      </c>
      <c r="R108" s="10">
        <f t="shared" si="16"/>
        <v>9.6767891534095082E-2</v>
      </c>
      <c r="S108" s="10">
        <f t="shared" si="17"/>
        <v>0.12084315086869804</v>
      </c>
    </row>
    <row r="109" spans="1:19" x14ac:dyDescent="0.25">
      <c r="A109" s="5" t="s">
        <v>8</v>
      </c>
      <c r="B109" s="5" t="s">
        <v>228</v>
      </c>
      <c r="C109" s="5" t="s">
        <v>27</v>
      </c>
      <c r="D109" s="5" t="s">
        <v>385</v>
      </c>
      <c r="E109" s="5" t="s">
        <v>387</v>
      </c>
      <c r="F109" s="5" t="s">
        <v>112</v>
      </c>
      <c r="G109" s="5" t="s">
        <v>391</v>
      </c>
      <c r="H109" s="5" t="s">
        <v>53</v>
      </c>
      <c r="I109" s="5" t="s">
        <v>230</v>
      </c>
      <c r="J109" s="15">
        <v>2500</v>
      </c>
      <c r="K109" s="7">
        <v>37</v>
      </c>
      <c r="L109" s="7">
        <f t="shared" si="12"/>
        <v>67.567567567567565</v>
      </c>
      <c r="M109" s="5" t="s">
        <v>10</v>
      </c>
      <c r="N109" s="5">
        <v>4</v>
      </c>
      <c r="O109" s="6">
        <f t="shared" si="13"/>
        <v>7.1334002921840742</v>
      </c>
      <c r="P109" s="6">
        <f t="shared" si="14"/>
        <v>0.74187363038714382</v>
      </c>
      <c r="Q109" s="10">
        <f t="shared" si="15"/>
        <v>1.5455700633065493E-2</v>
      </c>
      <c r="R109" s="10">
        <f t="shared" si="16"/>
        <v>6.9401614038345646E-2</v>
      </c>
      <c r="S109" s="10">
        <f t="shared" si="17"/>
        <v>8.4857314671411138E-2</v>
      </c>
    </row>
    <row r="110" spans="1:19" x14ac:dyDescent="0.25">
      <c r="A110" s="5" t="s">
        <v>8</v>
      </c>
      <c r="B110" s="5" t="s">
        <v>322</v>
      </c>
      <c r="C110" s="5" t="s">
        <v>27</v>
      </c>
      <c r="D110" s="5" t="s">
        <v>385</v>
      </c>
      <c r="E110" s="5" t="s">
        <v>387</v>
      </c>
      <c r="F110" s="5" t="s">
        <v>112</v>
      </c>
      <c r="G110" s="5" t="s">
        <v>391</v>
      </c>
      <c r="H110" s="5" t="s">
        <v>53</v>
      </c>
      <c r="I110" s="5" t="s">
        <v>19</v>
      </c>
      <c r="J110" s="15">
        <v>1300</v>
      </c>
      <c r="K110" s="7">
        <v>37</v>
      </c>
      <c r="L110" s="7">
        <f t="shared" si="12"/>
        <v>35.135135135135137</v>
      </c>
      <c r="M110" s="5" t="s">
        <v>10</v>
      </c>
      <c r="N110" s="5">
        <v>4</v>
      </c>
      <c r="O110" s="6">
        <f t="shared" si="13"/>
        <v>1.0030131482834186</v>
      </c>
      <c r="P110" s="6">
        <f t="shared" si="14"/>
        <v>0.10431336742147553</v>
      </c>
      <c r="Q110" s="10">
        <f t="shared" si="15"/>
        <v>2.1731951546140734E-3</v>
      </c>
      <c r="R110" s="10">
        <f t="shared" si="16"/>
        <v>1.5935918276764362E-2</v>
      </c>
      <c r="S110" s="10">
        <f t="shared" si="17"/>
        <v>1.8109113431378436E-2</v>
      </c>
    </row>
    <row r="111" spans="1:19" x14ac:dyDescent="0.25">
      <c r="A111" s="5" t="s">
        <v>22</v>
      </c>
      <c r="B111" s="5" t="s">
        <v>26</v>
      </c>
      <c r="C111" s="5" t="s">
        <v>27</v>
      </c>
      <c r="D111" s="5" t="s">
        <v>385</v>
      </c>
      <c r="E111" s="5" t="s">
        <v>387</v>
      </c>
      <c r="F111" s="5" t="s">
        <v>112</v>
      </c>
      <c r="G111" s="5" t="s">
        <v>391</v>
      </c>
      <c r="H111" s="5" t="s">
        <v>53</v>
      </c>
      <c r="I111" s="5" t="s">
        <v>54</v>
      </c>
      <c r="J111" s="15">
        <v>4200</v>
      </c>
      <c r="K111" s="7">
        <v>38</v>
      </c>
      <c r="L111" s="7">
        <f t="shared" si="12"/>
        <v>110.52631578947368</v>
      </c>
      <c r="M111" s="5" t="s">
        <v>10</v>
      </c>
      <c r="N111" s="5">
        <v>4</v>
      </c>
      <c r="O111" s="6">
        <f t="shared" si="13"/>
        <v>32.067174515235457</v>
      </c>
      <c r="P111" s="6">
        <f t="shared" si="14"/>
        <v>3.3349861495844868</v>
      </c>
      <c r="Q111" s="10">
        <f t="shared" si="15"/>
        <v>6.9478878116343484E-2</v>
      </c>
      <c r="R111" s="10">
        <f t="shared" si="16"/>
        <v>0.21426076233960867</v>
      </c>
      <c r="S111" s="10">
        <f t="shared" si="17"/>
        <v>0.28373964045595212</v>
      </c>
    </row>
    <row r="112" spans="1:19" x14ac:dyDescent="0.25">
      <c r="A112" s="5" t="s">
        <v>8</v>
      </c>
      <c r="B112" s="5" t="s">
        <v>284</v>
      </c>
      <c r="C112" s="5" t="s">
        <v>27</v>
      </c>
      <c r="D112" s="5" t="s">
        <v>385</v>
      </c>
      <c r="E112" s="5" t="s">
        <v>387</v>
      </c>
      <c r="F112" s="5" t="s">
        <v>112</v>
      </c>
      <c r="G112" s="5" t="s">
        <v>391</v>
      </c>
      <c r="H112" s="5" t="s">
        <v>53</v>
      </c>
      <c r="I112" s="5" t="s">
        <v>285</v>
      </c>
      <c r="J112" s="15">
        <v>3400</v>
      </c>
      <c r="K112" s="7">
        <v>46.8</v>
      </c>
      <c r="L112" s="7">
        <f t="shared" si="12"/>
        <v>72.649572649572647</v>
      </c>
      <c r="M112" s="5" t="s">
        <v>10</v>
      </c>
      <c r="N112" s="5">
        <v>4</v>
      </c>
      <c r="O112" s="6">
        <f t="shared" si="13"/>
        <v>11.21566586310176</v>
      </c>
      <c r="P112" s="6">
        <f t="shared" si="14"/>
        <v>1.1664292497625828</v>
      </c>
      <c r="Q112" s="10">
        <f t="shared" si="15"/>
        <v>2.4300609370053811E-2</v>
      </c>
      <c r="R112" s="10">
        <f t="shared" si="16"/>
        <v>9.7446427289205384E-2</v>
      </c>
      <c r="S112" s="10">
        <f t="shared" si="17"/>
        <v>0.12174703665925919</v>
      </c>
    </row>
    <row r="113" spans="1:19" x14ac:dyDescent="0.25">
      <c r="A113" s="5" t="s">
        <v>8</v>
      </c>
      <c r="B113" s="5" t="s">
        <v>303</v>
      </c>
      <c r="C113" s="5" t="s">
        <v>27</v>
      </c>
      <c r="D113" s="5" t="s">
        <v>385</v>
      </c>
      <c r="E113" s="5" t="s">
        <v>387</v>
      </c>
      <c r="F113" s="5" t="s">
        <v>112</v>
      </c>
      <c r="G113" s="5" t="s">
        <v>391</v>
      </c>
      <c r="H113" s="5" t="s">
        <v>53</v>
      </c>
      <c r="I113" s="5" t="s">
        <v>304</v>
      </c>
      <c r="J113" s="15">
        <v>2510</v>
      </c>
      <c r="K113" s="7">
        <v>32.5</v>
      </c>
      <c r="L113" s="7">
        <f t="shared" si="12"/>
        <v>77.230769230769226</v>
      </c>
      <c r="M113" s="5" t="s">
        <v>10</v>
      </c>
      <c r="N113" s="5">
        <v>4</v>
      </c>
      <c r="O113" s="6">
        <f t="shared" si="13"/>
        <v>9.3569532544378688</v>
      </c>
      <c r="P113" s="6">
        <f t="shared" si="14"/>
        <v>0.9731231384615382</v>
      </c>
      <c r="Q113" s="10">
        <f t="shared" si="15"/>
        <v>2.0273398717948716E-2</v>
      </c>
      <c r="R113" s="10">
        <f t="shared" si="16"/>
        <v>8.5064424704301325E-2</v>
      </c>
      <c r="S113" s="10">
        <f t="shared" si="17"/>
        <v>0.10533782342225004</v>
      </c>
    </row>
    <row r="114" spans="1:19" x14ac:dyDescent="0.25">
      <c r="A114" s="5" t="s">
        <v>8</v>
      </c>
      <c r="B114" s="5" t="s">
        <v>165</v>
      </c>
      <c r="C114" s="5" t="s">
        <v>27</v>
      </c>
      <c r="D114" s="5" t="s">
        <v>385</v>
      </c>
      <c r="E114" s="5" t="s">
        <v>387</v>
      </c>
      <c r="F114" s="5" t="s">
        <v>112</v>
      </c>
      <c r="G114" s="5" t="s">
        <v>391</v>
      </c>
      <c r="H114" s="5" t="s">
        <v>53</v>
      </c>
      <c r="I114" s="5" t="s">
        <v>168</v>
      </c>
      <c r="J114" s="15">
        <v>1120</v>
      </c>
      <c r="K114" s="7">
        <v>23.5</v>
      </c>
      <c r="L114" s="7">
        <f t="shared" si="12"/>
        <v>47.659574468085104</v>
      </c>
      <c r="M114" s="5" t="s">
        <v>10</v>
      </c>
      <c r="N114" s="5">
        <v>4</v>
      </c>
      <c r="O114" s="6">
        <f t="shared" si="13"/>
        <v>1.5900045269352645</v>
      </c>
      <c r="P114" s="6">
        <f t="shared" si="14"/>
        <v>0.16536047080126751</v>
      </c>
      <c r="Q114" s="10">
        <f t="shared" si="15"/>
        <v>3.4450098083597396E-3</v>
      </c>
      <c r="R114" s="10">
        <f t="shared" si="16"/>
        <v>2.2513649207854137E-2</v>
      </c>
      <c r="S114" s="10">
        <f t="shared" si="17"/>
        <v>2.5958659016213876E-2</v>
      </c>
    </row>
    <row r="115" spans="1:19" x14ac:dyDescent="0.25">
      <c r="A115" s="5" t="s">
        <v>8</v>
      </c>
      <c r="B115" s="5" t="s">
        <v>217</v>
      </c>
      <c r="C115" s="5" t="s">
        <v>27</v>
      </c>
      <c r="D115" s="5" t="s">
        <v>385</v>
      </c>
      <c r="E115" s="5" t="s">
        <v>387</v>
      </c>
      <c r="F115" s="5" t="s">
        <v>112</v>
      </c>
      <c r="G115" s="5" t="s">
        <v>391</v>
      </c>
      <c r="H115" s="5" t="s">
        <v>53</v>
      </c>
      <c r="I115" s="5" t="s">
        <v>17</v>
      </c>
      <c r="J115" s="15">
        <v>2800</v>
      </c>
      <c r="K115" s="7">
        <v>33</v>
      </c>
      <c r="L115" s="7">
        <f t="shared" si="12"/>
        <v>84.848484848484844</v>
      </c>
      <c r="M115" s="5" t="s">
        <v>10</v>
      </c>
      <c r="N115" s="5">
        <v>4</v>
      </c>
      <c r="O115" s="6">
        <f t="shared" si="13"/>
        <v>12.598714416896232</v>
      </c>
      <c r="P115" s="6">
        <f t="shared" si="14"/>
        <v>1.3102662993572083</v>
      </c>
      <c r="Q115" s="10">
        <f t="shared" si="15"/>
        <v>2.7297214569941834E-2</v>
      </c>
      <c r="R115" s="10">
        <f t="shared" si="16"/>
        <v>0.10632656850166688</v>
      </c>
      <c r="S115" s="10">
        <f t="shared" si="17"/>
        <v>0.13362378307160871</v>
      </c>
    </row>
    <row r="116" spans="1:19" x14ac:dyDescent="0.25">
      <c r="A116" s="5" t="s">
        <v>22</v>
      </c>
      <c r="B116" s="5" t="s">
        <v>63</v>
      </c>
      <c r="C116" s="5" t="s">
        <v>27</v>
      </c>
      <c r="D116" s="5" t="s">
        <v>385</v>
      </c>
      <c r="E116" s="5" t="s">
        <v>387</v>
      </c>
      <c r="F116" s="5" t="s">
        <v>112</v>
      </c>
      <c r="G116" s="5" t="s">
        <v>391</v>
      </c>
      <c r="H116" s="5" t="s">
        <v>53</v>
      </c>
      <c r="I116" s="5" t="s">
        <v>147</v>
      </c>
      <c r="J116" s="15">
        <v>2150</v>
      </c>
      <c r="K116" s="7">
        <v>34.5</v>
      </c>
      <c r="L116" s="7">
        <f t="shared" si="12"/>
        <v>62.318840579710148</v>
      </c>
      <c r="M116" s="5" t="s">
        <v>10</v>
      </c>
      <c r="N116" s="5">
        <v>4</v>
      </c>
      <c r="O116" s="6">
        <f t="shared" si="13"/>
        <v>5.2186384162990977</v>
      </c>
      <c r="P116" s="6">
        <f t="shared" si="14"/>
        <v>0.54273839529510615</v>
      </c>
      <c r="Q116" s="10">
        <f t="shared" si="15"/>
        <v>1.1307049901981378E-2</v>
      </c>
      <c r="R116" s="10">
        <f t="shared" si="16"/>
        <v>5.489907531451893E-2</v>
      </c>
      <c r="S116" s="10">
        <f t="shared" si="17"/>
        <v>6.6206125216500308E-2</v>
      </c>
    </row>
    <row r="117" spans="1:19" x14ac:dyDescent="0.25">
      <c r="A117" s="5" t="s">
        <v>8</v>
      </c>
      <c r="B117" s="5" t="s">
        <v>228</v>
      </c>
      <c r="C117" s="5" t="s">
        <v>27</v>
      </c>
      <c r="D117" s="5" t="s">
        <v>385</v>
      </c>
      <c r="E117" s="5" t="s">
        <v>387</v>
      </c>
      <c r="F117" s="5" t="s">
        <v>112</v>
      </c>
      <c r="G117" s="5" t="s">
        <v>391</v>
      </c>
      <c r="H117" s="5" t="s">
        <v>53</v>
      </c>
      <c r="I117" s="5" t="s">
        <v>229</v>
      </c>
      <c r="J117" s="15">
        <v>2500</v>
      </c>
      <c r="K117" s="7">
        <v>35</v>
      </c>
      <c r="L117" s="7">
        <f t="shared" si="12"/>
        <v>71.428571428571431</v>
      </c>
      <c r="M117" s="5" t="s">
        <v>10</v>
      </c>
      <c r="N117" s="5">
        <v>4</v>
      </c>
      <c r="O117" s="6">
        <f t="shared" si="13"/>
        <v>7.9719387755102051</v>
      </c>
      <c r="P117" s="6">
        <f t="shared" si="14"/>
        <v>0.82908163265306123</v>
      </c>
      <c r="Q117" s="10">
        <f t="shared" si="15"/>
        <v>1.7272534013605446E-2</v>
      </c>
      <c r="R117" s="10">
        <f t="shared" si="16"/>
        <v>7.5434512896593864E-2</v>
      </c>
      <c r="S117" s="10">
        <f t="shared" si="17"/>
        <v>9.2707046910199306E-2</v>
      </c>
    </row>
    <row r="118" spans="1:19" x14ac:dyDescent="0.25">
      <c r="A118" s="5" t="s">
        <v>8</v>
      </c>
      <c r="B118" s="5" t="s">
        <v>322</v>
      </c>
      <c r="C118" s="5" t="s">
        <v>27</v>
      </c>
      <c r="D118" s="5" t="s">
        <v>385</v>
      </c>
      <c r="E118" s="5" t="s">
        <v>387</v>
      </c>
      <c r="F118" s="5" t="s">
        <v>112</v>
      </c>
      <c r="G118" s="5" t="s">
        <v>391</v>
      </c>
      <c r="H118" s="5" t="s">
        <v>53</v>
      </c>
      <c r="I118" s="5" t="s">
        <v>325</v>
      </c>
      <c r="J118" s="15">
        <v>1600</v>
      </c>
      <c r="K118" s="7">
        <v>40</v>
      </c>
      <c r="L118" s="7">
        <f t="shared" si="12"/>
        <v>40</v>
      </c>
      <c r="M118" s="5" t="s">
        <v>10</v>
      </c>
      <c r="N118" s="5">
        <v>4</v>
      </c>
      <c r="O118" s="6">
        <f t="shared" si="13"/>
        <v>1.6</v>
      </c>
      <c r="P118" s="6">
        <f t="shared" si="14"/>
        <v>0.16639999999999999</v>
      </c>
      <c r="Q118" s="10">
        <f t="shared" si="15"/>
        <v>3.4666666666666665E-3</v>
      </c>
      <c r="R118" s="10">
        <f t="shared" si="16"/>
        <v>2.26197140956951E-2</v>
      </c>
      <c r="S118" s="10">
        <f t="shared" si="17"/>
        <v>2.6086380762361767E-2</v>
      </c>
    </row>
    <row r="119" spans="1:19" x14ac:dyDescent="0.25">
      <c r="A119" s="5" t="s">
        <v>8</v>
      </c>
      <c r="B119" s="5" t="s">
        <v>347</v>
      </c>
      <c r="C119" s="5" t="s">
        <v>27</v>
      </c>
      <c r="D119" s="5" t="s">
        <v>385</v>
      </c>
      <c r="E119" s="5" t="s">
        <v>387</v>
      </c>
      <c r="F119" s="5" t="s">
        <v>112</v>
      </c>
      <c r="G119" s="5" t="s">
        <v>391</v>
      </c>
      <c r="H119" s="5" t="s">
        <v>53</v>
      </c>
      <c r="I119" s="5" t="s">
        <v>351</v>
      </c>
      <c r="J119" s="15">
        <v>1820</v>
      </c>
      <c r="K119" s="7">
        <v>20</v>
      </c>
      <c r="L119" s="7">
        <f t="shared" si="12"/>
        <v>91</v>
      </c>
      <c r="M119" s="5" t="s">
        <v>10</v>
      </c>
      <c r="N119" s="5">
        <v>4</v>
      </c>
      <c r="O119" s="6">
        <f t="shared" si="13"/>
        <v>9.4196375000000003</v>
      </c>
      <c r="P119" s="6">
        <f t="shared" si="14"/>
        <v>0.97964229999999997</v>
      </c>
      <c r="Q119" s="10">
        <f t="shared" si="15"/>
        <v>2.0409214583333331E-2</v>
      </c>
      <c r="R119" s="10">
        <f t="shared" si="16"/>
        <v>8.549146647460612E-2</v>
      </c>
      <c r="S119" s="10">
        <f t="shared" si="17"/>
        <v>0.10590068105793946</v>
      </c>
    </row>
    <row r="120" spans="1:19" x14ac:dyDescent="0.25">
      <c r="A120" s="5" t="s">
        <v>8</v>
      </c>
      <c r="B120" s="5" t="s">
        <v>347</v>
      </c>
      <c r="C120" s="5" t="s">
        <v>27</v>
      </c>
      <c r="D120" s="5" t="s">
        <v>385</v>
      </c>
      <c r="E120" s="5" t="s">
        <v>387</v>
      </c>
      <c r="F120" s="5" t="s">
        <v>112</v>
      </c>
      <c r="G120" s="5" t="s">
        <v>391</v>
      </c>
      <c r="H120" s="5" t="s">
        <v>53</v>
      </c>
      <c r="I120" s="5" t="s">
        <v>352</v>
      </c>
      <c r="J120" s="15">
        <v>825</v>
      </c>
      <c r="K120" s="7">
        <v>27.5</v>
      </c>
      <c r="L120" s="7">
        <f t="shared" si="12"/>
        <v>30</v>
      </c>
      <c r="M120" s="5" t="s">
        <v>10</v>
      </c>
      <c r="N120" s="5">
        <v>4</v>
      </c>
      <c r="O120" s="6">
        <f t="shared" si="13"/>
        <v>0.46406249999999999</v>
      </c>
      <c r="P120" s="6">
        <f t="shared" si="14"/>
        <v>4.82625E-2</v>
      </c>
      <c r="Q120" s="10">
        <f t="shared" si="15"/>
        <v>1.0054687500000001E-3</v>
      </c>
      <c r="R120" s="10">
        <f t="shared" si="16"/>
        <v>8.9398345389160392E-3</v>
      </c>
      <c r="S120" s="10">
        <f t="shared" si="17"/>
        <v>9.9453032889160395E-3</v>
      </c>
    </row>
    <row r="121" spans="1:19" x14ac:dyDescent="0.25">
      <c r="A121" s="5" t="s">
        <v>8</v>
      </c>
      <c r="B121" s="5" t="s">
        <v>353</v>
      </c>
      <c r="C121" s="5" t="s">
        <v>27</v>
      </c>
      <c r="D121" s="5" t="s">
        <v>385</v>
      </c>
      <c r="E121" s="5" t="s">
        <v>387</v>
      </c>
      <c r="F121" s="5" t="s">
        <v>112</v>
      </c>
      <c r="G121" s="5" t="s">
        <v>391</v>
      </c>
      <c r="H121" s="5" t="s">
        <v>53</v>
      </c>
      <c r="I121" s="5" t="s">
        <v>352</v>
      </c>
      <c r="J121" s="15">
        <v>765</v>
      </c>
      <c r="K121" s="7">
        <v>26</v>
      </c>
      <c r="L121" s="7">
        <f t="shared" si="12"/>
        <v>29.423076923076923</v>
      </c>
      <c r="M121" s="5" t="s">
        <v>10</v>
      </c>
      <c r="N121" s="5">
        <v>4</v>
      </c>
      <c r="O121" s="6">
        <f t="shared" si="13"/>
        <v>0.41392115846893496</v>
      </c>
      <c r="P121" s="6">
        <f t="shared" si="14"/>
        <v>4.3047800480769241E-2</v>
      </c>
      <c r="Q121" s="10">
        <f t="shared" si="15"/>
        <v>8.9682917668269238E-4</v>
      </c>
      <c r="R121" s="10">
        <f t="shared" si="16"/>
        <v>8.2051276983141543E-3</v>
      </c>
      <c r="S121" s="10">
        <f t="shared" si="17"/>
        <v>9.1019568749968471E-3</v>
      </c>
    </row>
    <row r="122" spans="1:19" x14ac:dyDescent="0.25">
      <c r="A122" s="5" t="s">
        <v>8</v>
      </c>
      <c r="B122" s="5" t="s">
        <v>353</v>
      </c>
      <c r="C122" s="5" t="s">
        <v>27</v>
      </c>
      <c r="D122" s="5" t="s">
        <v>385</v>
      </c>
      <c r="E122" s="5" t="s">
        <v>387</v>
      </c>
      <c r="F122" s="5" t="s">
        <v>112</v>
      </c>
      <c r="G122" s="5" t="s">
        <v>391</v>
      </c>
      <c r="H122" s="5" t="s">
        <v>53</v>
      </c>
      <c r="I122" s="5" t="s">
        <v>352</v>
      </c>
      <c r="J122" s="15">
        <v>930</v>
      </c>
      <c r="K122" s="7">
        <v>29.5</v>
      </c>
      <c r="L122" s="7">
        <f t="shared" si="12"/>
        <v>31.525423728813561</v>
      </c>
      <c r="M122" s="5" t="s">
        <v>10</v>
      </c>
      <c r="N122" s="5">
        <v>4</v>
      </c>
      <c r="O122" s="6">
        <f t="shared" si="13"/>
        <v>0.57767667336972139</v>
      </c>
      <c r="P122" s="6">
        <f t="shared" si="14"/>
        <v>6.0078374030451021E-2</v>
      </c>
      <c r="Q122" s="10">
        <f t="shared" si="15"/>
        <v>1.251632792301063E-3</v>
      </c>
      <c r="R122" s="10">
        <f t="shared" si="16"/>
        <v>1.0535635757711046E-2</v>
      </c>
      <c r="S122" s="10">
        <f t="shared" si="17"/>
        <v>1.1787268550012109E-2</v>
      </c>
    </row>
    <row r="123" spans="1:19" x14ac:dyDescent="0.25">
      <c r="A123" s="5" t="s">
        <v>8</v>
      </c>
      <c r="B123" s="5" t="s">
        <v>330</v>
      </c>
      <c r="C123" s="5" t="s">
        <v>27</v>
      </c>
      <c r="D123" s="5" t="s">
        <v>385</v>
      </c>
      <c r="E123" s="5" t="s">
        <v>387</v>
      </c>
      <c r="F123" s="5" t="s">
        <v>112</v>
      </c>
      <c r="G123" s="5" t="s">
        <v>391</v>
      </c>
      <c r="H123" s="5" t="s">
        <v>53</v>
      </c>
      <c r="I123" s="5" t="s">
        <v>332</v>
      </c>
      <c r="J123" s="15">
        <v>2000</v>
      </c>
      <c r="K123" s="7">
        <v>47</v>
      </c>
      <c r="L123" s="7">
        <f t="shared" si="12"/>
        <v>42.553191489361701</v>
      </c>
      <c r="M123" s="5" t="s">
        <v>10</v>
      </c>
      <c r="N123" s="5">
        <v>4</v>
      </c>
      <c r="O123" s="6">
        <f t="shared" si="13"/>
        <v>2.2634676324128562</v>
      </c>
      <c r="P123" s="6">
        <f t="shared" si="14"/>
        <v>0.23540063377093706</v>
      </c>
      <c r="Q123" s="10">
        <f t="shared" si="15"/>
        <v>4.9041798702278549E-3</v>
      </c>
      <c r="R123" s="10">
        <f t="shared" si="16"/>
        <v>2.9341197903551185E-2</v>
      </c>
      <c r="S123" s="10">
        <f t="shared" si="17"/>
        <v>3.4245377773779041E-2</v>
      </c>
    </row>
    <row r="124" spans="1:19" x14ac:dyDescent="0.25">
      <c r="A124" s="5" t="s">
        <v>22</v>
      </c>
      <c r="B124" s="5" t="s">
        <v>26</v>
      </c>
      <c r="C124" s="5" t="s">
        <v>27</v>
      </c>
      <c r="D124" s="5" t="s">
        <v>385</v>
      </c>
      <c r="E124" s="5" t="s">
        <v>387</v>
      </c>
      <c r="F124" s="5" t="s">
        <v>112</v>
      </c>
      <c r="G124" s="5" t="s">
        <v>391</v>
      </c>
      <c r="H124" s="5" t="s">
        <v>53</v>
      </c>
      <c r="I124" s="5" t="s">
        <v>55</v>
      </c>
      <c r="J124" s="15">
        <v>3650</v>
      </c>
      <c r="K124" s="7">
        <v>34</v>
      </c>
      <c r="L124" s="7">
        <f t="shared" si="12"/>
        <v>107.35294117647059</v>
      </c>
      <c r="M124" s="5" t="s">
        <v>10</v>
      </c>
      <c r="N124" s="5">
        <v>4</v>
      </c>
      <c r="O124" s="6">
        <f t="shared" si="13"/>
        <v>26.290616890138409</v>
      </c>
      <c r="P124" s="6">
        <f t="shared" si="14"/>
        <v>2.7342241565743945</v>
      </c>
      <c r="Q124" s="10">
        <f t="shared" si="15"/>
        <v>5.6963003261966551E-2</v>
      </c>
      <c r="R124" s="10">
        <f t="shared" si="16"/>
        <v>0.18460680533482346</v>
      </c>
      <c r="S124" s="10">
        <f t="shared" si="17"/>
        <v>0.24156980859679</v>
      </c>
    </row>
    <row r="125" spans="1:19" x14ac:dyDescent="0.25">
      <c r="A125" s="5" t="s">
        <v>8</v>
      </c>
      <c r="B125" s="5" t="s">
        <v>156</v>
      </c>
      <c r="C125" s="5" t="s">
        <v>27</v>
      </c>
      <c r="D125" s="5" t="s">
        <v>385</v>
      </c>
      <c r="E125" s="5" t="s">
        <v>387</v>
      </c>
      <c r="F125" s="5" t="s">
        <v>112</v>
      </c>
      <c r="G125" s="5" t="s">
        <v>391</v>
      </c>
      <c r="H125" s="5" t="s">
        <v>53</v>
      </c>
      <c r="I125" s="5" t="s">
        <v>158</v>
      </c>
      <c r="J125" s="15">
        <v>1125</v>
      </c>
      <c r="K125" s="7">
        <v>29</v>
      </c>
      <c r="L125" s="7">
        <f t="shared" si="12"/>
        <v>38.793103448275865</v>
      </c>
      <c r="M125" s="5" t="s">
        <v>10</v>
      </c>
      <c r="N125" s="5">
        <v>4</v>
      </c>
      <c r="O125" s="6">
        <f t="shared" si="13"/>
        <v>1.0581362403388823</v>
      </c>
      <c r="P125" s="6">
        <f t="shared" si="14"/>
        <v>0.11004616899524378</v>
      </c>
      <c r="Q125" s="10">
        <f t="shared" si="15"/>
        <v>2.2926285207342449E-3</v>
      </c>
      <c r="R125" s="10">
        <f t="shared" si="16"/>
        <v>1.6588354811020851E-2</v>
      </c>
      <c r="S125" s="10">
        <f t="shared" si="17"/>
        <v>1.8880983331755096E-2</v>
      </c>
    </row>
    <row r="126" spans="1:19" x14ac:dyDescent="0.25">
      <c r="A126" s="5" t="s">
        <v>8</v>
      </c>
      <c r="B126" s="5" t="s">
        <v>156</v>
      </c>
      <c r="C126" s="5" t="s">
        <v>27</v>
      </c>
      <c r="D126" s="5" t="s">
        <v>385</v>
      </c>
      <c r="E126" s="5" t="s">
        <v>387</v>
      </c>
      <c r="F126" s="5" t="s">
        <v>112</v>
      </c>
      <c r="G126" s="5" t="s">
        <v>391</v>
      </c>
      <c r="H126" s="5" t="s">
        <v>53</v>
      </c>
      <c r="I126" s="5" t="s">
        <v>158</v>
      </c>
      <c r="J126" s="15">
        <v>1140</v>
      </c>
      <c r="K126" s="7">
        <v>28.5</v>
      </c>
      <c r="L126" s="7">
        <f t="shared" si="12"/>
        <v>40</v>
      </c>
      <c r="M126" s="5" t="s">
        <v>10</v>
      </c>
      <c r="N126" s="5">
        <v>4</v>
      </c>
      <c r="O126" s="6">
        <f t="shared" si="13"/>
        <v>1.1399999999999999</v>
      </c>
      <c r="P126" s="6">
        <f t="shared" si="14"/>
        <v>0.11855999999999998</v>
      </c>
      <c r="Q126" s="10">
        <f t="shared" si="15"/>
        <v>2.4699999999999995E-3</v>
      </c>
      <c r="R126" s="10">
        <f t="shared" si="16"/>
        <v>1.7541864935922521E-2</v>
      </c>
      <c r="S126" s="10">
        <f t="shared" si="17"/>
        <v>2.0011864935922521E-2</v>
      </c>
    </row>
    <row r="127" spans="1:19" x14ac:dyDescent="0.25">
      <c r="A127" s="5" t="s">
        <v>8</v>
      </c>
      <c r="B127" s="5" t="s">
        <v>347</v>
      </c>
      <c r="C127" s="5" t="s">
        <v>27</v>
      </c>
      <c r="D127" s="5" t="s">
        <v>385</v>
      </c>
      <c r="E127" s="5" t="s">
        <v>387</v>
      </c>
      <c r="F127" s="5" t="s">
        <v>112</v>
      </c>
      <c r="G127" s="5" t="s">
        <v>391</v>
      </c>
      <c r="H127" s="5" t="s">
        <v>53</v>
      </c>
      <c r="I127" s="5" t="s">
        <v>158</v>
      </c>
      <c r="J127" s="15">
        <v>1250</v>
      </c>
      <c r="K127" s="7">
        <v>26.5</v>
      </c>
      <c r="L127" s="7">
        <f t="shared" si="12"/>
        <v>47.169811320754718</v>
      </c>
      <c r="M127" s="5" t="s">
        <v>10</v>
      </c>
      <c r="N127" s="5">
        <v>4</v>
      </c>
      <c r="O127" s="6">
        <f t="shared" si="13"/>
        <v>1.7382742969028124</v>
      </c>
      <c r="P127" s="6">
        <f t="shared" si="14"/>
        <v>0.18078052687789251</v>
      </c>
      <c r="Q127" s="10">
        <f t="shared" si="15"/>
        <v>3.7662609766227601E-3</v>
      </c>
      <c r="R127" s="10">
        <f t="shared" si="16"/>
        <v>2.4070541236937307E-2</v>
      </c>
      <c r="S127" s="10">
        <f t="shared" si="17"/>
        <v>2.7836802213560066E-2</v>
      </c>
    </row>
    <row r="128" spans="1:19" x14ac:dyDescent="0.25">
      <c r="A128" s="5" t="s">
        <v>8</v>
      </c>
      <c r="B128" s="5" t="s">
        <v>372</v>
      </c>
      <c r="C128" s="5" t="s">
        <v>27</v>
      </c>
      <c r="D128" s="5" t="s">
        <v>385</v>
      </c>
      <c r="E128" s="5" t="s">
        <v>387</v>
      </c>
      <c r="F128" s="5" t="s">
        <v>112</v>
      </c>
      <c r="G128" s="5" t="s">
        <v>391</v>
      </c>
      <c r="H128" s="5" t="s">
        <v>53</v>
      </c>
      <c r="I128" s="5" t="s">
        <v>374</v>
      </c>
      <c r="J128" s="15">
        <v>3590</v>
      </c>
      <c r="K128" s="7">
        <v>44</v>
      </c>
      <c r="L128" s="7">
        <f t="shared" si="12"/>
        <v>81.590909090909093</v>
      </c>
      <c r="M128" s="5" t="s">
        <v>10</v>
      </c>
      <c r="N128" s="5">
        <v>4</v>
      </c>
      <c r="O128" s="6">
        <f t="shared" si="13"/>
        <v>14.936815276342974</v>
      </c>
      <c r="P128" s="6">
        <f t="shared" si="14"/>
        <v>1.5534287887396692</v>
      </c>
      <c r="Q128" s="10">
        <f t="shared" si="15"/>
        <v>3.2363099765409777E-2</v>
      </c>
      <c r="R128" s="10">
        <f t="shared" si="16"/>
        <v>0.12080659172555661</v>
      </c>
      <c r="S128" s="10">
        <f t="shared" si="17"/>
        <v>0.15316969149096638</v>
      </c>
    </row>
    <row r="129" spans="1:19" x14ac:dyDescent="0.25">
      <c r="A129" s="5" t="s">
        <v>22</v>
      </c>
      <c r="B129" s="5" t="s">
        <v>63</v>
      </c>
      <c r="C129" s="5" t="s">
        <v>27</v>
      </c>
      <c r="D129" s="5" t="s">
        <v>385</v>
      </c>
      <c r="E129" s="5" t="s">
        <v>387</v>
      </c>
      <c r="F129" s="5" t="s">
        <v>112</v>
      </c>
      <c r="G129" s="5" t="s">
        <v>391</v>
      </c>
      <c r="H129" s="5" t="s">
        <v>53</v>
      </c>
      <c r="I129" s="5" t="s">
        <v>114</v>
      </c>
      <c r="J129" s="15">
        <v>1700</v>
      </c>
      <c r="K129" s="7">
        <v>37</v>
      </c>
      <c r="L129" s="7">
        <f t="shared" si="12"/>
        <v>45.945945945945944</v>
      </c>
      <c r="M129" s="5" t="s">
        <v>10</v>
      </c>
      <c r="N129" s="5">
        <v>4</v>
      </c>
      <c r="O129" s="6">
        <f t="shared" si="13"/>
        <v>2.2429693206720231</v>
      </c>
      <c r="P129" s="6">
        <f t="shared" si="14"/>
        <v>0.23326880934989039</v>
      </c>
      <c r="Q129" s="10">
        <f t="shared" si="15"/>
        <v>4.8597668614560495E-3</v>
      </c>
      <c r="R129" s="10">
        <f t="shared" si="16"/>
        <v>2.9141682641278973E-2</v>
      </c>
      <c r="S129" s="10">
        <f t="shared" si="17"/>
        <v>3.4001449502735023E-2</v>
      </c>
    </row>
    <row r="130" spans="1:19" x14ac:dyDescent="0.25">
      <c r="A130" s="5" t="s">
        <v>8</v>
      </c>
      <c r="B130" s="5" t="s">
        <v>322</v>
      </c>
      <c r="C130" s="5" t="s">
        <v>27</v>
      </c>
      <c r="D130" s="5" t="s">
        <v>385</v>
      </c>
      <c r="E130" s="5" t="s">
        <v>387</v>
      </c>
      <c r="F130" s="5" t="s">
        <v>112</v>
      </c>
      <c r="G130" s="5" t="s">
        <v>391</v>
      </c>
      <c r="H130" s="5" t="s">
        <v>53</v>
      </c>
      <c r="I130" s="5" t="s">
        <v>114</v>
      </c>
      <c r="J130" s="15">
        <v>1600</v>
      </c>
      <c r="K130" s="7">
        <v>39</v>
      </c>
      <c r="L130" s="7">
        <f t="shared" si="12"/>
        <v>41.025641025641029</v>
      </c>
      <c r="M130" s="5" t="s">
        <v>10</v>
      </c>
      <c r="N130" s="5">
        <v>4</v>
      </c>
      <c r="O130" s="6">
        <f t="shared" si="13"/>
        <v>1.6831032215647603</v>
      </c>
      <c r="P130" s="6">
        <f t="shared" si="14"/>
        <v>0.17504273504273507</v>
      </c>
      <c r="Q130" s="10">
        <f t="shared" si="15"/>
        <v>3.6467236467236474E-3</v>
      </c>
      <c r="R130" s="10">
        <f t="shared" si="16"/>
        <v>2.3495256345525899E-2</v>
      </c>
      <c r="S130" s="10">
        <f t="shared" si="17"/>
        <v>2.7141979992249547E-2</v>
      </c>
    </row>
    <row r="131" spans="1:19" x14ac:dyDescent="0.25">
      <c r="A131" s="5" t="s">
        <v>22</v>
      </c>
      <c r="B131" s="5" t="s">
        <v>63</v>
      </c>
      <c r="C131" s="5" t="s">
        <v>27</v>
      </c>
      <c r="D131" s="5" t="s">
        <v>385</v>
      </c>
      <c r="E131" s="5" t="s">
        <v>387</v>
      </c>
      <c r="F131" s="5" t="s">
        <v>112</v>
      </c>
      <c r="G131" s="5" t="s">
        <v>391</v>
      </c>
      <c r="H131" s="5" t="s">
        <v>115</v>
      </c>
      <c r="I131" s="5" t="s">
        <v>116</v>
      </c>
      <c r="J131" s="15">
        <v>665</v>
      </c>
      <c r="K131" s="7">
        <v>23</v>
      </c>
      <c r="L131" s="7">
        <f t="shared" si="12"/>
        <v>28.913043478260871</v>
      </c>
      <c r="M131" s="5" t="s">
        <v>10</v>
      </c>
      <c r="N131" s="5">
        <v>4</v>
      </c>
      <c r="O131" s="6">
        <f t="shared" si="13"/>
        <v>0.34744757206994337</v>
      </c>
      <c r="P131" s="6">
        <f t="shared" si="14"/>
        <v>3.6134547495274102E-2</v>
      </c>
      <c r="Q131" s="10">
        <f t="shared" si="15"/>
        <v>7.5280307281821058E-4</v>
      </c>
      <c r="R131" s="10">
        <f t="shared" si="16"/>
        <v>7.1955514895454976E-3</v>
      </c>
      <c r="S131" s="10">
        <f t="shared" si="17"/>
        <v>7.9483545623637089E-3</v>
      </c>
    </row>
    <row r="132" spans="1:19" x14ac:dyDescent="0.25">
      <c r="A132" s="5" t="s">
        <v>22</v>
      </c>
      <c r="B132" s="5" t="s">
        <v>63</v>
      </c>
      <c r="C132" s="5" t="s">
        <v>27</v>
      </c>
      <c r="D132" s="5" t="s">
        <v>385</v>
      </c>
      <c r="E132" s="5" t="s">
        <v>387</v>
      </c>
      <c r="F132" s="5" t="s">
        <v>112</v>
      </c>
      <c r="G132" s="5" t="s">
        <v>391</v>
      </c>
      <c r="H132" s="5" t="s">
        <v>119</v>
      </c>
      <c r="I132" s="5" t="s">
        <v>120</v>
      </c>
      <c r="J132" s="15">
        <v>1200</v>
      </c>
      <c r="K132" s="7">
        <v>26.5</v>
      </c>
      <c r="L132" s="7">
        <f t="shared" si="12"/>
        <v>45.283018867924525</v>
      </c>
      <c r="M132" s="5" t="s">
        <v>10</v>
      </c>
      <c r="N132" s="5">
        <v>4</v>
      </c>
      <c r="O132" s="6">
        <f t="shared" si="13"/>
        <v>1.5379138483446062</v>
      </c>
      <c r="P132" s="6">
        <f t="shared" si="14"/>
        <v>0.15994304022783903</v>
      </c>
      <c r="Q132" s="10">
        <f t="shared" si="15"/>
        <v>3.3321466714133132E-3</v>
      </c>
      <c r="R132" s="10">
        <f t="shared" si="16"/>
        <v>2.1958169341058133E-2</v>
      </c>
      <c r="S132" s="10">
        <f t="shared" si="17"/>
        <v>2.5290316012471448E-2</v>
      </c>
    </row>
    <row r="133" spans="1:19" x14ac:dyDescent="0.25">
      <c r="A133" s="5" t="s">
        <v>22</v>
      </c>
      <c r="B133" s="5" t="s">
        <v>63</v>
      </c>
      <c r="C133" s="5" t="s">
        <v>27</v>
      </c>
      <c r="D133" s="5" t="s">
        <v>385</v>
      </c>
      <c r="E133" s="5" t="s">
        <v>387</v>
      </c>
      <c r="F133" s="5" t="s">
        <v>112</v>
      </c>
      <c r="G133" s="5" t="s">
        <v>391</v>
      </c>
      <c r="H133" s="5" t="s">
        <v>237</v>
      </c>
      <c r="I133" s="5" t="s">
        <v>121</v>
      </c>
      <c r="J133" s="15">
        <v>1250</v>
      </c>
      <c r="K133" s="7">
        <v>25.5</v>
      </c>
      <c r="L133" s="7">
        <f t="shared" si="12"/>
        <v>49.019607843137258</v>
      </c>
      <c r="M133" s="5" t="s">
        <v>10</v>
      </c>
      <c r="N133" s="5">
        <v>4</v>
      </c>
      <c r="O133" s="6">
        <f t="shared" si="13"/>
        <v>1.8772827758554407</v>
      </c>
      <c r="P133" s="6">
        <f t="shared" si="14"/>
        <v>0.19523740868896583</v>
      </c>
      <c r="Q133" s="10">
        <f t="shared" si="15"/>
        <v>4.0674460143534548E-3</v>
      </c>
      <c r="R133" s="10">
        <f t="shared" si="16"/>
        <v>2.5500247518851233E-2</v>
      </c>
      <c r="S133" s="10">
        <f t="shared" si="17"/>
        <v>2.9567693533204688E-2</v>
      </c>
    </row>
    <row r="134" spans="1:19" x14ac:dyDescent="0.25">
      <c r="A134" s="5" t="s">
        <v>8</v>
      </c>
      <c r="B134" s="5" t="s">
        <v>236</v>
      </c>
      <c r="C134" s="5" t="s">
        <v>27</v>
      </c>
      <c r="D134" s="5" t="s">
        <v>385</v>
      </c>
      <c r="E134" s="5" t="s">
        <v>387</v>
      </c>
      <c r="F134" s="5" t="s">
        <v>112</v>
      </c>
      <c r="G134" s="5" t="s">
        <v>391</v>
      </c>
      <c r="H134" s="5" t="s">
        <v>237</v>
      </c>
      <c r="I134" s="5" t="s">
        <v>238</v>
      </c>
      <c r="J134" s="15">
        <v>2800</v>
      </c>
      <c r="K134" s="7">
        <v>33.6</v>
      </c>
      <c r="L134" s="7">
        <f t="shared" si="12"/>
        <v>83.333333333333329</v>
      </c>
      <c r="M134" s="5" t="s">
        <v>10</v>
      </c>
      <c r="N134" s="5">
        <v>4</v>
      </c>
      <c r="O134" s="6">
        <f t="shared" si="13"/>
        <v>12.152777777777775</v>
      </c>
      <c r="P134" s="6">
        <f t="shared" si="14"/>
        <v>1.2638888888888886</v>
      </c>
      <c r="Q134" s="10">
        <f t="shared" si="15"/>
        <v>2.6331018518518514E-2</v>
      </c>
      <c r="R134" s="10">
        <f t="shared" si="16"/>
        <v>0.10349128794647404</v>
      </c>
      <c r="S134" s="10">
        <f t="shared" si="17"/>
        <v>0.12982230646499254</v>
      </c>
    </row>
    <row r="135" spans="1:19" x14ac:dyDescent="0.25">
      <c r="A135" s="5" t="s">
        <v>8</v>
      </c>
      <c r="B135" s="5" t="s">
        <v>165</v>
      </c>
      <c r="C135" s="5" t="s">
        <v>27</v>
      </c>
      <c r="D135" s="5" t="s">
        <v>385</v>
      </c>
      <c r="E135" s="5" t="s">
        <v>384</v>
      </c>
      <c r="F135" s="5" t="s">
        <v>91</v>
      </c>
      <c r="G135" s="5" t="s">
        <v>393</v>
      </c>
      <c r="H135" s="5" t="s">
        <v>92</v>
      </c>
      <c r="I135" s="5" t="s">
        <v>167</v>
      </c>
      <c r="J135" s="15">
        <v>1770</v>
      </c>
      <c r="K135" s="7">
        <v>30</v>
      </c>
      <c r="L135" s="7">
        <f t="shared" si="12"/>
        <v>59</v>
      </c>
      <c r="M135" s="5" t="s">
        <v>10</v>
      </c>
      <c r="N135" s="5">
        <v>4</v>
      </c>
      <c r="O135" s="6">
        <f t="shared" si="13"/>
        <v>3.8508562500000001</v>
      </c>
      <c r="P135" s="6">
        <f t="shared" si="14"/>
        <v>0.40048905000000001</v>
      </c>
      <c r="Q135" s="10">
        <f t="shared" si="15"/>
        <v>8.3435218750000009E-3</v>
      </c>
      <c r="R135" s="10">
        <f t="shared" si="16"/>
        <v>4.3708419692553992E-2</v>
      </c>
      <c r="S135" s="10">
        <f t="shared" si="17"/>
        <v>5.2051941567553994E-2</v>
      </c>
    </row>
    <row r="136" spans="1:19" x14ac:dyDescent="0.25">
      <c r="A136" s="5" t="s">
        <v>8</v>
      </c>
      <c r="B136" s="5" t="s">
        <v>372</v>
      </c>
      <c r="C136" s="5" t="s">
        <v>27</v>
      </c>
      <c r="D136" s="5" t="s">
        <v>385</v>
      </c>
      <c r="E136" s="5" t="s">
        <v>384</v>
      </c>
      <c r="F136" s="5" t="s">
        <v>91</v>
      </c>
      <c r="G136" s="5" t="s">
        <v>393</v>
      </c>
      <c r="H136" s="5" t="s">
        <v>92</v>
      </c>
      <c r="I136" s="5" t="s">
        <v>373</v>
      </c>
      <c r="J136" s="15">
        <v>2600</v>
      </c>
      <c r="K136" s="7">
        <v>40.200000000000003</v>
      </c>
      <c r="L136" s="7">
        <f t="shared" si="12"/>
        <v>64.676616915422883</v>
      </c>
      <c r="M136" s="5" t="s">
        <v>10</v>
      </c>
      <c r="N136" s="5">
        <v>4</v>
      </c>
      <c r="O136" s="6">
        <f t="shared" si="13"/>
        <v>6.7974802603895936</v>
      </c>
      <c r="P136" s="6">
        <f t="shared" si="14"/>
        <v>0.7069379470805176</v>
      </c>
      <c r="Q136" s="10">
        <f t="shared" si="15"/>
        <v>1.4727873897510785E-2</v>
      </c>
      <c r="R136" s="10">
        <f t="shared" si="16"/>
        <v>6.6935743328339611E-2</v>
      </c>
      <c r="S136" s="10">
        <f t="shared" si="17"/>
        <v>8.1663617225850402E-2</v>
      </c>
    </row>
    <row r="137" spans="1:19" x14ac:dyDescent="0.25">
      <c r="A137" s="5" t="s">
        <v>22</v>
      </c>
      <c r="B137" s="5" t="s">
        <v>63</v>
      </c>
      <c r="C137" s="5" t="s">
        <v>27</v>
      </c>
      <c r="D137" s="5" t="s">
        <v>385</v>
      </c>
      <c r="E137" s="5" t="s">
        <v>384</v>
      </c>
      <c r="F137" s="5" t="s">
        <v>91</v>
      </c>
      <c r="G137" s="5" t="s">
        <v>393</v>
      </c>
      <c r="H137" s="5" t="s">
        <v>92</v>
      </c>
      <c r="I137" s="5" t="s">
        <v>19</v>
      </c>
      <c r="J137" s="15">
        <v>1530</v>
      </c>
      <c r="K137" s="7">
        <v>63</v>
      </c>
      <c r="L137" s="7">
        <f t="shared" si="12"/>
        <v>24.285714285714285</v>
      </c>
      <c r="M137" s="5" t="s">
        <v>10</v>
      </c>
      <c r="N137" s="5">
        <v>4</v>
      </c>
      <c r="O137" s="6">
        <f t="shared" si="13"/>
        <v>0.56399234693877542</v>
      </c>
      <c r="P137" s="6">
        <f t="shared" si="14"/>
        <v>5.8655204081632648E-2</v>
      </c>
      <c r="Q137" s="10">
        <f t="shared" si="15"/>
        <v>1.2219834183673467E-3</v>
      </c>
      <c r="R137" s="10">
        <f t="shared" si="16"/>
        <v>1.0347895457552336E-2</v>
      </c>
      <c r="S137" s="10">
        <f t="shared" si="17"/>
        <v>1.1569878875919683E-2</v>
      </c>
    </row>
    <row r="138" spans="1:19" x14ac:dyDescent="0.25">
      <c r="A138" s="5" t="s">
        <v>8</v>
      </c>
      <c r="B138" s="5" t="s">
        <v>313</v>
      </c>
      <c r="C138" s="5" t="s">
        <v>27</v>
      </c>
      <c r="D138" s="5" t="s">
        <v>385</v>
      </c>
      <c r="E138" s="5" t="s">
        <v>384</v>
      </c>
      <c r="F138" s="5" t="s">
        <v>91</v>
      </c>
      <c r="G138" s="5" t="s">
        <v>393</v>
      </c>
      <c r="H138" s="5" t="s">
        <v>92</v>
      </c>
      <c r="I138" s="5" t="s">
        <v>315</v>
      </c>
      <c r="J138" s="15">
        <v>1300</v>
      </c>
      <c r="K138" s="7">
        <v>27</v>
      </c>
      <c r="L138" s="7">
        <f t="shared" si="12"/>
        <v>48.148148148148145</v>
      </c>
      <c r="M138" s="5" t="s">
        <v>10</v>
      </c>
      <c r="N138" s="5">
        <v>4</v>
      </c>
      <c r="O138" s="6">
        <f t="shared" si="13"/>
        <v>1.8835733882030175</v>
      </c>
      <c r="P138" s="6">
        <f t="shared" si="14"/>
        <v>0.19589163237311383</v>
      </c>
      <c r="Q138" s="10">
        <f t="shared" si="15"/>
        <v>4.0810756744398711E-3</v>
      </c>
      <c r="R138" s="10">
        <f t="shared" si="16"/>
        <v>2.5564307556858588E-2</v>
      </c>
      <c r="S138" s="10">
        <f t="shared" si="17"/>
        <v>2.964538323129846E-2</v>
      </c>
    </row>
    <row r="139" spans="1:19" x14ac:dyDescent="0.25">
      <c r="A139" s="5" t="s">
        <v>22</v>
      </c>
      <c r="B139" s="5" t="s">
        <v>63</v>
      </c>
      <c r="C139" s="5" t="s">
        <v>27</v>
      </c>
      <c r="D139" s="5" t="s">
        <v>385</v>
      </c>
      <c r="E139" s="5" t="s">
        <v>384</v>
      </c>
      <c r="F139" s="5" t="s">
        <v>91</v>
      </c>
      <c r="G139" s="5" t="s">
        <v>393</v>
      </c>
      <c r="H139" s="5" t="s">
        <v>92</v>
      </c>
      <c r="I139" s="5" t="s">
        <v>20</v>
      </c>
      <c r="J139" s="15">
        <v>1400</v>
      </c>
      <c r="K139" s="7">
        <v>37</v>
      </c>
      <c r="L139" s="7">
        <f t="shared" si="12"/>
        <v>37.837837837837839</v>
      </c>
      <c r="M139" s="5" t="s">
        <v>10</v>
      </c>
      <c r="N139" s="5">
        <v>4</v>
      </c>
      <c r="O139" s="6">
        <f t="shared" si="13"/>
        <v>1.2527392257121988</v>
      </c>
      <c r="P139" s="6">
        <f t="shared" si="14"/>
        <v>0.13028487947406867</v>
      </c>
      <c r="Q139" s="10">
        <f t="shared" si="15"/>
        <v>2.7142683223764304E-3</v>
      </c>
      <c r="R139" s="10">
        <f t="shared" si="16"/>
        <v>1.8827498926201992E-2</v>
      </c>
      <c r="S139" s="10">
        <f t="shared" si="17"/>
        <v>2.1541767248578422E-2</v>
      </c>
    </row>
    <row r="140" spans="1:19" x14ac:dyDescent="0.25">
      <c r="A140" s="5" t="s">
        <v>8</v>
      </c>
      <c r="B140" s="5" t="s">
        <v>308</v>
      </c>
      <c r="C140" s="5" t="s">
        <v>27</v>
      </c>
      <c r="D140" s="5" t="s">
        <v>385</v>
      </c>
      <c r="E140" s="5" t="s">
        <v>384</v>
      </c>
      <c r="F140" s="5" t="s">
        <v>91</v>
      </c>
      <c r="G140" s="5" t="s">
        <v>393</v>
      </c>
      <c r="H140" s="5" t="s">
        <v>92</v>
      </c>
      <c r="I140" s="5" t="s">
        <v>309</v>
      </c>
      <c r="J140" s="15">
        <v>1055</v>
      </c>
      <c r="K140" s="7">
        <v>35.5</v>
      </c>
      <c r="L140" s="7">
        <f t="shared" ref="L140:L201" si="18">J140/K140</f>
        <v>29.718309859154928</v>
      </c>
      <c r="M140" s="5" t="s">
        <v>10</v>
      </c>
      <c r="N140" s="5">
        <v>4</v>
      </c>
      <c r="O140" s="6">
        <f t="shared" ref="O140:O201" si="19">(J140*L140^2)/(1.6*10^6)</f>
        <v>0.58234545477087873</v>
      </c>
      <c r="P140" s="6">
        <f t="shared" ref="P140:P201" si="20">(0.104*J140*L140^2)/(1.6*10^6)</f>
        <v>6.056392729617139E-2</v>
      </c>
      <c r="Q140" s="10">
        <f t="shared" ref="Q140:Q201" si="21">(0.104*O140)/(12*N140)</f>
        <v>1.2617484853369037E-3</v>
      </c>
      <c r="R140" s="10">
        <f t="shared" ref="R140:R201" si="22">0.0159*O140^0.75</f>
        <v>1.0599433193685417E-2</v>
      </c>
      <c r="S140" s="10">
        <f t="shared" ref="S140:S201" si="23">Q140+R140</f>
        <v>1.1861181679022321E-2</v>
      </c>
    </row>
    <row r="141" spans="1:19" x14ac:dyDescent="0.25">
      <c r="A141" s="5" t="s">
        <v>22</v>
      </c>
      <c r="B141" s="5" t="s">
        <v>63</v>
      </c>
      <c r="C141" s="5" t="s">
        <v>27</v>
      </c>
      <c r="D141" s="5" t="s">
        <v>385</v>
      </c>
      <c r="E141" s="5" t="s">
        <v>384</v>
      </c>
      <c r="F141" s="5" t="s">
        <v>91</v>
      </c>
      <c r="G141" s="5" t="s">
        <v>393</v>
      </c>
      <c r="H141" s="5" t="s">
        <v>93</v>
      </c>
      <c r="I141" s="5" t="s">
        <v>94</v>
      </c>
      <c r="J141" s="15">
        <v>3450</v>
      </c>
      <c r="K141" s="7">
        <v>33.5</v>
      </c>
      <c r="L141" s="7">
        <f t="shared" si="18"/>
        <v>102.98507462686567</v>
      </c>
      <c r="M141" s="5" t="s">
        <v>10</v>
      </c>
      <c r="N141" s="5">
        <v>4</v>
      </c>
      <c r="O141" s="6">
        <f t="shared" si="19"/>
        <v>22.869027066161731</v>
      </c>
      <c r="P141" s="6">
        <f t="shared" si="20"/>
        <v>2.3783788148808198</v>
      </c>
      <c r="Q141" s="10">
        <f t="shared" si="21"/>
        <v>4.9549558643350415E-2</v>
      </c>
      <c r="R141" s="10">
        <f t="shared" si="22"/>
        <v>0.16627727199027578</v>
      </c>
      <c r="S141" s="10">
        <f t="shared" si="23"/>
        <v>0.2158268306336262</v>
      </c>
    </row>
    <row r="142" spans="1:19" x14ac:dyDescent="0.25">
      <c r="A142" s="5" t="s">
        <v>8</v>
      </c>
      <c r="B142" s="5" t="s">
        <v>336</v>
      </c>
      <c r="C142" s="5" t="s">
        <v>27</v>
      </c>
      <c r="D142" s="5" t="s">
        <v>385</v>
      </c>
      <c r="E142" s="5" t="s">
        <v>384</v>
      </c>
      <c r="F142" s="5" t="s">
        <v>91</v>
      </c>
      <c r="G142" s="5" t="s">
        <v>393</v>
      </c>
      <c r="H142" s="5" t="s">
        <v>93</v>
      </c>
      <c r="I142" s="5" t="s">
        <v>94</v>
      </c>
      <c r="J142" s="15">
        <v>3150</v>
      </c>
      <c r="K142" s="7">
        <v>31</v>
      </c>
      <c r="L142" s="7">
        <f t="shared" si="18"/>
        <v>101.61290322580645</v>
      </c>
      <c r="M142" s="5" t="s">
        <v>10</v>
      </c>
      <c r="N142" s="5">
        <v>4</v>
      </c>
      <c r="O142" s="6">
        <f t="shared" si="19"/>
        <v>20.32770226326743</v>
      </c>
      <c r="P142" s="6">
        <f t="shared" si="20"/>
        <v>2.1140810353798125</v>
      </c>
      <c r="Q142" s="10">
        <f t="shared" si="21"/>
        <v>4.4043354903746092E-2</v>
      </c>
      <c r="R142" s="10">
        <f t="shared" si="22"/>
        <v>0.15221706459438031</v>
      </c>
      <c r="S142" s="10">
        <f t="shared" si="23"/>
        <v>0.19626041949812639</v>
      </c>
    </row>
    <row r="143" spans="1:19" x14ac:dyDescent="0.25">
      <c r="A143" s="5" t="s">
        <v>22</v>
      </c>
      <c r="B143" s="5" t="s">
        <v>63</v>
      </c>
      <c r="C143" s="5" t="s">
        <v>27</v>
      </c>
      <c r="D143" s="5" t="s">
        <v>385</v>
      </c>
      <c r="E143" s="5" t="s">
        <v>384</v>
      </c>
      <c r="F143" s="5" t="s">
        <v>91</v>
      </c>
      <c r="G143" s="5" t="s">
        <v>393</v>
      </c>
      <c r="H143" s="5" t="s">
        <v>95</v>
      </c>
      <c r="I143" s="5" t="s">
        <v>96</v>
      </c>
      <c r="J143" s="15">
        <v>2765</v>
      </c>
      <c r="K143" s="7">
        <v>41</v>
      </c>
      <c r="L143" s="7">
        <f t="shared" si="18"/>
        <v>67.439024390243901</v>
      </c>
      <c r="M143" s="5" t="s">
        <v>10</v>
      </c>
      <c r="N143" s="5">
        <v>4</v>
      </c>
      <c r="O143" s="6">
        <f t="shared" si="19"/>
        <v>7.8595505372546111</v>
      </c>
      <c r="P143" s="6">
        <f t="shared" si="20"/>
        <v>0.81739325587447953</v>
      </c>
      <c r="Q143" s="10">
        <f t="shared" si="21"/>
        <v>1.7029026164051657E-2</v>
      </c>
      <c r="R143" s="10">
        <f t="shared" si="22"/>
        <v>7.4635493270240674E-2</v>
      </c>
      <c r="S143" s="10">
        <f t="shared" si="23"/>
        <v>9.1664519434292324E-2</v>
      </c>
    </row>
    <row r="144" spans="1:19" x14ac:dyDescent="0.25">
      <c r="A144" s="5" t="s">
        <v>8</v>
      </c>
      <c r="B144" s="5" t="s">
        <v>165</v>
      </c>
      <c r="C144" s="5" t="s">
        <v>27</v>
      </c>
      <c r="D144" s="5" t="s">
        <v>385</v>
      </c>
      <c r="E144" s="5" t="s">
        <v>384</v>
      </c>
      <c r="F144" s="5" t="s">
        <v>30</v>
      </c>
      <c r="G144" s="5" t="s">
        <v>397</v>
      </c>
      <c r="H144" s="5" t="s">
        <v>36</v>
      </c>
      <c r="I144" s="5" t="s">
        <v>173</v>
      </c>
      <c r="J144" s="15">
        <v>3000</v>
      </c>
      <c r="K144" s="7">
        <v>18</v>
      </c>
      <c r="L144" s="7">
        <f t="shared" si="18"/>
        <v>166.66666666666666</v>
      </c>
      <c r="M144" s="5" t="s">
        <v>10</v>
      </c>
      <c r="N144" s="5">
        <v>4</v>
      </c>
      <c r="O144" s="6">
        <f t="shared" si="19"/>
        <v>52.083333333333329</v>
      </c>
      <c r="P144" s="6">
        <f t="shared" si="20"/>
        <v>5.4166666666666661</v>
      </c>
      <c r="Q144" s="10">
        <f t="shared" si="21"/>
        <v>0.11284722222222221</v>
      </c>
      <c r="R144" s="10">
        <f t="shared" si="22"/>
        <v>0.3082628595775706</v>
      </c>
      <c r="S144" s="10">
        <f t="shared" si="23"/>
        <v>0.42111008179979281</v>
      </c>
    </row>
    <row r="145" spans="1:19" x14ac:dyDescent="0.25">
      <c r="A145" s="5" t="s">
        <v>8</v>
      </c>
      <c r="B145" s="5" t="s">
        <v>165</v>
      </c>
      <c r="C145" s="5" t="s">
        <v>27</v>
      </c>
      <c r="D145" s="5" t="s">
        <v>385</v>
      </c>
      <c r="E145" s="5" t="s">
        <v>384</v>
      </c>
      <c r="F145" s="5" t="s">
        <v>30</v>
      </c>
      <c r="G145" s="5" t="s">
        <v>397</v>
      </c>
      <c r="H145" s="5" t="s">
        <v>36</v>
      </c>
      <c r="I145" s="5" t="s">
        <v>170</v>
      </c>
      <c r="J145" s="15">
        <v>2695</v>
      </c>
      <c r="K145" s="7">
        <v>40</v>
      </c>
      <c r="L145" s="7">
        <f t="shared" si="18"/>
        <v>67.375</v>
      </c>
      <c r="M145" s="5" t="s">
        <v>10</v>
      </c>
      <c r="N145" s="5">
        <v>4</v>
      </c>
      <c r="O145" s="6">
        <f t="shared" si="19"/>
        <v>7.6460360839843746</v>
      </c>
      <c r="P145" s="6">
        <f t="shared" si="20"/>
        <v>0.79518775273437492</v>
      </c>
      <c r="Q145" s="10">
        <f t="shared" si="21"/>
        <v>1.6566411515299476E-2</v>
      </c>
      <c r="R145" s="10">
        <f t="shared" si="22"/>
        <v>7.3109595619803347E-2</v>
      </c>
      <c r="S145" s="10">
        <f t="shared" si="23"/>
        <v>8.967600713510282E-2</v>
      </c>
    </row>
    <row r="146" spans="1:19" x14ac:dyDescent="0.25">
      <c r="A146" s="5" t="s">
        <v>8</v>
      </c>
      <c r="B146" s="5" t="s">
        <v>165</v>
      </c>
      <c r="C146" s="5" t="s">
        <v>27</v>
      </c>
      <c r="D146" s="5" t="s">
        <v>385</v>
      </c>
      <c r="E146" s="5" t="s">
        <v>384</v>
      </c>
      <c r="F146" s="5" t="s">
        <v>30</v>
      </c>
      <c r="G146" s="5" t="s">
        <v>397</v>
      </c>
      <c r="H146" s="5" t="s">
        <v>36</v>
      </c>
      <c r="I146" s="5" t="s">
        <v>174</v>
      </c>
      <c r="J146" s="15">
        <v>5350</v>
      </c>
      <c r="K146" s="7">
        <v>40</v>
      </c>
      <c r="L146" s="7">
        <f t="shared" si="18"/>
        <v>133.75</v>
      </c>
      <c r="M146" s="5" t="s">
        <v>10</v>
      </c>
      <c r="N146" s="5">
        <v>4</v>
      </c>
      <c r="O146" s="6">
        <f t="shared" si="19"/>
        <v>59.816552734375001</v>
      </c>
      <c r="P146" s="6">
        <f t="shared" si="20"/>
        <v>6.2209214843750003</v>
      </c>
      <c r="Q146" s="10">
        <f t="shared" si="21"/>
        <v>0.12960253092447918</v>
      </c>
      <c r="R146" s="10">
        <f t="shared" si="22"/>
        <v>0.34198980524747485</v>
      </c>
      <c r="S146" s="10">
        <f t="shared" si="23"/>
        <v>0.47159233617195406</v>
      </c>
    </row>
    <row r="147" spans="1:19" x14ac:dyDescent="0.25">
      <c r="A147" s="5" t="s">
        <v>22</v>
      </c>
      <c r="B147" s="5" t="s">
        <v>26</v>
      </c>
      <c r="C147" s="5" t="s">
        <v>27</v>
      </c>
      <c r="D147" s="5" t="s">
        <v>385</v>
      </c>
      <c r="E147" s="5" t="s">
        <v>384</v>
      </c>
      <c r="F147" s="5" t="s">
        <v>30</v>
      </c>
      <c r="G147" s="5" t="s">
        <v>397</v>
      </c>
      <c r="H147" s="5" t="s">
        <v>36</v>
      </c>
      <c r="I147" s="5" t="s">
        <v>18</v>
      </c>
      <c r="J147" s="15">
        <v>1750</v>
      </c>
      <c r="K147" s="7">
        <v>28</v>
      </c>
      <c r="L147" s="7">
        <f t="shared" si="18"/>
        <v>62.5</v>
      </c>
      <c r="M147" s="5" t="s">
        <v>10</v>
      </c>
      <c r="N147" s="5">
        <v>4</v>
      </c>
      <c r="O147" s="6">
        <f t="shared" si="19"/>
        <v>4.2724609375</v>
      </c>
      <c r="P147" s="6">
        <f t="shared" si="20"/>
        <v>0.4443359375</v>
      </c>
      <c r="Q147" s="10">
        <f t="shared" si="21"/>
        <v>9.2569986979166661E-3</v>
      </c>
      <c r="R147" s="10">
        <f t="shared" si="22"/>
        <v>4.7250422897927295E-2</v>
      </c>
      <c r="S147" s="10">
        <f t="shared" si="23"/>
        <v>5.650742159584396E-2</v>
      </c>
    </row>
    <row r="148" spans="1:19" x14ac:dyDescent="0.25">
      <c r="A148" s="5" t="s">
        <v>8</v>
      </c>
      <c r="B148" s="5" t="s">
        <v>165</v>
      </c>
      <c r="C148" s="5" t="s">
        <v>27</v>
      </c>
      <c r="D148" s="5" t="s">
        <v>385</v>
      </c>
      <c r="E148" s="5" t="s">
        <v>384</v>
      </c>
      <c r="F148" s="5" t="s">
        <v>30</v>
      </c>
      <c r="G148" s="5" t="s">
        <v>397</v>
      </c>
      <c r="H148" s="5" t="s">
        <v>36</v>
      </c>
      <c r="I148" s="5" t="s">
        <v>18</v>
      </c>
      <c r="J148" s="15">
        <v>1450</v>
      </c>
      <c r="K148" s="7">
        <v>28.5</v>
      </c>
      <c r="L148" s="7">
        <f t="shared" si="18"/>
        <v>50.877192982456137</v>
      </c>
      <c r="M148" s="5" t="s">
        <v>10</v>
      </c>
      <c r="N148" s="5">
        <v>4</v>
      </c>
      <c r="O148" s="6">
        <f t="shared" si="19"/>
        <v>2.3458179439827638</v>
      </c>
      <c r="P148" s="6">
        <f t="shared" si="20"/>
        <v>0.24396506617420743</v>
      </c>
      <c r="Q148" s="10">
        <f t="shared" si="21"/>
        <v>5.0826055452959885E-3</v>
      </c>
      <c r="R148" s="10">
        <f t="shared" si="22"/>
        <v>3.0138237596683604E-2</v>
      </c>
      <c r="S148" s="10">
        <f t="shared" si="23"/>
        <v>3.5220843141979589E-2</v>
      </c>
    </row>
    <row r="149" spans="1:19" x14ac:dyDescent="0.25">
      <c r="A149" s="5" t="s">
        <v>8</v>
      </c>
      <c r="B149" s="5" t="s">
        <v>281</v>
      </c>
      <c r="C149" s="5" t="s">
        <v>27</v>
      </c>
      <c r="D149" s="5" t="s">
        <v>385</v>
      </c>
      <c r="E149" s="5" t="s">
        <v>384</v>
      </c>
      <c r="F149" s="5" t="s">
        <v>30</v>
      </c>
      <c r="G149" s="5" t="s">
        <v>397</v>
      </c>
      <c r="H149" s="5" t="s">
        <v>36</v>
      </c>
      <c r="I149" s="5" t="s">
        <v>18</v>
      </c>
      <c r="J149" s="15">
        <v>1975</v>
      </c>
      <c r="K149" s="7">
        <v>33</v>
      </c>
      <c r="L149" s="7">
        <f t="shared" si="18"/>
        <v>59.848484848484851</v>
      </c>
      <c r="M149" s="5" t="s">
        <v>10</v>
      </c>
      <c r="N149" s="5">
        <v>4</v>
      </c>
      <c r="O149" s="6">
        <f t="shared" si="19"/>
        <v>4.4213351555325984</v>
      </c>
      <c r="P149" s="6">
        <f t="shared" si="20"/>
        <v>0.45981885617539026</v>
      </c>
      <c r="Q149" s="10">
        <f t="shared" si="21"/>
        <v>9.5795595036539619E-3</v>
      </c>
      <c r="R149" s="10">
        <f t="shared" si="22"/>
        <v>4.8479954373658471E-2</v>
      </c>
      <c r="S149" s="10">
        <f t="shared" si="23"/>
        <v>5.8059513877312431E-2</v>
      </c>
    </row>
    <row r="150" spans="1:19" x14ac:dyDescent="0.25">
      <c r="A150" s="5" t="s">
        <v>8</v>
      </c>
      <c r="B150" s="5" t="s">
        <v>291</v>
      </c>
      <c r="C150" s="5" t="s">
        <v>27</v>
      </c>
      <c r="D150" s="5" t="s">
        <v>385</v>
      </c>
      <c r="E150" s="5" t="s">
        <v>384</v>
      </c>
      <c r="F150" s="5" t="s">
        <v>30</v>
      </c>
      <c r="G150" s="5" t="s">
        <v>397</v>
      </c>
      <c r="H150" s="5" t="s">
        <v>36</v>
      </c>
      <c r="I150" s="5" t="s">
        <v>18</v>
      </c>
      <c r="J150" s="15">
        <v>1559</v>
      </c>
      <c r="K150" s="7">
        <v>24.4</v>
      </c>
      <c r="L150" s="7">
        <f t="shared" si="18"/>
        <v>63.893442622950822</v>
      </c>
      <c r="M150" s="5" t="s">
        <v>10</v>
      </c>
      <c r="N150" s="5">
        <v>4</v>
      </c>
      <c r="O150" s="6">
        <f t="shared" si="19"/>
        <v>3.977761227450618</v>
      </c>
      <c r="P150" s="6">
        <f t="shared" si="20"/>
        <v>0.4136871676548643</v>
      </c>
      <c r="Q150" s="10">
        <f t="shared" si="21"/>
        <v>8.6184826594763383E-3</v>
      </c>
      <c r="R150" s="10">
        <f t="shared" si="22"/>
        <v>4.4784337805949009E-2</v>
      </c>
      <c r="S150" s="10">
        <f t="shared" si="23"/>
        <v>5.3402820465425348E-2</v>
      </c>
    </row>
    <row r="151" spans="1:19" x14ac:dyDescent="0.25">
      <c r="A151" s="5" t="s">
        <v>8</v>
      </c>
      <c r="B151" s="5" t="s">
        <v>291</v>
      </c>
      <c r="C151" s="5" t="s">
        <v>27</v>
      </c>
      <c r="D151" s="5" t="s">
        <v>385</v>
      </c>
      <c r="E151" s="5" t="s">
        <v>384</v>
      </c>
      <c r="F151" s="5" t="s">
        <v>30</v>
      </c>
      <c r="G151" s="5" t="s">
        <v>397</v>
      </c>
      <c r="H151" s="5" t="s">
        <v>36</v>
      </c>
      <c r="I151" s="5" t="s">
        <v>18</v>
      </c>
      <c r="J151" s="15">
        <v>1600</v>
      </c>
      <c r="K151" s="7">
        <v>25.6</v>
      </c>
      <c r="L151" s="7">
        <f t="shared" si="18"/>
        <v>62.5</v>
      </c>
      <c r="M151" s="5" t="s">
        <v>10</v>
      </c>
      <c r="N151" s="5">
        <v>4</v>
      </c>
      <c r="O151" s="6">
        <f t="shared" si="19"/>
        <v>3.90625</v>
      </c>
      <c r="P151" s="6">
        <f t="shared" si="20"/>
        <v>0.40625</v>
      </c>
      <c r="Q151" s="10">
        <f t="shared" si="21"/>
        <v>8.4635416666666661E-3</v>
      </c>
      <c r="R151" s="10">
        <f t="shared" si="22"/>
        <v>4.4179129093154489E-2</v>
      </c>
      <c r="S151" s="10">
        <f t="shared" si="23"/>
        <v>5.2642670759821153E-2</v>
      </c>
    </row>
    <row r="152" spans="1:19" x14ac:dyDescent="0.25">
      <c r="A152" s="5" t="s">
        <v>8</v>
      </c>
      <c r="B152" s="5" t="s">
        <v>307</v>
      </c>
      <c r="C152" s="5" t="s">
        <v>27</v>
      </c>
      <c r="D152" s="5" t="s">
        <v>385</v>
      </c>
      <c r="E152" s="5" t="s">
        <v>384</v>
      </c>
      <c r="F152" s="5" t="s">
        <v>30</v>
      </c>
      <c r="G152" s="5" t="s">
        <v>397</v>
      </c>
      <c r="H152" s="5" t="s">
        <v>36</v>
      </c>
      <c r="I152" s="5" t="s">
        <v>18</v>
      </c>
      <c r="J152" s="15">
        <v>1450</v>
      </c>
      <c r="K152" s="7">
        <v>34.200000000000003</v>
      </c>
      <c r="L152" s="7">
        <f t="shared" si="18"/>
        <v>42.397660818713447</v>
      </c>
      <c r="M152" s="5" t="s">
        <v>10</v>
      </c>
      <c r="N152" s="5">
        <v>4</v>
      </c>
      <c r="O152" s="6">
        <f t="shared" si="19"/>
        <v>1.629040238876919</v>
      </c>
      <c r="P152" s="6">
        <f t="shared" si="20"/>
        <v>0.16942018484319957</v>
      </c>
      <c r="Q152" s="10">
        <f t="shared" si="21"/>
        <v>3.5295871842333242E-3</v>
      </c>
      <c r="R152" s="10">
        <f t="shared" si="22"/>
        <v>2.2926934132158183E-2</v>
      </c>
      <c r="S152" s="10">
        <f t="shared" si="23"/>
        <v>2.6456521316391507E-2</v>
      </c>
    </row>
    <row r="153" spans="1:19" x14ac:dyDescent="0.25">
      <c r="A153" s="5" t="s">
        <v>8</v>
      </c>
      <c r="B153" s="5" t="s">
        <v>165</v>
      </c>
      <c r="C153" s="5" t="s">
        <v>27</v>
      </c>
      <c r="D153" s="5" t="s">
        <v>385</v>
      </c>
      <c r="E153" s="5" t="s">
        <v>384</v>
      </c>
      <c r="F153" s="5" t="s">
        <v>30</v>
      </c>
      <c r="G153" s="5" t="s">
        <v>397</v>
      </c>
      <c r="H153" s="5" t="s">
        <v>36</v>
      </c>
      <c r="I153" s="5" t="s">
        <v>175</v>
      </c>
      <c r="J153" s="15">
        <v>1800</v>
      </c>
      <c r="K153" s="7">
        <v>25</v>
      </c>
      <c r="L153" s="7">
        <f t="shared" si="18"/>
        <v>72</v>
      </c>
      <c r="M153" s="5" t="s">
        <v>10</v>
      </c>
      <c r="N153" s="5">
        <v>4</v>
      </c>
      <c r="O153" s="6">
        <f t="shared" si="19"/>
        <v>5.8319999999999999</v>
      </c>
      <c r="P153" s="6">
        <f t="shared" si="20"/>
        <v>0.60652799999999996</v>
      </c>
      <c r="Q153" s="10">
        <f t="shared" si="21"/>
        <v>1.2636E-2</v>
      </c>
      <c r="R153" s="10">
        <f t="shared" si="22"/>
        <v>5.9670580217310476E-2</v>
      </c>
      <c r="S153" s="10">
        <f t="shared" si="23"/>
        <v>7.230658021731047E-2</v>
      </c>
    </row>
    <row r="154" spans="1:19" x14ac:dyDescent="0.25">
      <c r="A154" s="5" t="s">
        <v>8</v>
      </c>
      <c r="B154" s="5" t="s">
        <v>165</v>
      </c>
      <c r="C154" s="5" t="s">
        <v>27</v>
      </c>
      <c r="D154" s="5" t="s">
        <v>385</v>
      </c>
      <c r="E154" s="5" t="s">
        <v>384</v>
      </c>
      <c r="F154" s="5" t="s">
        <v>30</v>
      </c>
      <c r="G154" s="5" t="s">
        <v>397</v>
      </c>
      <c r="H154" s="5" t="s">
        <v>36</v>
      </c>
      <c r="I154" s="5" t="s">
        <v>176</v>
      </c>
      <c r="J154" s="15">
        <v>1750</v>
      </c>
      <c r="K154" s="7">
        <v>35.5</v>
      </c>
      <c r="L154" s="7">
        <f t="shared" si="18"/>
        <v>49.29577464788732</v>
      </c>
      <c r="M154" s="5" t="s">
        <v>10</v>
      </c>
      <c r="N154" s="5">
        <v>4</v>
      </c>
      <c r="O154" s="6">
        <f t="shared" si="19"/>
        <v>2.6578927792104734</v>
      </c>
      <c r="P154" s="6">
        <f t="shared" si="20"/>
        <v>0.27642084903788922</v>
      </c>
      <c r="Q154" s="10">
        <f t="shared" si="21"/>
        <v>5.7587676882893584E-3</v>
      </c>
      <c r="R154" s="10">
        <f t="shared" si="22"/>
        <v>3.3097883067103442E-2</v>
      </c>
      <c r="S154" s="10">
        <f t="shared" si="23"/>
        <v>3.8856650755392803E-2</v>
      </c>
    </row>
    <row r="155" spans="1:19" x14ac:dyDescent="0.25">
      <c r="A155" s="5" t="s">
        <v>8</v>
      </c>
      <c r="B155" s="5" t="s">
        <v>165</v>
      </c>
      <c r="C155" s="5" t="s">
        <v>27</v>
      </c>
      <c r="D155" s="5" t="s">
        <v>385</v>
      </c>
      <c r="E155" s="5" t="s">
        <v>384</v>
      </c>
      <c r="F155" s="5" t="s">
        <v>30</v>
      </c>
      <c r="G155" s="5" t="s">
        <v>397</v>
      </c>
      <c r="H155" s="5" t="s">
        <v>36</v>
      </c>
      <c r="I155" s="5" t="s">
        <v>177</v>
      </c>
      <c r="J155" s="15">
        <v>1060</v>
      </c>
      <c r="K155" s="7">
        <v>28</v>
      </c>
      <c r="L155" s="7">
        <f t="shared" si="18"/>
        <v>37.857142857142854</v>
      </c>
      <c r="M155" s="5" t="s">
        <v>10</v>
      </c>
      <c r="N155" s="5">
        <v>4</v>
      </c>
      <c r="O155" s="6">
        <f t="shared" si="19"/>
        <v>0.94947066326530594</v>
      </c>
      <c r="P155" s="6">
        <f t="shared" si="20"/>
        <v>9.874494897959181E-2</v>
      </c>
      <c r="Q155" s="10">
        <f t="shared" si="21"/>
        <v>2.0571864370748294E-3</v>
      </c>
      <c r="R155" s="10">
        <f t="shared" si="22"/>
        <v>1.5293549291277381E-2</v>
      </c>
      <c r="S155" s="10">
        <f t="shared" si="23"/>
        <v>1.7350735728352211E-2</v>
      </c>
    </row>
    <row r="156" spans="1:19" x14ac:dyDescent="0.25">
      <c r="A156" s="5" t="s">
        <v>8</v>
      </c>
      <c r="B156" s="5" t="s">
        <v>165</v>
      </c>
      <c r="C156" s="5" t="s">
        <v>27</v>
      </c>
      <c r="D156" s="5" t="s">
        <v>385</v>
      </c>
      <c r="E156" s="5" t="s">
        <v>384</v>
      </c>
      <c r="F156" s="5" t="s">
        <v>30</v>
      </c>
      <c r="G156" s="5" t="s">
        <v>397</v>
      </c>
      <c r="H156" s="5" t="s">
        <v>36</v>
      </c>
      <c r="I156" s="5" t="s">
        <v>178</v>
      </c>
      <c r="J156" s="15">
        <v>1700</v>
      </c>
      <c r="K156" s="7">
        <v>26.5</v>
      </c>
      <c r="L156" s="7">
        <f t="shared" si="18"/>
        <v>64.15094339622641</v>
      </c>
      <c r="M156" s="5" t="s">
        <v>10</v>
      </c>
      <c r="N156" s="5">
        <v>4</v>
      </c>
      <c r="O156" s="6">
        <f t="shared" si="19"/>
        <v>4.3725525097899602</v>
      </c>
      <c r="P156" s="6">
        <f t="shared" si="20"/>
        <v>0.45474546101815583</v>
      </c>
      <c r="Q156" s="10">
        <f t="shared" si="21"/>
        <v>9.4738637712115797E-3</v>
      </c>
      <c r="R156" s="10">
        <f t="shared" si="22"/>
        <v>4.8078222116359363E-2</v>
      </c>
      <c r="S156" s="10">
        <f t="shared" si="23"/>
        <v>5.7552085887570943E-2</v>
      </c>
    </row>
    <row r="157" spans="1:19" x14ac:dyDescent="0.25">
      <c r="A157" s="5" t="s">
        <v>8</v>
      </c>
      <c r="B157" s="5" t="s">
        <v>165</v>
      </c>
      <c r="C157" s="5" t="s">
        <v>27</v>
      </c>
      <c r="D157" s="5" t="s">
        <v>385</v>
      </c>
      <c r="E157" s="5" t="s">
        <v>384</v>
      </c>
      <c r="F157" s="5" t="s">
        <v>30</v>
      </c>
      <c r="G157" s="5" t="s">
        <v>397</v>
      </c>
      <c r="H157" s="5" t="s">
        <v>36</v>
      </c>
      <c r="I157" s="5" t="s">
        <v>179</v>
      </c>
      <c r="J157" s="15">
        <v>1200</v>
      </c>
      <c r="K157" s="7">
        <v>28</v>
      </c>
      <c r="L157" s="7">
        <f t="shared" si="18"/>
        <v>42.857142857142854</v>
      </c>
      <c r="M157" s="5" t="s">
        <v>10</v>
      </c>
      <c r="N157" s="5">
        <v>4</v>
      </c>
      <c r="O157" s="6">
        <f t="shared" si="19"/>
        <v>1.3775510204081631</v>
      </c>
      <c r="P157" s="6">
        <f t="shared" si="20"/>
        <v>0.14326530612244898</v>
      </c>
      <c r="Q157" s="10">
        <f t="shared" si="21"/>
        <v>2.9846938775510198E-3</v>
      </c>
      <c r="R157" s="10">
        <f t="shared" si="22"/>
        <v>2.0217520582724226E-2</v>
      </c>
      <c r="S157" s="10">
        <f t="shared" si="23"/>
        <v>2.3202214460275247E-2</v>
      </c>
    </row>
    <row r="158" spans="1:19" x14ac:dyDescent="0.25">
      <c r="A158" s="5" t="s">
        <v>8</v>
      </c>
      <c r="B158" s="5" t="s">
        <v>165</v>
      </c>
      <c r="C158" s="5" t="s">
        <v>27</v>
      </c>
      <c r="D158" s="5" t="s">
        <v>385</v>
      </c>
      <c r="E158" s="5" t="s">
        <v>384</v>
      </c>
      <c r="F158" s="5" t="s">
        <v>30</v>
      </c>
      <c r="G158" s="5" t="s">
        <v>397</v>
      </c>
      <c r="H158" s="5" t="s">
        <v>36</v>
      </c>
      <c r="I158" s="5" t="s">
        <v>180</v>
      </c>
      <c r="J158" s="15">
        <v>4150</v>
      </c>
      <c r="K158" s="7">
        <v>26.5</v>
      </c>
      <c r="L158" s="7">
        <f t="shared" si="18"/>
        <v>156.60377358490567</v>
      </c>
      <c r="M158" s="5" t="s">
        <v>10</v>
      </c>
      <c r="N158" s="5">
        <v>4</v>
      </c>
      <c r="O158" s="6">
        <f t="shared" si="19"/>
        <v>63.61104930580278</v>
      </c>
      <c r="P158" s="6">
        <f t="shared" si="20"/>
        <v>6.6155491278034892</v>
      </c>
      <c r="Q158" s="10">
        <f t="shared" si="21"/>
        <v>0.13782394016257268</v>
      </c>
      <c r="R158" s="10">
        <f t="shared" si="22"/>
        <v>0.35813481691991617</v>
      </c>
      <c r="S158" s="10">
        <f t="shared" si="23"/>
        <v>0.49595875708248882</v>
      </c>
    </row>
    <row r="159" spans="1:19" x14ac:dyDescent="0.25">
      <c r="A159" s="5" t="s">
        <v>8</v>
      </c>
      <c r="B159" s="5" t="s">
        <v>165</v>
      </c>
      <c r="C159" s="5" t="s">
        <v>27</v>
      </c>
      <c r="D159" s="5" t="s">
        <v>385</v>
      </c>
      <c r="E159" s="5" t="s">
        <v>384</v>
      </c>
      <c r="F159" s="5" t="s">
        <v>30</v>
      </c>
      <c r="G159" s="5" t="s">
        <v>397</v>
      </c>
      <c r="H159" s="5" t="s">
        <v>36</v>
      </c>
      <c r="I159" s="5" t="s">
        <v>172</v>
      </c>
      <c r="J159" s="15">
        <v>1615</v>
      </c>
      <c r="K159" s="7">
        <v>35</v>
      </c>
      <c r="L159" s="7">
        <f t="shared" si="18"/>
        <v>46.142857142857146</v>
      </c>
      <c r="M159" s="5" t="s">
        <v>10</v>
      </c>
      <c r="N159" s="5">
        <v>4</v>
      </c>
      <c r="O159" s="6">
        <f t="shared" si="19"/>
        <v>2.1491241709183679</v>
      </c>
      <c r="P159" s="6">
        <f t="shared" si="20"/>
        <v>0.22350891377551022</v>
      </c>
      <c r="Q159" s="10">
        <f t="shared" si="21"/>
        <v>4.6564357036564634E-3</v>
      </c>
      <c r="R159" s="10">
        <f t="shared" si="22"/>
        <v>2.8222355350425752E-2</v>
      </c>
      <c r="S159" s="10">
        <f t="shared" si="23"/>
        <v>3.2878791054082215E-2</v>
      </c>
    </row>
    <row r="160" spans="1:19" x14ac:dyDescent="0.25">
      <c r="A160" s="5" t="s">
        <v>8</v>
      </c>
      <c r="B160" s="5" t="s">
        <v>165</v>
      </c>
      <c r="C160" s="5" t="s">
        <v>27</v>
      </c>
      <c r="D160" s="5" t="s">
        <v>385</v>
      </c>
      <c r="E160" s="5" t="s">
        <v>384</v>
      </c>
      <c r="F160" s="5" t="s">
        <v>30</v>
      </c>
      <c r="G160" s="5" t="s">
        <v>397</v>
      </c>
      <c r="H160" s="5" t="s">
        <v>36</v>
      </c>
      <c r="I160" s="5" t="s">
        <v>172</v>
      </c>
      <c r="J160" s="15">
        <v>1600</v>
      </c>
      <c r="K160" s="7">
        <v>35</v>
      </c>
      <c r="L160" s="7">
        <f t="shared" si="18"/>
        <v>45.714285714285715</v>
      </c>
      <c r="M160" s="5" t="s">
        <v>10</v>
      </c>
      <c r="N160" s="5">
        <v>4</v>
      </c>
      <c r="O160" s="6">
        <f t="shared" si="19"/>
        <v>2.0897959183673471</v>
      </c>
      <c r="P160" s="6">
        <f t="shared" si="20"/>
        <v>0.21733877551020411</v>
      </c>
      <c r="Q160" s="10">
        <f t="shared" si="21"/>
        <v>4.5278911564625851E-3</v>
      </c>
      <c r="R160" s="10">
        <f t="shared" si="22"/>
        <v>2.7635990312774601E-2</v>
      </c>
      <c r="S160" s="10">
        <f t="shared" si="23"/>
        <v>3.2163881469237182E-2</v>
      </c>
    </row>
    <row r="161" spans="1:19" x14ac:dyDescent="0.25">
      <c r="A161" s="5" t="s">
        <v>8</v>
      </c>
      <c r="B161" s="5" t="s">
        <v>165</v>
      </c>
      <c r="C161" s="5" t="s">
        <v>27</v>
      </c>
      <c r="D161" s="5" t="s">
        <v>385</v>
      </c>
      <c r="E161" s="5" t="s">
        <v>384</v>
      </c>
      <c r="F161" s="5" t="s">
        <v>30</v>
      </c>
      <c r="G161" s="5" t="s">
        <v>397</v>
      </c>
      <c r="H161" s="5" t="s">
        <v>36</v>
      </c>
      <c r="I161" s="5" t="s">
        <v>71</v>
      </c>
      <c r="J161" s="15">
        <v>3100</v>
      </c>
      <c r="K161" s="7">
        <v>39.5</v>
      </c>
      <c r="L161" s="7">
        <f t="shared" si="18"/>
        <v>78.481012658227854</v>
      </c>
      <c r="M161" s="5" t="s">
        <v>10</v>
      </c>
      <c r="N161" s="5">
        <v>4</v>
      </c>
      <c r="O161" s="6">
        <f t="shared" si="19"/>
        <v>11.933584361480534</v>
      </c>
      <c r="P161" s="6">
        <f t="shared" si="20"/>
        <v>1.2410927735939754</v>
      </c>
      <c r="Q161" s="10">
        <f t="shared" si="21"/>
        <v>2.5856099449874489E-2</v>
      </c>
      <c r="R161" s="10">
        <f t="shared" si="22"/>
        <v>0.10208814323887225</v>
      </c>
      <c r="S161" s="10">
        <f t="shared" si="23"/>
        <v>0.12794424268874674</v>
      </c>
    </row>
    <row r="162" spans="1:19" x14ac:dyDescent="0.25">
      <c r="A162" s="5" t="s">
        <v>22</v>
      </c>
      <c r="B162" s="5" t="s">
        <v>26</v>
      </c>
      <c r="C162" s="5" t="s">
        <v>27</v>
      </c>
      <c r="D162" s="5" t="s">
        <v>385</v>
      </c>
      <c r="E162" s="5" t="s">
        <v>384</v>
      </c>
      <c r="F162" s="5" t="s">
        <v>30</v>
      </c>
      <c r="G162" s="5" t="s">
        <v>397</v>
      </c>
      <c r="H162" s="5" t="s">
        <v>36</v>
      </c>
      <c r="I162" s="5" t="s">
        <v>37</v>
      </c>
      <c r="J162" s="15">
        <v>3105</v>
      </c>
      <c r="K162" s="7">
        <v>37.5</v>
      </c>
      <c r="L162" s="7">
        <f t="shared" si="18"/>
        <v>82.8</v>
      </c>
      <c r="M162" s="5" t="s">
        <v>10</v>
      </c>
      <c r="N162" s="5">
        <v>4</v>
      </c>
      <c r="O162" s="6">
        <f t="shared" si="19"/>
        <v>13.3046145</v>
      </c>
      <c r="P162" s="6">
        <f t="shared" si="20"/>
        <v>1.3836799079999997</v>
      </c>
      <c r="Q162" s="10">
        <f t="shared" si="21"/>
        <v>2.8826664749999998E-2</v>
      </c>
      <c r="R162" s="10">
        <f t="shared" si="22"/>
        <v>0.11076405481821383</v>
      </c>
      <c r="S162" s="10">
        <f t="shared" si="23"/>
        <v>0.13959071956821384</v>
      </c>
    </row>
    <row r="163" spans="1:19" x14ac:dyDescent="0.25">
      <c r="A163" s="5" t="s">
        <v>8</v>
      </c>
      <c r="B163" s="5" t="s">
        <v>165</v>
      </c>
      <c r="C163" s="5" t="s">
        <v>27</v>
      </c>
      <c r="D163" s="5" t="s">
        <v>385</v>
      </c>
      <c r="E163" s="5" t="s">
        <v>384</v>
      </c>
      <c r="F163" s="5" t="s">
        <v>30</v>
      </c>
      <c r="G163" s="5" t="s">
        <v>397</v>
      </c>
      <c r="H163" s="5" t="s">
        <v>36</v>
      </c>
      <c r="I163" s="5" t="s">
        <v>37</v>
      </c>
      <c r="J163" s="15">
        <v>3050</v>
      </c>
      <c r="K163" s="7">
        <v>36.5</v>
      </c>
      <c r="L163" s="7">
        <f t="shared" si="18"/>
        <v>83.561643835616437</v>
      </c>
      <c r="M163" s="5" t="s">
        <v>10</v>
      </c>
      <c r="N163" s="5">
        <v>4</v>
      </c>
      <c r="O163" s="6">
        <f t="shared" si="19"/>
        <v>13.310482735972977</v>
      </c>
      <c r="P163" s="6">
        <f t="shared" si="20"/>
        <v>1.3842902045411896</v>
      </c>
      <c r="Q163" s="10">
        <f t="shared" si="21"/>
        <v>2.8839379261274781E-2</v>
      </c>
      <c r="R163" s="10">
        <f t="shared" si="22"/>
        <v>0.11080069363522363</v>
      </c>
      <c r="S163" s="10">
        <f t="shared" si="23"/>
        <v>0.13964007289649841</v>
      </c>
    </row>
    <row r="164" spans="1:19" x14ac:dyDescent="0.25">
      <c r="A164" s="5" t="s">
        <v>8</v>
      </c>
      <c r="B164" s="5" t="s">
        <v>165</v>
      </c>
      <c r="C164" s="5" t="s">
        <v>27</v>
      </c>
      <c r="D164" s="5" t="s">
        <v>385</v>
      </c>
      <c r="E164" s="5" t="s">
        <v>384</v>
      </c>
      <c r="F164" s="5" t="s">
        <v>30</v>
      </c>
      <c r="G164" s="5" t="s">
        <v>397</v>
      </c>
      <c r="H164" s="5" t="s">
        <v>36</v>
      </c>
      <c r="I164" s="5" t="s">
        <v>181</v>
      </c>
      <c r="J164" s="15">
        <v>1850</v>
      </c>
      <c r="K164" s="7">
        <v>28.5</v>
      </c>
      <c r="L164" s="7">
        <f t="shared" si="18"/>
        <v>64.912280701754383</v>
      </c>
      <c r="M164" s="5" t="s">
        <v>10</v>
      </c>
      <c r="N164" s="5">
        <v>4</v>
      </c>
      <c r="O164" s="6">
        <f t="shared" si="19"/>
        <v>4.8719798399507539</v>
      </c>
      <c r="P164" s="6">
        <f t="shared" si="20"/>
        <v>0.5066859033548784</v>
      </c>
      <c r="Q164" s="10">
        <f t="shared" si="21"/>
        <v>1.0555956319893299E-2</v>
      </c>
      <c r="R164" s="10">
        <f t="shared" si="22"/>
        <v>5.2140625426400966E-2</v>
      </c>
      <c r="S164" s="10">
        <f t="shared" si="23"/>
        <v>6.2696581746294264E-2</v>
      </c>
    </row>
    <row r="165" spans="1:19" x14ac:dyDescent="0.25">
      <c r="A165" s="5" t="s">
        <v>8</v>
      </c>
      <c r="B165" s="5" t="s">
        <v>165</v>
      </c>
      <c r="C165" s="5" t="s">
        <v>27</v>
      </c>
      <c r="D165" s="5" t="s">
        <v>385</v>
      </c>
      <c r="E165" s="5" t="s">
        <v>384</v>
      </c>
      <c r="F165" s="5" t="s">
        <v>30</v>
      </c>
      <c r="G165" s="5" t="s">
        <v>397</v>
      </c>
      <c r="H165" s="5" t="s">
        <v>36</v>
      </c>
      <c r="I165" s="5" t="s">
        <v>171</v>
      </c>
      <c r="J165" s="15">
        <v>1740</v>
      </c>
      <c r="K165" s="7">
        <v>26.5</v>
      </c>
      <c r="L165" s="7">
        <f t="shared" si="18"/>
        <v>65.660377358490564</v>
      </c>
      <c r="M165" s="5" t="s">
        <v>10</v>
      </c>
      <c r="N165" s="5">
        <v>4</v>
      </c>
      <c r="O165" s="6">
        <f t="shared" si="19"/>
        <v>4.6885226059095757</v>
      </c>
      <c r="P165" s="6">
        <f t="shared" si="20"/>
        <v>0.48760635101459576</v>
      </c>
      <c r="Q165" s="10">
        <f t="shared" si="21"/>
        <v>1.0158465646137415E-2</v>
      </c>
      <c r="R165" s="10">
        <f t="shared" si="22"/>
        <v>5.0661043972834809E-2</v>
      </c>
      <c r="S165" s="10">
        <f t="shared" si="23"/>
        <v>6.0819509618972221E-2</v>
      </c>
    </row>
    <row r="166" spans="1:19" x14ac:dyDescent="0.25">
      <c r="A166" s="5" t="s">
        <v>8</v>
      </c>
      <c r="B166" s="5" t="s">
        <v>226</v>
      </c>
      <c r="C166" s="5" t="s">
        <v>27</v>
      </c>
      <c r="D166" s="5" t="s">
        <v>385</v>
      </c>
      <c r="E166" s="5" t="s">
        <v>384</v>
      </c>
      <c r="F166" s="5" t="s">
        <v>30</v>
      </c>
      <c r="G166" s="5" t="s">
        <v>397</v>
      </c>
      <c r="H166" s="5" t="s">
        <v>36</v>
      </c>
      <c r="I166" s="5" t="s">
        <v>227</v>
      </c>
      <c r="J166" s="15">
        <v>1508</v>
      </c>
      <c r="K166" s="7">
        <v>28.4</v>
      </c>
      <c r="L166" s="7">
        <f t="shared" si="18"/>
        <v>53.098591549295776</v>
      </c>
      <c r="M166" s="5" t="s">
        <v>10</v>
      </c>
      <c r="N166" s="5">
        <v>4</v>
      </c>
      <c r="O166" s="6">
        <f t="shared" si="19"/>
        <v>2.6573414501091053</v>
      </c>
      <c r="P166" s="6">
        <f t="shared" si="20"/>
        <v>0.27636351081134697</v>
      </c>
      <c r="Q166" s="10">
        <f t="shared" si="21"/>
        <v>5.7575731419030607E-3</v>
      </c>
      <c r="R166" s="10">
        <f t="shared" si="22"/>
        <v>3.3092733790731882E-2</v>
      </c>
      <c r="S166" s="10">
        <f t="shared" si="23"/>
        <v>3.8850306932634943E-2</v>
      </c>
    </row>
    <row r="167" spans="1:19" x14ac:dyDescent="0.25">
      <c r="A167" s="5" t="s">
        <v>22</v>
      </c>
      <c r="B167" s="5" t="s">
        <v>26</v>
      </c>
      <c r="C167" s="5" t="s">
        <v>27</v>
      </c>
      <c r="D167" s="5" t="s">
        <v>385</v>
      </c>
      <c r="E167" s="5" t="s">
        <v>384</v>
      </c>
      <c r="F167" s="5" t="s">
        <v>30</v>
      </c>
      <c r="G167" s="5" t="s">
        <v>397</v>
      </c>
      <c r="H167" s="5" t="s">
        <v>36</v>
      </c>
      <c r="I167" s="5" t="s">
        <v>38</v>
      </c>
      <c r="J167" s="15">
        <v>1900</v>
      </c>
      <c r="K167" s="7">
        <v>37</v>
      </c>
      <c r="L167" s="7">
        <f t="shared" si="18"/>
        <v>51.351351351351354</v>
      </c>
      <c r="M167" s="5" t="s">
        <v>10</v>
      </c>
      <c r="N167" s="5">
        <v>4</v>
      </c>
      <c r="O167" s="6">
        <f t="shared" si="19"/>
        <v>3.1313915266617975</v>
      </c>
      <c r="P167" s="6">
        <f t="shared" si="20"/>
        <v>0.32566471877282693</v>
      </c>
      <c r="Q167" s="10">
        <f t="shared" si="21"/>
        <v>6.7846816411005614E-3</v>
      </c>
      <c r="R167" s="10">
        <f t="shared" si="22"/>
        <v>3.7428304441951506E-2</v>
      </c>
      <c r="S167" s="10">
        <f t="shared" si="23"/>
        <v>4.4212986083052068E-2</v>
      </c>
    </row>
    <row r="168" spans="1:19" x14ac:dyDescent="0.25">
      <c r="A168" s="5" t="s">
        <v>8</v>
      </c>
      <c r="B168" s="5" t="s">
        <v>165</v>
      </c>
      <c r="C168" s="5" t="s">
        <v>27</v>
      </c>
      <c r="D168" s="5" t="s">
        <v>385</v>
      </c>
      <c r="E168" s="5" t="s">
        <v>384</v>
      </c>
      <c r="F168" s="5" t="s">
        <v>30</v>
      </c>
      <c r="G168" s="5" t="s">
        <v>397</v>
      </c>
      <c r="H168" s="5" t="s">
        <v>36</v>
      </c>
      <c r="I168" s="5" t="s">
        <v>38</v>
      </c>
      <c r="J168" s="15">
        <v>1900</v>
      </c>
      <c r="K168" s="7">
        <v>37</v>
      </c>
      <c r="L168" s="7">
        <f t="shared" si="18"/>
        <v>51.351351351351354</v>
      </c>
      <c r="M168" s="5" t="s">
        <v>10</v>
      </c>
      <c r="N168" s="5">
        <v>4</v>
      </c>
      <c r="O168" s="6">
        <f t="shared" si="19"/>
        <v>3.1313915266617975</v>
      </c>
      <c r="P168" s="6">
        <f t="shared" si="20"/>
        <v>0.32566471877282693</v>
      </c>
      <c r="Q168" s="10">
        <f t="shared" si="21"/>
        <v>6.7846816411005614E-3</v>
      </c>
      <c r="R168" s="10">
        <f t="shared" si="22"/>
        <v>3.7428304441951506E-2</v>
      </c>
      <c r="S168" s="10">
        <f t="shared" si="23"/>
        <v>4.4212986083052068E-2</v>
      </c>
    </row>
    <row r="169" spans="1:19" x14ac:dyDescent="0.25">
      <c r="A169" s="5" t="s">
        <v>8</v>
      </c>
      <c r="B169" s="5" t="s">
        <v>291</v>
      </c>
      <c r="C169" s="5" t="s">
        <v>27</v>
      </c>
      <c r="D169" s="5" t="s">
        <v>385</v>
      </c>
      <c r="E169" s="5" t="s">
        <v>384</v>
      </c>
      <c r="F169" s="5" t="s">
        <v>30</v>
      </c>
      <c r="G169" s="5" t="s">
        <v>397</v>
      </c>
      <c r="H169" s="5" t="s">
        <v>36</v>
      </c>
      <c r="I169" s="5" t="s">
        <v>38</v>
      </c>
      <c r="J169" s="15">
        <v>1808</v>
      </c>
      <c r="K169" s="7">
        <v>27.3</v>
      </c>
      <c r="L169" s="7">
        <f t="shared" si="18"/>
        <v>66.227106227106219</v>
      </c>
      <c r="M169" s="5" t="s">
        <v>10</v>
      </c>
      <c r="N169" s="5">
        <v>4</v>
      </c>
      <c r="O169" s="6">
        <f t="shared" si="19"/>
        <v>4.9562134471145445</v>
      </c>
      <c r="P169" s="6">
        <f t="shared" si="20"/>
        <v>0.51544619849991258</v>
      </c>
      <c r="Q169" s="10">
        <f t="shared" si="21"/>
        <v>1.0738462468748178E-2</v>
      </c>
      <c r="R169" s="10">
        <f t="shared" si="22"/>
        <v>5.2815284747529848E-2</v>
      </c>
      <c r="S169" s="10">
        <f t="shared" si="23"/>
        <v>6.3553747216278031E-2</v>
      </c>
    </row>
    <row r="170" spans="1:19" x14ac:dyDescent="0.25">
      <c r="A170" s="5" t="s">
        <v>8</v>
      </c>
      <c r="B170" s="5" t="s">
        <v>291</v>
      </c>
      <c r="C170" s="5" t="s">
        <v>27</v>
      </c>
      <c r="D170" s="5" t="s">
        <v>385</v>
      </c>
      <c r="E170" s="5" t="s">
        <v>384</v>
      </c>
      <c r="F170" s="5" t="s">
        <v>30</v>
      </c>
      <c r="G170" s="5" t="s">
        <v>397</v>
      </c>
      <c r="H170" s="5" t="s">
        <v>36</v>
      </c>
      <c r="I170" s="5" t="s">
        <v>38</v>
      </c>
      <c r="J170" s="15">
        <v>1839</v>
      </c>
      <c r="K170" s="7">
        <v>33.299999999999997</v>
      </c>
      <c r="L170" s="7">
        <f t="shared" si="18"/>
        <v>55.22522522522523</v>
      </c>
      <c r="M170" s="5" t="s">
        <v>10</v>
      </c>
      <c r="N170" s="5">
        <v>4</v>
      </c>
      <c r="O170" s="6">
        <f t="shared" si="19"/>
        <v>3.5053931854151457</v>
      </c>
      <c r="P170" s="6">
        <f t="shared" si="20"/>
        <v>0.36456089128317515</v>
      </c>
      <c r="Q170" s="10">
        <f t="shared" si="21"/>
        <v>7.5950185683994823E-3</v>
      </c>
      <c r="R170" s="10">
        <f t="shared" si="22"/>
        <v>4.073330769697972E-2</v>
      </c>
      <c r="S170" s="10">
        <f t="shared" si="23"/>
        <v>4.8328326265379203E-2</v>
      </c>
    </row>
    <row r="171" spans="1:19" x14ac:dyDescent="0.25">
      <c r="A171" s="5" t="s">
        <v>8</v>
      </c>
      <c r="B171" s="5" t="s">
        <v>165</v>
      </c>
      <c r="C171" s="5" t="s">
        <v>27</v>
      </c>
      <c r="D171" s="5" t="s">
        <v>385</v>
      </c>
      <c r="E171" s="5" t="s">
        <v>384</v>
      </c>
      <c r="F171" s="5" t="s">
        <v>30</v>
      </c>
      <c r="G171" s="5" t="s">
        <v>397</v>
      </c>
      <c r="H171" s="5" t="s">
        <v>36</v>
      </c>
      <c r="I171" s="5" t="s">
        <v>182</v>
      </c>
      <c r="J171" s="15">
        <v>1650</v>
      </c>
      <c r="K171" s="7">
        <v>32.5</v>
      </c>
      <c r="L171" s="7">
        <f t="shared" si="18"/>
        <v>50.769230769230766</v>
      </c>
      <c r="M171" s="5" t="s">
        <v>10</v>
      </c>
      <c r="N171" s="5">
        <v>4</v>
      </c>
      <c r="O171" s="6">
        <f t="shared" si="19"/>
        <v>2.6580621301775147</v>
      </c>
      <c r="P171" s="6">
        <f t="shared" si="20"/>
        <v>0.27643846153846147</v>
      </c>
      <c r="Q171" s="10">
        <f t="shared" si="21"/>
        <v>5.7591346153846147E-3</v>
      </c>
      <c r="R171" s="10">
        <f t="shared" si="22"/>
        <v>3.3099464709308975E-2</v>
      </c>
      <c r="S171" s="10">
        <f t="shared" si="23"/>
        <v>3.8858599324693592E-2</v>
      </c>
    </row>
    <row r="172" spans="1:19" x14ac:dyDescent="0.25">
      <c r="A172" s="5" t="s">
        <v>8</v>
      </c>
      <c r="B172" s="5" t="s">
        <v>165</v>
      </c>
      <c r="C172" s="5" t="s">
        <v>27</v>
      </c>
      <c r="D172" s="5" t="s">
        <v>385</v>
      </c>
      <c r="E172" s="5" t="s">
        <v>384</v>
      </c>
      <c r="F172" s="5" t="s">
        <v>30</v>
      </c>
      <c r="G172" s="5" t="s">
        <v>397</v>
      </c>
      <c r="H172" s="5" t="s">
        <v>36</v>
      </c>
      <c r="I172" s="5" t="s">
        <v>183</v>
      </c>
      <c r="J172" s="15">
        <v>1550</v>
      </c>
      <c r="K172" s="7">
        <v>28.5</v>
      </c>
      <c r="L172" s="7">
        <f t="shared" si="18"/>
        <v>54.385964912280699</v>
      </c>
      <c r="M172" s="5" t="s">
        <v>10</v>
      </c>
      <c r="N172" s="5">
        <v>4</v>
      </c>
      <c r="O172" s="6">
        <f t="shared" si="19"/>
        <v>2.8654008925823327</v>
      </c>
      <c r="P172" s="6">
        <f t="shared" si="20"/>
        <v>0.29800169282856259</v>
      </c>
      <c r="Q172" s="10">
        <f t="shared" si="21"/>
        <v>6.2083686005950543E-3</v>
      </c>
      <c r="R172" s="10">
        <f t="shared" si="22"/>
        <v>3.5017583120459564E-2</v>
      </c>
      <c r="S172" s="10">
        <f t="shared" si="23"/>
        <v>4.1225951721054616E-2</v>
      </c>
    </row>
    <row r="173" spans="1:19" x14ac:dyDescent="0.25">
      <c r="A173" s="5" t="s">
        <v>8</v>
      </c>
      <c r="B173" s="5" t="s">
        <v>165</v>
      </c>
      <c r="C173" s="5" t="s">
        <v>27</v>
      </c>
      <c r="D173" s="5" t="s">
        <v>385</v>
      </c>
      <c r="E173" s="5" t="s">
        <v>384</v>
      </c>
      <c r="F173" s="5" t="s">
        <v>30</v>
      </c>
      <c r="G173" s="5" t="s">
        <v>397</v>
      </c>
      <c r="H173" s="5" t="s">
        <v>36</v>
      </c>
      <c r="I173" s="5" t="s">
        <v>184</v>
      </c>
      <c r="J173" s="15">
        <v>5700</v>
      </c>
      <c r="K173" s="7">
        <v>47</v>
      </c>
      <c r="L173" s="7">
        <f t="shared" si="18"/>
        <v>121.27659574468085</v>
      </c>
      <c r="M173" s="5" t="s">
        <v>10</v>
      </c>
      <c r="N173" s="5">
        <v>4</v>
      </c>
      <c r="O173" s="6">
        <f t="shared" si="19"/>
        <v>52.397295156179268</v>
      </c>
      <c r="P173" s="6">
        <f t="shared" si="20"/>
        <v>5.449318696242643</v>
      </c>
      <c r="Q173" s="10">
        <f t="shared" si="21"/>
        <v>0.11352747283838842</v>
      </c>
      <c r="R173" s="10">
        <f t="shared" si="22"/>
        <v>0.30965548394091436</v>
      </c>
      <c r="S173" s="10">
        <f t="shared" si="23"/>
        <v>0.42318295677930279</v>
      </c>
    </row>
    <row r="174" spans="1:19" x14ac:dyDescent="0.25">
      <c r="A174" s="5" t="s">
        <v>8</v>
      </c>
      <c r="B174" s="5" t="s">
        <v>165</v>
      </c>
      <c r="C174" s="5" t="s">
        <v>27</v>
      </c>
      <c r="D174" s="5" t="s">
        <v>385</v>
      </c>
      <c r="E174" s="5" t="s">
        <v>384</v>
      </c>
      <c r="F174" s="5" t="s">
        <v>30</v>
      </c>
      <c r="G174" s="5" t="s">
        <v>397</v>
      </c>
      <c r="H174" s="5" t="s">
        <v>36</v>
      </c>
      <c r="I174" s="5" t="s">
        <v>166</v>
      </c>
      <c r="J174" s="15">
        <v>1635</v>
      </c>
      <c r="K174" s="7">
        <v>33.5</v>
      </c>
      <c r="L174" s="7">
        <f t="shared" si="18"/>
        <v>48.805970149253731</v>
      </c>
      <c r="M174" s="5" t="s">
        <v>10</v>
      </c>
      <c r="N174" s="5">
        <v>4</v>
      </c>
      <c r="O174" s="6">
        <f t="shared" si="19"/>
        <v>2.434129469258187</v>
      </c>
      <c r="P174" s="6">
        <f t="shared" si="20"/>
        <v>0.25314946480285144</v>
      </c>
      <c r="Q174" s="10">
        <f t="shared" si="21"/>
        <v>5.2739471833927387E-3</v>
      </c>
      <c r="R174" s="10">
        <f t="shared" si="22"/>
        <v>3.098524111547564E-2</v>
      </c>
      <c r="S174" s="10">
        <f t="shared" si="23"/>
        <v>3.6259188298868379E-2</v>
      </c>
    </row>
    <row r="175" spans="1:19" x14ac:dyDescent="0.25">
      <c r="A175" s="5" t="s">
        <v>8</v>
      </c>
      <c r="B175" s="5" t="s">
        <v>165</v>
      </c>
      <c r="C175" s="5" t="s">
        <v>27</v>
      </c>
      <c r="D175" s="5" t="s">
        <v>385</v>
      </c>
      <c r="E175" s="5" t="s">
        <v>384</v>
      </c>
      <c r="F175" s="5" t="s">
        <v>30</v>
      </c>
      <c r="G175" s="5" t="s">
        <v>397</v>
      </c>
      <c r="H175" s="5" t="s">
        <v>36</v>
      </c>
      <c r="I175" s="5" t="s">
        <v>166</v>
      </c>
      <c r="J175" s="15">
        <v>1650</v>
      </c>
      <c r="K175" s="7">
        <v>33.5</v>
      </c>
      <c r="L175" s="7">
        <f t="shared" si="18"/>
        <v>49.253731343283583</v>
      </c>
      <c r="M175" s="5" t="s">
        <v>10</v>
      </c>
      <c r="N175" s="5">
        <v>4</v>
      </c>
      <c r="O175" s="6">
        <f t="shared" si="19"/>
        <v>2.5017403653374917</v>
      </c>
      <c r="P175" s="6">
        <f t="shared" si="20"/>
        <v>0.26018099799509914</v>
      </c>
      <c r="Q175" s="10">
        <f t="shared" si="21"/>
        <v>5.4204374582312318E-3</v>
      </c>
      <c r="R175" s="10">
        <f t="shared" si="22"/>
        <v>3.1628514967378327E-2</v>
      </c>
      <c r="S175" s="10">
        <f t="shared" si="23"/>
        <v>3.7048952425609558E-2</v>
      </c>
    </row>
    <row r="176" spans="1:19" x14ac:dyDescent="0.25">
      <c r="A176" s="5" t="s">
        <v>8</v>
      </c>
      <c r="B176" s="5" t="s">
        <v>165</v>
      </c>
      <c r="C176" s="5" t="s">
        <v>27</v>
      </c>
      <c r="D176" s="5" t="s">
        <v>385</v>
      </c>
      <c r="E176" s="5" t="s">
        <v>384</v>
      </c>
      <c r="F176" s="5" t="s">
        <v>30</v>
      </c>
      <c r="G176" s="5" t="s">
        <v>397</v>
      </c>
      <c r="H176" s="5" t="s">
        <v>36</v>
      </c>
      <c r="I176" s="5" t="s">
        <v>185</v>
      </c>
      <c r="J176" s="15">
        <v>3800</v>
      </c>
      <c r="K176" s="7">
        <v>17.5</v>
      </c>
      <c r="L176" s="7">
        <f t="shared" si="18"/>
        <v>217.14285714285714</v>
      </c>
      <c r="M176" s="5" t="s">
        <v>10</v>
      </c>
      <c r="N176" s="5">
        <v>4</v>
      </c>
      <c r="O176" s="6">
        <f t="shared" si="19"/>
        <v>111.98367346938774</v>
      </c>
      <c r="P176" s="6">
        <f t="shared" si="20"/>
        <v>11.646302040816325</v>
      </c>
      <c r="Q176" s="10">
        <f t="shared" si="21"/>
        <v>0.24263129251700677</v>
      </c>
      <c r="R176" s="10">
        <f t="shared" si="22"/>
        <v>0.54734752255253427</v>
      </c>
      <c r="S176" s="10">
        <f t="shared" si="23"/>
        <v>0.78997881506954104</v>
      </c>
    </row>
    <row r="177" spans="1:19" x14ac:dyDescent="0.25">
      <c r="A177" s="5" t="s">
        <v>22</v>
      </c>
      <c r="B177" s="5" t="s">
        <v>26</v>
      </c>
      <c r="C177" s="5" t="s">
        <v>27</v>
      </c>
      <c r="D177" s="5" t="s">
        <v>385</v>
      </c>
      <c r="E177" s="5" t="s">
        <v>384</v>
      </c>
      <c r="F177" s="5" t="s">
        <v>30</v>
      </c>
      <c r="G177" s="5" t="s">
        <v>397</v>
      </c>
      <c r="H177" s="5" t="s">
        <v>36</v>
      </c>
      <c r="I177" s="5" t="s">
        <v>39</v>
      </c>
      <c r="J177" s="15">
        <v>1900</v>
      </c>
      <c r="K177" s="7">
        <v>33</v>
      </c>
      <c r="L177" s="7">
        <f t="shared" si="18"/>
        <v>57.575757575757578</v>
      </c>
      <c r="M177" s="5" t="s">
        <v>10</v>
      </c>
      <c r="N177" s="5">
        <v>4</v>
      </c>
      <c r="O177" s="6">
        <f t="shared" si="19"/>
        <v>3.9365243342516072</v>
      </c>
      <c r="P177" s="6">
        <f t="shared" si="20"/>
        <v>0.40939853076216715</v>
      </c>
      <c r="Q177" s="10">
        <f t="shared" si="21"/>
        <v>8.5291360575451489E-3</v>
      </c>
      <c r="R177" s="10">
        <f t="shared" si="22"/>
        <v>4.443567990630154E-2</v>
      </c>
      <c r="S177" s="10">
        <f t="shared" si="23"/>
        <v>5.2964815963846688E-2</v>
      </c>
    </row>
    <row r="178" spans="1:19" x14ac:dyDescent="0.25">
      <c r="A178" s="5" t="s">
        <v>22</v>
      </c>
      <c r="B178" s="5" t="s">
        <v>63</v>
      </c>
      <c r="C178" s="5" t="s">
        <v>27</v>
      </c>
      <c r="D178" s="5" t="s">
        <v>385</v>
      </c>
      <c r="E178" s="5" t="s">
        <v>384</v>
      </c>
      <c r="F178" s="5" t="s">
        <v>30</v>
      </c>
      <c r="G178" s="5" t="s">
        <v>397</v>
      </c>
      <c r="H178" s="5" t="s">
        <v>36</v>
      </c>
      <c r="I178" s="5" t="s">
        <v>39</v>
      </c>
      <c r="J178" s="15">
        <v>1975</v>
      </c>
      <c r="K178" s="7">
        <v>33</v>
      </c>
      <c r="L178" s="7">
        <f t="shared" si="18"/>
        <v>59.848484848484851</v>
      </c>
      <c r="M178" s="5" t="s">
        <v>10</v>
      </c>
      <c r="N178" s="5">
        <v>4</v>
      </c>
      <c r="O178" s="6">
        <f t="shared" si="19"/>
        <v>4.4213351555325984</v>
      </c>
      <c r="P178" s="6">
        <f t="shared" si="20"/>
        <v>0.45981885617539026</v>
      </c>
      <c r="Q178" s="10">
        <f t="shared" si="21"/>
        <v>9.5795595036539619E-3</v>
      </c>
      <c r="R178" s="10">
        <f t="shared" si="22"/>
        <v>4.8479954373658471E-2</v>
      </c>
      <c r="S178" s="10">
        <f t="shared" si="23"/>
        <v>5.8059513877312431E-2</v>
      </c>
    </row>
    <row r="179" spans="1:19" x14ac:dyDescent="0.25">
      <c r="A179" s="5" t="s">
        <v>8</v>
      </c>
      <c r="B179" s="5" t="s">
        <v>165</v>
      </c>
      <c r="C179" s="5" t="s">
        <v>27</v>
      </c>
      <c r="D179" s="5" t="s">
        <v>385</v>
      </c>
      <c r="E179" s="5" t="s">
        <v>384</v>
      </c>
      <c r="F179" s="5" t="s">
        <v>30</v>
      </c>
      <c r="G179" s="5" t="s">
        <v>397</v>
      </c>
      <c r="H179" s="5" t="s">
        <v>36</v>
      </c>
      <c r="I179" s="5" t="s">
        <v>39</v>
      </c>
      <c r="J179" s="15">
        <v>1920</v>
      </c>
      <c r="K179" s="7">
        <v>31</v>
      </c>
      <c r="L179" s="7">
        <f t="shared" si="18"/>
        <v>61.935483870967744</v>
      </c>
      <c r="M179" s="5" t="s">
        <v>10</v>
      </c>
      <c r="N179" s="5">
        <v>4</v>
      </c>
      <c r="O179" s="6">
        <f t="shared" si="19"/>
        <v>4.6032049947970863</v>
      </c>
      <c r="P179" s="6">
        <f t="shared" si="20"/>
        <v>0.47873331945889697</v>
      </c>
      <c r="Q179" s="10">
        <f t="shared" si="21"/>
        <v>9.9736108220603529E-3</v>
      </c>
      <c r="R179" s="10">
        <f t="shared" si="22"/>
        <v>4.9968045363436797E-2</v>
      </c>
      <c r="S179" s="10">
        <f t="shared" si="23"/>
        <v>5.9941656185497148E-2</v>
      </c>
    </row>
    <row r="180" spans="1:19" x14ac:dyDescent="0.25">
      <c r="A180" s="5" t="s">
        <v>8</v>
      </c>
      <c r="B180" s="5" t="s">
        <v>165</v>
      </c>
      <c r="C180" s="5" t="s">
        <v>27</v>
      </c>
      <c r="D180" s="5" t="s">
        <v>385</v>
      </c>
      <c r="E180" s="5" t="s">
        <v>384</v>
      </c>
      <c r="F180" s="5" t="s">
        <v>30</v>
      </c>
      <c r="G180" s="5" t="s">
        <v>397</v>
      </c>
      <c r="H180" s="5" t="s">
        <v>36</v>
      </c>
      <c r="I180" s="5" t="s">
        <v>39</v>
      </c>
      <c r="J180" s="15">
        <v>1800</v>
      </c>
      <c r="K180" s="7">
        <v>33</v>
      </c>
      <c r="L180" s="7">
        <f t="shared" si="18"/>
        <v>54.545454545454547</v>
      </c>
      <c r="M180" s="5" t="s">
        <v>10</v>
      </c>
      <c r="N180" s="5">
        <v>4</v>
      </c>
      <c r="O180" s="6">
        <f t="shared" si="19"/>
        <v>3.3471074380165291</v>
      </c>
      <c r="P180" s="6">
        <f t="shared" si="20"/>
        <v>0.348099173553719</v>
      </c>
      <c r="Q180" s="10">
        <f t="shared" si="21"/>
        <v>7.2520661157024794E-3</v>
      </c>
      <c r="R180" s="10">
        <f t="shared" si="22"/>
        <v>3.9345889142976674E-2</v>
      </c>
      <c r="S180" s="10">
        <f t="shared" si="23"/>
        <v>4.6597955258679151E-2</v>
      </c>
    </row>
    <row r="181" spans="1:19" x14ac:dyDescent="0.25">
      <c r="A181" s="5" t="s">
        <v>8</v>
      </c>
      <c r="B181" s="5" t="s">
        <v>291</v>
      </c>
      <c r="C181" s="5" t="s">
        <v>27</v>
      </c>
      <c r="D181" s="5" t="s">
        <v>385</v>
      </c>
      <c r="E181" s="5" t="s">
        <v>384</v>
      </c>
      <c r="F181" s="5" t="s">
        <v>30</v>
      </c>
      <c r="G181" s="5" t="s">
        <v>397</v>
      </c>
      <c r="H181" s="5" t="s">
        <v>36</v>
      </c>
      <c r="I181" s="5" t="s">
        <v>39</v>
      </c>
      <c r="J181" s="15">
        <v>1752</v>
      </c>
      <c r="K181" s="7">
        <v>29.2</v>
      </c>
      <c r="L181" s="7">
        <f t="shared" si="18"/>
        <v>60</v>
      </c>
      <c r="M181" s="5" t="s">
        <v>10</v>
      </c>
      <c r="N181" s="5">
        <v>4</v>
      </c>
      <c r="O181" s="6">
        <f t="shared" si="19"/>
        <v>3.9420000000000002</v>
      </c>
      <c r="P181" s="6">
        <f t="shared" si="20"/>
        <v>0.40996800000000005</v>
      </c>
      <c r="Q181" s="10">
        <f t="shared" si="21"/>
        <v>8.541E-3</v>
      </c>
      <c r="R181" s="10">
        <f t="shared" si="22"/>
        <v>4.4482029038474258E-2</v>
      </c>
      <c r="S181" s="10">
        <f t="shared" si="23"/>
        <v>5.3023029038474258E-2</v>
      </c>
    </row>
    <row r="182" spans="1:19" x14ac:dyDescent="0.25">
      <c r="A182" s="5" t="s">
        <v>8</v>
      </c>
      <c r="B182" s="5" t="s">
        <v>291</v>
      </c>
      <c r="C182" s="5" t="s">
        <v>27</v>
      </c>
      <c r="D182" s="5" t="s">
        <v>385</v>
      </c>
      <c r="E182" s="5" t="s">
        <v>384</v>
      </c>
      <c r="F182" s="5" t="s">
        <v>30</v>
      </c>
      <c r="G182" s="5" t="s">
        <v>397</v>
      </c>
      <c r="H182" s="5" t="s">
        <v>36</v>
      </c>
      <c r="I182" s="5" t="s">
        <v>39</v>
      </c>
      <c r="J182" s="15">
        <v>1140</v>
      </c>
      <c r="K182" s="7">
        <v>27.3</v>
      </c>
      <c r="L182" s="7">
        <f t="shared" si="18"/>
        <v>41.758241758241759</v>
      </c>
      <c r="M182" s="5" t="s">
        <v>10</v>
      </c>
      <c r="N182" s="5">
        <v>4</v>
      </c>
      <c r="O182" s="6">
        <f t="shared" si="19"/>
        <v>1.2424224127520831</v>
      </c>
      <c r="P182" s="6">
        <f t="shared" si="20"/>
        <v>0.12921193092621663</v>
      </c>
      <c r="Q182" s="10">
        <f t="shared" si="21"/>
        <v>2.6919152276295133E-3</v>
      </c>
      <c r="R182" s="10">
        <f t="shared" si="22"/>
        <v>1.8711089765198051E-2</v>
      </c>
      <c r="S182" s="10">
        <f t="shared" si="23"/>
        <v>2.1403004992827563E-2</v>
      </c>
    </row>
    <row r="183" spans="1:19" x14ac:dyDescent="0.25">
      <c r="A183" s="5" t="s">
        <v>8</v>
      </c>
      <c r="B183" s="5" t="s">
        <v>311</v>
      </c>
      <c r="C183" s="5" t="s">
        <v>27</v>
      </c>
      <c r="D183" s="5" t="s">
        <v>385</v>
      </c>
      <c r="E183" s="5" t="s">
        <v>384</v>
      </c>
      <c r="F183" s="5" t="s">
        <v>30</v>
      </c>
      <c r="G183" s="5" t="s">
        <v>397</v>
      </c>
      <c r="H183" s="5" t="s">
        <v>36</v>
      </c>
      <c r="I183" s="5" t="s">
        <v>39</v>
      </c>
      <c r="J183" s="15">
        <v>1850</v>
      </c>
      <c r="K183" s="7">
        <v>37.5</v>
      </c>
      <c r="L183" s="7">
        <f t="shared" si="18"/>
        <v>49.333333333333336</v>
      </c>
      <c r="M183" s="5" t="s">
        <v>10</v>
      </c>
      <c r="N183" s="5">
        <v>4</v>
      </c>
      <c r="O183" s="6">
        <f t="shared" si="19"/>
        <v>2.8140555555555555</v>
      </c>
      <c r="P183" s="6">
        <f t="shared" si="20"/>
        <v>0.29266177777777774</v>
      </c>
      <c r="Q183" s="10">
        <f t="shared" si="21"/>
        <v>6.0971203703703699E-3</v>
      </c>
      <c r="R183" s="10">
        <f t="shared" si="22"/>
        <v>3.4545908997176758E-2</v>
      </c>
      <c r="S183" s="10">
        <f t="shared" si="23"/>
        <v>4.0643029367547129E-2</v>
      </c>
    </row>
    <row r="184" spans="1:19" x14ac:dyDescent="0.25">
      <c r="A184" s="5" t="s">
        <v>8</v>
      </c>
      <c r="B184" s="5" t="s">
        <v>165</v>
      </c>
      <c r="C184" s="5" t="s">
        <v>27</v>
      </c>
      <c r="D184" s="5" t="s">
        <v>385</v>
      </c>
      <c r="E184" s="5" t="s">
        <v>384</v>
      </c>
      <c r="F184" s="5" t="s">
        <v>30</v>
      </c>
      <c r="G184" s="5" t="s">
        <v>397</v>
      </c>
      <c r="H184" s="5" t="s">
        <v>36</v>
      </c>
      <c r="I184" s="5" t="s">
        <v>186</v>
      </c>
      <c r="J184" s="15">
        <v>1150</v>
      </c>
      <c r="K184" s="7">
        <v>27.5</v>
      </c>
      <c r="L184" s="7">
        <f t="shared" si="18"/>
        <v>41.81818181818182</v>
      </c>
      <c r="M184" s="5" t="s">
        <v>10</v>
      </c>
      <c r="N184" s="5">
        <v>4</v>
      </c>
      <c r="O184" s="6">
        <f t="shared" si="19"/>
        <v>1.2569214876033059</v>
      </c>
      <c r="P184" s="6">
        <f t="shared" si="20"/>
        <v>0.1307198347107438</v>
      </c>
      <c r="Q184" s="10">
        <f t="shared" si="21"/>
        <v>2.7233298898071624E-3</v>
      </c>
      <c r="R184" s="10">
        <f t="shared" si="22"/>
        <v>1.8874620894311772E-2</v>
      </c>
      <c r="S184" s="10">
        <f t="shared" si="23"/>
        <v>2.1597950784118934E-2</v>
      </c>
    </row>
    <row r="185" spans="1:19" x14ac:dyDescent="0.25">
      <c r="A185" s="5" t="s">
        <v>22</v>
      </c>
      <c r="B185" s="5" t="s">
        <v>63</v>
      </c>
      <c r="C185" s="5" t="s">
        <v>27</v>
      </c>
      <c r="D185" s="5" t="s">
        <v>385</v>
      </c>
      <c r="E185" s="5" t="s">
        <v>384</v>
      </c>
      <c r="F185" s="5" t="s">
        <v>30</v>
      </c>
      <c r="G185" s="5" t="s">
        <v>397</v>
      </c>
      <c r="H185" s="5" t="s">
        <v>64</v>
      </c>
      <c r="I185" s="5" t="s">
        <v>12</v>
      </c>
      <c r="J185" s="15">
        <v>3750</v>
      </c>
      <c r="K185" s="7">
        <v>42</v>
      </c>
      <c r="L185" s="7">
        <f t="shared" si="18"/>
        <v>89.285714285714292</v>
      </c>
      <c r="M185" s="5" t="s">
        <v>10</v>
      </c>
      <c r="N185" s="5">
        <v>4</v>
      </c>
      <c r="O185" s="6">
        <f t="shared" si="19"/>
        <v>18.684231505102044</v>
      </c>
      <c r="P185" s="6">
        <f t="shared" si="20"/>
        <v>1.9431600765306125</v>
      </c>
      <c r="Q185" s="10">
        <f t="shared" si="21"/>
        <v>4.0482501594387758E-2</v>
      </c>
      <c r="R185" s="10">
        <f t="shared" si="22"/>
        <v>0.14289056521434054</v>
      </c>
      <c r="S185" s="10">
        <f t="shared" si="23"/>
        <v>0.18337306680872831</v>
      </c>
    </row>
    <row r="186" spans="1:19" x14ac:dyDescent="0.25">
      <c r="A186" s="5" t="s">
        <v>22</v>
      </c>
      <c r="B186" s="5" t="s">
        <v>26</v>
      </c>
      <c r="C186" s="5" t="s">
        <v>27</v>
      </c>
      <c r="D186" s="5" t="s">
        <v>385</v>
      </c>
      <c r="E186" s="5" t="s">
        <v>384</v>
      </c>
      <c r="F186" s="5" t="s">
        <v>30</v>
      </c>
      <c r="G186" s="5" t="s">
        <v>392</v>
      </c>
      <c r="H186" s="5" t="s">
        <v>31</v>
      </c>
      <c r="I186" s="5" t="s">
        <v>32</v>
      </c>
      <c r="J186" s="15">
        <v>1150</v>
      </c>
      <c r="K186" s="7">
        <v>21.5</v>
      </c>
      <c r="L186" s="7">
        <f t="shared" si="18"/>
        <v>53.488372093023258</v>
      </c>
      <c r="M186" s="5" t="s">
        <v>10</v>
      </c>
      <c r="N186" s="5">
        <v>4</v>
      </c>
      <c r="O186" s="6">
        <f t="shared" si="19"/>
        <v>2.0563480259599789</v>
      </c>
      <c r="P186" s="6">
        <f t="shared" si="20"/>
        <v>0.21386019469983777</v>
      </c>
      <c r="Q186" s="10">
        <f t="shared" si="21"/>
        <v>4.4554207229132873E-3</v>
      </c>
      <c r="R186" s="10">
        <f t="shared" si="22"/>
        <v>2.7303579591746802E-2</v>
      </c>
      <c r="S186" s="10">
        <f t="shared" si="23"/>
        <v>3.1759000314660092E-2</v>
      </c>
    </row>
    <row r="187" spans="1:19" x14ac:dyDescent="0.25">
      <c r="A187" s="5" t="s">
        <v>8</v>
      </c>
      <c r="B187" s="5" t="s">
        <v>217</v>
      </c>
      <c r="C187" s="5" t="s">
        <v>27</v>
      </c>
      <c r="D187" s="5" t="s">
        <v>385</v>
      </c>
      <c r="E187" s="5" t="s">
        <v>384</v>
      </c>
      <c r="F187" s="5" t="s">
        <v>30</v>
      </c>
      <c r="G187" s="5" t="s">
        <v>392</v>
      </c>
      <c r="H187" s="5" t="s">
        <v>31</v>
      </c>
      <c r="I187" s="5" t="s">
        <v>218</v>
      </c>
      <c r="J187" s="15">
        <v>1200</v>
      </c>
      <c r="K187" s="7">
        <v>28</v>
      </c>
      <c r="L187" s="7">
        <f t="shared" si="18"/>
        <v>42.857142857142854</v>
      </c>
      <c r="M187" s="5" t="s">
        <v>10</v>
      </c>
      <c r="N187" s="5">
        <v>4</v>
      </c>
      <c r="O187" s="6">
        <f t="shared" si="19"/>
        <v>1.3775510204081631</v>
      </c>
      <c r="P187" s="6">
        <f t="shared" si="20"/>
        <v>0.14326530612244898</v>
      </c>
      <c r="Q187" s="10">
        <f t="shared" si="21"/>
        <v>2.9846938775510198E-3</v>
      </c>
      <c r="R187" s="10">
        <f t="shared" si="22"/>
        <v>2.0217520582724226E-2</v>
      </c>
      <c r="S187" s="10">
        <f t="shared" si="23"/>
        <v>2.3202214460275247E-2</v>
      </c>
    </row>
    <row r="188" spans="1:19" x14ac:dyDescent="0.25">
      <c r="A188" s="5" t="s">
        <v>22</v>
      </c>
      <c r="B188" s="5" t="s">
        <v>26</v>
      </c>
      <c r="C188" s="5" t="s">
        <v>27</v>
      </c>
      <c r="D188" s="5" t="s">
        <v>385</v>
      </c>
      <c r="E188" s="5" t="s">
        <v>384</v>
      </c>
      <c r="F188" s="5" t="s">
        <v>30</v>
      </c>
      <c r="G188" s="5" t="s">
        <v>392</v>
      </c>
      <c r="H188" s="5" t="s">
        <v>31</v>
      </c>
      <c r="I188" s="5" t="s">
        <v>33</v>
      </c>
      <c r="J188" s="15">
        <v>1200</v>
      </c>
      <c r="K188" s="7">
        <v>25</v>
      </c>
      <c r="L188" s="7">
        <f t="shared" si="18"/>
        <v>48</v>
      </c>
      <c r="M188" s="5" t="s">
        <v>10</v>
      </c>
      <c r="N188" s="5">
        <v>4</v>
      </c>
      <c r="O188" s="6">
        <f t="shared" si="19"/>
        <v>1.728</v>
      </c>
      <c r="P188" s="6">
        <f t="shared" si="20"/>
        <v>0.17971200000000001</v>
      </c>
      <c r="Q188" s="10">
        <f t="shared" si="21"/>
        <v>3.7439999999999995E-3</v>
      </c>
      <c r="R188" s="10">
        <f t="shared" si="22"/>
        <v>2.3963758151521651E-2</v>
      </c>
      <c r="S188" s="10">
        <f t="shared" si="23"/>
        <v>2.7707758151521652E-2</v>
      </c>
    </row>
    <row r="189" spans="1:19" x14ac:dyDescent="0.25">
      <c r="A189" s="5" t="s">
        <v>22</v>
      </c>
      <c r="B189" s="5" t="s">
        <v>63</v>
      </c>
      <c r="C189" s="5" t="s">
        <v>27</v>
      </c>
      <c r="D189" s="5" t="s">
        <v>385</v>
      </c>
      <c r="E189" s="5" t="s">
        <v>384</v>
      </c>
      <c r="F189" s="5" t="s">
        <v>30</v>
      </c>
      <c r="G189" s="5" t="s">
        <v>392</v>
      </c>
      <c r="H189" s="5" t="s">
        <v>31</v>
      </c>
      <c r="I189" s="5" t="s">
        <v>33</v>
      </c>
      <c r="J189" s="15">
        <v>1050</v>
      </c>
      <c r="K189" s="7">
        <v>23</v>
      </c>
      <c r="L189" s="7">
        <f t="shared" si="18"/>
        <v>45.652173913043477</v>
      </c>
      <c r="M189" s="5" t="s">
        <v>10</v>
      </c>
      <c r="N189" s="5">
        <v>4</v>
      </c>
      <c r="O189" s="6">
        <f t="shared" si="19"/>
        <v>1.3677043950850662</v>
      </c>
      <c r="P189" s="6">
        <f t="shared" si="20"/>
        <v>0.14224125708884686</v>
      </c>
      <c r="Q189" s="10">
        <f t="shared" si="21"/>
        <v>2.9633595226843099E-3</v>
      </c>
      <c r="R189" s="10">
        <f t="shared" si="22"/>
        <v>2.0109038528318947E-2</v>
      </c>
      <c r="S189" s="10">
        <f t="shared" si="23"/>
        <v>2.3072398051003258E-2</v>
      </c>
    </row>
    <row r="190" spans="1:19" x14ac:dyDescent="0.25">
      <c r="A190" s="5" t="s">
        <v>8</v>
      </c>
      <c r="B190" s="5" t="s">
        <v>287</v>
      </c>
      <c r="C190" s="5" t="s">
        <v>27</v>
      </c>
      <c r="D190" s="5" t="s">
        <v>385</v>
      </c>
      <c r="E190" s="5" t="s">
        <v>384</v>
      </c>
      <c r="F190" s="5" t="s">
        <v>30</v>
      </c>
      <c r="G190" s="5" t="s">
        <v>392</v>
      </c>
      <c r="H190" s="5" t="s">
        <v>31</v>
      </c>
      <c r="I190" s="5" t="s">
        <v>33</v>
      </c>
      <c r="J190" s="15">
        <v>1000</v>
      </c>
      <c r="K190" s="7">
        <v>24.4</v>
      </c>
      <c r="L190" s="7">
        <f t="shared" si="18"/>
        <v>40.983606557377051</v>
      </c>
      <c r="M190" s="5" t="s">
        <v>10</v>
      </c>
      <c r="N190" s="5">
        <v>4</v>
      </c>
      <c r="O190" s="6">
        <f t="shared" si="19"/>
        <v>1.0497850040311745</v>
      </c>
      <c r="P190" s="6">
        <f t="shared" si="20"/>
        <v>0.10917764041924215</v>
      </c>
      <c r="Q190" s="10">
        <f t="shared" si="21"/>
        <v>2.2745341754008778E-3</v>
      </c>
      <c r="R190" s="10">
        <f t="shared" si="22"/>
        <v>1.6490066149903643E-2</v>
      </c>
      <c r="S190" s="10">
        <f t="shared" si="23"/>
        <v>1.8764600325304519E-2</v>
      </c>
    </row>
    <row r="191" spans="1:19" x14ac:dyDescent="0.25">
      <c r="A191" s="5" t="s">
        <v>8</v>
      </c>
      <c r="B191" s="5" t="s">
        <v>291</v>
      </c>
      <c r="C191" s="5" t="s">
        <v>27</v>
      </c>
      <c r="D191" s="5" t="s">
        <v>385</v>
      </c>
      <c r="E191" s="5" t="s">
        <v>384</v>
      </c>
      <c r="F191" s="5" t="s">
        <v>30</v>
      </c>
      <c r="G191" s="5" t="s">
        <v>392</v>
      </c>
      <c r="H191" s="5" t="s">
        <v>31</v>
      </c>
      <c r="I191" s="5" t="s">
        <v>33</v>
      </c>
      <c r="J191" s="15">
        <v>1171</v>
      </c>
      <c r="K191" s="7">
        <v>23.8</v>
      </c>
      <c r="L191" s="7">
        <f t="shared" si="18"/>
        <v>49.201680672268907</v>
      </c>
      <c r="M191" s="5" t="s">
        <v>10</v>
      </c>
      <c r="N191" s="5">
        <v>4</v>
      </c>
      <c r="O191" s="6">
        <f t="shared" si="19"/>
        <v>1.7717269382017513</v>
      </c>
      <c r="P191" s="6">
        <f t="shared" si="20"/>
        <v>0.18425960157298213</v>
      </c>
      <c r="Q191" s="10">
        <f t="shared" si="21"/>
        <v>3.8387416994371277E-3</v>
      </c>
      <c r="R191" s="10">
        <f t="shared" si="22"/>
        <v>2.4417135633988743E-2</v>
      </c>
      <c r="S191" s="10">
        <f t="shared" si="23"/>
        <v>2.8255877333425869E-2</v>
      </c>
    </row>
    <row r="192" spans="1:19" x14ac:dyDescent="0.25">
      <c r="A192" s="5" t="s">
        <v>8</v>
      </c>
      <c r="B192" s="5" t="s">
        <v>291</v>
      </c>
      <c r="C192" s="5" t="s">
        <v>27</v>
      </c>
      <c r="D192" s="5" t="s">
        <v>385</v>
      </c>
      <c r="E192" s="5" t="s">
        <v>384</v>
      </c>
      <c r="F192" s="5" t="s">
        <v>30</v>
      </c>
      <c r="G192" s="5" t="s">
        <v>392</v>
      </c>
      <c r="H192" s="5" t="s">
        <v>31</v>
      </c>
      <c r="I192" s="5" t="s">
        <v>33</v>
      </c>
      <c r="J192" s="15">
        <v>1121</v>
      </c>
      <c r="K192" s="7">
        <v>23.2</v>
      </c>
      <c r="L192" s="7">
        <f t="shared" si="18"/>
        <v>48.318965517241381</v>
      </c>
      <c r="M192" s="5" t="s">
        <v>10</v>
      </c>
      <c r="N192" s="5">
        <v>4</v>
      </c>
      <c r="O192" s="6">
        <f t="shared" si="19"/>
        <v>1.6357649015773632</v>
      </c>
      <c r="P192" s="6">
        <f t="shared" si="20"/>
        <v>0.17011954976404578</v>
      </c>
      <c r="Q192" s="10">
        <f t="shared" si="21"/>
        <v>3.5441572867509533E-3</v>
      </c>
      <c r="R192" s="10">
        <f t="shared" si="22"/>
        <v>2.2997879194034985E-2</v>
      </c>
      <c r="S192" s="10">
        <f t="shared" si="23"/>
        <v>2.6542036480785937E-2</v>
      </c>
    </row>
    <row r="193" spans="1:19" x14ac:dyDescent="0.25">
      <c r="A193" s="5" t="s">
        <v>8</v>
      </c>
      <c r="B193" s="5" t="s">
        <v>307</v>
      </c>
      <c r="C193" s="5" t="s">
        <v>27</v>
      </c>
      <c r="D193" s="5" t="s">
        <v>385</v>
      </c>
      <c r="E193" s="5" t="s">
        <v>384</v>
      </c>
      <c r="F193" s="5" t="s">
        <v>30</v>
      </c>
      <c r="G193" s="5" t="s">
        <v>392</v>
      </c>
      <c r="H193" s="5" t="s">
        <v>31</v>
      </c>
      <c r="I193" s="5" t="s">
        <v>33</v>
      </c>
      <c r="J193" s="15">
        <v>1150</v>
      </c>
      <c r="K193" s="7">
        <v>29.5</v>
      </c>
      <c r="L193" s="7">
        <f t="shared" si="18"/>
        <v>38.983050847457626</v>
      </c>
      <c r="M193" s="5" t="s">
        <v>10</v>
      </c>
      <c r="N193" s="5">
        <v>4</v>
      </c>
      <c r="O193" s="6">
        <f t="shared" si="19"/>
        <v>1.0922687446136168</v>
      </c>
      <c r="P193" s="6">
        <f t="shared" si="20"/>
        <v>0.11359594943981614</v>
      </c>
      <c r="Q193" s="10">
        <f t="shared" si="21"/>
        <v>2.3665822799961698E-3</v>
      </c>
      <c r="R193" s="10">
        <f t="shared" si="22"/>
        <v>1.6988078304717071E-2</v>
      </c>
      <c r="S193" s="10">
        <f t="shared" si="23"/>
        <v>1.9354660584713242E-2</v>
      </c>
    </row>
    <row r="194" spans="1:19" x14ac:dyDescent="0.25">
      <c r="A194" s="5" t="s">
        <v>8</v>
      </c>
      <c r="B194" s="5" t="s">
        <v>311</v>
      </c>
      <c r="C194" s="5" t="s">
        <v>27</v>
      </c>
      <c r="D194" s="5" t="s">
        <v>385</v>
      </c>
      <c r="E194" s="5" t="s">
        <v>384</v>
      </c>
      <c r="F194" s="5" t="s">
        <v>30</v>
      </c>
      <c r="G194" s="5" t="s">
        <v>392</v>
      </c>
      <c r="H194" s="5" t="s">
        <v>31</v>
      </c>
      <c r="I194" s="5" t="s">
        <v>33</v>
      </c>
      <c r="J194" s="15">
        <v>1100</v>
      </c>
      <c r="K194" s="7">
        <v>28</v>
      </c>
      <c r="L194" s="7">
        <f t="shared" si="18"/>
        <v>39.285714285714285</v>
      </c>
      <c r="M194" s="5" t="s">
        <v>10</v>
      </c>
      <c r="N194" s="5">
        <v>4</v>
      </c>
      <c r="O194" s="6">
        <f t="shared" si="19"/>
        <v>1.061065051020408</v>
      </c>
      <c r="P194" s="6">
        <f t="shared" si="20"/>
        <v>0.11035076530612244</v>
      </c>
      <c r="Q194" s="10">
        <f t="shared" si="21"/>
        <v>2.2989742772108841E-3</v>
      </c>
      <c r="R194" s="10">
        <f t="shared" si="22"/>
        <v>1.6622779036452554E-2</v>
      </c>
      <c r="S194" s="10">
        <f t="shared" si="23"/>
        <v>1.8921753313663438E-2</v>
      </c>
    </row>
    <row r="195" spans="1:19" x14ac:dyDescent="0.25">
      <c r="A195" s="5" t="s">
        <v>8</v>
      </c>
      <c r="B195" s="5" t="s">
        <v>339</v>
      </c>
      <c r="C195" s="5" t="s">
        <v>27</v>
      </c>
      <c r="D195" s="5" t="s">
        <v>385</v>
      </c>
      <c r="E195" s="5" t="s">
        <v>384</v>
      </c>
      <c r="F195" s="5" t="s">
        <v>30</v>
      </c>
      <c r="G195" s="5" t="s">
        <v>392</v>
      </c>
      <c r="H195" s="5" t="s">
        <v>31</v>
      </c>
      <c r="I195" s="5" t="s">
        <v>33</v>
      </c>
      <c r="J195" s="15">
        <v>1080</v>
      </c>
      <c r="K195" s="7">
        <v>19.5</v>
      </c>
      <c r="L195" s="7">
        <f t="shared" si="18"/>
        <v>55.384615384615387</v>
      </c>
      <c r="M195" s="5" t="s">
        <v>10</v>
      </c>
      <c r="N195" s="5">
        <v>4</v>
      </c>
      <c r="O195" s="6">
        <f t="shared" si="19"/>
        <v>2.0705325443786986</v>
      </c>
      <c r="P195" s="6">
        <f t="shared" si="20"/>
        <v>0.21533538461538462</v>
      </c>
      <c r="Q195" s="10">
        <f t="shared" si="21"/>
        <v>4.4861538461538472E-3</v>
      </c>
      <c r="R195" s="10">
        <f t="shared" si="22"/>
        <v>2.744471151966631E-2</v>
      </c>
      <c r="S195" s="10">
        <f t="shared" si="23"/>
        <v>3.1930865365820155E-2</v>
      </c>
    </row>
    <row r="196" spans="1:19" x14ac:dyDescent="0.25">
      <c r="A196" s="5" t="s">
        <v>22</v>
      </c>
      <c r="B196" s="5" t="s">
        <v>63</v>
      </c>
      <c r="C196" s="5" t="s">
        <v>27</v>
      </c>
      <c r="D196" s="5" t="s">
        <v>385</v>
      </c>
      <c r="E196" s="5" t="s">
        <v>384</v>
      </c>
      <c r="F196" s="5" t="s">
        <v>30</v>
      </c>
      <c r="G196" s="5" t="s">
        <v>392</v>
      </c>
      <c r="H196" s="5" t="s">
        <v>31</v>
      </c>
      <c r="I196" s="5" t="s">
        <v>141</v>
      </c>
      <c r="J196" s="15">
        <v>3255</v>
      </c>
      <c r="K196" s="7">
        <v>31</v>
      </c>
      <c r="L196" s="7">
        <f t="shared" si="18"/>
        <v>105</v>
      </c>
      <c r="M196" s="5" t="s">
        <v>10</v>
      </c>
      <c r="N196" s="5">
        <v>4</v>
      </c>
      <c r="O196" s="6">
        <f t="shared" si="19"/>
        <v>22.428984374999999</v>
      </c>
      <c r="P196" s="6">
        <f t="shared" si="20"/>
        <v>2.3326143749999999</v>
      </c>
      <c r="Q196" s="10">
        <f t="shared" si="21"/>
        <v>4.8596132812499998E-2</v>
      </c>
      <c r="R196" s="10">
        <f t="shared" si="22"/>
        <v>0.16387184018502851</v>
      </c>
      <c r="S196" s="10">
        <f t="shared" si="23"/>
        <v>0.21246797299752851</v>
      </c>
    </row>
    <row r="197" spans="1:19" x14ac:dyDescent="0.25">
      <c r="A197" s="5" t="s">
        <v>8</v>
      </c>
      <c r="B197" s="5" t="s">
        <v>284</v>
      </c>
      <c r="C197" s="5" t="s">
        <v>27</v>
      </c>
      <c r="D197" s="5" t="s">
        <v>385</v>
      </c>
      <c r="E197" s="5" t="s">
        <v>384</v>
      </c>
      <c r="F197" s="5" t="s">
        <v>30</v>
      </c>
      <c r="G197" s="5" t="s">
        <v>392</v>
      </c>
      <c r="H197" s="5" t="s">
        <v>31</v>
      </c>
      <c r="I197" s="5" t="s">
        <v>286</v>
      </c>
      <c r="J197" s="15">
        <v>1800</v>
      </c>
      <c r="K197" s="7">
        <v>33.6</v>
      </c>
      <c r="L197" s="7">
        <f t="shared" si="18"/>
        <v>53.571428571428569</v>
      </c>
      <c r="M197" s="5" t="s">
        <v>10</v>
      </c>
      <c r="N197" s="5">
        <v>4</v>
      </c>
      <c r="O197" s="6">
        <f t="shared" si="19"/>
        <v>3.2286352040816326</v>
      </c>
      <c r="P197" s="6">
        <f t="shared" si="20"/>
        <v>0.33577806122448972</v>
      </c>
      <c r="Q197" s="10">
        <f t="shared" si="21"/>
        <v>6.9953762755102034E-3</v>
      </c>
      <c r="R197" s="10">
        <f t="shared" si="22"/>
        <v>3.8296700440793495E-2</v>
      </c>
      <c r="S197" s="10">
        <f t="shared" si="23"/>
        <v>4.5292076716303697E-2</v>
      </c>
    </row>
    <row r="198" spans="1:19" x14ac:dyDescent="0.25">
      <c r="A198" s="5" t="s">
        <v>8</v>
      </c>
      <c r="B198" s="5" t="s">
        <v>308</v>
      </c>
      <c r="C198" s="5" t="s">
        <v>27</v>
      </c>
      <c r="D198" s="5" t="s">
        <v>385</v>
      </c>
      <c r="E198" s="5" t="s">
        <v>384</v>
      </c>
      <c r="F198" s="5" t="s">
        <v>30</v>
      </c>
      <c r="G198" s="5" t="s">
        <v>392</v>
      </c>
      <c r="H198" s="5" t="s">
        <v>31</v>
      </c>
      <c r="I198" s="5" t="s">
        <v>286</v>
      </c>
      <c r="J198" s="15">
        <v>1749</v>
      </c>
      <c r="K198" s="7">
        <v>23</v>
      </c>
      <c r="L198" s="7">
        <f t="shared" si="18"/>
        <v>76.043478260869563</v>
      </c>
      <c r="M198" s="5" t="s">
        <v>10</v>
      </c>
      <c r="N198" s="5">
        <v>4</v>
      </c>
      <c r="O198" s="6">
        <f t="shared" si="19"/>
        <v>6.3211161968336489</v>
      </c>
      <c r="P198" s="6">
        <f t="shared" si="20"/>
        <v>0.65739608447069942</v>
      </c>
      <c r="Q198" s="10">
        <f t="shared" si="21"/>
        <v>1.3695751759806238E-2</v>
      </c>
      <c r="R198" s="10">
        <f t="shared" si="22"/>
        <v>6.3385869858994706E-2</v>
      </c>
      <c r="S198" s="10">
        <f t="shared" si="23"/>
        <v>7.7081621618800944E-2</v>
      </c>
    </row>
    <row r="199" spans="1:19" x14ac:dyDescent="0.25">
      <c r="A199" s="5" t="s">
        <v>8</v>
      </c>
      <c r="B199" s="5" t="s">
        <v>316</v>
      </c>
      <c r="C199" s="5" t="s">
        <v>27</v>
      </c>
      <c r="D199" s="5" t="s">
        <v>385</v>
      </c>
      <c r="E199" s="5" t="s">
        <v>384</v>
      </c>
      <c r="F199" s="5" t="s">
        <v>30</v>
      </c>
      <c r="G199" s="5" t="s">
        <v>392</v>
      </c>
      <c r="H199" s="5" t="s">
        <v>34</v>
      </c>
      <c r="I199" s="5" t="s">
        <v>317</v>
      </c>
      <c r="J199" s="15">
        <v>1190</v>
      </c>
      <c r="K199" s="7">
        <v>18</v>
      </c>
      <c r="L199" s="7">
        <f t="shared" si="18"/>
        <v>66.111111111111114</v>
      </c>
      <c r="M199" s="5" t="s">
        <v>10</v>
      </c>
      <c r="N199" s="5">
        <v>4</v>
      </c>
      <c r="O199" s="6">
        <f t="shared" si="19"/>
        <v>3.2506925154320987</v>
      </c>
      <c r="P199" s="6">
        <f t="shared" si="20"/>
        <v>0.33807202160493827</v>
      </c>
      <c r="Q199" s="10">
        <f t="shared" si="21"/>
        <v>7.0431671167695475E-3</v>
      </c>
      <c r="R199" s="10">
        <f t="shared" si="22"/>
        <v>3.8492759193587217E-2</v>
      </c>
      <c r="S199" s="10">
        <f t="shared" si="23"/>
        <v>4.5535926310356765E-2</v>
      </c>
    </row>
    <row r="200" spans="1:19" x14ac:dyDescent="0.25">
      <c r="A200" s="5" t="s">
        <v>8</v>
      </c>
      <c r="B200" s="5" t="s">
        <v>370</v>
      </c>
      <c r="C200" s="5" t="s">
        <v>27</v>
      </c>
      <c r="D200" s="5" t="s">
        <v>385</v>
      </c>
      <c r="E200" s="5" t="s">
        <v>384</v>
      </c>
      <c r="F200" s="5" t="s">
        <v>30</v>
      </c>
      <c r="G200" s="5" t="s">
        <v>392</v>
      </c>
      <c r="H200" s="5" t="s">
        <v>34</v>
      </c>
      <c r="I200" s="5" t="s">
        <v>371</v>
      </c>
      <c r="J200" s="15">
        <v>823</v>
      </c>
      <c r="K200" s="7">
        <v>21.3</v>
      </c>
      <c r="L200" s="7">
        <f t="shared" si="18"/>
        <v>38.63849765258216</v>
      </c>
      <c r="M200" s="5" t="s">
        <v>10</v>
      </c>
      <c r="N200" s="5">
        <v>4</v>
      </c>
      <c r="O200" s="6">
        <f t="shared" si="19"/>
        <v>0.76792766949899716</v>
      </c>
      <c r="P200" s="6">
        <f t="shared" si="20"/>
        <v>7.9864477627895697E-2</v>
      </c>
      <c r="Q200" s="10">
        <f t="shared" si="21"/>
        <v>1.6638432839144936E-3</v>
      </c>
      <c r="R200" s="10">
        <f t="shared" si="22"/>
        <v>1.3043296338772574E-2</v>
      </c>
      <c r="S200" s="10">
        <f t="shared" si="23"/>
        <v>1.4707139622687068E-2</v>
      </c>
    </row>
    <row r="201" spans="1:19" x14ac:dyDescent="0.25">
      <c r="A201" s="5" t="s">
        <v>8</v>
      </c>
      <c r="B201" s="5" t="s">
        <v>370</v>
      </c>
      <c r="C201" s="5" t="s">
        <v>27</v>
      </c>
      <c r="D201" s="5" t="s">
        <v>385</v>
      </c>
      <c r="E201" s="5" t="s">
        <v>384</v>
      </c>
      <c r="F201" s="5" t="s">
        <v>30</v>
      </c>
      <c r="G201" s="5" t="s">
        <v>392</v>
      </c>
      <c r="H201" s="5" t="s">
        <v>34</v>
      </c>
      <c r="I201" s="5" t="s">
        <v>371</v>
      </c>
      <c r="J201" s="15">
        <v>704</v>
      </c>
      <c r="K201" s="7">
        <v>18.7</v>
      </c>
      <c r="L201" s="7">
        <f t="shared" si="18"/>
        <v>37.647058823529413</v>
      </c>
      <c r="M201" s="5" t="s">
        <v>10</v>
      </c>
      <c r="N201" s="5">
        <v>4</v>
      </c>
      <c r="O201" s="6">
        <f t="shared" si="19"/>
        <v>0.62361245674740484</v>
      </c>
      <c r="P201" s="6">
        <f t="shared" si="20"/>
        <v>6.4855695501730107E-2</v>
      </c>
      <c r="Q201" s="10">
        <f t="shared" si="21"/>
        <v>1.3511603229527105E-3</v>
      </c>
      <c r="R201" s="10">
        <f t="shared" si="22"/>
        <v>1.1157919160137931E-2</v>
      </c>
      <c r="S201" s="10">
        <f t="shared" si="23"/>
        <v>1.2509079483090641E-2</v>
      </c>
    </row>
    <row r="202" spans="1:19" x14ac:dyDescent="0.25">
      <c r="A202" s="5" t="s">
        <v>8</v>
      </c>
      <c r="B202" s="5" t="s">
        <v>270</v>
      </c>
      <c r="C202" s="5" t="s">
        <v>27</v>
      </c>
      <c r="D202" s="5" t="s">
        <v>385</v>
      </c>
      <c r="E202" s="5" t="s">
        <v>384</v>
      </c>
      <c r="F202" s="5" t="s">
        <v>30</v>
      </c>
      <c r="G202" s="5" t="s">
        <v>392</v>
      </c>
      <c r="H202" s="5" t="s">
        <v>34</v>
      </c>
      <c r="I202" s="5" t="s">
        <v>274</v>
      </c>
      <c r="J202" s="15">
        <v>2280</v>
      </c>
      <c r="K202" s="7">
        <v>34.9</v>
      </c>
      <c r="L202" s="7">
        <f t="shared" ref="L202:L265" si="24">J202/K202</f>
        <v>65.329512893982809</v>
      </c>
      <c r="M202" s="5" t="s">
        <v>10</v>
      </c>
      <c r="N202" s="5">
        <v>4</v>
      </c>
      <c r="O202" s="6">
        <f t="shared" ref="O202:O265" si="25">(J202*L202^2)/(1.6*10^6)</f>
        <v>6.0818219883252187</v>
      </c>
      <c r="P202" s="6">
        <f t="shared" ref="P202:P265" si="26">(0.104*J202*L202^2)/(1.6*10^6)</f>
        <v>0.63250948678582275</v>
      </c>
      <c r="Q202" s="10">
        <f t="shared" ref="Q202:Q265" si="27">(0.104*O202)/(12*N202)</f>
        <v>1.3177280974704641E-2</v>
      </c>
      <c r="R202" s="10">
        <f t="shared" ref="R202:R265" si="28">0.0159*O202^0.75</f>
        <v>6.1577549589278129E-2</v>
      </c>
      <c r="S202" s="10">
        <f t="shared" ref="S202:S265" si="29">Q202+R202</f>
        <v>7.4754830563982771E-2</v>
      </c>
    </row>
    <row r="203" spans="1:19" x14ac:dyDescent="0.25">
      <c r="A203" s="5" t="s">
        <v>8</v>
      </c>
      <c r="B203" s="5" t="s">
        <v>270</v>
      </c>
      <c r="C203" s="5" t="s">
        <v>27</v>
      </c>
      <c r="D203" s="5" t="s">
        <v>385</v>
      </c>
      <c r="E203" s="5" t="s">
        <v>384</v>
      </c>
      <c r="F203" s="5" t="s">
        <v>30</v>
      </c>
      <c r="G203" s="5" t="s">
        <v>392</v>
      </c>
      <c r="H203" s="5" t="s">
        <v>34</v>
      </c>
      <c r="I203" s="5" t="s">
        <v>271</v>
      </c>
      <c r="J203" s="15">
        <v>3510</v>
      </c>
      <c r="K203" s="7">
        <v>36.6</v>
      </c>
      <c r="L203" s="7">
        <f t="shared" si="24"/>
        <v>95.901639344262293</v>
      </c>
      <c r="M203" s="5" t="s">
        <v>10</v>
      </c>
      <c r="N203" s="5">
        <v>4</v>
      </c>
      <c r="O203" s="6">
        <f t="shared" si="25"/>
        <v>20.176191715936575</v>
      </c>
      <c r="P203" s="6">
        <f t="shared" si="26"/>
        <v>2.0983239384574035</v>
      </c>
      <c r="Q203" s="10">
        <f t="shared" si="27"/>
        <v>4.3715082051195904E-2</v>
      </c>
      <c r="R203" s="10">
        <f t="shared" si="28"/>
        <v>0.15136536806834505</v>
      </c>
      <c r="S203" s="10">
        <f t="shared" si="29"/>
        <v>0.19508045011954095</v>
      </c>
    </row>
    <row r="204" spans="1:19" x14ac:dyDescent="0.25">
      <c r="A204" s="5" t="s">
        <v>8</v>
      </c>
      <c r="B204" s="5" t="s">
        <v>270</v>
      </c>
      <c r="C204" s="5" t="s">
        <v>27</v>
      </c>
      <c r="D204" s="5" t="s">
        <v>385</v>
      </c>
      <c r="E204" s="5" t="s">
        <v>384</v>
      </c>
      <c r="F204" s="5" t="s">
        <v>30</v>
      </c>
      <c r="G204" s="5" t="s">
        <v>392</v>
      </c>
      <c r="H204" s="5" t="s">
        <v>34</v>
      </c>
      <c r="I204" s="5" t="s">
        <v>273</v>
      </c>
      <c r="J204" s="15">
        <v>1760</v>
      </c>
      <c r="K204" s="7">
        <v>32.5</v>
      </c>
      <c r="L204" s="7">
        <f t="shared" si="24"/>
        <v>54.153846153846153</v>
      </c>
      <c r="M204" s="5" t="s">
        <v>10</v>
      </c>
      <c r="N204" s="5">
        <v>4</v>
      </c>
      <c r="O204" s="6">
        <f t="shared" si="25"/>
        <v>3.2259029585798817</v>
      </c>
      <c r="P204" s="6">
        <f t="shared" si="26"/>
        <v>0.33549390769230769</v>
      </c>
      <c r="Q204" s="10">
        <f t="shared" si="27"/>
        <v>6.9894564102564102E-3</v>
      </c>
      <c r="R204" s="10">
        <f t="shared" si="28"/>
        <v>3.827239131633859E-2</v>
      </c>
      <c r="S204" s="10">
        <f t="shared" si="29"/>
        <v>4.5261847726595E-2</v>
      </c>
    </row>
    <row r="205" spans="1:19" x14ac:dyDescent="0.25">
      <c r="A205" s="5" t="s">
        <v>8</v>
      </c>
      <c r="B205" s="5" t="s">
        <v>270</v>
      </c>
      <c r="C205" s="5" t="s">
        <v>27</v>
      </c>
      <c r="D205" s="5" t="s">
        <v>385</v>
      </c>
      <c r="E205" s="5" t="s">
        <v>384</v>
      </c>
      <c r="F205" s="5" t="s">
        <v>30</v>
      </c>
      <c r="G205" s="5" t="s">
        <v>392</v>
      </c>
      <c r="H205" s="5" t="s">
        <v>34</v>
      </c>
      <c r="I205" s="5" t="s">
        <v>276</v>
      </c>
      <c r="J205" s="15">
        <v>1850</v>
      </c>
      <c r="K205" s="7">
        <v>28.4</v>
      </c>
      <c r="L205" s="7">
        <f t="shared" si="24"/>
        <v>65.140845070422543</v>
      </c>
      <c r="M205" s="5" t="s">
        <v>10</v>
      </c>
      <c r="N205" s="5">
        <v>4</v>
      </c>
      <c r="O205" s="6">
        <f t="shared" si="25"/>
        <v>4.9063499615651676</v>
      </c>
      <c r="P205" s="6">
        <f t="shared" si="26"/>
        <v>0.51026039600277739</v>
      </c>
      <c r="Q205" s="10">
        <f t="shared" si="27"/>
        <v>1.0630424916724529E-2</v>
      </c>
      <c r="R205" s="10">
        <f t="shared" si="28"/>
        <v>5.2416258332901387E-2</v>
      </c>
      <c r="S205" s="10">
        <f t="shared" si="29"/>
        <v>6.3046683249625923E-2</v>
      </c>
    </row>
    <row r="206" spans="1:19" x14ac:dyDescent="0.25">
      <c r="A206" s="5" t="s">
        <v>8</v>
      </c>
      <c r="B206" s="5" t="s">
        <v>270</v>
      </c>
      <c r="C206" s="5" t="s">
        <v>27</v>
      </c>
      <c r="D206" s="5" t="s">
        <v>385</v>
      </c>
      <c r="E206" s="5" t="s">
        <v>384</v>
      </c>
      <c r="F206" s="5" t="s">
        <v>30</v>
      </c>
      <c r="G206" s="5" t="s">
        <v>392</v>
      </c>
      <c r="H206" s="5" t="s">
        <v>34</v>
      </c>
      <c r="I206" s="5" t="s">
        <v>275</v>
      </c>
      <c r="J206" s="15">
        <v>2410</v>
      </c>
      <c r="K206" s="7">
        <v>32.299999999999997</v>
      </c>
      <c r="L206" s="7">
        <f t="shared" si="24"/>
        <v>74.613003095975245</v>
      </c>
      <c r="M206" s="5" t="s">
        <v>10</v>
      </c>
      <c r="N206" s="5">
        <v>4</v>
      </c>
      <c r="O206" s="6">
        <f t="shared" si="25"/>
        <v>8.3854447229437667</v>
      </c>
      <c r="P206" s="6">
        <f t="shared" si="26"/>
        <v>0.8720862511861518</v>
      </c>
      <c r="Q206" s="10">
        <f t="shared" si="27"/>
        <v>1.8168463566378159E-2</v>
      </c>
      <c r="R206" s="10">
        <f t="shared" si="28"/>
        <v>7.8350486889121454E-2</v>
      </c>
      <c r="S206" s="10">
        <f t="shared" si="29"/>
        <v>9.6518950455499616E-2</v>
      </c>
    </row>
    <row r="207" spans="1:19" x14ac:dyDescent="0.25">
      <c r="A207" s="5" t="s">
        <v>8</v>
      </c>
      <c r="B207" s="5" t="s">
        <v>270</v>
      </c>
      <c r="C207" s="5" t="s">
        <v>27</v>
      </c>
      <c r="D207" s="5" t="s">
        <v>385</v>
      </c>
      <c r="E207" s="5" t="s">
        <v>384</v>
      </c>
      <c r="F207" s="5" t="s">
        <v>30</v>
      </c>
      <c r="G207" s="5" t="s">
        <v>392</v>
      </c>
      <c r="H207" s="5" t="s">
        <v>34</v>
      </c>
      <c r="I207" s="5" t="s">
        <v>272</v>
      </c>
      <c r="J207" s="15">
        <v>3350</v>
      </c>
      <c r="K207" s="7">
        <v>37</v>
      </c>
      <c r="L207" s="7">
        <f t="shared" si="24"/>
        <v>90.540540540540547</v>
      </c>
      <c r="M207" s="5" t="s">
        <v>10</v>
      </c>
      <c r="N207" s="5">
        <v>4</v>
      </c>
      <c r="O207" s="6">
        <f t="shared" si="25"/>
        <v>17.163702976625277</v>
      </c>
      <c r="P207" s="6">
        <f t="shared" si="26"/>
        <v>1.7850251095690288</v>
      </c>
      <c r="Q207" s="10">
        <f t="shared" si="27"/>
        <v>3.7188023116021436E-2</v>
      </c>
      <c r="R207" s="10">
        <f t="shared" si="28"/>
        <v>0.13407733437686528</v>
      </c>
      <c r="S207" s="10">
        <f t="shared" si="29"/>
        <v>0.17126535749288671</v>
      </c>
    </row>
    <row r="208" spans="1:19" x14ac:dyDescent="0.25">
      <c r="A208" s="5" t="s">
        <v>8</v>
      </c>
      <c r="B208" s="5" t="s">
        <v>270</v>
      </c>
      <c r="C208" s="5" t="s">
        <v>27</v>
      </c>
      <c r="D208" s="5" t="s">
        <v>385</v>
      </c>
      <c r="E208" s="5" t="s">
        <v>384</v>
      </c>
      <c r="F208" s="5" t="s">
        <v>30</v>
      </c>
      <c r="G208" s="5" t="s">
        <v>392</v>
      </c>
      <c r="H208" s="5" t="s">
        <v>34</v>
      </c>
      <c r="I208" s="5" t="s">
        <v>272</v>
      </c>
      <c r="J208" s="15">
        <v>3350</v>
      </c>
      <c r="K208" s="7">
        <v>38.799999999999997</v>
      </c>
      <c r="L208" s="7">
        <f t="shared" si="24"/>
        <v>86.340206185567013</v>
      </c>
      <c r="M208" s="5" t="s">
        <v>10</v>
      </c>
      <c r="N208" s="5">
        <v>4</v>
      </c>
      <c r="O208" s="6">
        <f t="shared" si="25"/>
        <v>15.608134083723032</v>
      </c>
      <c r="P208" s="6">
        <f t="shared" si="26"/>
        <v>1.6232459447071952</v>
      </c>
      <c r="Q208" s="10">
        <f t="shared" si="27"/>
        <v>3.3817623848066566E-2</v>
      </c>
      <c r="R208" s="10">
        <f t="shared" si="28"/>
        <v>0.12485627237086265</v>
      </c>
      <c r="S208" s="10">
        <f t="shared" si="29"/>
        <v>0.15867389621892922</v>
      </c>
    </row>
    <row r="209" spans="1:19" x14ac:dyDescent="0.25">
      <c r="A209" s="5" t="s">
        <v>22</v>
      </c>
      <c r="B209" s="5" t="s">
        <v>26</v>
      </c>
      <c r="C209" s="5" t="s">
        <v>27</v>
      </c>
      <c r="D209" s="5" t="s">
        <v>385</v>
      </c>
      <c r="E209" s="5" t="s">
        <v>384</v>
      </c>
      <c r="F209" s="5" t="s">
        <v>30</v>
      </c>
      <c r="G209" s="5" t="s">
        <v>392</v>
      </c>
      <c r="H209" s="5" t="s">
        <v>34</v>
      </c>
      <c r="I209" s="5" t="s">
        <v>21</v>
      </c>
      <c r="J209" s="15">
        <v>1000</v>
      </c>
      <c r="K209" s="7">
        <v>20</v>
      </c>
      <c r="L209" s="7">
        <f t="shared" si="24"/>
        <v>50</v>
      </c>
      <c r="M209" s="5" t="s">
        <v>10</v>
      </c>
      <c r="N209" s="5">
        <v>4</v>
      </c>
      <c r="O209" s="6">
        <f t="shared" si="25"/>
        <v>1.5625</v>
      </c>
      <c r="P209" s="6">
        <f t="shared" si="26"/>
        <v>0.16250000000000001</v>
      </c>
      <c r="Q209" s="10">
        <f t="shared" si="27"/>
        <v>3.3854166666666668E-3</v>
      </c>
      <c r="R209" s="10">
        <f t="shared" si="28"/>
        <v>2.2220925526404162E-2</v>
      </c>
      <c r="S209" s="10">
        <f t="shared" si="29"/>
        <v>2.5606342193070827E-2</v>
      </c>
    </row>
    <row r="210" spans="1:19" x14ac:dyDescent="0.25">
      <c r="A210" s="5" t="s">
        <v>22</v>
      </c>
      <c r="B210" s="5" t="s">
        <v>63</v>
      </c>
      <c r="C210" s="5" t="s">
        <v>27</v>
      </c>
      <c r="D210" s="5" t="s">
        <v>385</v>
      </c>
      <c r="E210" s="5" t="s">
        <v>384</v>
      </c>
      <c r="F210" s="5" t="s">
        <v>30</v>
      </c>
      <c r="G210" s="5" t="s">
        <v>392</v>
      </c>
      <c r="H210" s="5" t="s">
        <v>34</v>
      </c>
      <c r="I210" s="5" t="s">
        <v>21</v>
      </c>
      <c r="J210" s="15">
        <v>1050</v>
      </c>
      <c r="K210" s="7">
        <v>23</v>
      </c>
      <c r="L210" s="7">
        <f t="shared" si="24"/>
        <v>45.652173913043477</v>
      </c>
      <c r="M210" s="5" t="s">
        <v>10</v>
      </c>
      <c r="N210" s="5">
        <v>4</v>
      </c>
      <c r="O210" s="6">
        <f t="shared" si="25"/>
        <v>1.3677043950850662</v>
      </c>
      <c r="P210" s="6">
        <f t="shared" si="26"/>
        <v>0.14224125708884686</v>
      </c>
      <c r="Q210" s="10">
        <f t="shared" si="27"/>
        <v>2.9633595226843099E-3</v>
      </c>
      <c r="R210" s="10">
        <f t="shared" si="28"/>
        <v>2.0109038528318947E-2</v>
      </c>
      <c r="S210" s="10">
        <f t="shared" si="29"/>
        <v>2.3072398051003258E-2</v>
      </c>
    </row>
    <row r="211" spans="1:19" x14ac:dyDescent="0.25">
      <c r="A211" s="5" t="s">
        <v>8</v>
      </c>
      <c r="B211" s="5" t="s">
        <v>226</v>
      </c>
      <c r="C211" s="5" t="s">
        <v>27</v>
      </c>
      <c r="D211" s="5" t="s">
        <v>385</v>
      </c>
      <c r="E211" s="5" t="s">
        <v>384</v>
      </c>
      <c r="F211" s="5" t="s">
        <v>30</v>
      </c>
      <c r="G211" s="5" t="s">
        <v>392</v>
      </c>
      <c r="H211" s="5" t="s">
        <v>34</v>
      </c>
      <c r="I211" s="5" t="s">
        <v>21</v>
      </c>
      <c r="J211" s="15">
        <v>1429</v>
      </c>
      <c r="K211" s="7">
        <v>23.9</v>
      </c>
      <c r="L211" s="7">
        <f t="shared" si="24"/>
        <v>59.7907949790795</v>
      </c>
      <c r="M211" s="5" t="s">
        <v>10</v>
      </c>
      <c r="N211" s="5">
        <v>4</v>
      </c>
      <c r="O211" s="6">
        <f t="shared" si="25"/>
        <v>3.1928675410532033</v>
      </c>
      <c r="P211" s="6">
        <f t="shared" si="26"/>
        <v>0.33205822426953308</v>
      </c>
      <c r="Q211" s="10">
        <f t="shared" si="27"/>
        <v>6.9178796722819402E-3</v>
      </c>
      <c r="R211" s="10">
        <f t="shared" si="28"/>
        <v>3.7978062134013092E-2</v>
      </c>
      <c r="S211" s="10">
        <f t="shared" si="29"/>
        <v>4.4895941806295032E-2</v>
      </c>
    </row>
    <row r="212" spans="1:19" x14ac:dyDescent="0.25">
      <c r="A212" s="5" t="s">
        <v>22</v>
      </c>
      <c r="B212" s="5" t="s">
        <v>63</v>
      </c>
      <c r="C212" s="5" t="s">
        <v>27</v>
      </c>
      <c r="D212" s="5" t="s">
        <v>385</v>
      </c>
      <c r="E212" s="5" t="s">
        <v>384</v>
      </c>
      <c r="F212" s="5" t="s">
        <v>30</v>
      </c>
      <c r="G212" s="5" t="s">
        <v>392</v>
      </c>
      <c r="H212" s="5" t="s">
        <v>34</v>
      </c>
      <c r="I212" s="5" t="s">
        <v>142</v>
      </c>
      <c r="J212" s="15">
        <v>1350</v>
      </c>
      <c r="K212" s="7">
        <v>25</v>
      </c>
      <c r="L212" s="7">
        <f t="shared" si="24"/>
        <v>54</v>
      </c>
      <c r="M212" s="5" t="s">
        <v>10</v>
      </c>
      <c r="N212" s="5">
        <v>4</v>
      </c>
      <c r="O212" s="6">
        <f t="shared" si="25"/>
        <v>2.460375</v>
      </c>
      <c r="P212" s="6">
        <f t="shared" si="26"/>
        <v>0.25587900000000002</v>
      </c>
      <c r="Q212" s="10">
        <f t="shared" si="27"/>
        <v>5.3308124999999996E-3</v>
      </c>
      <c r="R212" s="10">
        <f t="shared" si="28"/>
        <v>3.1235474191314793E-2</v>
      </c>
      <c r="S212" s="10">
        <f t="shared" si="29"/>
        <v>3.6566286691314794E-2</v>
      </c>
    </row>
    <row r="213" spans="1:19" x14ac:dyDescent="0.25">
      <c r="A213" s="5" t="s">
        <v>8</v>
      </c>
      <c r="B213" s="5" t="s">
        <v>217</v>
      </c>
      <c r="C213" s="5" t="s">
        <v>27</v>
      </c>
      <c r="D213" s="5" t="s">
        <v>385</v>
      </c>
      <c r="E213" s="5" t="s">
        <v>384</v>
      </c>
      <c r="F213" s="5" t="s">
        <v>30</v>
      </c>
      <c r="G213" s="5" t="s">
        <v>392</v>
      </c>
      <c r="H213" s="5" t="s">
        <v>34</v>
      </c>
      <c r="I213" s="5" t="s">
        <v>142</v>
      </c>
      <c r="J213" s="15">
        <v>1300</v>
      </c>
      <c r="K213" s="7">
        <v>24.8</v>
      </c>
      <c r="L213" s="7">
        <f t="shared" si="24"/>
        <v>52.419354838709673</v>
      </c>
      <c r="M213" s="5" t="s">
        <v>10</v>
      </c>
      <c r="N213" s="5">
        <v>4</v>
      </c>
      <c r="O213" s="6">
        <f t="shared" si="25"/>
        <v>2.2325783688865761</v>
      </c>
      <c r="P213" s="6">
        <f t="shared" si="26"/>
        <v>0.2321881503642039</v>
      </c>
      <c r="Q213" s="10">
        <f t="shared" si="27"/>
        <v>4.8372531325875812E-3</v>
      </c>
      <c r="R213" s="10">
        <f t="shared" si="28"/>
        <v>2.9040370897396122E-2</v>
      </c>
      <c r="S213" s="10">
        <f t="shared" si="29"/>
        <v>3.3877624029983705E-2</v>
      </c>
    </row>
    <row r="214" spans="1:19" x14ac:dyDescent="0.25">
      <c r="A214" s="5" t="s">
        <v>8</v>
      </c>
      <c r="B214" s="5" t="s">
        <v>316</v>
      </c>
      <c r="C214" s="5" t="s">
        <v>27</v>
      </c>
      <c r="D214" s="5" t="s">
        <v>385</v>
      </c>
      <c r="E214" s="5" t="s">
        <v>384</v>
      </c>
      <c r="F214" s="5" t="s">
        <v>30</v>
      </c>
      <c r="G214" s="5" t="s">
        <v>392</v>
      </c>
      <c r="H214" s="5" t="s">
        <v>34</v>
      </c>
      <c r="I214" s="5" t="s">
        <v>318</v>
      </c>
      <c r="J214" s="15">
        <v>1980</v>
      </c>
      <c r="K214" s="7">
        <v>26</v>
      </c>
      <c r="L214" s="7">
        <f t="shared" si="24"/>
        <v>76.15384615384616</v>
      </c>
      <c r="M214" s="5" t="s">
        <v>10</v>
      </c>
      <c r="N214" s="5">
        <v>4</v>
      </c>
      <c r="O214" s="6">
        <f t="shared" si="25"/>
        <v>7.1767677514792911</v>
      </c>
      <c r="P214" s="6">
        <f t="shared" si="26"/>
        <v>0.74638384615384623</v>
      </c>
      <c r="Q214" s="10">
        <f t="shared" si="27"/>
        <v>1.5549663461538464E-2</v>
      </c>
      <c r="R214" s="10">
        <f t="shared" si="28"/>
        <v>6.9717819153043717E-2</v>
      </c>
      <c r="S214" s="10">
        <f t="shared" si="29"/>
        <v>8.5267482614582182E-2</v>
      </c>
    </row>
    <row r="215" spans="1:19" x14ac:dyDescent="0.25">
      <c r="A215" s="5" t="s">
        <v>8</v>
      </c>
      <c r="B215" s="5" t="s">
        <v>357</v>
      </c>
      <c r="C215" s="5" t="s">
        <v>27</v>
      </c>
      <c r="D215" s="5" t="s">
        <v>385</v>
      </c>
      <c r="E215" s="5" t="s">
        <v>384</v>
      </c>
      <c r="F215" s="5" t="s">
        <v>30</v>
      </c>
      <c r="G215" s="5" t="s">
        <v>392</v>
      </c>
      <c r="H215" s="5" t="s">
        <v>34</v>
      </c>
      <c r="I215" s="5" t="s">
        <v>318</v>
      </c>
      <c r="J215" s="15">
        <v>1952</v>
      </c>
      <c r="K215" s="7">
        <v>28.2</v>
      </c>
      <c r="L215" s="7">
        <f t="shared" si="24"/>
        <v>69.219858156028366</v>
      </c>
      <c r="M215" s="5" t="s">
        <v>10</v>
      </c>
      <c r="N215" s="5">
        <v>4</v>
      </c>
      <c r="O215" s="6">
        <f t="shared" si="25"/>
        <v>5.8454942910316374</v>
      </c>
      <c r="P215" s="6">
        <f t="shared" si="26"/>
        <v>0.60793140626729025</v>
      </c>
      <c r="Q215" s="10">
        <f t="shared" si="27"/>
        <v>1.2665237630568546E-2</v>
      </c>
      <c r="R215" s="10">
        <f t="shared" si="28"/>
        <v>5.9774101244652454E-2</v>
      </c>
      <c r="S215" s="10">
        <f t="shared" si="29"/>
        <v>7.2439338875220999E-2</v>
      </c>
    </row>
    <row r="216" spans="1:19" x14ac:dyDescent="0.25">
      <c r="A216" s="5" t="s">
        <v>22</v>
      </c>
      <c r="B216" s="5" t="s">
        <v>26</v>
      </c>
      <c r="C216" s="5" t="s">
        <v>27</v>
      </c>
      <c r="D216" s="5" t="s">
        <v>385</v>
      </c>
      <c r="E216" s="5" t="s">
        <v>384</v>
      </c>
      <c r="F216" s="5" t="s">
        <v>30</v>
      </c>
      <c r="G216" s="5" t="s">
        <v>392</v>
      </c>
      <c r="H216" s="5" t="s">
        <v>34</v>
      </c>
      <c r="I216" s="5" t="s">
        <v>35</v>
      </c>
      <c r="J216" s="15">
        <v>2750</v>
      </c>
      <c r="K216" s="7">
        <v>29</v>
      </c>
      <c r="L216" s="7">
        <f t="shared" si="24"/>
        <v>94.827586206896555</v>
      </c>
      <c r="M216" s="5" t="s">
        <v>10</v>
      </c>
      <c r="N216" s="5">
        <v>4</v>
      </c>
      <c r="O216" s="6">
        <f t="shared" si="25"/>
        <v>15.455465963139122</v>
      </c>
      <c r="P216" s="6">
        <f t="shared" si="26"/>
        <v>1.6073684601664686</v>
      </c>
      <c r="Q216" s="10">
        <f t="shared" si="27"/>
        <v>3.3486842920134763E-2</v>
      </c>
      <c r="R216" s="10">
        <f t="shared" si="28"/>
        <v>0.12393920372417333</v>
      </c>
      <c r="S216" s="10">
        <f t="shared" si="29"/>
        <v>0.15742604664430809</v>
      </c>
    </row>
    <row r="217" spans="1:19" x14ac:dyDescent="0.25">
      <c r="A217" s="5" t="s">
        <v>8</v>
      </c>
      <c r="B217" s="5" t="s">
        <v>366</v>
      </c>
      <c r="C217" s="5" t="s">
        <v>27</v>
      </c>
      <c r="D217" s="5" t="s">
        <v>385</v>
      </c>
      <c r="E217" s="5" t="s">
        <v>384</v>
      </c>
      <c r="F217" s="5" t="s">
        <v>30</v>
      </c>
      <c r="G217" s="5" t="s">
        <v>392</v>
      </c>
      <c r="H217" s="5" t="s">
        <v>232</v>
      </c>
      <c r="I217" s="5" t="s">
        <v>367</v>
      </c>
      <c r="J217" s="15">
        <v>1950</v>
      </c>
      <c r="K217" s="7">
        <v>26.5</v>
      </c>
      <c r="L217" s="7">
        <f t="shared" si="24"/>
        <v>73.584905660377359</v>
      </c>
      <c r="M217" s="5" t="s">
        <v>10</v>
      </c>
      <c r="N217" s="5">
        <v>4</v>
      </c>
      <c r="O217" s="6">
        <f t="shared" si="25"/>
        <v>6.5992123531505875</v>
      </c>
      <c r="P217" s="6">
        <f t="shared" si="26"/>
        <v>0.68631808472766109</v>
      </c>
      <c r="Q217" s="10">
        <f t="shared" si="27"/>
        <v>1.4298293431826273E-2</v>
      </c>
      <c r="R217" s="10">
        <f t="shared" si="28"/>
        <v>6.5466059667993612E-2</v>
      </c>
      <c r="S217" s="10">
        <f t="shared" si="29"/>
        <v>7.9764353099819885E-2</v>
      </c>
    </row>
    <row r="218" spans="1:19" x14ac:dyDescent="0.25">
      <c r="A218" s="5" t="s">
        <v>8</v>
      </c>
      <c r="B218" s="5" t="s">
        <v>231</v>
      </c>
      <c r="C218" s="5" t="s">
        <v>27</v>
      </c>
      <c r="D218" s="5" t="s">
        <v>385</v>
      </c>
      <c r="E218" s="5" t="s">
        <v>384</v>
      </c>
      <c r="F218" s="5" t="s">
        <v>30</v>
      </c>
      <c r="G218" s="5" t="s">
        <v>392</v>
      </c>
      <c r="H218" s="5" t="s">
        <v>232</v>
      </c>
      <c r="I218" s="5" t="s">
        <v>67</v>
      </c>
      <c r="J218" s="15">
        <v>2400</v>
      </c>
      <c r="K218" s="7">
        <v>28</v>
      </c>
      <c r="L218" s="7">
        <f t="shared" si="24"/>
        <v>85.714285714285708</v>
      </c>
      <c r="M218" s="5" t="s">
        <v>10</v>
      </c>
      <c r="N218" s="5">
        <v>4</v>
      </c>
      <c r="O218" s="6">
        <f t="shared" si="25"/>
        <v>11.020408163265305</v>
      </c>
      <c r="P218" s="6">
        <f t="shared" si="26"/>
        <v>1.1461224489795918</v>
      </c>
      <c r="Q218" s="10">
        <f t="shared" si="27"/>
        <v>2.3877551020408158E-2</v>
      </c>
      <c r="R218" s="10">
        <f t="shared" si="28"/>
        <v>9.6171277298758448E-2</v>
      </c>
      <c r="S218" s="10">
        <f t="shared" si="29"/>
        <v>0.12004882831916661</v>
      </c>
    </row>
    <row r="219" spans="1:19" x14ac:dyDescent="0.25">
      <c r="A219" s="5" t="s">
        <v>8</v>
      </c>
      <c r="B219" s="5" t="s">
        <v>366</v>
      </c>
      <c r="C219" s="5" t="s">
        <v>27</v>
      </c>
      <c r="D219" s="5" t="s">
        <v>385</v>
      </c>
      <c r="E219" s="5" t="s">
        <v>384</v>
      </c>
      <c r="F219" s="5" t="s">
        <v>30</v>
      </c>
      <c r="G219" s="5" t="s">
        <v>392</v>
      </c>
      <c r="H219" s="5" t="s">
        <v>232</v>
      </c>
      <c r="I219" s="5" t="s">
        <v>368</v>
      </c>
      <c r="J219" s="15">
        <v>2350</v>
      </c>
      <c r="K219" s="7">
        <v>28.5</v>
      </c>
      <c r="L219" s="7">
        <f t="shared" si="24"/>
        <v>82.456140350877192</v>
      </c>
      <c r="M219" s="5" t="s">
        <v>10</v>
      </c>
      <c r="N219" s="5">
        <v>4</v>
      </c>
      <c r="O219" s="6">
        <f t="shared" si="25"/>
        <v>9.9860534010464761</v>
      </c>
      <c r="P219" s="6">
        <f t="shared" si="26"/>
        <v>1.0385495537088334</v>
      </c>
      <c r="Q219" s="10">
        <f t="shared" si="27"/>
        <v>2.1636449035600695E-2</v>
      </c>
      <c r="R219" s="10">
        <f t="shared" si="28"/>
        <v>8.9318729610296993E-2</v>
      </c>
      <c r="S219" s="10">
        <f t="shared" si="29"/>
        <v>0.11095517864589768</v>
      </c>
    </row>
    <row r="220" spans="1:19" x14ac:dyDescent="0.25">
      <c r="A220" s="5" t="s">
        <v>8</v>
      </c>
      <c r="B220" s="5" t="s">
        <v>366</v>
      </c>
      <c r="C220" s="5" t="s">
        <v>27</v>
      </c>
      <c r="D220" s="5" t="s">
        <v>385</v>
      </c>
      <c r="E220" s="5" t="s">
        <v>384</v>
      </c>
      <c r="F220" s="5" t="s">
        <v>30</v>
      </c>
      <c r="G220" s="5" t="s">
        <v>392</v>
      </c>
      <c r="H220" s="5" t="s">
        <v>232</v>
      </c>
      <c r="I220" s="5" t="s">
        <v>368</v>
      </c>
      <c r="J220" s="15">
        <v>2726</v>
      </c>
      <c r="K220" s="7">
        <v>30.5</v>
      </c>
      <c r="L220" s="7">
        <f t="shared" si="24"/>
        <v>89.377049180327873</v>
      </c>
      <c r="M220" s="5" t="s">
        <v>10</v>
      </c>
      <c r="N220" s="5">
        <v>4</v>
      </c>
      <c r="O220" s="6">
        <f t="shared" si="25"/>
        <v>13.609992727761355</v>
      </c>
      <c r="P220" s="6">
        <f t="shared" si="26"/>
        <v>1.4154392436871808</v>
      </c>
      <c r="Q220" s="10">
        <f t="shared" si="27"/>
        <v>2.9488317576816272E-2</v>
      </c>
      <c r="R220" s="10">
        <f t="shared" si="28"/>
        <v>0.11266539513595818</v>
      </c>
      <c r="S220" s="10">
        <f t="shared" si="29"/>
        <v>0.14215371271277444</v>
      </c>
    </row>
    <row r="221" spans="1:19" x14ac:dyDescent="0.25">
      <c r="A221" s="5" t="s">
        <v>8</v>
      </c>
      <c r="B221" s="5" t="s">
        <v>366</v>
      </c>
      <c r="C221" s="5" t="s">
        <v>27</v>
      </c>
      <c r="D221" s="5" t="s">
        <v>385</v>
      </c>
      <c r="E221" s="5" t="s">
        <v>384</v>
      </c>
      <c r="F221" s="5" t="s">
        <v>30</v>
      </c>
      <c r="G221" s="5" t="s">
        <v>392</v>
      </c>
      <c r="H221" s="5" t="s">
        <v>232</v>
      </c>
      <c r="I221" s="5" t="s">
        <v>35</v>
      </c>
      <c r="J221" s="15">
        <v>2900</v>
      </c>
      <c r="K221" s="7">
        <v>33</v>
      </c>
      <c r="L221" s="7">
        <f t="shared" si="24"/>
        <v>87.878787878787875</v>
      </c>
      <c r="M221" s="5" t="s">
        <v>10</v>
      </c>
      <c r="N221" s="5">
        <v>4</v>
      </c>
      <c r="O221" s="6">
        <f t="shared" si="25"/>
        <v>13.997359963269052</v>
      </c>
      <c r="P221" s="6">
        <f t="shared" si="26"/>
        <v>1.4557254361799814</v>
      </c>
      <c r="Q221" s="10">
        <f t="shared" si="27"/>
        <v>3.0327613253749608E-2</v>
      </c>
      <c r="R221" s="10">
        <f t="shared" si="28"/>
        <v>0.11506194811191645</v>
      </c>
      <c r="S221" s="10">
        <f t="shared" si="29"/>
        <v>0.14538956136566605</v>
      </c>
    </row>
    <row r="222" spans="1:19" x14ac:dyDescent="0.25">
      <c r="A222" s="5" t="s">
        <v>22</v>
      </c>
      <c r="B222" s="5" t="s">
        <v>63</v>
      </c>
      <c r="C222" s="5" t="s">
        <v>27</v>
      </c>
      <c r="D222" s="5" t="s">
        <v>385</v>
      </c>
      <c r="E222" s="5" t="s">
        <v>384</v>
      </c>
      <c r="F222" s="5" t="s">
        <v>30</v>
      </c>
      <c r="G222" s="5" t="s">
        <v>392</v>
      </c>
      <c r="H222" s="5" t="s">
        <v>66</v>
      </c>
      <c r="I222" s="5" t="s">
        <v>67</v>
      </c>
      <c r="J222" s="15">
        <v>2350</v>
      </c>
      <c r="K222" s="7">
        <v>28</v>
      </c>
      <c r="L222" s="7">
        <f t="shared" si="24"/>
        <v>83.928571428571431</v>
      </c>
      <c r="M222" s="5" t="s">
        <v>10</v>
      </c>
      <c r="N222" s="5">
        <v>4</v>
      </c>
      <c r="O222" s="6">
        <f t="shared" si="25"/>
        <v>10.345882493622449</v>
      </c>
      <c r="P222" s="6">
        <f t="shared" si="26"/>
        <v>1.0759717793367347</v>
      </c>
      <c r="Q222" s="10">
        <f t="shared" si="27"/>
        <v>2.2416078736181972E-2</v>
      </c>
      <c r="R222" s="10">
        <f t="shared" si="28"/>
        <v>9.1721844656989765E-2</v>
      </c>
      <c r="S222" s="10">
        <f t="shared" si="29"/>
        <v>0.11413792339317173</v>
      </c>
    </row>
    <row r="223" spans="1:19" x14ac:dyDescent="0.25">
      <c r="A223" s="5" t="s">
        <v>8</v>
      </c>
      <c r="B223" s="5" t="s">
        <v>241</v>
      </c>
      <c r="C223" s="5" t="s">
        <v>27</v>
      </c>
      <c r="D223" s="5" t="s">
        <v>385</v>
      </c>
      <c r="E223" s="5" t="s">
        <v>384</v>
      </c>
      <c r="F223" s="5" t="s">
        <v>30</v>
      </c>
      <c r="G223" s="5" t="s">
        <v>392</v>
      </c>
      <c r="H223" s="5" t="s">
        <v>40</v>
      </c>
      <c r="I223" s="5" t="s">
        <v>249</v>
      </c>
      <c r="J223" s="15">
        <v>1750</v>
      </c>
      <c r="K223" s="7">
        <v>25</v>
      </c>
      <c r="L223" s="7">
        <f t="shared" si="24"/>
        <v>70</v>
      </c>
      <c r="M223" s="5" t="s">
        <v>10</v>
      </c>
      <c r="N223" s="5">
        <v>4</v>
      </c>
      <c r="O223" s="6">
        <f t="shared" si="25"/>
        <v>5.359375</v>
      </c>
      <c r="P223" s="6">
        <f t="shared" si="26"/>
        <v>0.55737499999999995</v>
      </c>
      <c r="Q223" s="10">
        <f t="shared" si="27"/>
        <v>1.1611979166666666E-2</v>
      </c>
      <c r="R223" s="10">
        <f t="shared" si="28"/>
        <v>5.6005765012085269E-2</v>
      </c>
      <c r="S223" s="10">
        <f t="shared" si="29"/>
        <v>6.7617744178751937E-2</v>
      </c>
    </row>
    <row r="224" spans="1:19" x14ac:dyDescent="0.25">
      <c r="A224" s="5" t="s">
        <v>22</v>
      </c>
      <c r="B224" s="5" t="s">
        <v>26</v>
      </c>
      <c r="C224" s="5" t="s">
        <v>27</v>
      </c>
      <c r="D224" s="5" t="s">
        <v>385</v>
      </c>
      <c r="E224" s="5" t="s">
        <v>384</v>
      </c>
      <c r="F224" s="5" t="s">
        <v>30</v>
      </c>
      <c r="G224" s="5" t="s">
        <v>392</v>
      </c>
      <c r="H224" s="5" t="s">
        <v>40</v>
      </c>
      <c r="I224" s="5" t="s">
        <v>41</v>
      </c>
      <c r="J224" s="15">
        <v>2500</v>
      </c>
      <c r="K224" s="7">
        <v>28</v>
      </c>
      <c r="L224" s="7">
        <f t="shared" si="24"/>
        <v>89.285714285714292</v>
      </c>
      <c r="M224" s="5" t="s">
        <v>10</v>
      </c>
      <c r="N224" s="5">
        <v>4</v>
      </c>
      <c r="O224" s="6">
        <f t="shared" si="25"/>
        <v>12.456154336734695</v>
      </c>
      <c r="P224" s="6">
        <f t="shared" si="26"/>
        <v>1.2954400510204083</v>
      </c>
      <c r="Q224" s="10">
        <f t="shared" si="27"/>
        <v>2.6988334396258504E-2</v>
      </c>
      <c r="R224" s="10">
        <f t="shared" si="28"/>
        <v>0.10542293667898026</v>
      </c>
      <c r="S224" s="10">
        <f t="shared" si="29"/>
        <v>0.13241127107523876</v>
      </c>
    </row>
    <row r="225" spans="1:19" x14ac:dyDescent="0.25">
      <c r="A225" s="5" t="s">
        <v>8</v>
      </c>
      <c r="B225" s="5" t="s">
        <v>241</v>
      </c>
      <c r="C225" s="5" t="s">
        <v>27</v>
      </c>
      <c r="D225" s="5" t="s">
        <v>385</v>
      </c>
      <c r="E225" s="5" t="s">
        <v>384</v>
      </c>
      <c r="F225" s="5" t="s">
        <v>30</v>
      </c>
      <c r="G225" s="5" t="s">
        <v>392</v>
      </c>
      <c r="H225" s="5" t="s">
        <v>40</v>
      </c>
      <c r="I225" s="5" t="s">
        <v>41</v>
      </c>
      <c r="J225" s="15">
        <v>2300</v>
      </c>
      <c r="K225" s="7">
        <v>31</v>
      </c>
      <c r="L225" s="7">
        <f t="shared" si="24"/>
        <v>74.193548387096769</v>
      </c>
      <c r="M225" s="5" t="s">
        <v>10</v>
      </c>
      <c r="N225" s="5">
        <v>4</v>
      </c>
      <c r="O225" s="6">
        <f t="shared" si="25"/>
        <v>7.912981269510925</v>
      </c>
      <c r="P225" s="6">
        <f t="shared" si="26"/>
        <v>0.82295005202913618</v>
      </c>
      <c r="Q225" s="10">
        <f t="shared" si="27"/>
        <v>1.7144792750607003E-2</v>
      </c>
      <c r="R225" s="10">
        <f t="shared" si="28"/>
        <v>7.5015710610391848E-2</v>
      </c>
      <c r="S225" s="10">
        <f t="shared" si="29"/>
        <v>9.2160503360998847E-2</v>
      </c>
    </row>
    <row r="226" spans="1:19" x14ac:dyDescent="0.25">
      <c r="A226" s="5" t="s">
        <v>8</v>
      </c>
      <c r="B226" s="5" t="s">
        <v>313</v>
      </c>
      <c r="C226" s="5" t="s">
        <v>27</v>
      </c>
      <c r="D226" s="5" t="s">
        <v>385</v>
      </c>
      <c r="E226" s="5" t="s">
        <v>384</v>
      </c>
      <c r="F226" s="5" t="s">
        <v>30</v>
      </c>
      <c r="G226" s="5" t="s">
        <v>392</v>
      </c>
      <c r="H226" s="5" t="s">
        <v>40</v>
      </c>
      <c r="I226" s="5" t="s">
        <v>41</v>
      </c>
      <c r="J226" s="15">
        <v>2650</v>
      </c>
      <c r="K226" s="7">
        <v>27.1</v>
      </c>
      <c r="L226" s="7">
        <f t="shared" si="24"/>
        <v>97.785977859778598</v>
      </c>
      <c r="M226" s="5" t="s">
        <v>10</v>
      </c>
      <c r="N226" s="5">
        <v>4</v>
      </c>
      <c r="O226" s="6">
        <f t="shared" si="25"/>
        <v>15.83722392805109</v>
      </c>
      <c r="P226" s="6">
        <f t="shared" si="26"/>
        <v>1.6470712885173131</v>
      </c>
      <c r="Q226" s="10">
        <f t="shared" si="27"/>
        <v>3.431398517744403E-2</v>
      </c>
      <c r="R226" s="10">
        <f t="shared" si="28"/>
        <v>0.1262282081691613</v>
      </c>
      <c r="S226" s="10">
        <f t="shared" si="29"/>
        <v>0.16054219334660533</v>
      </c>
    </row>
    <row r="227" spans="1:19" x14ac:dyDescent="0.25">
      <c r="A227" s="5" t="s">
        <v>8</v>
      </c>
      <c r="B227" s="5" t="s">
        <v>241</v>
      </c>
      <c r="C227" s="5" t="s">
        <v>27</v>
      </c>
      <c r="D227" s="5" t="s">
        <v>385</v>
      </c>
      <c r="E227" s="5" t="s">
        <v>384</v>
      </c>
      <c r="F227" s="5" t="s">
        <v>30</v>
      </c>
      <c r="G227" s="5" t="s">
        <v>392</v>
      </c>
      <c r="H227" s="5" t="s">
        <v>40</v>
      </c>
      <c r="I227" s="5" t="s">
        <v>250</v>
      </c>
      <c r="J227" s="15">
        <v>1710</v>
      </c>
      <c r="K227" s="7">
        <v>25</v>
      </c>
      <c r="L227" s="7">
        <f t="shared" si="24"/>
        <v>68.400000000000006</v>
      </c>
      <c r="M227" s="5" t="s">
        <v>10</v>
      </c>
      <c r="N227" s="5">
        <v>4</v>
      </c>
      <c r="O227" s="6">
        <f t="shared" si="25"/>
        <v>5.0002110000000002</v>
      </c>
      <c r="P227" s="6">
        <f t="shared" si="26"/>
        <v>0.52002194400000012</v>
      </c>
      <c r="Q227" s="10">
        <f t="shared" si="27"/>
        <v>1.0833790500000001E-2</v>
      </c>
      <c r="R227" s="10">
        <f t="shared" si="28"/>
        <v>5.316653690438651E-2</v>
      </c>
      <c r="S227" s="10">
        <f t="shared" si="29"/>
        <v>6.4000327404386506E-2</v>
      </c>
    </row>
    <row r="228" spans="1:19" x14ac:dyDescent="0.25">
      <c r="A228" s="5" t="s">
        <v>8</v>
      </c>
      <c r="B228" s="5" t="s">
        <v>241</v>
      </c>
      <c r="C228" s="5" t="s">
        <v>27</v>
      </c>
      <c r="D228" s="5" t="s">
        <v>385</v>
      </c>
      <c r="E228" s="5" t="s">
        <v>384</v>
      </c>
      <c r="F228" s="5" t="s">
        <v>30</v>
      </c>
      <c r="G228" s="5" t="s">
        <v>392</v>
      </c>
      <c r="H228" s="5" t="s">
        <v>40</v>
      </c>
      <c r="I228" s="5" t="s">
        <v>252</v>
      </c>
      <c r="J228" s="15">
        <v>1670</v>
      </c>
      <c r="K228" s="7">
        <v>28.5</v>
      </c>
      <c r="L228" s="7">
        <f t="shared" si="24"/>
        <v>58.596491228070178</v>
      </c>
      <c r="M228" s="5" t="s">
        <v>10</v>
      </c>
      <c r="N228" s="5">
        <v>4</v>
      </c>
      <c r="O228" s="6">
        <f t="shared" si="25"/>
        <v>3.5837665435518629</v>
      </c>
      <c r="P228" s="6">
        <f t="shared" si="26"/>
        <v>0.37271172052939366</v>
      </c>
      <c r="Q228" s="10">
        <f t="shared" si="27"/>
        <v>7.7648275110290361E-3</v>
      </c>
      <c r="R228" s="10">
        <f t="shared" si="28"/>
        <v>4.1414450883432853E-2</v>
      </c>
      <c r="S228" s="10">
        <f t="shared" si="29"/>
        <v>4.9179278394461887E-2</v>
      </c>
    </row>
    <row r="229" spans="1:19" x14ac:dyDescent="0.25">
      <c r="A229" s="5" t="s">
        <v>8</v>
      </c>
      <c r="B229" s="5" t="s">
        <v>241</v>
      </c>
      <c r="C229" s="5" t="s">
        <v>27</v>
      </c>
      <c r="D229" s="5" t="s">
        <v>385</v>
      </c>
      <c r="E229" s="5" t="s">
        <v>384</v>
      </c>
      <c r="F229" s="5" t="s">
        <v>30</v>
      </c>
      <c r="G229" s="5" t="s">
        <v>392</v>
      </c>
      <c r="H229" s="5" t="s">
        <v>40</v>
      </c>
      <c r="I229" s="5" t="s">
        <v>11</v>
      </c>
      <c r="J229" s="15">
        <v>2375</v>
      </c>
      <c r="K229" s="7">
        <v>27</v>
      </c>
      <c r="L229" s="7">
        <f t="shared" si="24"/>
        <v>87.962962962962962</v>
      </c>
      <c r="M229" s="5" t="s">
        <v>10</v>
      </c>
      <c r="N229" s="5">
        <v>4</v>
      </c>
      <c r="O229" s="6">
        <f t="shared" si="25"/>
        <v>11.485326110253771</v>
      </c>
      <c r="P229" s="6">
        <f t="shared" si="26"/>
        <v>1.1944739154663921</v>
      </c>
      <c r="Q229" s="10">
        <f t="shared" si="27"/>
        <v>2.4884873238883169E-2</v>
      </c>
      <c r="R229" s="10">
        <f t="shared" si="28"/>
        <v>9.9198389756610938E-2</v>
      </c>
      <c r="S229" s="10">
        <f t="shared" si="29"/>
        <v>0.1240832629954941</v>
      </c>
    </row>
    <row r="230" spans="1:19" x14ac:dyDescent="0.25">
      <c r="A230" s="5" t="s">
        <v>8</v>
      </c>
      <c r="B230" s="5" t="s">
        <v>241</v>
      </c>
      <c r="C230" s="5" t="s">
        <v>27</v>
      </c>
      <c r="D230" s="5" t="s">
        <v>385</v>
      </c>
      <c r="E230" s="5" t="s">
        <v>384</v>
      </c>
      <c r="F230" s="5" t="s">
        <v>30</v>
      </c>
      <c r="G230" s="5" t="s">
        <v>392</v>
      </c>
      <c r="H230" s="5" t="s">
        <v>40</v>
      </c>
      <c r="I230" s="5" t="s">
        <v>260</v>
      </c>
      <c r="J230" s="15">
        <v>2250</v>
      </c>
      <c r="K230" s="7">
        <v>26.2</v>
      </c>
      <c r="L230" s="7">
        <f t="shared" si="24"/>
        <v>85.877862595419856</v>
      </c>
      <c r="M230" s="5" t="s">
        <v>10</v>
      </c>
      <c r="N230" s="5">
        <v>4</v>
      </c>
      <c r="O230" s="6">
        <f t="shared" si="25"/>
        <v>10.371103993065674</v>
      </c>
      <c r="P230" s="6">
        <f t="shared" si="26"/>
        <v>1.0785948152788301</v>
      </c>
      <c r="Q230" s="10">
        <f t="shared" si="27"/>
        <v>2.2470725318308959E-2</v>
      </c>
      <c r="R230" s="10">
        <f t="shared" si="28"/>
        <v>9.1889495281948216E-2</v>
      </c>
      <c r="S230" s="10">
        <f t="shared" si="29"/>
        <v>0.11436022060025718</v>
      </c>
    </row>
    <row r="231" spans="1:19" x14ac:dyDescent="0.25">
      <c r="A231" s="5" t="s">
        <v>8</v>
      </c>
      <c r="B231" s="5" t="s">
        <v>188</v>
      </c>
      <c r="C231" s="5" t="s">
        <v>27</v>
      </c>
      <c r="D231" s="5" t="s">
        <v>385</v>
      </c>
      <c r="E231" s="5" t="s">
        <v>384</v>
      </c>
      <c r="F231" s="5" t="s">
        <v>30</v>
      </c>
      <c r="G231" s="5" t="s">
        <v>392</v>
      </c>
      <c r="H231" s="5" t="s">
        <v>40</v>
      </c>
      <c r="I231" s="5" t="s">
        <v>190</v>
      </c>
      <c r="J231" s="15">
        <v>2800</v>
      </c>
      <c r="K231" s="7">
        <v>27</v>
      </c>
      <c r="L231" s="7">
        <f t="shared" si="24"/>
        <v>103.70370370370371</v>
      </c>
      <c r="M231" s="5" t="s">
        <v>10</v>
      </c>
      <c r="N231" s="5">
        <v>4</v>
      </c>
      <c r="O231" s="6">
        <f t="shared" si="25"/>
        <v>18.820301783264746</v>
      </c>
      <c r="P231" s="6">
        <f t="shared" si="26"/>
        <v>1.9573113854595339</v>
      </c>
      <c r="Q231" s="10">
        <f t="shared" si="27"/>
        <v>4.0777320530406946E-2</v>
      </c>
      <c r="R231" s="10">
        <f t="shared" si="28"/>
        <v>0.14367032083802037</v>
      </c>
      <c r="S231" s="10">
        <f t="shared" si="29"/>
        <v>0.18444764136842731</v>
      </c>
    </row>
    <row r="232" spans="1:19" x14ac:dyDescent="0.25">
      <c r="A232" s="5" t="s">
        <v>8</v>
      </c>
      <c r="B232" s="5" t="s">
        <v>241</v>
      </c>
      <c r="C232" s="5" t="s">
        <v>27</v>
      </c>
      <c r="D232" s="5" t="s">
        <v>385</v>
      </c>
      <c r="E232" s="5" t="s">
        <v>384</v>
      </c>
      <c r="F232" s="5" t="s">
        <v>30</v>
      </c>
      <c r="G232" s="5" t="s">
        <v>392</v>
      </c>
      <c r="H232" s="5" t="s">
        <v>40</v>
      </c>
      <c r="I232" s="5" t="s">
        <v>190</v>
      </c>
      <c r="J232" s="15">
        <v>2885</v>
      </c>
      <c r="K232" s="7">
        <v>27.5</v>
      </c>
      <c r="L232" s="7">
        <f t="shared" si="24"/>
        <v>104.90909090909091</v>
      </c>
      <c r="M232" s="5" t="s">
        <v>10</v>
      </c>
      <c r="N232" s="5">
        <v>4</v>
      </c>
      <c r="O232" s="6">
        <f t="shared" si="25"/>
        <v>19.845044731404958</v>
      </c>
      <c r="P232" s="6">
        <f t="shared" si="26"/>
        <v>2.0638846520661156</v>
      </c>
      <c r="Q232" s="10">
        <f t="shared" si="27"/>
        <v>4.2997596918044077E-2</v>
      </c>
      <c r="R232" s="10">
        <f t="shared" si="28"/>
        <v>0.1494982765139998</v>
      </c>
      <c r="S232" s="10">
        <f t="shared" si="29"/>
        <v>0.19249587343204388</v>
      </c>
    </row>
    <row r="233" spans="1:19" x14ac:dyDescent="0.25">
      <c r="A233" s="5" t="s">
        <v>8</v>
      </c>
      <c r="B233" s="5" t="s">
        <v>241</v>
      </c>
      <c r="C233" s="5" t="s">
        <v>27</v>
      </c>
      <c r="D233" s="5" t="s">
        <v>385</v>
      </c>
      <c r="E233" s="5" t="s">
        <v>384</v>
      </c>
      <c r="F233" s="5" t="s">
        <v>30</v>
      </c>
      <c r="G233" s="5" t="s">
        <v>392</v>
      </c>
      <c r="H233" s="5" t="s">
        <v>40</v>
      </c>
      <c r="I233" s="5" t="s">
        <v>257</v>
      </c>
      <c r="J233" s="15">
        <v>2020</v>
      </c>
      <c r="K233" s="7">
        <v>23.5</v>
      </c>
      <c r="L233" s="7">
        <f t="shared" si="24"/>
        <v>85.957446808510639</v>
      </c>
      <c r="M233" s="5" t="s">
        <v>10</v>
      </c>
      <c r="N233" s="5">
        <v>4</v>
      </c>
      <c r="O233" s="6">
        <f t="shared" si="25"/>
        <v>9.3282118605703932</v>
      </c>
      <c r="P233" s="6">
        <f t="shared" si="26"/>
        <v>0.97013403349932081</v>
      </c>
      <c r="Q233" s="10">
        <f t="shared" si="27"/>
        <v>2.0211125697902517E-2</v>
      </c>
      <c r="R233" s="10">
        <f t="shared" si="28"/>
        <v>8.486838252062337E-2</v>
      </c>
      <c r="S233" s="10">
        <f t="shared" si="29"/>
        <v>0.10507950821852588</v>
      </c>
    </row>
    <row r="234" spans="1:19" x14ac:dyDescent="0.25">
      <c r="A234" s="5" t="s">
        <v>8</v>
      </c>
      <c r="B234" s="5" t="s">
        <v>241</v>
      </c>
      <c r="C234" s="5" t="s">
        <v>27</v>
      </c>
      <c r="D234" s="5" t="s">
        <v>385</v>
      </c>
      <c r="E234" s="5" t="s">
        <v>384</v>
      </c>
      <c r="F234" s="5" t="s">
        <v>30</v>
      </c>
      <c r="G234" s="5" t="s">
        <v>392</v>
      </c>
      <c r="H234" s="5" t="s">
        <v>40</v>
      </c>
      <c r="I234" s="5" t="s">
        <v>258</v>
      </c>
      <c r="J234" s="15">
        <v>2220</v>
      </c>
      <c r="K234" s="7">
        <v>28</v>
      </c>
      <c r="L234" s="7">
        <f t="shared" si="24"/>
        <v>79.285714285714292</v>
      </c>
      <c r="M234" s="5" t="s">
        <v>10</v>
      </c>
      <c r="N234" s="5">
        <v>4</v>
      </c>
      <c r="O234" s="6">
        <f t="shared" si="25"/>
        <v>8.7221364795918372</v>
      </c>
      <c r="P234" s="6">
        <f t="shared" si="26"/>
        <v>0.90710219387755109</v>
      </c>
      <c r="Q234" s="10">
        <f t="shared" si="27"/>
        <v>1.8897962372448979E-2</v>
      </c>
      <c r="R234" s="10">
        <f t="shared" si="28"/>
        <v>8.0698280844358428E-2</v>
      </c>
      <c r="S234" s="10">
        <f t="shared" si="29"/>
        <v>9.9596243216807406E-2</v>
      </c>
    </row>
    <row r="235" spans="1:19" x14ac:dyDescent="0.25">
      <c r="A235" s="5" t="s">
        <v>8</v>
      </c>
      <c r="B235" s="5" t="s">
        <v>188</v>
      </c>
      <c r="C235" s="5" t="s">
        <v>27</v>
      </c>
      <c r="D235" s="5" t="s">
        <v>385</v>
      </c>
      <c r="E235" s="5" t="s">
        <v>384</v>
      </c>
      <c r="F235" s="5" t="s">
        <v>30</v>
      </c>
      <c r="G235" s="5" t="s">
        <v>392</v>
      </c>
      <c r="H235" s="5" t="s">
        <v>40</v>
      </c>
      <c r="I235" s="5" t="s">
        <v>189</v>
      </c>
      <c r="J235" s="15">
        <v>2200</v>
      </c>
      <c r="K235" s="7">
        <v>28.7</v>
      </c>
      <c r="L235" s="7">
        <f t="shared" si="24"/>
        <v>76.655052264808361</v>
      </c>
      <c r="M235" s="5" t="s">
        <v>10</v>
      </c>
      <c r="N235" s="5">
        <v>4</v>
      </c>
      <c r="O235" s="6">
        <f t="shared" si="25"/>
        <v>8.0794959268656896</v>
      </c>
      <c r="P235" s="6">
        <f t="shared" si="26"/>
        <v>0.8402675763940316</v>
      </c>
      <c r="Q235" s="10">
        <f t="shared" si="27"/>
        <v>1.7505574508208995E-2</v>
      </c>
      <c r="R235" s="10">
        <f t="shared" si="28"/>
        <v>7.6196552828618133E-2</v>
      </c>
      <c r="S235" s="10">
        <f t="shared" si="29"/>
        <v>9.3702127336827132E-2</v>
      </c>
    </row>
    <row r="236" spans="1:19" x14ac:dyDescent="0.25">
      <c r="A236" s="5" t="s">
        <v>8</v>
      </c>
      <c r="B236" s="5" t="s">
        <v>188</v>
      </c>
      <c r="C236" s="5" t="s">
        <v>27</v>
      </c>
      <c r="D236" s="5" t="s">
        <v>385</v>
      </c>
      <c r="E236" s="5" t="s">
        <v>384</v>
      </c>
      <c r="F236" s="5" t="s">
        <v>30</v>
      </c>
      <c r="G236" s="5" t="s">
        <v>392</v>
      </c>
      <c r="H236" s="5" t="s">
        <v>40</v>
      </c>
      <c r="I236" s="5" t="s">
        <v>189</v>
      </c>
      <c r="J236" s="15">
        <v>2100</v>
      </c>
      <c r="K236" s="7">
        <v>22.2</v>
      </c>
      <c r="L236" s="7">
        <f t="shared" si="24"/>
        <v>94.594594594594597</v>
      </c>
      <c r="M236" s="5" t="s">
        <v>10</v>
      </c>
      <c r="N236" s="5">
        <v>4</v>
      </c>
      <c r="O236" s="6">
        <f t="shared" si="25"/>
        <v>11.744430241051864</v>
      </c>
      <c r="P236" s="6">
        <f t="shared" si="26"/>
        <v>1.2214207450693937</v>
      </c>
      <c r="Q236" s="10">
        <f t="shared" si="27"/>
        <v>2.5446265522279039E-2</v>
      </c>
      <c r="R236" s="10">
        <f t="shared" si="28"/>
        <v>0.1008721061659506</v>
      </c>
      <c r="S236" s="10">
        <f t="shared" si="29"/>
        <v>0.12631837168822965</v>
      </c>
    </row>
    <row r="237" spans="1:19" x14ac:dyDescent="0.25">
      <c r="A237" s="5" t="s">
        <v>8</v>
      </c>
      <c r="B237" s="5" t="s">
        <v>313</v>
      </c>
      <c r="C237" s="5" t="s">
        <v>27</v>
      </c>
      <c r="D237" s="5" t="s">
        <v>385</v>
      </c>
      <c r="E237" s="5" t="s">
        <v>384</v>
      </c>
      <c r="F237" s="5" t="s">
        <v>30</v>
      </c>
      <c r="G237" s="5" t="s">
        <v>392</v>
      </c>
      <c r="H237" s="5" t="s">
        <v>40</v>
      </c>
      <c r="I237" s="5" t="s">
        <v>314</v>
      </c>
      <c r="J237" s="15">
        <v>1910</v>
      </c>
      <c r="K237" s="7">
        <v>24</v>
      </c>
      <c r="L237" s="7">
        <f t="shared" si="24"/>
        <v>79.583333333333329</v>
      </c>
      <c r="M237" s="5" t="s">
        <v>10</v>
      </c>
      <c r="N237" s="5">
        <v>4</v>
      </c>
      <c r="O237" s="6">
        <f t="shared" si="25"/>
        <v>7.5606239149305541</v>
      </c>
      <c r="P237" s="6">
        <f t="shared" si="26"/>
        <v>0.78630488715277769</v>
      </c>
      <c r="Q237" s="10">
        <f t="shared" si="27"/>
        <v>1.6381351815682867E-2</v>
      </c>
      <c r="R237" s="10">
        <f t="shared" si="28"/>
        <v>7.2496218047525651E-2</v>
      </c>
      <c r="S237" s="10">
        <f t="shared" si="29"/>
        <v>8.8877569863208522E-2</v>
      </c>
    </row>
    <row r="238" spans="1:19" x14ac:dyDescent="0.25">
      <c r="A238" s="5" t="s">
        <v>8</v>
      </c>
      <c r="B238" s="5" t="s">
        <v>241</v>
      </c>
      <c r="C238" s="5" t="s">
        <v>27</v>
      </c>
      <c r="D238" s="5" t="s">
        <v>385</v>
      </c>
      <c r="E238" s="5" t="s">
        <v>384</v>
      </c>
      <c r="F238" s="5" t="s">
        <v>30</v>
      </c>
      <c r="G238" s="5" t="s">
        <v>392</v>
      </c>
      <c r="H238" s="5" t="s">
        <v>40</v>
      </c>
      <c r="I238" s="5" t="s">
        <v>251</v>
      </c>
      <c r="J238" s="15">
        <v>1940</v>
      </c>
      <c r="K238" s="7">
        <v>26.5</v>
      </c>
      <c r="L238" s="7">
        <f t="shared" si="24"/>
        <v>73.20754716981132</v>
      </c>
      <c r="M238" s="5" t="s">
        <v>10</v>
      </c>
      <c r="N238" s="5">
        <v>4</v>
      </c>
      <c r="O238" s="6">
        <f t="shared" si="25"/>
        <v>6.4982057671769313</v>
      </c>
      <c r="P238" s="6">
        <f t="shared" si="26"/>
        <v>0.67581339978640087</v>
      </c>
      <c r="Q238" s="10">
        <f t="shared" si="27"/>
        <v>1.4079445828883352E-2</v>
      </c>
      <c r="R238" s="10">
        <f t="shared" si="28"/>
        <v>6.4713102102881032E-2</v>
      </c>
      <c r="S238" s="10">
        <f t="shared" si="29"/>
        <v>7.8792547931764378E-2</v>
      </c>
    </row>
    <row r="239" spans="1:19" x14ac:dyDescent="0.25">
      <c r="A239" s="5" t="s">
        <v>8</v>
      </c>
      <c r="B239" s="5" t="s">
        <v>361</v>
      </c>
      <c r="C239" s="5" t="s">
        <v>27</v>
      </c>
      <c r="D239" s="5" t="s">
        <v>385</v>
      </c>
      <c r="E239" s="5" t="s">
        <v>384</v>
      </c>
      <c r="F239" s="5" t="s">
        <v>30</v>
      </c>
      <c r="G239" s="5" t="s">
        <v>392</v>
      </c>
      <c r="H239" s="5" t="s">
        <v>40</v>
      </c>
      <c r="I239" s="5" t="s">
        <v>362</v>
      </c>
      <c r="J239" s="15">
        <v>1970</v>
      </c>
      <c r="K239" s="7">
        <v>26.9</v>
      </c>
      <c r="L239" s="7">
        <f t="shared" si="24"/>
        <v>73.234200743494426</v>
      </c>
      <c r="M239" s="5" t="s">
        <v>10</v>
      </c>
      <c r="N239" s="5">
        <v>4</v>
      </c>
      <c r="O239" s="6">
        <f t="shared" si="25"/>
        <v>6.6034992952004536</v>
      </c>
      <c r="P239" s="6">
        <f t="shared" si="26"/>
        <v>0.68676392670084707</v>
      </c>
      <c r="Q239" s="10">
        <f t="shared" si="27"/>
        <v>1.430758180626765E-2</v>
      </c>
      <c r="R239" s="10">
        <f t="shared" si="28"/>
        <v>6.5497952840159274E-2</v>
      </c>
      <c r="S239" s="10">
        <f t="shared" si="29"/>
        <v>7.9805534646426923E-2</v>
      </c>
    </row>
    <row r="240" spans="1:19" x14ac:dyDescent="0.25">
      <c r="A240" s="5" t="s">
        <v>8</v>
      </c>
      <c r="B240" s="5" t="s">
        <v>241</v>
      </c>
      <c r="C240" s="5" t="s">
        <v>27</v>
      </c>
      <c r="D240" s="5" t="s">
        <v>385</v>
      </c>
      <c r="E240" s="5" t="s">
        <v>384</v>
      </c>
      <c r="F240" s="5" t="s">
        <v>30</v>
      </c>
      <c r="G240" s="5" t="s">
        <v>392</v>
      </c>
      <c r="H240" s="5" t="s">
        <v>40</v>
      </c>
      <c r="I240" s="5" t="s">
        <v>255</v>
      </c>
      <c r="J240" s="15">
        <v>2180</v>
      </c>
      <c r="K240" s="7">
        <v>20.2</v>
      </c>
      <c r="L240" s="7">
        <f t="shared" si="24"/>
        <v>107.92079207920793</v>
      </c>
      <c r="M240" s="5" t="s">
        <v>10</v>
      </c>
      <c r="N240" s="5">
        <v>4</v>
      </c>
      <c r="O240" s="6">
        <f t="shared" si="25"/>
        <v>15.868897657092445</v>
      </c>
      <c r="P240" s="6">
        <f t="shared" si="26"/>
        <v>1.6503653563376142</v>
      </c>
      <c r="Q240" s="10">
        <f t="shared" si="27"/>
        <v>3.4382611590366964E-2</v>
      </c>
      <c r="R240" s="10">
        <f t="shared" si="28"/>
        <v>0.12641749889048123</v>
      </c>
      <c r="S240" s="10">
        <f t="shared" si="29"/>
        <v>0.16080011048084819</v>
      </c>
    </row>
    <row r="241" spans="1:19" x14ac:dyDescent="0.25">
      <c r="A241" s="5" t="s">
        <v>8</v>
      </c>
      <c r="B241" s="5" t="s">
        <v>375</v>
      </c>
      <c r="C241" s="5" t="s">
        <v>27</v>
      </c>
      <c r="D241" s="5" t="s">
        <v>385</v>
      </c>
      <c r="E241" s="5" t="s">
        <v>384</v>
      </c>
      <c r="F241" s="5" t="s">
        <v>30</v>
      </c>
      <c r="G241" s="5" t="s">
        <v>392</v>
      </c>
      <c r="H241" s="5" t="s">
        <v>40</v>
      </c>
      <c r="I241" s="5" t="s">
        <v>377</v>
      </c>
      <c r="J241" s="15">
        <v>1900</v>
      </c>
      <c r="K241" s="7">
        <v>31.8</v>
      </c>
      <c r="L241" s="7">
        <f t="shared" si="24"/>
        <v>59.748427672955977</v>
      </c>
      <c r="M241" s="5" t="s">
        <v>10</v>
      </c>
      <c r="N241" s="5">
        <v>4</v>
      </c>
      <c r="O241" s="6">
        <f t="shared" si="25"/>
        <v>4.2392260986511614</v>
      </c>
      <c r="P241" s="6">
        <f t="shared" si="26"/>
        <v>0.44087951425972072</v>
      </c>
      <c r="Q241" s="10">
        <f t="shared" si="27"/>
        <v>9.1849898804108494E-3</v>
      </c>
      <c r="R241" s="10">
        <f t="shared" si="28"/>
        <v>4.6974488465593794E-2</v>
      </c>
      <c r="S241" s="10">
        <f t="shared" si="29"/>
        <v>5.615947834600464E-2</v>
      </c>
    </row>
    <row r="242" spans="1:19" x14ac:dyDescent="0.25">
      <c r="A242" s="5" t="s">
        <v>8</v>
      </c>
      <c r="B242" s="5" t="s">
        <v>241</v>
      </c>
      <c r="C242" s="5" t="s">
        <v>27</v>
      </c>
      <c r="D242" s="5" t="s">
        <v>385</v>
      </c>
      <c r="E242" s="5" t="s">
        <v>384</v>
      </c>
      <c r="F242" s="5" t="s">
        <v>30</v>
      </c>
      <c r="G242" s="5" t="s">
        <v>392</v>
      </c>
      <c r="H242" s="5" t="s">
        <v>40</v>
      </c>
      <c r="I242" s="5" t="s">
        <v>242</v>
      </c>
      <c r="J242" s="15">
        <v>1765</v>
      </c>
      <c r="K242" s="7">
        <v>23.2</v>
      </c>
      <c r="L242" s="7">
        <f t="shared" si="24"/>
        <v>76.077586206896555</v>
      </c>
      <c r="M242" s="5" t="s">
        <v>10</v>
      </c>
      <c r="N242" s="5">
        <v>4</v>
      </c>
      <c r="O242" s="6">
        <f t="shared" si="25"/>
        <v>6.3846659076341412</v>
      </c>
      <c r="P242" s="6">
        <f t="shared" si="26"/>
        <v>0.66400525439395075</v>
      </c>
      <c r="Q242" s="10">
        <f t="shared" si="27"/>
        <v>1.3833442799873972E-2</v>
      </c>
      <c r="R242" s="10">
        <f t="shared" si="28"/>
        <v>6.3863211893944297E-2</v>
      </c>
      <c r="S242" s="10">
        <f t="shared" si="29"/>
        <v>7.7696654693818271E-2</v>
      </c>
    </row>
    <row r="243" spans="1:19" x14ac:dyDescent="0.25">
      <c r="A243" s="5" t="s">
        <v>8</v>
      </c>
      <c r="B243" s="5" t="s">
        <v>241</v>
      </c>
      <c r="C243" s="5" t="s">
        <v>27</v>
      </c>
      <c r="D243" s="5" t="s">
        <v>385</v>
      </c>
      <c r="E243" s="5" t="s">
        <v>384</v>
      </c>
      <c r="F243" s="5" t="s">
        <v>30</v>
      </c>
      <c r="G243" s="5" t="s">
        <v>392</v>
      </c>
      <c r="H243" s="5" t="s">
        <v>40</v>
      </c>
      <c r="I243" s="5" t="s">
        <v>261</v>
      </c>
      <c r="J243" s="15">
        <v>2600</v>
      </c>
      <c r="K243" s="7">
        <v>27.5</v>
      </c>
      <c r="L243" s="7">
        <f t="shared" si="24"/>
        <v>94.545454545454547</v>
      </c>
      <c r="M243" s="5" t="s">
        <v>10</v>
      </c>
      <c r="N243" s="5">
        <v>4</v>
      </c>
      <c r="O243" s="6">
        <f t="shared" si="25"/>
        <v>14.525619834710744</v>
      </c>
      <c r="P243" s="6">
        <f t="shared" si="26"/>
        <v>1.5106644628099171</v>
      </c>
      <c r="Q243" s="10">
        <f t="shared" si="27"/>
        <v>3.1472176308539941E-2</v>
      </c>
      <c r="R243" s="10">
        <f t="shared" si="28"/>
        <v>0.11830364604409564</v>
      </c>
      <c r="S243" s="10">
        <f t="shared" si="29"/>
        <v>0.14977582235263559</v>
      </c>
    </row>
    <row r="244" spans="1:19" x14ac:dyDescent="0.25">
      <c r="A244" s="5" t="s">
        <v>8</v>
      </c>
      <c r="B244" s="5" t="s">
        <v>241</v>
      </c>
      <c r="C244" s="5" t="s">
        <v>27</v>
      </c>
      <c r="D244" s="5" t="s">
        <v>385</v>
      </c>
      <c r="E244" s="5" t="s">
        <v>384</v>
      </c>
      <c r="F244" s="5" t="s">
        <v>30</v>
      </c>
      <c r="G244" s="5" t="s">
        <v>392</v>
      </c>
      <c r="H244" s="5" t="s">
        <v>40</v>
      </c>
      <c r="I244" s="5" t="s">
        <v>243</v>
      </c>
      <c r="J244" s="15">
        <v>4700</v>
      </c>
      <c r="K244" s="7">
        <v>36.4</v>
      </c>
      <c r="L244" s="7">
        <f t="shared" si="24"/>
        <v>129.12087912087912</v>
      </c>
      <c r="M244" s="5" t="s">
        <v>10</v>
      </c>
      <c r="N244" s="5">
        <v>4</v>
      </c>
      <c r="O244" s="6">
        <f t="shared" si="25"/>
        <v>48.974591685786741</v>
      </c>
      <c r="P244" s="6">
        <f t="shared" si="26"/>
        <v>5.0933575353218208</v>
      </c>
      <c r="Q244" s="10">
        <f t="shared" si="27"/>
        <v>0.1061116153192046</v>
      </c>
      <c r="R244" s="10">
        <f t="shared" si="28"/>
        <v>0.29435759247386778</v>
      </c>
      <c r="S244" s="10">
        <f t="shared" si="29"/>
        <v>0.40046920779307238</v>
      </c>
    </row>
    <row r="245" spans="1:19" x14ac:dyDescent="0.25">
      <c r="A245" s="5" t="s">
        <v>8</v>
      </c>
      <c r="B245" s="5" t="s">
        <v>241</v>
      </c>
      <c r="C245" s="5" t="s">
        <v>27</v>
      </c>
      <c r="D245" s="5" t="s">
        <v>385</v>
      </c>
      <c r="E245" s="5" t="s">
        <v>384</v>
      </c>
      <c r="F245" s="5" t="s">
        <v>30</v>
      </c>
      <c r="G245" s="5" t="s">
        <v>392</v>
      </c>
      <c r="H245" s="5" t="s">
        <v>40</v>
      </c>
      <c r="I245" s="5" t="s">
        <v>244</v>
      </c>
      <c r="J245" s="15">
        <v>1500</v>
      </c>
      <c r="K245" s="7">
        <v>23</v>
      </c>
      <c r="L245" s="7">
        <f t="shared" si="24"/>
        <v>65.217391304347828</v>
      </c>
      <c r="M245" s="5" t="s">
        <v>10</v>
      </c>
      <c r="N245" s="5">
        <v>4</v>
      </c>
      <c r="O245" s="6">
        <f t="shared" si="25"/>
        <v>3.9874763705103979</v>
      </c>
      <c r="P245" s="6">
        <f t="shared" si="26"/>
        <v>0.41469754253308139</v>
      </c>
      <c r="Q245" s="10">
        <f t="shared" si="27"/>
        <v>8.6395321361058628E-3</v>
      </c>
      <c r="R245" s="10">
        <f t="shared" si="28"/>
        <v>4.4866347546259483E-2</v>
      </c>
      <c r="S245" s="10">
        <f t="shared" si="29"/>
        <v>5.3505879682365344E-2</v>
      </c>
    </row>
    <row r="246" spans="1:19" x14ac:dyDescent="0.25">
      <c r="A246" s="5" t="s">
        <v>22</v>
      </c>
      <c r="B246" s="5" t="s">
        <v>63</v>
      </c>
      <c r="C246" s="5" t="s">
        <v>27</v>
      </c>
      <c r="D246" s="5" t="s">
        <v>385</v>
      </c>
      <c r="E246" s="5" t="s">
        <v>384</v>
      </c>
      <c r="F246" s="5" t="s">
        <v>30</v>
      </c>
      <c r="G246" s="5" t="s">
        <v>392</v>
      </c>
      <c r="H246" s="5" t="s">
        <v>40</v>
      </c>
      <c r="I246" s="5" t="s">
        <v>65</v>
      </c>
      <c r="J246" s="15">
        <v>2200</v>
      </c>
      <c r="K246" s="7">
        <v>27</v>
      </c>
      <c r="L246" s="7">
        <f t="shared" si="24"/>
        <v>81.481481481481481</v>
      </c>
      <c r="M246" s="5" t="s">
        <v>10</v>
      </c>
      <c r="N246" s="5">
        <v>4</v>
      </c>
      <c r="O246" s="6">
        <f t="shared" si="25"/>
        <v>9.1289437585733886</v>
      </c>
      <c r="P246" s="6">
        <f t="shared" si="26"/>
        <v>0.94941015089163217</v>
      </c>
      <c r="Q246" s="10">
        <f t="shared" si="27"/>
        <v>1.9779378143575676E-2</v>
      </c>
      <c r="R246" s="10">
        <f t="shared" si="28"/>
        <v>8.3505008186665314E-2</v>
      </c>
      <c r="S246" s="10">
        <f t="shared" si="29"/>
        <v>0.10328438633024099</v>
      </c>
    </row>
    <row r="247" spans="1:19" x14ac:dyDescent="0.25">
      <c r="A247" s="5" t="s">
        <v>22</v>
      </c>
      <c r="B247" s="5" t="s">
        <v>26</v>
      </c>
      <c r="C247" s="5" t="s">
        <v>27</v>
      </c>
      <c r="D247" s="5" t="s">
        <v>385</v>
      </c>
      <c r="E247" s="5" t="s">
        <v>384</v>
      </c>
      <c r="F247" s="5" t="s">
        <v>30</v>
      </c>
      <c r="G247" s="5" t="s">
        <v>392</v>
      </c>
      <c r="H247" s="5" t="s">
        <v>40</v>
      </c>
      <c r="I247" s="5" t="s">
        <v>42</v>
      </c>
      <c r="J247" s="15">
        <v>2600</v>
      </c>
      <c r="K247" s="7">
        <v>29</v>
      </c>
      <c r="L247" s="7">
        <f t="shared" si="24"/>
        <v>89.65517241379311</v>
      </c>
      <c r="M247" s="5" t="s">
        <v>10</v>
      </c>
      <c r="N247" s="5">
        <v>4</v>
      </c>
      <c r="O247" s="6">
        <f t="shared" si="25"/>
        <v>13.061831153388825</v>
      </c>
      <c r="P247" s="6">
        <f t="shared" si="26"/>
        <v>1.3584304399524376</v>
      </c>
      <c r="Q247" s="10">
        <f t="shared" si="27"/>
        <v>2.8300634165675787E-2</v>
      </c>
      <c r="R247" s="10">
        <f t="shared" si="28"/>
        <v>0.10924464894421673</v>
      </c>
      <c r="S247" s="10">
        <f t="shared" si="29"/>
        <v>0.13754528310989253</v>
      </c>
    </row>
    <row r="248" spans="1:19" x14ac:dyDescent="0.25">
      <c r="A248" s="5" t="s">
        <v>8</v>
      </c>
      <c r="B248" s="5" t="s">
        <v>188</v>
      </c>
      <c r="C248" s="5" t="s">
        <v>27</v>
      </c>
      <c r="D248" s="5" t="s">
        <v>385</v>
      </c>
      <c r="E248" s="5" t="s">
        <v>384</v>
      </c>
      <c r="F248" s="5" t="s">
        <v>30</v>
      </c>
      <c r="G248" s="5" t="s">
        <v>392</v>
      </c>
      <c r="H248" s="5" t="s">
        <v>40</v>
      </c>
      <c r="I248" s="5" t="s">
        <v>42</v>
      </c>
      <c r="J248" s="15">
        <v>2100</v>
      </c>
      <c r="K248" s="7">
        <v>21.8</v>
      </c>
      <c r="L248" s="7">
        <f t="shared" si="24"/>
        <v>96.330275229357795</v>
      </c>
      <c r="M248" s="5" t="s">
        <v>10</v>
      </c>
      <c r="N248" s="5">
        <v>4</v>
      </c>
      <c r="O248" s="6">
        <f t="shared" si="25"/>
        <v>12.179372527565018</v>
      </c>
      <c r="P248" s="6">
        <f t="shared" si="26"/>
        <v>1.2666547428667618</v>
      </c>
      <c r="Q248" s="10">
        <f t="shared" si="27"/>
        <v>2.6388640476390873E-2</v>
      </c>
      <c r="R248" s="10">
        <f t="shared" si="28"/>
        <v>0.10366109929063344</v>
      </c>
      <c r="S248" s="10">
        <f t="shared" si="29"/>
        <v>0.1300497397670243</v>
      </c>
    </row>
    <row r="249" spans="1:19" x14ac:dyDescent="0.25">
      <c r="A249" s="5" t="s">
        <v>8</v>
      </c>
      <c r="B249" s="5" t="s">
        <v>188</v>
      </c>
      <c r="C249" s="5" t="s">
        <v>27</v>
      </c>
      <c r="D249" s="5" t="s">
        <v>385</v>
      </c>
      <c r="E249" s="5" t="s">
        <v>384</v>
      </c>
      <c r="F249" s="5" t="s">
        <v>30</v>
      </c>
      <c r="G249" s="5" t="s">
        <v>392</v>
      </c>
      <c r="H249" s="5" t="s">
        <v>40</v>
      </c>
      <c r="I249" s="5" t="s">
        <v>42</v>
      </c>
      <c r="J249" s="15">
        <v>2700</v>
      </c>
      <c r="K249" s="7">
        <v>24.6</v>
      </c>
      <c r="L249" s="7">
        <f t="shared" si="24"/>
        <v>109.7560975609756</v>
      </c>
      <c r="M249" s="5" t="s">
        <v>10</v>
      </c>
      <c r="N249" s="5">
        <v>4</v>
      </c>
      <c r="O249" s="6">
        <f t="shared" si="25"/>
        <v>20.328301606186795</v>
      </c>
      <c r="P249" s="6">
        <f t="shared" si="26"/>
        <v>2.1141433670434266</v>
      </c>
      <c r="Q249" s="10">
        <f t="shared" si="27"/>
        <v>4.4044653480071388E-2</v>
      </c>
      <c r="R249" s="10">
        <f t="shared" si="28"/>
        <v>0.15222043056323636</v>
      </c>
      <c r="S249" s="10">
        <f t="shared" si="29"/>
        <v>0.19626508404330775</v>
      </c>
    </row>
    <row r="250" spans="1:19" x14ac:dyDescent="0.25">
      <c r="A250" s="5" t="s">
        <v>8</v>
      </c>
      <c r="B250" s="5" t="s">
        <v>241</v>
      </c>
      <c r="C250" s="5" t="s">
        <v>27</v>
      </c>
      <c r="D250" s="5" t="s">
        <v>385</v>
      </c>
      <c r="E250" s="5" t="s">
        <v>384</v>
      </c>
      <c r="F250" s="5" t="s">
        <v>30</v>
      </c>
      <c r="G250" s="5" t="s">
        <v>392</v>
      </c>
      <c r="H250" s="5" t="s">
        <v>40</v>
      </c>
      <c r="I250" s="5" t="s">
        <v>42</v>
      </c>
      <c r="J250" s="15">
        <v>2200</v>
      </c>
      <c r="K250" s="7">
        <v>29</v>
      </c>
      <c r="L250" s="7">
        <f t="shared" si="24"/>
        <v>75.862068965517238</v>
      </c>
      <c r="M250" s="5" t="s">
        <v>10</v>
      </c>
      <c r="N250" s="5">
        <v>4</v>
      </c>
      <c r="O250" s="6">
        <f t="shared" si="25"/>
        <v>7.9131985731272296</v>
      </c>
      <c r="P250" s="6">
        <f t="shared" si="26"/>
        <v>0.82297265160523181</v>
      </c>
      <c r="Q250" s="10">
        <f t="shared" si="27"/>
        <v>1.7145263575108996E-2</v>
      </c>
      <c r="R250" s="10">
        <f t="shared" si="28"/>
        <v>7.501725564715013E-2</v>
      </c>
      <c r="S250" s="10">
        <f t="shared" si="29"/>
        <v>9.2162519222259126E-2</v>
      </c>
    </row>
    <row r="251" spans="1:19" x14ac:dyDescent="0.25">
      <c r="A251" s="5" t="s">
        <v>8</v>
      </c>
      <c r="B251" s="5" t="s">
        <v>339</v>
      </c>
      <c r="C251" s="5" t="s">
        <v>27</v>
      </c>
      <c r="D251" s="5" t="s">
        <v>385</v>
      </c>
      <c r="E251" s="5" t="s">
        <v>384</v>
      </c>
      <c r="F251" s="5" t="s">
        <v>30</v>
      </c>
      <c r="G251" s="5" t="s">
        <v>392</v>
      </c>
      <c r="H251" s="5" t="s">
        <v>40</v>
      </c>
      <c r="I251" s="5" t="s">
        <v>42</v>
      </c>
      <c r="J251" s="15">
        <v>1750</v>
      </c>
      <c r="K251" s="7">
        <v>18.899999999999999</v>
      </c>
      <c r="L251" s="7">
        <f t="shared" si="24"/>
        <v>92.592592592592595</v>
      </c>
      <c r="M251" s="5" t="s">
        <v>10</v>
      </c>
      <c r="N251" s="5">
        <v>4</v>
      </c>
      <c r="O251" s="6">
        <f t="shared" si="25"/>
        <v>9.3771433470507564</v>
      </c>
      <c r="P251" s="6">
        <f t="shared" si="26"/>
        <v>0.9752229080932785</v>
      </c>
      <c r="Q251" s="10">
        <f t="shared" si="27"/>
        <v>2.0317143918609972E-2</v>
      </c>
      <c r="R251" s="10">
        <f t="shared" si="28"/>
        <v>8.5202049293344517E-2</v>
      </c>
      <c r="S251" s="10">
        <f t="shared" si="29"/>
        <v>0.10551919321195449</v>
      </c>
    </row>
    <row r="252" spans="1:19" x14ac:dyDescent="0.25">
      <c r="A252" s="5" t="s">
        <v>8</v>
      </c>
      <c r="B252" s="5" t="s">
        <v>372</v>
      </c>
      <c r="C252" s="5" t="s">
        <v>27</v>
      </c>
      <c r="D252" s="5" t="s">
        <v>385</v>
      </c>
      <c r="E252" s="5" t="s">
        <v>384</v>
      </c>
      <c r="F252" s="5" t="s">
        <v>30</v>
      </c>
      <c r="G252" s="5" t="s">
        <v>392</v>
      </c>
      <c r="H252" s="5" t="s">
        <v>40</v>
      </c>
      <c r="I252" s="5" t="s">
        <v>42</v>
      </c>
      <c r="J252" s="15">
        <v>2260</v>
      </c>
      <c r="K252" s="7">
        <v>32.5</v>
      </c>
      <c r="L252" s="7">
        <f t="shared" si="24"/>
        <v>69.538461538461533</v>
      </c>
      <c r="M252" s="5" t="s">
        <v>10</v>
      </c>
      <c r="N252" s="5">
        <v>4</v>
      </c>
      <c r="O252" s="6">
        <f t="shared" si="25"/>
        <v>6.8302816568047318</v>
      </c>
      <c r="P252" s="6">
        <f t="shared" si="26"/>
        <v>0.71034929230769206</v>
      </c>
      <c r="Q252" s="10">
        <f t="shared" si="27"/>
        <v>1.4798943589743584E-2</v>
      </c>
      <c r="R252" s="10">
        <f t="shared" si="28"/>
        <v>6.7177847468393184E-2</v>
      </c>
      <c r="S252" s="10">
        <f t="shared" si="29"/>
        <v>8.1976791058136766E-2</v>
      </c>
    </row>
    <row r="253" spans="1:19" x14ac:dyDescent="0.25">
      <c r="A253" s="5" t="s">
        <v>8</v>
      </c>
      <c r="B253" s="5" t="s">
        <v>241</v>
      </c>
      <c r="C253" s="5" t="s">
        <v>27</v>
      </c>
      <c r="D253" s="5" t="s">
        <v>385</v>
      </c>
      <c r="E253" s="5" t="s">
        <v>384</v>
      </c>
      <c r="F253" s="5" t="s">
        <v>30</v>
      </c>
      <c r="G253" s="5" t="s">
        <v>392</v>
      </c>
      <c r="H253" s="5" t="s">
        <v>40</v>
      </c>
      <c r="I253" s="5" t="s">
        <v>248</v>
      </c>
      <c r="J253" s="15">
        <v>2250</v>
      </c>
      <c r="K253" s="7">
        <v>26.5</v>
      </c>
      <c r="L253" s="7">
        <f t="shared" si="24"/>
        <v>84.905660377358487</v>
      </c>
      <c r="M253" s="5" t="s">
        <v>10</v>
      </c>
      <c r="N253" s="5">
        <v>4</v>
      </c>
      <c r="O253" s="6">
        <f t="shared" si="25"/>
        <v>10.1376156995372</v>
      </c>
      <c r="P253" s="6">
        <f t="shared" si="26"/>
        <v>1.0543120327518689</v>
      </c>
      <c r="Q253" s="10">
        <f t="shared" si="27"/>
        <v>2.1964834015663931E-2</v>
      </c>
      <c r="R253" s="10">
        <f t="shared" si="28"/>
        <v>9.033353218570736E-2</v>
      </c>
      <c r="S253" s="10">
        <f t="shared" si="29"/>
        <v>0.11229836620137129</v>
      </c>
    </row>
    <row r="254" spans="1:19" x14ac:dyDescent="0.25">
      <c r="A254" s="5" t="s">
        <v>8</v>
      </c>
      <c r="B254" s="5" t="s">
        <v>241</v>
      </c>
      <c r="C254" s="5" t="s">
        <v>27</v>
      </c>
      <c r="D254" s="5" t="s">
        <v>385</v>
      </c>
      <c r="E254" s="5" t="s">
        <v>384</v>
      </c>
      <c r="F254" s="5" t="s">
        <v>30</v>
      </c>
      <c r="G254" s="5" t="s">
        <v>392</v>
      </c>
      <c r="H254" s="5" t="s">
        <v>40</v>
      </c>
      <c r="I254" s="5" t="s">
        <v>256</v>
      </c>
      <c r="J254" s="15">
        <v>2435</v>
      </c>
      <c r="K254" s="7">
        <v>30.5</v>
      </c>
      <c r="L254" s="7">
        <f t="shared" si="24"/>
        <v>79.836065573770497</v>
      </c>
      <c r="M254" s="5" t="s">
        <v>10</v>
      </c>
      <c r="N254" s="5">
        <v>4</v>
      </c>
      <c r="O254" s="6">
        <f t="shared" si="25"/>
        <v>9.7001228668368729</v>
      </c>
      <c r="P254" s="6">
        <f t="shared" si="26"/>
        <v>1.0088127781510348</v>
      </c>
      <c r="Q254" s="10">
        <f t="shared" si="27"/>
        <v>2.1016932878146558E-2</v>
      </c>
      <c r="R254" s="10">
        <f t="shared" si="28"/>
        <v>8.7393684760953466E-2</v>
      </c>
      <c r="S254" s="10">
        <f t="shared" si="29"/>
        <v>0.10841061763910002</v>
      </c>
    </row>
    <row r="255" spans="1:19" x14ac:dyDescent="0.25">
      <c r="A255" s="5" t="s">
        <v>8</v>
      </c>
      <c r="B255" s="5" t="s">
        <v>289</v>
      </c>
      <c r="C255" s="5" t="s">
        <v>27</v>
      </c>
      <c r="D255" s="5" t="s">
        <v>385</v>
      </c>
      <c r="E255" s="5" t="s">
        <v>384</v>
      </c>
      <c r="F255" s="5" t="s">
        <v>30</v>
      </c>
      <c r="G255" s="5" t="s">
        <v>392</v>
      </c>
      <c r="H255" s="5" t="s">
        <v>40</v>
      </c>
      <c r="I255" s="5" t="s">
        <v>256</v>
      </c>
      <c r="J255" s="15">
        <v>2718</v>
      </c>
      <c r="K255" s="7">
        <v>23.1</v>
      </c>
      <c r="L255" s="7">
        <f t="shared" si="24"/>
        <v>117.66233766233765</v>
      </c>
      <c r="M255" s="5" t="s">
        <v>10</v>
      </c>
      <c r="N255" s="5">
        <v>4</v>
      </c>
      <c r="O255" s="6">
        <f t="shared" si="25"/>
        <v>23.518218164951929</v>
      </c>
      <c r="P255" s="6">
        <f t="shared" si="26"/>
        <v>2.4458946891549997</v>
      </c>
      <c r="Q255" s="10">
        <f t="shared" si="27"/>
        <v>5.0956139357395847E-2</v>
      </c>
      <c r="R255" s="10">
        <f t="shared" si="28"/>
        <v>0.16980498484927839</v>
      </c>
      <c r="S255" s="10">
        <f t="shared" si="29"/>
        <v>0.22076112420667424</v>
      </c>
    </row>
    <row r="256" spans="1:19" x14ac:dyDescent="0.25">
      <c r="A256" s="5" t="s">
        <v>8</v>
      </c>
      <c r="B256" s="5" t="s">
        <v>290</v>
      </c>
      <c r="C256" s="5" t="s">
        <v>27</v>
      </c>
      <c r="D256" s="5" t="s">
        <v>385</v>
      </c>
      <c r="E256" s="5" t="s">
        <v>384</v>
      </c>
      <c r="F256" s="5" t="s">
        <v>30</v>
      </c>
      <c r="G256" s="5" t="s">
        <v>392</v>
      </c>
      <c r="H256" s="5" t="s">
        <v>40</v>
      </c>
      <c r="I256" s="5" t="s">
        <v>256</v>
      </c>
      <c r="J256" s="15">
        <v>2452</v>
      </c>
      <c r="K256" s="7">
        <v>30</v>
      </c>
      <c r="L256" s="7">
        <f t="shared" si="24"/>
        <v>81.733333333333334</v>
      </c>
      <c r="M256" s="5" t="s">
        <v>10</v>
      </c>
      <c r="N256" s="5">
        <v>4</v>
      </c>
      <c r="O256" s="6">
        <f t="shared" si="25"/>
        <v>10.237617644444445</v>
      </c>
      <c r="P256" s="6">
        <f t="shared" si="26"/>
        <v>1.0647122350222222</v>
      </c>
      <c r="Q256" s="10">
        <f t="shared" si="27"/>
        <v>2.2181504896296295E-2</v>
      </c>
      <c r="R256" s="10">
        <f t="shared" si="28"/>
        <v>9.1001029050637408E-2</v>
      </c>
      <c r="S256" s="10">
        <f t="shared" si="29"/>
        <v>0.1131825339469337</v>
      </c>
    </row>
    <row r="257" spans="1:19" x14ac:dyDescent="0.25">
      <c r="A257" s="5" t="s">
        <v>8</v>
      </c>
      <c r="B257" s="5" t="s">
        <v>375</v>
      </c>
      <c r="C257" s="5" t="s">
        <v>27</v>
      </c>
      <c r="D257" s="5" t="s">
        <v>385</v>
      </c>
      <c r="E257" s="5" t="s">
        <v>384</v>
      </c>
      <c r="F257" s="5" t="s">
        <v>30</v>
      </c>
      <c r="G257" s="5" t="s">
        <v>392</v>
      </c>
      <c r="H257" s="5" t="s">
        <v>40</v>
      </c>
      <c r="I257" s="5" t="s">
        <v>376</v>
      </c>
      <c r="J257" s="15">
        <v>2200</v>
      </c>
      <c r="K257" s="7">
        <v>31.5</v>
      </c>
      <c r="L257" s="7">
        <f t="shared" si="24"/>
        <v>69.841269841269835</v>
      </c>
      <c r="M257" s="5" t="s">
        <v>10</v>
      </c>
      <c r="N257" s="5">
        <v>4</v>
      </c>
      <c r="O257" s="6">
        <f t="shared" si="25"/>
        <v>6.706979087931467</v>
      </c>
      <c r="P257" s="6">
        <f t="shared" si="26"/>
        <v>0.69752582514487249</v>
      </c>
      <c r="Q257" s="10">
        <f t="shared" si="27"/>
        <v>1.453178802385151E-2</v>
      </c>
      <c r="R257" s="10">
        <f t="shared" si="28"/>
        <v>6.626624143790244E-2</v>
      </c>
      <c r="S257" s="10">
        <f t="shared" si="29"/>
        <v>8.0798029461753948E-2</v>
      </c>
    </row>
    <row r="258" spans="1:19" x14ac:dyDescent="0.25">
      <c r="A258" s="5" t="s">
        <v>8</v>
      </c>
      <c r="B258" s="5" t="s">
        <v>241</v>
      </c>
      <c r="C258" s="5" t="s">
        <v>27</v>
      </c>
      <c r="D258" s="5" t="s">
        <v>385</v>
      </c>
      <c r="E258" s="5" t="s">
        <v>384</v>
      </c>
      <c r="F258" s="5" t="s">
        <v>30</v>
      </c>
      <c r="G258" s="5" t="s">
        <v>392</v>
      </c>
      <c r="H258" s="5" t="s">
        <v>40</v>
      </c>
      <c r="I258" s="5" t="s">
        <v>259</v>
      </c>
      <c r="J258" s="15">
        <v>2120</v>
      </c>
      <c r="K258" s="7">
        <v>28</v>
      </c>
      <c r="L258" s="7">
        <f t="shared" si="24"/>
        <v>75.714285714285708</v>
      </c>
      <c r="M258" s="5" t="s">
        <v>10</v>
      </c>
      <c r="N258" s="5">
        <v>4</v>
      </c>
      <c r="O258" s="6">
        <f t="shared" si="25"/>
        <v>7.5957653061224475</v>
      </c>
      <c r="P258" s="6">
        <f t="shared" si="26"/>
        <v>0.78995959183673448</v>
      </c>
      <c r="Q258" s="10">
        <f t="shared" si="27"/>
        <v>1.6457491496598635E-2</v>
      </c>
      <c r="R258" s="10">
        <f t="shared" si="28"/>
        <v>7.2748790523327542E-2</v>
      </c>
      <c r="S258" s="10">
        <f t="shared" si="29"/>
        <v>8.920628201992617E-2</v>
      </c>
    </row>
    <row r="259" spans="1:19" x14ac:dyDescent="0.25">
      <c r="A259" s="5" t="s">
        <v>8</v>
      </c>
      <c r="B259" s="5" t="s">
        <v>241</v>
      </c>
      <c r="C259" s="5" t="s">
        <v>27</v>
      </c>
      <c r="D259" s="5" t="s">
        <v>385</v>
      </c>
      <c r="E259" s="5" t="s">
        <v>384</v>
      </c>
      <c r="F259" s="5" t="s">
        <v>30</v>
      </c>
      <c r="G259" s="5" t="s">
        <v>392</v>
      </c>
      <c r="H259" s="5" t="s">
        <v>40</v>
      </c>
      <c r="I259" s="5" t="s">
        <v>50</v>
      </c>
      <c r="J259" s="15">
        <v>1960</v>
      </c>
      <c r="K259" s="7">
        <v>26.5</v>
      </c>
      <c r="L259" s="7">
        <f t="shared" si="24"/>
        <v>73.962264150943398</v>
      </c>
      <c r="M259" s="5" t="s">
        <v>10</v>
      </c>
      <c r="N259" s="5">
        <v>4</v>
      </c>
      <c r="O259" s="6">
        <f t="shared" si="25"/>
        <v>6.7012602349590606</v>
      </c>
      <c r="P259" s="6">
        <f t="shared" si="26"/>
        <v>0.69693106443574226</v>
      </c>
      <c r="Q259" s="10">
        <f t="shared" si="27"/>
        <v>1.4519397175744631E-2</v>
      </c>
      <c r="R259" s="10">
        <f t="shared" si="28"/>
        <v>6.62238593952931E-2</v>
      </c>
      <c r="S259" s="10">
        <f t="shared" si="29"/>
        <v>8.074325657103773E-2</v>
      </c>
    </row>
    <row r="260" spans="1:19" x14ac:dyDescent="0.25">
      <c r="A260" s="5" t="s">
        <v>8</v>
      </c>
      <c r="B260" s="5" t="s">
        <v>241</v>
      </c>
      <c r="C260" s="5" t="s">
        <v>27</v>
      </c>
      <c r="D260" s="5" t="s">
        <v>385</v>
      </c>
      <c r="E260" s="5" t="s">
        <v>384</v>
      </c>
      <c r="F260" s="5" t="s">
        <v>30</v>
      </c>
      <c r="G260" s="5" t="s">
        <v>392</v>
      </c>
      <c r="H260" s="5" t="s">
        <v>40</v>
      </c>
      <c r="I260" s="5" t="s">
        <v>246</v>
      </c>
      <c r="J260" s="15">
        <v>1545</v>
      </c>
      <c r="K260" s="7">
        <v>20.5</v>
      </c>
      <c r="L260" s="7">
        <f t="shared" si="24"/>
        <v>75.365853658536579</v>
      </c>
      <c r="M260" s="5" t="s">
        <v>10</v>
      </c>
      <c r="N260" s="5">
        <v>4</v>
      </c>
      <c r="O260" s="6">
        <f t="shared" si="25"/>
        <v>5.4847614886972025</v>
      </c>
      <c r="P260" s="6">
        <f t="shared" si="26"/>
        <v>0.5704151948245092</v>
      </c>
      <c r="Q260" s="10">
        <f t="shared" si="27"/>
        <v>1.1883649892177273E-2</v>
      </c>
      <c r="R260" s="10">
        <f t="shared" si="28"/>
        <v>5.6985640531587591E-2</v>
      </c>
      <c r="S260" s="10">
        <f t="shared" si="29"/>
        <v>6.8869290423764856E-2</v>
      </c>
    </row>
    <row r="261" spans="1:19" x14ac:dyDescent="0.25">
      <c r="A261" s="5" t="s">
        <v>8</v>
      </c>
      <c r="B261" s="5" t="s">
        <v>241</v>
      </c>
      <c r="C261" s="5" t="s">
        <v>27</v>
      </c>
      <c r="D261" s="5" t="s">
        <v>385</v>
      </c>
      <c r="E261" s="5" t="s">
        <v>384</v>
      </c>
      <c r="F261" s="5" t="s">
        <v>30</v>
      </c>
      <c r="G261" s="5" t="s">
        <v>392</v>
      </c>
      <c r="H261" s="5" t="s">
        <v>40</v>
      </c>
      <c r="I261" s="5" t="s">
        <v>262</v>
      </c>
      <c r="J261" s="15">
        <v>2320</v>
      </c>
      <c r="K261" s="7">
        <v>28.5</v>
      </c>
      <c r="L261" s="7">
        <f t="shared" si="24"/>
        <v>81.403508771929822</v>
      </c>
      <c r="M261" s="5" t="s">
        <v>10</v>
      </c>
      <c r="N261" s="5">
        <v>4</v>
      </c>
      <c r="O261" s="6">
        <f t="shared" si="25"/>
        <v>9.6084702985533994</v>
      </c>
      <c r="P261" s="6">
        <f t="shared" si="26"/>
        <v>0.99928091104955352</v>
      </c>
      <c r="Q261" s="10">
        <f t="shared" si="27"/>
        <v>2.0818352313532365E-2</v>
      </c>
      <c r="R261" s="10">
        <f t="shared" si="28"/>
        <v>8.6773639521385768E-2</v>
      </c>
      <c r="S261" s="10">
        <f t="shared" si="29"/>
        <v>0.10759199183491813</v>
      </c>
    </row>
    <row r="262" spans="1:19" x14ac:dyDescent="0.25">
      <c r="A262" s="5" t="s">
        <v>22</v>
      </c>
      <c r="B262" s="5" t="s">
        <v>26</v>
      </c>
      <c r="C262" s="5" t="s">
        <v>27</v>
      </c>
      <c r="D262" s="5" t="s">
        <v>385</v>
      </c>
      <c r="E262" s="5" t="s">
        <v>384</v>
      </c>
      <c r="F262" s="5" t="s">
        <v>30</v>
      </c>
      <c r="G262" s="5" t="s">
        <v>392</v>
      </c>
      <c r="H262" s="5" t="s">
        <v>40</v>
      </c>
      <c r="I262" s="5" t="s">
        <v>43</v>
      </c>
      <c r="J262" s="15">
        <v>2000</v>
      </c>
      <c r="K262" s="7">
        <v>31.5</v>
      </c>
      <c r="L262" s="7">
        <f t="shared" si="24"/>
        <v>63.492063492063494</v>
      </c>
      <c r="M262" s="5" t="s">
        <v>10</v>
      </c>
      <c r="N262" s="5">
        <v>4</v>
      </c>
      <c r="O262" s="6">
        <f t="shared" si="25"/>
        <v>5.0390526581002772</v>
      </c>
      <c r="P262" s="6">
        <f t="shared" si="26"/>
        <v>0.52406147644242884</v>
      </c>
      <c r="Q262" s="10">
        <f t="shared" si="27"/>
        <v>1.0917947425883935E-2</v>
      </c>
      <c r="R262" s="10">
        <f t="shared" si="28"/>
        <v>5.34759855037336E-2</v>
      </c>
      <c r="S262" s="10">
        <f t="shared" si="29"/>
        <v>6.4393932929617537E-2</v>
      </c>
    </row>
    <row r="263" spans="1:19" x14ac:dyDescent="0.25">
      <c r="A263" s="5" t="s">
        <v>8</v>
      </c>
      <c r="B263" s="5" t="s">
        <v>241</v>
      </c>
      <c r="C263" s="5" t="s">
        <v>27</v>
      </c>
      <c r="D263" s="5" t="s">
        <v>385</v>
      </c>
      <c r="E263" s="5" t="s">
        <v>384</v>
      </c>
      <c r="F263" s="5" t="s">
        <v>30</v>
      </c>
      <c r="G263" s="5" t="s">
        <v>392</v>
      </c>
      <c r="H263" s="5" t="s">
        <v>40</v>
      </c>
      <c r="I263" s="5" t="s">
        <v>43</v>
      </c>
      <c r="J263" s="15">
        <v>1850</v>
      </c>
      <c r="K263" s="7">
        <v>32</v>
      </c>
      <c r="L263" s="7">
        <f t="shared" si="24"/>
        <v>57.8125</v>
      </c>
      <c r="M263" s="5" t="s">
        <v>10</v>
      </c>
      <c r="N263" s="5">
        <v>4</v>
      </c>
      <c r="O263" s="6">
        <f t="shared" si="25"/>
        <v>3.8645172119140625</v>
      </c>
      <c r="P263" s="6">
        <f t="shared" si="26"/>
        <v>0.40190979003906241</v>
      </c>
      <c r="Q263" s="10">
        <f t="shared" si="27"/>
        <v>8.3731206258138013E-3</v>
      </c>
      <c r="R263" s="10">
        <f t="shared" si="28"/>
        <v>4.3824660334541701E-2</v>
      </c>
      <c r="S263" s="10">
        <f t="shared" si="29"/>
        <v>5.2197780960355503E-2</v>
      </c>
    </row>
    <row r="264" spans="1:19" x14ac:dyDescent="0.25">
      <c r="A264" s="5" t="s">
        <v>8</v>
      </c>
      <c r="B264" s="5" t="s">
        <v>241</v>
      </c>
      <c r="C264" s="5" t="s">
        <v>27</v>
      </c>
      <c r="D264" s="5" t="s">
        <v>385</v>
      </c>
      <c r="E264" s="5" t="s">
        <v>384</v>
      </c>
      <c r="F264" s="5" t="s">
        <v>30</v>
      </c>
      <c r="G264" s="5" t="s">
        <v>392</v>
      </c>
      <c r="H264" s="5" t="s">
        <v>40</v>
      </c>
      <c r="I264" s="5" t="s">
        <v>263</v>
      </c>
      <c r="J264" s="15">
        <v>2260</v>
      </c>
      <c r="K264" s="7">
        <v>33.200000000000003</v>
      </c>
      <c r="L264" s="7">
        <f t="shared" si="24"/>
        <v>68.072289156626496</v>
      </c>
      <c r="M264" s="5" t="s">
        <v>10</v>
      </c>
      <c r="N264" s="5">
        <v>4</v>
      </c>
      <c r="O264" s="6">
        <f t="shared" si="25"/>
        <v>6.5452941283205082</v>
      </c>
      <c r="P264" s="6">
        <f t="shared" si="26"/>
        <v>0.68071058934533279</v>
      </c>
      <c r="Q264" s="10">
        <f t="shared" si="27"/>
        <v>1.41814706113611E-2</v>
      </c>
      <c r="R264" s="10">
        <f t="shared" si="28"/>
        <v>6.506448548789423E-2</v>
      </c>
      <c r="S264" s="10">
        <f t="shared" si="29"/>
        <v>7.9245956099255332E-2</v>
      </c>
    </row>
    <row r="265" spans="1:19" x14ac:dyDescent="0.25">
      <c r="A265" s="5" t="s">
        <v>22</v>
      </c>
      <c r="B265" s="5" t="s">
        <v>26</v>
      </c>
      <c r="C265" s="5" t="s">
        <v>27</v>
      </c>
      <c r="D265" s="5" t="s">
        <v>385</v>
      </c>
      <c r="E265" s="5" t="s">
        <v>384</v>
      </c>
      <c r="F265" s="5" t="s">
        <v>30</v>
      </c>
      <c r="G265" s="5" t="s">
        <v>392</v>
      </c>
      <c r="H265" s="5" t="s">
        <v>40</v>
      </c>
      <c r="I265" s="5" t="s">
        <v>44</v>
      </c>
      <c r="J265" s="15">
        <v>3400</v>
      </c>
      <c r="K265" s="7">
        <v>35</v>
      </c>
      <c r="L265" s="7">
        <f t="shared" si="24"/>
        <v>97.142857142857139</v>
      </c>
      <c r="M265" s="5" t="s">
        <v>10</v>
      </c>
      <c r="N265" s="5">
        <v>4</v>
      </c>
      <c r="O265" s="6">
        <f t="shared" si="25"/>
        <v>20.053061224489795</v>
      </c>
      <c r="P265" s="6">
        <f t="shared" si="26"/>
        <v>2.0855183673469386</v>
      </c>
      <c r="Q265" s="10">
        <f t="shared" si="27"/>
        <v>4.3448299319727886E-2</v>
      </c>
      <c r="R265" s="10">
        <f t="shared" si="28"/>
        <v>0.15067202812691205</v>
      </c>
      <c r="S265" s="10">
        <f t="shared" si="29"/>
        <v>0.19412032744663993</v>
      </c>
    </row>
    <row r="266" spans="1:19" x14ac:dyDescent="0.25">
      <c r="A266" s="5" t="s">
        <v>8</v>
      </c>
      <c r="B266" s="5" t="s">
        <v>241</v>
      </c>
      <c r="C266" s="5" t="s">
        <v>27</v>
      </c>
      <c r="D266" s="5" t="s">
        <v>385</v>
      </c>
      <c r="E266" s="5" t="s">
        <v>384</v>
      </c>
      <c r="F266" s="5" t="s">
        <v>30</v>
      </c>
      <c r="G266" s="5" t="s">
        <v>392</v>
      </c>
      <c r="H266" s="5" t="s">
        <v>40</v>
      </c>
      <c r="I266" s="5" t="s">
        <v>44</v>
      </c>
      <c r="J266" s="15">
        <v>3250</v>
      </c>
      <c r="K266" s="7">
        <v>36.5</v>
      </c>
      <c r="L266" s="7">
        <f t="shared" ref="L266:L329" si="30">J266/K266</f>
        <v>89.041095890410958</v>
      </c>
      <c r="M266" s="5" t="s">
        <v>10</v>
      </c>
      <c r="N266" s="5">
        <v>4</v>
      </c>
      <c r="O266" s="6">
        <f t="shared" ref="O266:O329" si="31">(J266*L266^2)/(1.6*10^6)</f>
        <v>16.104393413398384</v>
      </c>
      <c r="P266" s="6">
        <f t="shared" ref="P266:P329" si="32">(0.104*J266*L266^2)/(1.6*10^6)</f>
        <v>1.674856914993432</v>
      </c>
      <c r="Q266" s="10">
        <f t="shared" ref="Q266:Q329" si="33">(0.104*O266)/(12*N266)</f>
        <v>3.4892852395696498E-2</v>
      </c>
      <c r="R266" s="10">
        <f t="shared" ref="R266:R329" si="34">0.0159*O266^0.75</f>
        <v>0.12782193945216461</v>
      </c>
      <c r="S266" s="10">
        <f t="shared" ref="S266:S329" si="35">Q266+R266</f>
        <v>0.16271479184786111</v>
      </c>
    </row>
    <row r="267" spans="1:19" x14ac:dyDescent="0.25">
      <c r="A267" s="5" t="s">
        <v>8</v>
      </c>
      <c r="B267" s="5" t="s">
        <v>364</v>
      </c>
      <c r="C267" s="5" t="s">
        <v>27</v>
      </c>
      <c r="D267" s="5" t="s">
        <v>385</v>
      </c>
      <c r="E267" s="5" t="s">
        <v>384</v>
      </c>
      <c r="F267" s="5" t="s">
        <v>30</v>
      </c>
      <c r="G267" s="5" t="s">
        <v>392</v>
      </c>
      <c r="H267" s="5" t="s">
        <v>40</v>
      </c>
      <c r="I267" s="5" t="s">
        <v>365</v>
      </c>
      <c r="J267" s="15">
        <v>1764</v>
      </c>
      <c r="K267" s="7">
        <v>23.3</v>
      </c>
      <c r="L267" s="7">
        <f t="shared" si="30"/>
        <v>75.708154506437765</v>
      </c>
      <c r="M267" s="5" t="s">
        <v>10</v>
      </c>
      <c r="N267" s="5">
        <v>4</v>
      </c>
      <c r="O267" s="6">
        <f t="shared" si="31"/>
        <v>6.3192264362946453</v>
      </c>
      <c r="P267" s="6">
        <f t="shared" si="32"/>
        <v>0.65719954937464309</v>
      </c>
      <c r="Q267" s="10">
        <f t="shared" si="33"/>
        <v>1.3691657278638398E-2</v>
      </c>
      <c r="R267" s="10">
        <f t="shared" si="34"/>
        <v>6.3371656950773778E-2</v>
      </c>
      <c r="S267" s="10">
        <f t="shared" si="35"/>
        <v>7.7063314229412178E-2</v>
      </c>
    </row>
    <row r="268" spans="1:19" x14ac:dyDescent="0.25">
      <c r="A268" s="5" t="s">
        <v>8</v>
      </c>
      <c r="B268" s="5" t="s">
        <v>241</v>
      </c>
      <c r="C268" s="5" t="s">
        <v>27</v>
      </c>
      <c r="D268" s="5" t="s">
        <v>385</v>
      </c>
      <c r="E268" s="5" t="s">
        <v>384</v>
      </c>
      <c r="F268" s="5" t="s">
        <v>30</v>
      </c>
      <c r="G268" s="5" t="s">
        <v>392</v>
      </c>
      <c r="H268" s="5" t="s">
        <v>40</v>
      </c>
      <c r="I268" s="5" t="s">
        <v>247</v>
      </c>
      <c r="J268" s="15">
        <v>2450</v>
      </c>
      <c r="K268" s="7">
        <v>30</v>
      </c>
      <c r="L268" s="7">
        <f t="shared" si="30"/>
        <v>81.666666666666671</v>
      </c>
      <c r="M268" s="5" t="s">
        <v>10</v>
      </c>
      <c r="N268" s="5">
        <v>4</v>
      </c>
      <c r="O268" s="6">
        <f t="shared" si="31"/>
        <v>10.212586805555558</v>
      </c>
      <c r="P268" s="6">
        <f t="shared" si="32"/>
        <v>1.0621090277777778</v>
      </c>
      <c r="Q268" s="10">
        <f t="shared" si="33"/>
        <v>2.2127271412037044E-2</v>
      </c>
      <c r="R268" s="10">
        <f t="shared" si="34"/>
        <v>9.0834105769885987E-2</v>
      </c>
      <c r="S268" s="10">
        <f t="shared" si="35"/>
        <v>0.11296137718192303</v>
      </c>
    </row>
    <row r="269" spans="1:19" x14ac:dyDescent="0.25">
      <c r="A269" s="5" t="s">
        <v>8</v>
      </c>
      <c r="B269" s="5" t="s">
        <v>241</v>
      </c>
      <c r="C269" s="5" t="s">
        <v>27</v>
      </c>
      <c r="D269" s="5" t="s">
        <v>385</v>
      </c>
      <c r="E269" s="5" t="s">
        <v>384</v>
      </c>
      <c r="F269" s="5" t="s">
        <v>30</v>
      </c>
      <c r="G269" s="5" t="s">
        <v>392</v>
      </c>
      <c r="H269" s="5" t="s">
        <v>40</v>
      </c>
      <c r="I269" s="5" t="s">
        <v>253</v>
      </c>
      <c r="J269" s="15">
        <v>1750</v>
      </c>
      <c r="K269" s="7">
        <v>28.5</v>
      </c>
      <c r="L269" s="7">
        <f t="shared" si="30"/>
        <v>61.403508771929822</v>
      </c>
      <c r="M269" s="5" t="s">
        <v>10</v>
      </c>
      <c r="N269" s="5">
        <v>4</v>
      </c>
      <c r="O269" s="6">
        <f t="shared" si="31"/>
        <v>4.1238650353955055</v>
      </c>
      <c r="P269" s="6">
        <f t="shared" si="32"/>
        <v>0.42888196368113263</v>
      </c>
      <c r="Q269" s="10">
        <f t="shared" si="33"/>
        <v>8.9350409100235947E-3</v>
      </c>
      <c r="R269" s="10">
        <f t="shared" si="34"/>
        <v>4.6012460418506596E-2</v>
      </c>
      <c r="S269" s="10">
        <f t="shared" si="35"/>
        <v>5.4947501328530192E-2</v>
      </c>
    </row>
    <row r="270" spans="1:19" x14ac:dyDescent="0.25">
      <c r="A270" s="5" t="s">
        <v>8</v>
      </c>
      <c r="B270" s="5" t="s">
        <v>241</v>
      </c>
      <c r="C270" s="5" t="s">
        <v>27</v>
      </c>
      <c r="D270" s="5" t="s">
        <v>385</v>
      </c>
      <c r="E270" s="5" t="s">
        <v>384</v>
      </c>
      <c r="F270" s="5" t="s">
        <v>30</v>
      </c>
      <c r="G270" s="5" t="s">
        <v>392</v>
      </c>
      <c r="H270" s="5" t="s">
        <v>40</v>
      </c>
      <c r="I270" s="5" t="s">
        <v>245</v>
      </c>
      <c r="J270" s="15">
        <v>1340</v>
      </c>
      <c r="K270" s="7">
        <v>23</v>
      </c>
      <c r="L270" s="7">
        <f t="shared" si="30"/>
        <v>58.260869565217391</v>
      </c>
      <c r="M270" s="5" t="s">
        <v>10</v>
      </c>
      <c r="N270" s="5">
        <v>4</v>
      </c>
      <c r="O270" s="6">
        <f t="shared" si="31"/>
        <v>2.8427504725897923</v>
      </c>
      <c r="P270" s="6">
        <f t="shared" si="32"/>
        <v>0.29564604914933834</v>
      </c>
      <c r="Q270" s="10">
        <f t="shared" si="33"/>
        <v>6.1592926906112169E-3</v>
      </c>
      <c r="R270" s="10">
        <f t="shared" si="34"/>
        <v>3.4809772072794537E-2</v>
      </c>
      <c r="S270" s="10">
        <f t="shared" si="35"/>
        <v>4.0969064763405755E-2</v>
      </c>
    </row>
    <row r="271" spans="1:19" x14ac:dyDescent="0.25">
      <c r="A271" s="5" t="s">
        <v>8</v>
      </c>
      <c r="B271" s="5" t="s">
        <v>241</v>
      </c>
      <c r="C271" s="5" t="s">
        <v>27</v>
      </c>
      <c r="D271" s="5" t="s">
        <v>385</v>
      </c>
      <c r="E271" s="5" t="s">
        <v>384</v>
      </c>
      <c r="F271" s="5" t="s">
        <v>30</v>
      </c>
      <c r="G271" s="5" t="s">
        <v>392</v>
      </c>
      <c r="H271" s="5" t="s">
        <v>40</v>
      </c>
      <c r="I271" s="5" t="s">
        <v>254</v>
      </c>
      <c r="J271" s="15">
        <v>2500</v>
      </c>
      <c r="K271" s="7">
        <v>26.5</v>
      </c>
      <c r="L271" s="7">
        <f t="shared" si="30"/>
        <v>94.339622641509436</v>
      </c>
      <c r="M271" s="5" t="s">
        <v>10</v>
      </c>
      <c r="N271" s="5">
        <v>4</v>
      </c>
      <c r="O271" s="6">
        <f t="shared" si="31"/>
        <v>13.906194375222499</v>
      </c>
      <c r="P271" s="6">
        <f t="shared" si="32"/>
        <v>1.44624421502314</v>
      </c>
      <c r="Q271" s="10">
        <f t="shared" si="33"/>
        <v>3.0130087812982081E-2</v>
      </c>
      <c r="R271" s="10">
        <f t="shared" si="34"/>
        <v>0.11449943560372897</v>
      </c>
      <c r="S271" s="10">
        <f t="shared" si="35"/>
        <v>0.14462952341671104</v>
      </c>
    </row>
    <row r="272" spans="1:19" x14ac:dyDescent="0.25">
      <c r="A272" s="5" t="s">
        <v>22</v>
      </c>
      <c r="B272" s="5" t="s">
        <v>63</v>
      </c>
      <c r="C272" s="5" t="s">
        <v>27</v>
      </c>
      <c r="D272" s="5" t="s">
        <v>385</v>
      </c>
      <c r="E272" s="5" t="s">
        <v>384</v>
      </c>
      <c r="F272" s="5" t="s">
        <v>45</v>
      </c>
      <c r="G272" s="5" t="s">
        <v>390</v>
      </c>
      <c r="H272" s="5" t="s">
        <v>68</v>
      </c>
      <c r="I272" s="5" t="s">
        <v>69</v>
      </c>
      <c r="J272" s="15">
        <v>945</v>
      </c>
      <c r="K272" s="7">
        <v>21.5</v>
      </c>
      <c r="L272" s="7">
        <f t="shared" si="30"/>
        <v>43.953488372093027</v>
      </c>
      <c r="M272" s="5" t="s">
        <v>10</v>
      </c>
      <c r="N272" s="5">
        <v>4</v>
      </c>
      <c r="O272" s="6">
        <f t="shared" si="31"/>
        <v>1.1410338358572203</v>
      </c>
      <c r="P272" s="6">
        <f t="shared" si="32"/>
        <v>0.11866751892915092</v>
      </c>
      <c r="Q272" s="10">
        <f t="shared" si="33"/>
        <v>2.4722399776906439E-3</v>
      </c>
      <c r="R272" s="10">
        <f t="shared" si="34"/>
        <v>1.7553794774037217E-2</v>
      </c>
      <c r="S272" s="10">
        <f t="shared" si="35"/>
        <v>2.0026034751727862E-2</v>
      </c>
    </row>
    <row r="273" spans="1:19" x14ac:dyDescent="0.25">
      <c r="A273" s="5" t="s">
        <v>22</v>
      </c>
      <c r="B273" s="5" t="s">
        <v>63</v>
      </c>
      <c r="C273" s="5" t="s">
        <v>27</v>
      </c>
      <c r="D273" s="5" t="s">
        <v>385</v>
      </c>
      <c r="E273" s="5" t="s">
        <v>384</v>
      </c>
      <c r="F273" s="5" t="s">
        <v>45</v>
      </c>
      <c r="G273" s="5" t="s">
        <v>390</v>
      </c>
      <c r="H273" s="5" t="s">
        <v>79</v>
      </c>
      <c r="I273" s="5" t="s">
        <v>80</v>
      </c>
      <c r="J273" s="15">
        <v>1270</v>
      </c>
      <c r="K273" s="7">
        <v>44</v>
      </c>
      <c r="L273" s="7">
        <f t="shared" si="30"/>
        <v>28.863636363636363</v>
      </c>
      <c r="M273" s="5" t="s">
        <v>10</v>
      </c>
      <c r="N273" s="5">
        <v>4</v>
      </c>
      <c r="O273" s="6">
        <f t="shared" si="31"/>
        <v>0.66128066890495862</v>
      </c>
      <c r="P273" s="6">
        <f t="shared" si="32"/>
        <v>6.8773189566115694E-2</v>
      </c>
      <c r="Q273" s="10">
        <f t="shared" si="33"/>
        <v>1.4327747826274103E-3</v>
      </c>
      <c r="R273" s="10">
        <f t="shared" si="34"/>
        <v>1.165967633207318E-2</v>
      </c>
      <c r="S273" s="10">
        <f t="shared" si="35"/>
        <v>1.3092451114700591E-2</v>
      </c>
    </row>
    <row r="274" spans="1:19" x14ac:dyDescent="0.25">
      <c r="A274" s="5" t="s">
        <v>22</v>
      </c>
      <c r="B274" s="5" t="s">
        <v>63</v>
      </c>
      <c r="C274" s="5" t="s">
        <v>27</v>
      </c>
      <c r="D274" s="5" t="s">
        <v>385</v>
      </c>
      <c r="E274" s="5" t="s">
        <v>384</v>
      </c>
      <c r="F274" s="5" t="s">
        <v>45</v>
      </c>
      <c r="G274" s="5" t="s">
        <v>390</v>
      </c>
      <c r="H274" s="5" t="s">
        <v>81</v>
      </c>
      <c r="I274" s="5" t="s">
        <v>82</v>
      </c>
      <c r="J274" s="15">
        <v>740</v>
      </c>
      <c r="K274" s="7">
        <v>27</v>
      </c>
      <c r="L274" s="7">
        <f t="shared" si="30"/>
        <v>27.407407407407408</v>
      </c>
      <c r="M274" s="5" t="s">
        <v>10</v>
      </c>
      <c r="N274" s="5">
        <v>4</v>
      </c>
      <c r="O274" s="6">
        <f t="shared" si="31"/>
        <v>0.34741426611796983</v>
      </c>
      <c r="P274" s="6">
        <f t="shared" si="32"/>
        <v>3.6131083676268862E-2</v>
      </c>
      <c r="Q274" s="10">
        <f t="shared" si="33"/>
        <v>7.5273090992226792E-4</v>
      </c>
      <c r="R274" s="10">
        <f t="shared" si="34"/>
        <v>7.1950341649546588E-3</v>
      </c>
      <c r="S274" s="10">
        <f t="shared" si="35"/>
        <v>7.9477650748769266E-3</v>
      </c>
    </row>
    <row r="275" spans="1:19" x14ac:dyDescent="0.25">
      <c r="A275" s="5" t="s">
        <v>22</v>
      </c>
      <c r="B275" s="5" t="s">
        <v>63</v>
      </c>
      <c r="C275" s="5" t="s">
        <v>27</v>
      </c>
      <c r="D275" s="5" t="s">
        <v>385</v>
      </c>
      <c r="E275" s="5" t="s">
        <v>384</v>
      </c>
      <c r="F275" s="5" t="s">
        <v>45</v>
      </c>
      <c r="G275" s="5" t="s">
        <v>390</v>
      </c>
      <c r="H275" s="5" t="s">
        <v>70</v>
      </c>
      <c r="I275" s="5" t="s">
        <v>71</v>
      </c>
      <c r="J275" s="15">
        <v>950</v>
      </c>
      <c r="K275" s="7">
        <v>37</v>
      </c>
      <c r="L275" s="7">
        <f t="shared" si="30"/>
        <v>25.675675675675677</v>
      </c>
      <c r="M275" s="5" t="s">
        <v>10</v>
      </c>
      <c r="N275" s="5">
        <v>4</v>
      </c>
      <c r="O275" s="6">
        <f t="shared" si="31"/>
        <v>0.39142394083272469</v>
      </c>
      <c r="P275" s="6">
        <f t="shared" si="32"/>
        <v>4.0708089846603367E-2</v>
      </c>
      <c r="Q275" s="10">
        <f t="shared" si="33"/>
        <v>8.4808520513757017E-4</v>
      </c>
      <c r="R275" s="10">
        <f t="shared" si="34"/>
        <v>7.8683317585654267E-3</v>
      </c>
      <c r="S275" s="10">
        <f t="shared" si="35"/>
        <v>8.716416963702997E-3</v>
      </c>
    </row>
    <row r="276" spans="1:19" x14ac:dyDescent="0.25">
      <c r="A276" s="5" t="s">
        <v>8</v>
      </c>
      <c r="B276" s="5" t="s">
        <v>161</v>
      </c>
      <c r="C276" s="5" t="s">
        <v>27</v>
      </c>
      <c r="D276" s="5" t="s">
        <v>385</v>
      </c>
      <c r="E276" s="5" t="s">
        <v>384</v>
      </c>
      <c r="F276" s="5" t="s">
        <v>45</v>
      </c>
      <c r="G276" s="5" t="s">
        <v>390</v>
      </c>
      <c r="H276" s="5" t="s">
        <v>70</v>
      </c>
      <c r="I276" s="5" t="s">
        <v>71</v>
      </c>
      <c r="J276" s="15">
        <v>940</v>
      </c>
      <c r="K276" s="7">
        <v>36</v>
      </c>
      <c r="L276" s="7">
        <f t="shared" si="30"/>
        <v>26.111111111111111</v>
      </c>
      <c r="M276" s="5" t="s">
        <v>10</v>
      </c>
      <c r="N276" s="5">
        <v>4</v>
      </c>
      <c r="O276" s="6">
        <f t="shared" si="31"/>
        <v>0.40055169753086417</v>
      </c>
      <c r="P276" s="6">
        <f t="shared" si="32"/>
        <v>4.1657376543209869E-2</v>
      </c>
      <c r="Q276" s="10">
        <f t="shared" si="33"/>
        <v>8.678620113168723E-4</v>
      </c>
      <c r="R276" s="10">
        <f t="shared" si="34"/>
        <v>8.0055478331547292E-3</v>
      </c>
      <c r="S276" s="10">
        <f t="shared" si="35"/>
        <v>8.8734098444716008E-3</v>
      </c>
    </row>
    <row r="277" spans="1:19" x14ac:dyDescent="0.25">
      <c r="A277" s="5" t="s">
        <v>22</v>
      </c>
      <c r="B277" s="5" t="s">
        <v>63</v>
      </c>
      <c r="C277" s="5" t="s">
        <v>27</v>
      </c>
      <c r="D277" s="5" t="s">
        <v>385</v>
      </c>
      <c r="E277" s="5" t="s">
        <v>384</v>
      </c>
      <c r="F277" s="5" t="s">
        <v>45</v>
      </c>
      <c r="G277" s="5" t="s">
        <v>390</v>
      </c>
      <c r="H277" s="5" t="s">
        <v>75</v>
      </c>
      <c r="I277" s="5" t="s">
        <v>76</v>
      </c>
      <c r="J277" s="15">
        <v>1700</v>
      </c>
      <c r="K277" s="7">
        <v>55</v>
      </c>
      <c r="L277" s="7">
        <f t="shared" si="30"/>
        <v>30.90909090909091</v>
      </c>
      <c r="M277" s="5" t="s">
        <v>10</v>
      </c>
      <c r="N277" s="5">
        <v>4</v>
      </c>
      <c r="O277" s="6">
        <f t="shared" si="31"/>
        <v>1.0150826446280992</v>
      </c>
      <c r="P277" s="6">
        <f t="shared" si="32"/>
        <v>0.10556859504132231</v>
      </c>
      <c r="Q277" s="10">
        <f t="shared" si="33"/>
        <v>2.1993457300275481E-3</v>
      </c>
      <c r="R277" s="10">
        <f t="shared" si="34"/>
        <v>1.6079523553745634E-2</v>
      </c>
      <c r="S277" s="10">
        <f t="shared" si="35"/>
        <v>1.8278869283773182E-2</v>
      </c>
    </row>
    <row r="278" spans="1:19" x14ac:dyDescent="0.25">
      <c r="A278" s="5" t="s">
        <v>8</v>
      </c>
      <c r="B278" s="5" t="s">
        <v>313</v>
      </c>
      <c r="C278" s="5" t="s">
        <v>27</v>
      </c>
      <c r="D278" s="5" t="s">
        <v>385</v>
      </c>
      <c r="E278" s="5" t="s">
        <v>384</v>
      </c>
      <c r="F278" s="5" t="s">
        <v>45</v>
      </c>
      <c r="G278" s="5" t="s">
        <v>390</v>
      </c>
      <c r="H278" s="5" t="s">
        <v>46</v>
      </c>
      <c r="I278" s="5" t="s">
        <v>167</v>
      </c>
      <c r="J278" s="15">
        <v>980</v>
      </c>
      <c r="K278" s="7">
        <v>26</v>
      </c>
      <c r="L278" s="7">
        <f t="shared" si="30"/>
        <v>37.692307692307693</v>
      </c>
      <c r="M278" s="5" t="s">
        <v>10</v>
      </c>
      <c r="N278" s="5">
        <v>4</v>
      </c>
      <c r="O278" s="6">
        <f t="shared" si="31"/>
        <v>0.87018491124260366</v>
      </c>
      <c r="P278" s="6">
        <f t="shared" si="32"/>
        <v>9.0499230769230776E-2</v>
      </c>
      <c r="Q278" s="10">
        <f t="shared" si="33"/>
        <v>1.8854006410256412E-3</v>
      </c>
      <c r="R278" s="10">
        <f t="shared" si="34"/>
        <v>1.4325367948525116E-2</v>
      </c>
      <c r="S278" s="10">
        <f t="shared" si="35"/>
        <v>1.6210768589550756E-2</v>
      </c>
    </row>
    <row r="279" spans="1:19" x14ac:dyDescent="0.25">
      <c r="A279" s="5" t="s">
        <v>8</v>
      </c>
      <c r="B279" s="5" t="s">
        <v>206</v>
      </c>
      <c r="C279" s="5" t="s">
        <v>27</v>
      </c>
      <c r="D279" s="5" t="s">
        <v>385</v>
      </c>
      <c r="E279" s="5" t="s">
        <v>384</v>
      </c>
      <c r="F279" s="5" t="s">
        <v>45</v>
      </c>
      <c r="G279" s="5" t="s">
        <v>390</v>
      </c>
      <c r="H279" s="5" t="s">
        <v>46</v>
      </c>
      <c r="I279" s="5" t="s">
        <v>207</v>
      </c>
      <c r="J279" s="15">
        <v>1000</v>
      </c>
      <c r="K279" s="7">
        <v>28.3</v>
      </c>
      <c r="L279" s="7">
        <f t="shared" si="30"/>
        <v>35.335689045936398</v>
      </c>
      <c r="M279" s="5" t="s">
        <v>10</v>
      </c>
      <c r="N279" s="5">
        <v>4</v>
      </c>
      <c r="O279" s="6">
        <f t="shared" si="31"/>
        <v>0.78038182521944355</v>
      </c>
      <c r="P279" s="6">
        <f t="shared" si="32"/>
        <v>8.1159709822822126E-2</v>
      </c>
      <c r="Q279" s="10">
        <f t="shared" si="33"/>
        <v>1.690827287975461E-3</v>
      </c>
      <c r="R279" s="10">
        <f t="shared" si="34"/>
        <v>1.3201627791862751E-2</v>
      </c>
      <c r="S279" s="10">
        <f t="shared" si="35"/>
        <v>1.4892455079838211E-2</v>
      </c>
    </row>
    <row r="280" spans="1:19" x14ac:dyDescent="0.25">
      <c r="A280" s="5" t="s">
        <v>8</v>
      </c>
      <c r="B280" s="5" t="s">
        <v>208</v>
      </c>
      <c r="C280" s="5" t="s">
        <v>27</v>
      </c>
      <c r="D280" s="5" t="s">
        <v>385</v>
      </c>
      <c r="E280" s="5" t="s">
        <v>384</v>
      </c>
      <c r="F280" s="5" t="s">
        <v>45</v>
      </c>
      <c r="G280" s="5" t="s">
        <v>390</v>
      </c>
      <c r="H280" s="5" t="s">
        <v>46</v>
      </c>
      <c r="I280" s="5" t="s">
        <v>207</v>
      </c>
      <c r="J280" s="15">
        <v>1070</v>
      </c>
      <c r="K280" s="7">
        <v>28.1</v>
      </c>
      <c r="L280" s="7">
        <f t="shared" si="30"/>
        <v>38.078291814946617</v>
      </c>
      <c r="M280" s="5" t="s">
        <v>10</v>
      </c>
      <c r="N280" s="5">
        <v>4</v>
      </c>
      <c r="O280" s="6">
        <f t="shared" si="31"/>
        <v>0.9696582806702041</v>
      </c>
      <c r="P280" s="6">
        <f t="shared" si="32"/>
        <v>0.10084446118970124</v>
      </c>
      <c r="Q280" s="10">
        <f t="shared" si="33"/>
        <v>2.1009262747854422E-3</v>
      </c>
      <c r="R280" s="10">
        <f t="shared" si="34"/>
        <v>1.5536785046705944E-2</v>
      </c>
      <c r="S280" s="10">
        <f t="shared" si="35"/>
        <v>1.7637711321491386E-2</v>
      </c>
    </row>
    <row r="281" spans="1:19" x14ac:dyDescent="0.25">
      <c r="A281" s="5" t="s">
        <v>8</v>
      </c>
      <c r="B281" s="5" t="s">
        <v>209</v>
      </c>
      <c r="C281" s="5" t="s">
        <v>27</v>
      </c>
      <c r="D281" s="5" t="s">
        <v>385</v>
      </c>
      <c r="E281" s="5" t="s">
        <v>384</v>
      </c>
      <c r="F281" s="5" t="s">
        <v>45</v>
      </c>
      <c r="G281" s="5" t="s">
        <v>390</v>
      </c>
      <c r="H281" s="5" t="s">
        <v>46</v>
      </c>
      <c r="I281" s="5" t="s">
        <v>207</v>
      </c>
      <c r="J281" s="15">
        <v>1500</v>
      </c>
      <c r="K281" s="7">
        <v>46.9</v>
      </c>
      <c r="L281" s="7">
        <f t="shared" si="30"/>
        <v>31.982942430703627</v>
      </c>
      <c r="M281" s="5" t="s">
        <v>10</v>
      </c>
      <c r="N281" s="5">
        <v>4</v>
      </c>
      <c r="O281" s="6">
        <f t="shared" si="31"/>
        <v>0.95897681861784601</v>
      </c>
      <c r="P281" s="6">
        <f t="shared" si="32"/>
        <v>9.973358913625599E-2</v>
      </c>
      <c r="Q281" s="10">
        <f t="shared" si="33"/>
        <v>2.0777831070053327E-3</v>
      </c>
      <c r="R281" s="10">
        <f t="shared" si="34"/>
        <v>1.5408246091418672E-2</v>
      </c>
      <c r="S281" s="10">
        <f t="shared" si="35"/>
        <v>1.7486029198424003E-2</v>
      </c>
    </row>
    <row r="282" spans="1:19" x14ac:dyDescent="0.25">
      <c r="A282" s="5" t="s">
        <v>8</v>
      </c>
      <c r="B282" s="5" t="s">
        <v>210</v>
      </c>
      <c r="C282" s="5" t="s">
        <v>27</v>
      </c>
      <c r="D282" s="5" t="s">
        <v>385</v>
      </c>
      <c r="E282" s="5" t="s">
        <v>384</v>
      </c>
      <c r="F282" s="5" t="s">
        <v>45</v>
      </c>
      <c r="G282" s="5" t="s">
        <v>390</v>
      </c>
      <c r="H282" s="5" t="s">
        <v>46</v>
      </c>
      <c r="I282" s="5" t="s">
        <v>207</v>
      </c>
      <c r="J282" s="15">
        <v>1330</v>
      </c>
      <c r="K282" s="7">
        <v>30</v>
      </c>
      <c r="L282" s="7">
        <f t="shared" si="30"/>
        <v>44.333333333333336</v>
      </c>
      <c r="M282" s="5" t="s">
        <v>10</v>
      </c>
      <c r="N282" s="5">
        <v>4</v>
      </c>
      <c r="O282" s="6">
        <f t="shared" si="31"/>
        <v>1.6337756944444446</v>
      </c>
      <c r="P282" s="6">
        <f t="shared" si="32"/>
        <v>0.1699126722222222</v>
      </c>
      <c r="Q282" s="10">
        <f t="shared" si="33"/>
        <v>3.5398473379629632E-3</v>
      </c>
      <c r="R282" s="10">
        <f t="shared" si="34"/>
        <v>2.2976900704314702E-2</v>
      </c>
      <c r="S282" s="10">
        <f t="shared" si="35"/>
        <v>2.6516748042277664E-2</v>
      </c>
    </row>
    <row r="283" spans="1:19" x14ac:dyDescent="0.25">
      <c r="A283" s="5" t="s">
        <v>8</v>
      </c>
      <c r="B283" s="5" t="s">
        <v>308</v>
      </c>
      <c r="C283" s="5" t="s">
        <v>27</v>
      </c>
      <c r="D283" s="5" t="s">
        <v>385</v>
      </c>
      <c r="E283" s="5" t="s">
        <v>384</v>
      </c>
      <c r="F283" s="5" t="s">
        <v>45</v>
      </c>
      <c r="G283" s="5" t="s">
        <v>390</v>
      </c>
      <c r="H283" s="5" t="s">
        <v>46</v>
      </c>
      <c r="I283" s="5" t="s">
        <v>310</v>
      </c>
      <c r="J283" s="15">
        <v>972</v>
      </c>
      <c r="K283" s="7">
        <v>19.7</v>
      </c>
      <c r="L283" s="7">
        <f t="shared" si="30"/>
        <v>49.340101522842644</v>
      </c>
      <c r="M283" s="5" t="s">
        <v>10</v>
      </c>
      <c r="N283" s="5">
        <v>4</v>
      </c>
      <c r="O283" s="6">
        <f t="shared" si="31"/>
        <v>1.4789257131077846</v>
      </c>
      <c r="P283" s="6">
        <f t="shared" si="32"/>
        <v>0.15380827416320958</v>
      </c>
      <c r="Q283" s="10">
        <f t="shared" si="33"/>
        <v>3.204339045066867E-3</v>
      </c>
      <c r="R283" s="10">
        <f t="shared" si="34"/>
        <v>2.1323421621601071E-2</v>
      </c>
      <c r="S283" s="10">
        <f t="shared" si="35"/>
        <v>2.4527760666667939E-2</v>
      </c>
    </row>
    <row r="284" spans="1:19" x14ac:dyDescent="0.25">
      <c r="A284" s="5" t="s">
        <v>22</v>
      </c>
      <c r="B284" s="5" t="s">
        <v>26</v>
      </c>
      <c r="C284" s="5" t="s">
        <v>27</v>
      </c>
      <c r="D284" s="5" t="s">
        <v>385</v>
      </c>
      <c r="E284" s="5" t="s">
        <v>384</v>
      </c>
      <c r="F284" s="5" t="s">
        <v>45</v>
      </c>
      <c r="G284" s="5" t="s">
        <v>390</v>
      </c>
      <c r="H284" s="5" t="s">
        <v>46</v>
      </c>
      <c r="I284" s="5" t="s">
        <v>16</v>
      </c>
      <c r="J284" s="15">
        <v>1400</v>
      </c>
      <c r="K284" s="7">
        <v>39</v>
      </c>
      <c r="L284" s="7">
        <f t="shared" si="30"/>
        <v>35.897435897435898</v>
      </c>
      <c r="M284" s="5" t="s">
        <v>10</v>
      </c>
      <c r="N284" s="5">
        <v>4</v>
      </c>
      <c r="O284" s="6">
        <f t="shared" si="31"/>
        <v>1.1275476660092045</v>
      </c>
      <c r="P284" s="6">
        <f t="shared" si="32"/>
        <v>0.11726495726495727</v>
      </c>
      <c r="Q284" s="10">
        <f t="shared" si="33"/>
        <v>2.4430199430199432E-3</v>
      </c>
      <c r="R284" s="10">
        <f t="shared" si="34"/>
        <v>1.7397959160789959E-2</v>
      </c>
      <c r="S284" s="10">
        <f t="shared" si="35"/>
        <v>1.9840979103809903E-2</v>
      </c>
    </row>
    <row r="285" spans="1:19" x14ac:dyDescent="0.25">
      <c r="A285" s="5" t="s">
        <v>8</v>
      </c>
      <c r="B285" s="5" t="s">
        <v>322</v>
      </c>
      <c r="C285" s="5" t="s">
        <v>27</v>
      </c>
      <c r="D285" s="5" t="s">
        <v>385</v>
      </c>
      <c r="E285" s="5" t="s">
        <v>384</v>
      </c>
      <c r="F285" s="5" t="s">
        <v>45</v>
      </c>
      <c r="G285" s="5" t="s">
        <v>390</v>
      </c>
      <c r="H285" s="5" t="s">
        <v>46</v>
      </c>
      <c r="I285" s="5" t="s">
        <v>323</v>
      </c>
      <c r="J285" s="15">
        <v>810</v>
      </c>
      <c r="K285" s="7">
        <v>29</v>
      </c>
      <c r="L285" s="7">
        <f t="shared" si="30"/>
        <v>27.931034482758619</v>
      </c>
      <c r="M285" s="5" t="s">
        <v>10</v>
      </c>
      <c r="N285" s="5">
        <v>4</v>
      </c>
      <c r="O285" s="6">
        <f t="shared" si="31"/>
        <v>0.39494723543400712</v>
      </c>
      <c r="P285" s="6">
        <f t="shared" si="32"/>
        <v>4.1074512485136737E-2</v>
      </c>
      <c r="Q285" s="10">
        <f t="shared" si="33"/>
        <v>8.5571901010701539E-4</v>
      </c>
      <c r="R285" s="10">
        <f t="shared" si="34"/>
        <v>7.9213906781575756E-3</v>
      </c>
      <c r="S285" s="10">
        <f t="shared" si="35"/>
        <v>8.7771096882645911E-3</v>
      </c>
    </row>
    <row r="286" spans="1:19" x14ac:dyDescent="0.25">
      <c r="A286" s="5" t="s">
        <v>22</v>
      </c>
      <c r="B286" s="5" t="s">
        <v>26</v>
      </c>
      <c r="C286" s="5" t="s">
        <v>27</v>
      </c>
      <c r="D286" s="5" t="s">
        <v>385</v>
      </c>
      <c r="E286" s="5" t="s">
        <v>384</v>
      </c>
      <c r="F286" s="5" t="s">
        <v>45</v>
      </c>
      <c r="G286" s="5" t="s">
        <v>390</v>
      </c>
      <c r="H286" s="5" t="s">
        <v>46</v>
      </c>
      <c r="I286" s="5" t="s">
        <v>47</v>
      </c>
      <c r="J286" s="15">
        <v>1200</v>
      </c>
      <c r="K286" s="7">
        <v>28</v>
      </c>
      <c r="L286" s="7">
        <f t="shared" si="30"/>
        <v>42.857142857142854</v>
      </c>
      <c r="M286" s="5" t="s">
        <v>10</v>
      </c>
      <c r="N286" s="5">
        <v>4</v>
      </c>
      <c r="O286" s="6">
        <f t="shared" si="31"/>
        <v>1.3775510204081631</v>
      </c>
      <c r="P286" s="6">
        <f t="shared" si="32"/>
        <v>0.14326530612244898</v>
      </c>
      <c r="Q286" s="10">
        <f t="shared" si="33"/>
        <v>2.9846938775510198E-3</v>
      </c>
      <c r="R286" s="10">
        <f t="shared" si="34"/>
        <v>2.0217520582724226E-2</v>
      </c>
      <c r="S286" s="10">
        <f t="shared" si="35"/>
        <v>2.3202214460275247E-2</v>
      </c>
    </row>
    <row r="287" spans="1:19" x14ac:dyDescent="0.25">
      <c r="A287" s="5" t="s">
        <v>8</v>
      </c>
      <c r="B287" s="5" t="s">
        <v>300</v>
      </c>
      <c r="C287" s="5" t="s">
        <v>27</v>
      </c>
      <c r="D287" s="5" t="s">
        <v>385</v>
      </c>
      <c r="E287" s="5" t="s">
        <v>384</v>
      </c>
      <c r="F287" s="5" t="s">
        <v>45</v>
      </c>
      <c r="G287" s="5" t="s">
        <v>390</v>
      </c>
      <c r="H287" s="5" t="s">
        <v>46</v>
      </c>
      <c r="I287" s="5" t="s">
        <v>47</v>
      </c>
      <c r="J287" s="15">
        <v>1198</v>
      </c>
      <c r="K287" s="7">
        <v>28.2</v>
      </c>
      <c r="L287" s="7">
        <f t="shared" si="30"/>
        <v>42.4822695035461</v>
      </c>
      <c r="M287" s="5" t="s">
        <v>10</v>
      </c>
      <c r="N287" s="5">
        <v>4</v>
      </c>
      <c r="O287" s="6">
        <f t="shared" si="31"/>
        <v>1.3513014876012275</v>
      </c>
      <c r="P287" s="6">
        <f t="shared" si="32"/>
        <v>0.14053535471052764</v>
      </c>
      <c r="Q287" s="10">
        <f t="shared" si="33"/>
        <v>2.927819889802659E-3</v>
      </c>
      <c r="R287" s="10">
        <f t="shared" si="34"/>
        <v>1.9927889917281474E-2</v>
      </c>
      <c r="S287" s="10">
        <f t="shared" si="35"/>
        <v>2.2855709807084134E-2</v>
      </c>
    </row>
    <row r="288" spans="1:19" x14ac:dyDescent="0.25">
      <c r="A288" s="5" t="s">
        <v>8</v>
      </c>
      <c r="B288" s="5" t="s">
        <v>202</v>
      </c>
      <c r="C288" s="5" t="s">
        <v>27</v>
      </c>
      <c r="D288" s="5" t="s">
        <v>385</v>
      </c>
      <c r="E288" s="5" t="s">
        <v>384</v>
      </c>
      <c r="F288" s="5" t="s">
        <v>45</v>
      </c>
      <c r="G288" s="5" t="s">
        <v>390</v>
      </c>
      <c r="H288" s="5" t="s">
        <v>46</v>
      </c>
      <c r="I288" s="5" t="s">
        <v>203</v>
      </c>
      <c r="J288" s="15">
        <v>1230</v>
      </c>
      <c r="K288" s="7">
        <v>25.5</v>
      </c>
      <c r="L288" s="7">
        <f t="shared" si="30"/>
        <v>48.235294117647058</v>
      </c>
      <c r="M288" s="5" t="s">
        <v>10</v>
      </c>
      <c r="N288" s="5">
        <v>4</v>
      </c>
      <c r="O288" s="6">
        <f t="shared" si="31"/>
        <v>1.788607266435986</v>
      </c>
      <c r="P288" s="6">
        <f t="shared" si="32"/>
        <v>0.18601515570934254</v>
      </c>
      <c r="Q288" s="10">
        <f t="shared" si="33"/>
        <v>3.8753157439446362E-3</v>
      </c>
      <c r="R288" s="10">
        <f t="shared" si="34"/>
        <v>2.4591406420233046E-2</v>
      </c>
      <c r="S288" s="10">
        <f t="shared" si="35"/>
        <v>2.8466722164177682E-2</v>
      </c>
    </row>
    <row r="289" spans="1:19" x14ac:dyDescent="0.25">
      <c r="A289" s="5" t="s">
        <v>8</v>
      </c>
      <c r="B289" s="5" t="s">
        <v>204</v>
      </c>
      <c r="C289" s="5" t="s">
        <v>27</v>
      </c>
      <c r="D289" s="5" t="s">
        <v>385</v>
      </c>
      <c r="E289" s="5" t="s">
        <v>384</v>
      </c>
      <c r="F289" s="5" t="s">
        <v>45</v>
      </c>
      <c r="G289" s="5" t="s">
        <v>390</v>
      </c>
      <c r="H289" s="5" t="s">
        <v>46</v>
      </c>
      <c r="I289" s="5" t="s">
        <v>203</v>
      </c>
      <c r="J289" s="15">
        <v>900</v>
      </c>
      <c r="K289" s="7">
        <v>26</v>
      </c>
      <c r="L289" s="7">
        <f t="shared" si="30"/>
        <v>34.615384615384613</v>
      </c>
      <c r="M289" s="5" t="s">
        <v>10</v>
      </c>
      <c r="N289" s="5">
        <v>4</v>
      </c>
      <c r="O289" s="6">
        <f t="shared" si="31"/>
        <v>0.67400147928994081</v>
      </c>
      <c r="P289" s="6">
        <f t="shared" si="32"/>
        <v>7.0096153846153836E-2</v>
      </c>
      <c r="Q289" s="10">
        <f t="shared" si="33"/>
        <v>1.4603365384615382E-3</v>
      </c>
      <c r="R289" s="10">
        <f t="shared" si="34"/>
        <v>1.1827494686413892E-2</v>
      </c>
      <c r="S289" s="10">
        <f t="shared" si="35"/>
        <v>1.3287831224875431E-2</v>
      </c>
    </row>
    <row r="290" spans="1:19" x14ac:dyDescent="0.25">
      <c r="A290" s="5" t="s">
        <v>8</v>
      </c>
      <c r="B290" s="5" t="s">
        <v>205</v>
      </c>
      <c r="C290" s="5" t="s">
        <v>27</v>
      </c>
      <c r="D290" s="5" t="s">
        <v>385</v>
      </c>
      <c r="E290" s="5" t="s">
        <v>384</v>
      </c>
      <c r="F290" s="5" t="s">
        <v>45</v>
      </c>
      <c r="G290" s="5" t="s">
        <v>390</v>
      </c>
      <c r="H290" s="5" t="s">
        <v>46</v>
      </c>
      <c r="I290" s="5" t="s">
        <v>203</v>
      </c>
      <c r="J290" s="15">
        <v>1100</v>
      </c>
      <c r="K290" s="7">
        <v>30</v>
      </c>
      <c r="L290" s="7">
        <f t="shared" si="30"/>
        <v>36.666666666666664</v>
      </c>
      <c r="M290" s="5" t="s">
        <v>10</v>
      </c>
      <c r="N290" s="5">
        <v>4</v>
      </c>
      <c r="O290" s="6">
        <f t="shared" si="31"/>
        <v>0.92430555555555549</v>
      </c>
      <c r="P290" s="6">
        <f t="shared" si="32"/>
        <v>9.6127777777777756E-2</v>
      </c>
      <c r="Q290" s="10">
        <f t="shared" si="33"/>
        <v>2.0026620370370367E-3</v>
      </c>
      <c r="R290" s="10">
        <f t="shared" si="34"/>
        <v>1.4988521556455617E-2</v>
      </c>
      <c r="S290" s="10">
        <f t="shared" si="35"/>
        <v>1.6991183593492654E-2</v>
      </c>
    </row>
    <row r="291" spans="1:19" x14ac:dyDescent="0.25">
      <c r="A291" s="5" t="s">
        <v>8</v>
      </c>
      <c r="B291" s="5" t="s">
        <v>201</v>
      </c>
      <c r="C291" s="5" t="s">
        <v>27</v>
      </c>
      <c r="D291" s="5" t="s">
        <v>385</v>
      </c>
      <c r="E291" s="5" t="s">
        <v>384</v>
      </c>
      <c r="F291" s="5" t="s">
        <v>45</v>
      </c>
      <c r="G291" s="5" t="s">
        <v>390</v>
      </c>
      <c r="H291" s="5" t="s">
        <v>46</v>
      </c>
      <c r="I291" s="5" t="s">
        <v>203</v>
      </c>
      <c r="J291" s="15">
        <v>1060</v>
      </c>
      <c r="K291" s="7">
        <v>29.5</v>
      </c>
      <c r="L291" s="7">
        <f t="shared" si="30"/>
        <v>35.932203389830505</v>
      </c>
      <c r="M291" s="5" t="s">
        <v>10</v>
      </c>
      <c r="N291" s="5">
        <v>4</v>
      </c>
      <c r="O291" s="6">
        <f t="shared" si="31"/>
        <v>0.85536914679689724</v>
      </c>
      <c r="P291" s="6">
        <f t="shared" si="32"/>
        <v>8.895839126687731E-2</v>
      </c>
      <c r="Q291" s="10">
        <f t="shared" si="33"/>
        <v>1.8532998180599439E-3</v>
      </c>
      <c r="R291" s="10">
        <f t="shared" si="34"/>
        <v>1.414204810560408E-2</v>
      </c>
      <c r="S291" s="10">
        <f t="shared" si="35"/>
        <v>1.5995347923664024E-2</v>
      </c>
    </row>
    <row r="292" spans="1:19" x14ac:dyDescent="0.25">
      <c r="A292" s="5" t="s">
        <v>8</v>
      </c>
      <c r="B292" s="5" t="s">
        <v>219</v>
      </c>
      <c r="C292" s="5" t="s">
        <v>27</v>
      </c>
      <c r="D292" s="5" t="s">
        <v>385</v>
      </c>
      <c r="E292" s="5" t="s">
        <v>384</v>
      </c>
      <c r="F292" s="5" t="s">
        <v>45</v>
      </c>
      <c r="G292" s="5" t="s">
        <v>390</v>
      </c>
      <c r="H292" s="5" t="s">
        <v>46</v>
      </c>
      <c r="I292" s="5" t="s">
        <v>203</v>
      </c>
      <c r="J292" s="15">
        <v>900</v>
      </c>
      <c r="K292" s="7">
        <v>26.9</v>
      </c>
      <c r="L292" s="7">
        <f t="shared" si="30"/>
        <v>33.457249070631974</v>
      </c>
      <c r="M292" s="5" t="s">
        <v>10</v>
      </c>
      <c r="N292" s="5">
        <v>4</v>
      </c>
      <c r="O292" s="6">
        <f t="shared" si="31"/>
        <v>0.62965547739804595</v>
      </c>
      <c r="P292" s="6">
        <f t="shared" si="32"/>
        <v>6.5484169649396781E-2</v>
      </c>
      <c r="Q292" s="10">
        <f t="shared" si="33"/>
        <v>1.3642535343624329E-3</v>
      </c>
      <c r="R292" s="10">
        <f t="shared" si="34"/>
        <v>1.1238914402422381E-2</v>
      </c>
      <c r="S292" s="10">
        <f t="shared" si="35"/>
        <v>1.2603167936784815E-2</v>
      </c>
    </row>
    <row r="293" spans="1:19" x14ac:dyDescent="0.25">
      <c r="A293" s="5" t="s">
        <v>8</v>
      </c>
      <c r="B293" s="5" t="s">
        <v>291</v>
      </c>
      <c r="C293" s="5" t="s">
        <v>27</v>
      </c>
      <c r="D293" s="5" t="s">
        <v>385</v>
      </c>
      <c r="E293" s="5" t="s">
        <v>384</v>
      </c>
      <c r="F293" s="5" t="s">
        <v>45</v>
      </c>
      <c r="G293" s="5" t="s">
        <v>390</v>
      </c>
      <c r="H293" s="5" t="s">
        <v>46</v>
      </c>
      <c r="I293" s="5" t="s">
        <v>203</v>
      </c>
      <c r="J293" s="15">
        <v>1221</v>
      </c>
      <c r="K293" s="7">
        <v>34.799999999999997</v>
      </c>
      <c r="L293" s="7">
        <f t="shared" si="30"/>
        <v>35.08620689655173</v>
      </c>
      <c r="M293" s="5" t="s">
        <v>10</v>
      </c>
      <c r="N293" s="5">
        <v>4</v>
      </c>
      <c r="O293" s="6">
        <f t="shared" si="31"/>
        <v>0.9394388609170633</v>
      </c>
      <c r="P293" s="6">
        <f t="shared" si="32"/>
        <v>9.770164153537457E-2</v>
      </c>
      <c r="Q293" s="10">
        <f t="shared" si="33"/>
        <v>2.035450865320304E-3</v>
      </c>
      <c r="R293" s="10">
        <f t="shared" si="34"/>
        <v>1.5172198474885332E-2</v>
      </c>
      <c r="S293" s="10">
        <f t="shared" si="35"/>
        <v>1.7207649340205636E-2</v>
      </c>
    </row>
    <row r="294" spans="1:19" x14ac:dyDescent="0.25">
      <c r="A294" s="5" t="s">
        <v>8</v>
      </c>
      <c r="B294" s="5" t="s">
        <v>291</v>
      </c>
      <c r="C294" s="5" t="s">
        <v>27</v>
      </c>
      <c r="D294" s="5" t="s">
        <v>385</v>
      </c>
      <c r="E294" s="5" t="s">
        <v>384</v>
      </c>
      <c r="F294" s="5" t="s">
        <v>45</v>
      </c>
      <c r="G294" s="5" t="s">
        <v>390</v>
      </c>
      <c r="H294" s="5" t="s">
        <v>46</v>
      </c>
      <c r="I294" s="5" t="s">
        <v>203</v>
      </c>
      <c r="J294" s="15">
        <v>1180</v>
      </c>
      <c r="K294" s="7">
        <v>28.1</v>
      </c>
      <c r="L294" s="7">
        <f t="shared" si="30"/>
        <v>41.992882562277579</v>
      </c>
      <c r="M294" s="5" t="s">
        <v>10</v>
      </c>
      <c r="N294" s="5">
        <v>4</v>
      </c>
      <c r="O294" s="6">
        <f t="shared" si="31"/>
        <v>1.3005091120933117</v>
      </c>
      <c r="P294" s="6">
        <f t="shared" si="32"/>
        <v>0.13525294765770443</v>
      </c>
      <c r="Q294" s="10">
        <f t="shared" si="33"/>
        <v>2.8177697428688419E-3</v>
      </c>
      <c r="R294" s="10">
        <f t="shared" si="34"/>
        <v>1.9363424830278701E-2</v>
      </c>
      <c r="S294" s="10">
        <f t="shared" si="35"/>
        <v>2.2181194573147541E-2</v>
      </c>
    </row>
    <row r="295" spans="1:19" x14ac:dyDescent="0.25">
      <c r="A295" s="5" t="s">
        <v>8</v>
      </c>
      <c r="B295" s="5" t="s">
        <v>291</v>
      </c>
      <c r="C295" s="5" t="s">
        <v>27</v>
      </c>
      <c r="D295" s="5" t="s">
        <v>385</v>
      </c>
      <c r="E295" s="5" t="s">
        <v>384</v>
      </c>
      <c r="F295" s="5" t="s">
        <v>45</v>
      </c>
      <c r="G295" s="5" t="s">
        <v>390</v>
      </c>
      <c r="H295" s="5" t="s">
        <v>46</v>
      </c>
      <c r="I295" s="5" t="s">
        <v>203</v>
      </c>
      <c r="J295" s="15">
        <v>1358</v>
      </c>
      <c r="K295" s="7">
        <v>27.2</v>
      </c>
      <c r="L295" s="7">
        <f t="shared" si="30"/>
        <v>49.926470588235297</v>
      </c>
      <c r="M295" s="5" t="s">
        <v>10</v>
      </c>
      <c r="N295" s="5">
        <v>4</v>
      </c>
      <c r="O295" s="6">
        <f t="shared" si="31"/>
        <v>2.115638780006488</v>
      </c>
      <c r="P295" s="6">
        <f t="shared" si="32"/>
        <v>0.22002643312067477</v>
      </c>
      <c r="Q295" s="10">
        <f t="shared" si="33"/>
        <v>4.5838840233473907E-3</v>
      </c>
      <c r="R295" s="10">
        <f t="shared" si="34"/>
        <v>2.7891910544193911E-2</v>
      </c>
      <c r="S295" s="10">
        <f t="shared" si="35"/>
        <v>3.2475794567541301E-2</v>
      </c>
    </row>
    <row r="296" spans="1:19" x14ac:dyDescent="0.25">
      <c r="A296" s="5" t="s">
        <v>8</v>
      </c>
      <c r="B296" s="5" t="s">
        <v>291</v>
      </c>
      <c r="C296" s="5" t="s">
        <v>27</v>
      </c>
      <c r="D296" s="5" t="s">
        <v>385</v>
      </c>
      <c r="E296" s="5" t="s">
        <v>384</v>
      </c>
      <c r="F296" s="5" t="s">
        <v>45</v>
      </c>
      <c r="G296" s="5" t="s">
        <v>390</v>
      </c>
      <c r="H296" s="5" t="s">
        <v>46</v>
      </c>
      <c r="I296" s="5" t="s">
        <v>203</v>
      </c>
      <c r="J296" s="15">
        <v>1194</v>
      </c>
      <c r="K296" s="7">
        <v>25.9</v>
      </c>
      <c r="L296" s="7">
        <f t="shared" si="30"/>
        <v>46.100386100386103</v>
      </c>
      <c r="M296" s="5" t="s">
        <v>10</v>
      </c>
      <c r="N296" s="5">
        <v>4</v>
      </c>
      <c r="O296" s="6">
        <f t="shared" si="31"/>
        <v>1.5859645279587367</v>
      </c>
      <c r="P296" s="6">
        <f t="shared" si="32"/>
        <v>0.16494031090770858</v>
      </c>
      <c r="Q296" s="10">
        <f t="shared" si="33"/>
        <v>3.4362564772439292E-3</v>
      </c>
      <c r="R296" s="10">
        <f t="shared" si="34"/>
        <v>2.2470732330724698E-2</v>
      </c>
      <c r="S296" s="10">
        <f t="shared" si="35"/>
        <v>2.5906988807968628E-2</v>
      </c>
    </row>
    <row r="297" spans="1:19" x14ac:dyDescent="0.25">
      <c r="A297" s="5" t="s">
        <v>8</v>
      </c>
      <c r="B297" s="5" t="s">
        <v>291</v>
      </c>
      <c r="C297" s="5" t="s">
        <v>27</v>
      </c>
      <c r="D297" s="5" t="s">
        <v>385</v>
      </c>
      <c r="E297" s="5" t="s">
        <v>384</v>
      </c>
      <c r="F297" s="5" t="s">
        <v>45</v>
      </c>
      <c r="G297" s="5" t="s">
        <v>390</v>
      </c>
      <c r="H297" s="5" t="s">
        <v>46</v>
      </c>
      <c r="I297" s="5" t="s">
        <v>203</v>
      </c>
      <c r="J297" s="15">
        <v>1038</v>
      </c>
      <c r="K297" s="7">
        <v>25.2</v>
      </c>
      <c r="L297" s="7">
        <f t="shared" si="30"/>
        <v>41.19047619047619</v>
      </c>
      <c r="M297" s="5" t="s">
        <v>10</v>
      </c>
      <c r="N297" s="5">
        <v>4</v>
      </c>
      <c r="O297" s="6">
        <f t="shared" si="31"/>
        <v>1.1007051445578231</v>
      </c>
      <c r="P297" s="6">
        <f t="shared" si="32"/>
        <v>0.11447333503401359</v>
      </c>
      <c r="Q297" s="10">
        <f t="shared" si="33"/>
        <v>2.3848611465419499E-3</v>
      </c>
      <c r="R297" s="10">
        <f t="shared" si="34"/>
        <v>1.7086392225529067E-2</v>
      </c>
      <c r="S297" s="10">
        <f t="shared" si="35"/>
        <v>1.9471253372071017E-2</v>
      </c>
    </row>
    <row r="298" spans="1:19" x14ac:dyDescent="0.25">
      <c r="A298" s="5" t="s">
        <v>8</v>
      </c>
      <c r="B298" s="5" t="s">
        <v>322</v>
      </c>
      <c r="C298" s="5" t="s">
        <v>27</v>
      </c>
      <c r="D298" s="5" t="s">
        <v>385</v>
      </c>
      <c r="E298" s="5" t="s">
        <v>384</v>
      </c>
      <c r="F298" s="5" t="s">
        <v>45</v>
      </c>
      <c r="G298" s="5" t="s">
        <v>390</v>
      </c>
      <c r="H298" s="5" t="s">
        <v>46</v>
      </c>
      <c r="I298" s="5" t="s">
        <v>203</v>
      </c>
      <c r="J298" s="15">
        <v>1000</v>
      </c>
      <c r="K298" s="7">
        <v>22</v>
      </c>
      <c r="L298" s="7">
        <f t="shared" si="30"/>
        <v>45.454545454545453</v>
      </c>
      <c r="M298" s="5" t="s">
        <v>10</v>
      </c>
      <c r="N298" s="5">
        <v>4</v>
      </c>
      <c r="O298" s="6">
        <f t="shared" si="31"/>
        <v>1.2913223140495866</v>
      </c>
      <c r="P298" s="6">
        <f t="shared" si="32"/>
        <v>0.13429752066115702</v>
      </c>
      <c r="Q298" s="10">
        <f t="shared" si="33"/>
        <v>2.7978650137741039E-3</v>
      </c>
      <c r="R298" s="10">
        <f t="shared" si="34"/>
        <v>1.9260746534398895E-2</v>
      </c>
      <c r="S298" s="10">
        <f t="shared" si="35"/>
        <v>2.2058611548172999E-2</v>
      </c>
    </row>
    <row r="299" spans="1:19" x14ac:dyDescent="0.25">
      <c r="A299" s="5" t="s">
        <v>22</v>
      </c>
      <c r="B299" s="5" t="s">
        <v>26</v>
      </c>
      <c r="C299" s="5" t="s">
        <v>27</v>
      </c>
      <c r="D299" s="5" t="s">
        <v>385</v>
      </c>
      <c r="E299" s="5" t="s">
        <v>384</v>
      </c>
      <c r="F299" s="5" t="s">
        <v>45</v>
      </c>
      <c r="G299" s="5" t="s">
        <v>390</v>
      </c>
      <c r="H299" s="5" t="s">
        <v>46</v>
      </c>
      <c r="I299" s="5" t="s">
        <v>11</v>
      </c>
      <c r="J299" s="15">
        <v>1450</v>
      </c>
      <c r="K299" s="7">
        <v>27</v>
      </c>
      <c r="L299" s="7">
        <f t="shared" si="30"/>
        <v>53.703703703703702</v>
      </c>
      <c r="M299" s="5" t="s">
        <v>10</v>
      </c>
      <c r="N299" s="5">
        <v>4</v>
      </c>
      <c r="O299" s="6">
        <f t="shared" si="31"/>
        <v>2.6137045610425238</v>
      </c>
      <c r="P299" s="6">
        <f t="shared" si="32"/>
        <v>0.27182527434842246</v>
      </c>
      <c r="Q299" s="10">
        <f t="shared" si="33"/>
        <v>5.6630265489254683E-3</v>
      </c>
      <c r="R299" s="10">
        <f t="shared" si="34"/>
        <v>3.2684323180094878E-2</v>
      </c>
      <c r="S299" s="10">
        <f t="shared" si="35"/>
        <v>3.8347349729020347E-2</v>
      </c>
    </row>
    <row r="300" spans="1:19" x14ac:dyDescent="0.25">
      <c r="A300" s="5" t="s">
        <v>8</v>
      </c>
      <c r="B300" s="5" t="s">
        <v>192</v>
      </c>
      <c r="C300" s="5" t="s">
        <v>27</v>
      </c>
      <c r="D300" s="5" t="s">
        <v>385</v>
      </c>
      <c r="E300" s="5" t="s">
        <v>384</v>
      </c>
      <c r="F300" s="5" t="s">
        <v>45</v>
      </c>
      <c r="G300" s="5" t="s">
        <v>390</v>
      </c>
      <c r="H300" s="5" t="s">
        <v>46</v>
      </c>
      <c r="I300" s="5" t="s">
        <v>11</v>
      </c>
      <c r="J300" s="15">
        <v>1050</v>
      </c>
      <c r="K300" s="7">
        <v>32</v>
      </c>
      <c r="L300" s="7">
        <f t="shared" si="30"/>
        <v>32.8125</v>
      </c>
      <c r="M300" s="5" t="s">
        <v>10</v>
      </c>
      <c r="N300" s="5">
        <v>4</v>
      </c>
      <c r="O300" s="6">
        <f t="shared" si="31"/>
        <v>0.7065582275390625</v>
      </c>
      <c r="P300" s="6">
        <f t="shared" si="32"/>
        <v>7.348205566406249E-2</v>
      </c>
      <c r="Q300" s="10">
        <f t="shared" si="33"/>
        <v>1.5308761596679685E-3</v>
      </c>
      <c r="R300" s="10">
        <f t="shared" si="34"/>
        <v>1.2253441811234738E-2</v>
      </c>
      <c r="S300" s="10">
        <f t="shared" si="35"/>
        <v>1.3784317970902706E-2</v>
      </c>
    </row>
    <row r="301" spans="1:19" x14ac:dyDescent="0.25">
      <c r="A301" s="5" t="s">
        <v>8</v>
      </c>
      <c r="B301" s="5" t="s">
        <v>214</v>
      </c>
      <c r="C301" s="5" t="s">
        <v>27</v>
      </c>
      <c r="D301" s="5" t="s">
        <v>385</v>
      </c>
      <c r="E301" s="5" t="s">
        <v>384</v>
      </c>
      <c r="F301" s="5" t="s">
        <v>45</v>
      </c>
      <c r="G301" s="5" t="s">
        <v>390</v>
      </c>
      <c r="H301" s="5" t="s">
        <v>46</v>
      </c>
      <c r="I301" s="5" t="s">
        <v>216</v>
      </c>
      <c r="J301" s="15">
        <v>910</v>
      </c>
      <c r="K301" s="7">
        <v>31</v>
      </c>
      <c r="L301" s="7">
        <f t="shared" si="30"/>
        <v>29.35483870967742</v>
      </c>
      <c r="M301" s="5" t="s">
        <v>10</v>
      </c>
      <c r="N301" s="5">
        <v>4</v>
      </c>
      <c r="O301" s="6">
        <f t="shared" si="31"/>
        <v>0.49009560353798132</v>
      </c>
      <c r="P301" s="6">
        <f t="shared" si="32"/>
        <v>5.0969942767950062E-2</v>
      </c>
      <c r="Q301" s="10">
        <f t="shared" si="33"/>
        <v>1.0618738076656261E-3</v>
      </c>
      <c r="R301" s="10">
        <f t="shared" si="34"/>
        <v>9.3133887089925389E-3</v>
      </c>
      <c r="S301" s="10">
        <f t="shared" si="35"/>
        <v>1.0375262516658166E-2</v>
      </c>
    </row>
    <row r="302" spans="1:19" x14ac:dyDescent="0.25">
      <c r="A302" s="5" t="s">
        <v>8</v>
      </c>
      <c r="B302" s="5" t="s">
        <v>281</v>
      </c>
      <c r="C302" s="5" t="s">
        <v>27</v>
      </c>
      <c r="D302" s="5" t="s">
        <v>385</v>
      </c>
      <c r="E302" s="5" t="s">
        <v>384</v>
      </c>
      <c r="F302" s="5" t="s">
        <v>45</v>
      </c>
      <c r="G302" s="5" t="s">
        <v>390</v>
      </c>
      <c r="H302" s="5" t="s">
        <v>46</v>
      </c>
      <c r="I302" s="5" t="s">
        <v>216</v>
      </c>
      <c r="J302" s="15">
        <v>990</v>
      </c>
      <c r="K302" s="7">
        <v>25.5</v>
      </c>
      <c r="L302" s="7">
        <f t="shared" si="30"/>
        <v>38.823529411764703</v>
      </c>
      <c r="M302" s="5" t="s">
        <v>10</v>
      </c>
      <c r="N302" s="5">
        <v>4</v>
      </c>
      <c r="O302" s="6">
        <f t="shared" si="31"/>
        <v>0.93262110726643588</v>
      </c>
      <c r="P302" s="6">
        <f t="shared" si="32"/>
        <v>9.6992595155709335E-2</v>
      </c>
      <c r="Q302" s="10">
        <f t="shared" si="33"/>
        <v>2.0206790657439442E-3</v>
      </c>
      <c r="R302" s="10">
        <f t="shared" si="34"/>
        <v>1.5089541872016023E-2</v>
      </c>
      <c r="S302" s="10">
        <f t="shared" si="35"/>
        <v>1.7110220937759969E-2</v>
      </c>
    </row>
    <row r="303" spans="1:19" x14ac:dyDescent="0.25">
      <c r="A303" s="5" t="s">
        <v>8</v>
      </c>
      <c r="B303" s="5" t="s">
        <v>307</v>
      </c>
      <c r="C303" s="5" t="s">
        <v>27</v>
      </c>
      <c r="D303" s="5" t="s">
        <v>385</v>
      </c>
      <c r="E303" s="5" t="s">
        <v>384</v>
      </c>
      <c r="F303" s="5" t="s">
        <v>45</v>
      </c>
      <c r="G303" s="5" t="s">
        <v>390</v>
      </c>
      <c r="H303" s="5" t="s">
        <v>46</v>
      </c>
      <c r="I303" s="5" t="s">
        <v>216</v>
      </c>
      <c r="J303" s="15">
        <v>820</v>
      </c>
      <c r="K303" s="7">
        <v>31</v>
      </c>
      <c r="L303" s="7">
        <f t="shared" si="30"/>
        <v>26.451612903225808</v>
      </c>
      <c r="M303" s="5" t="s">
        <v>10</v>
      </c>
      <c r="N303" s="5">
        <v>4</v>
      </c>
      <c r="O303" s="6">
        <f t="shared" si="31"/>
        <v>0.35859001040582733</v>
      </c>
      <c r="P303" s="6">
        <f t="shared" si="32"/>
        <v>3.7293361082206045E-2</v>
      </c>
      <c r="Q303" s="10">
        <f t="shared" si="33"/>
        <v>7.7694502254595915E-4</v>
      </c>
      <c r="R303" s="10">
        <f t="shared" si="34"/>
        <v>7.3679346366924492E-3</v>
      </c>
      <c r="S303" s="10">
        <f t="shared" si="35"/>
        <v>8.1448796592384076E-3</v>
      </c>
    </row>
    <row r="304" spans="1:19" x14ac:dyDescent="0.25">
      <c r="A304" s="5" t="s">
        <v>8</v>
      </c>
      <c r="B304" s="5" t="s">
        <v>339</v>
      </c>
      <c r="C304" s="5" t="s">
        <v>27</v>
      </c>
      <c r="D304" s="5" t="s">
        <v>385</v>
      </c>
      <c r="E304" s="5" t="s">
        <v>384</v>
      </c>
      <c r="F304" s="5" t="s">
        <v>45</v>
      </c>
      <c r="G304" s="5" t="s">
        <v>390</v>
      </c>
      <c r="H304" s="5" t="s">
        <v>46</v>
      </c>
      <c r="I304" s="5" t="s">
        <v>216</v>
      </c>
      <c r="J304" s="15">
        <v>763</v>
      </c>
      <c r="K304" s="7">
        <v>24.1</v>
      </c>
      <c r="L304" s="7">
        <f t="shared" si="30"/>
        <v>31.659751037344396</v>
      </c>
      <c r="M304" s="5" t="s">
        <v>10</v>
      </c>
      <c r="N304" s="5">
        <v>4</v>
      </c>
      <c r="O304" s="6">
        <f t="shared" si="31"/>
        <v>0.47799080917167397</v>
      </c>
      <c r="P304" s="6">
        <f t="shared" si="32"/>
        <v>4.9711044153854085E-2</v>
      </c>
      <c r="Q304" s="10">
        <f t="shared" si="33"/>
        <v>1.0356467532052936E-3</v>
      </c>
      <c r="R304" s="10">
        <f t="shared" si="34"/>
        <v>9.1403280678869249E-3</v>
      </c>
      <c r="S304" s="10">
        <f t="shared" si="35"/>
        <v>1.0175974821092219E-2</v>
      </c>
    </row>
    <row r="305" spans="1:19" x14ac:dyDescent="0.25">
      <c r="A305" s="5" t="s">
        <v>8</v>
      </c>
      <c r="B305" s="5" t="s">
        <v>214</v>
      </c>
      <c r="C305" s="5" t="s">
        <v>27</v>
      </c>
      <c r="D305" s="5" t="s">
        <v>385</v>
      </c>
      <c r="E305" s="5" t="s">
        <v>384</v>
      </c>
      <c r="F305" s="5" t="s">
        <v>45</v>
      </c>
      <c r="G305" s="5" t="s">
        <v>390</v>
      </c>
      <c r="H305" s="5" t="s">
        <v>46</v>
      </c>
      <c r="I305" s="5" t="s">
        <v>62</v>
      </c>
      <c r="J305" s="15">
        <v>1000</v>
      </c>
      <c r="K305" s="7">
        <v>29</v>
      </c>
      <c r="L305" s="7">
        <f t="shared" si="30"/>
        <v>34.482758620689658</v>
      </c>
      <c r="M305" s="5" t="s">
        <v>10</v>
      </c>
      <c r="N305" s="5">
        <v>4</v>
      </c>
      <c r="O305" s="6">
        <f t="shared" si="31"/>
        <v>0.74316290130796681</v>
      </c>
      <c r="P305" s="6">
        <f t="shared" si="32"/>
        <v>7.7288941736028557E-2</v>
      </c>
      <c r="Q305" s="10">
        <f t="shared" si="33"/>
        <v>1.6101862861672613E-3</v>
      </c>
      <c r="R305" s="10">
        <f t="shared" si="34"/>
        <v>1.27265339526514E-2</v>
      </c>
      <c r="S305" s="10">
        <f t="shared" si="35"/>
        <v>1.4336720238818662E-2</v>
      </c>
    </row>
    <row r="306" spans="1:19" x14ac:dyDescent="0.25">
      <c r="A306" s="5" t="s">
        <v>8</v>
      </c>
      <c r="B306" s="5" t="s">
        <v>197</v>
      </c>
      <c r="C306" s="5" t="s">
        <v>27</v>
      </c>
      <c r="D306" s="5" t="s">
        <v>385</v>
      </c>
      <c r="E306" s="5" t="s">
        <v>384</v>
      </c>
      <c r="F306" s="5" t="s">
        <v>45</v>
      </c>
      <c r="G306" s="5" t="s">
        <v>390</v>
      </c>
      <c r="H306" s="5" t="s">
        <v>46</v>
      </c>
      <c r="I306" s="5" t="s">
        <v>196</v>
      </c>
      <c r="J306" s="15">
        <v>1150</v>
      </c>
      <c r="K306" s="7">
        <v>24.5</v>
      </c>
      <c r="L306" s="7">
        <f t="shared" si="30"/>
        <v>46.938775510204081</v>
      </c>
      <c r="M306" s="5" t="s">
        <v>10</v>
      </c>
      <c r="N306" s="5">
        <v>4</v>
      </c>
      <c r="O306" s="6">
        <f t="shared" si="31"/>
        <v>1.5835849645980844</v>
      </c>
      <c r="P306" s="6">
        <f t="shared" si="32"/>
        <v>0.16469283631820075</v>
      </c>
      <c r="Q306" s="10">
        <f t="shared" si="33"/>
        <v>3.4311007566291828E-3</v>
      </c>
      <c r="R306" s="10">
        <f t="shared" si="34"/>
        <v>2.2445441459619402E-2</v>
      </c>
      <c r="S306" s="10">
        <f t="shared" si="35"/>
        <v>2.5876542216248584E-2</v>
      </c>
    </row>
    <row r="307" spans="1:19" x14ac:dyDescent="0.25">
      <c r="A307" s="5" t="s">
        <v>8</v>
      </c>
      <c r="B307" s="5" t="s">
        <v>191</v>
      </c>
      <c r="C307" s="5" t="s">
        <v>27</v>
      </c>
      <c r="D307" s="5" t="s">
        <v>385</v>
      </c>
      <c r="E307" s="5" t="s">
        <v>384</v>
      </c>
      <c r="F307" s="5" t="s">
        <v>45</v>
      </c>
      <c r="G307" s="5" t="s">
        <v>390</v>
      </c>
      <c r="H307" s="5" t="s">
        <v>46</v>
      </c>
      <c r="I307" s="5" t="s">
        <v>196</v>
      </c>
      <c r="J307" s="15">
        <v>1100</v>
      </c>
      <c r="K307" s="7">
        <v>26</v>
      </c>
      <c r="L307" s="7">
        <f t="shared" si="30"/>
        <v>42.307692307692307</v>
      </c>
      <c r="M307" s="5" t="s">
        <v>10</v>
      </c>
      <c r="N307" s="5">
        <v>4</v>
      </c>
      <c r="O307" s="6">
        <f t="shared" si="31"/>
        <v>1.2305843195266273</v>
      </c>
      <c r="P307" s="6">
        <f t="shared" si="32"/>
        <v>0.12798076923076923</v>
      </c>
      <c r="Q307" s="10">
        <f t="shared" si="33"/>
        <v>2.6662660256410258E-3</v>
      </c>
      <c r="R307" s="10">
        <f t="shared" si="34"/>
        <v>1.8577217122682087E-2</v>
      </c>
      <c r="S307" s="10">
        <f t="shared" si="35"/>
        <v>2.1243483148323111E-2</v>
      </c>
    </row>
    <row r="308" spans="1:19" x14ac:dyDescent="0.25">
      <c r="A308" s="5" t="s">
        <v>8</v>
      </c>
      <c r="B308" s="5" t="s">
        <v>193</v>
      </c>
      <c r="C308" s="5" t="s">
        <v>27</v>
      </c>
      <c r="D308" s="5" t="s">
        <v>385</v>
      </c>
      <c r="E308" s="5" t="s">
        <v>384</v>
      </c>
      <c r="F308" s="5" t="s">
        <v>45</v>
      </c>
      <c r="G308" s="5" t="s">
        <v>390</v>
      </c>
      <c r="H308" s="5" t="s">
        <v>46</v>
      </c>
      <c r="I308" s="5" t="s">
        <v>196</v>
      </c>
      <c r="J308" s="15">
        <v>925</v>
      </c>
      <c r="K308" s="7">
        <v>24</v>
      </c>
      <c r="L308" s="7">
        <f t="shared" si="30"/>
        <v>38.541666666666664</v>
      </c>
      <c r="M308" s="5" t="s">
        <v>10</v>
      </c>
      <c r="N308" s="5">
        <v>4</v>
      </c>
      <c r="O308" s="6">
        <f t="shared" si="31"/>
        <v>0.85878160264756942</v>
      </c>
      <c r="P308" s="6">
        <f t="shared" si="32"/>
        <v>8.9313286675347214E-2</v>
      </c>
      <c r="Q308" s="10">
        <f t="shared" si="33"/>
        <v>1.860693472403067E-3</v>
      </c>
      <c r="R308" s="10">
        <f t="shared" si="34"/>
        <v>1.4184341326858875E-2</v>
      </c>
      <c r="S308" s="10">
        <f t="shared" si="35"/>
        <v>1.6045034799261941E-2</v>
      </c>
    </row>
    <row r="309" spans="1:19" x14ac:dyDescent="0.25">
      <c r="A309" s="5" t="s">
        <v>8</v>
      </c>
      <c r="B309" s="5" t="s">
        <v>198</v>
      </c>
      <c r="C309" s="5" t="s">
        <v>27</v>
      </c>
      <c r="D309" s="5" t="s">
        <v>385</v>
      </c>
      <c r="E309" s="5" t="s">
        <v>384</v>
      </c>
      <c r="F309" s="5" t="s">
        <v>45</v>
      </c>
      <c r="G309" s="5" t="s">
        <v>390</v>
      </c>
      <c r="H309" s="5" t="s">
        <v>46</v>
      </c>
      <c r="I309" s="5" t="s">
        <v>196</v>
      </c>
      <c r="J309" s="15">
        <v>720</v>
      </c>
      <c r="K309" s="7">
        <v>19.5</v>
      </c>
      <c r="L309" s="7">
        <f t="shared" si="30"/>
        <v>36.92307692307692</v>
      </c>
      <c r="M309" s="5" t="s">
        <v>10</v>
      </c>
      <c r="N309" s="5">
        <v>4</v>
      </c>
      <c r="O309" s="6">
        <f t="shared" si="31"/>
        <v>0.6134911242603549</v>
      </c>
      <c r="P309" s="6">
        <f t="shared" si="32"/>
        <v>6.3803076923076907E-2</v>
      </c>
      <c r="Q309" s="10">
        <f t="shared" si="33"/>
        <v>1.329230769230769E-3</v>
      </c>
      <c r="R309" s="10">
        <f t="shared" si="34"/>
        <v>1.1021820585628738E-2</v>
      </c>
      <c r="S309" s="10">
        <f t="shared" si="35"/>
        <v>1.2351051354859506E-2</v>
      </c>
    </row>
    <row r="310" spans="1:19" x14ac:dyDescent="0.25">
      <c r="A310" s="5" t="s">
        <v>8</v>
      </c>
      <c r="B310" s="5" t="s">
        <v>199</v>
      </c>
      <c r="C310" s="5" t="s">
        <v>27</v>
      </c>
      <c r="D310" s="5" t="s">
        <v>385</v>
      </c>
      <c r="E310" s="5" t="s">
        <v>384</v>
      </c>
      <c r="F310" s="5" t="s">
        <v>45</v>
      </c>
      <c r="G310" s="5" t="s">
        <v>390</v>
      </c>
      <c r="H310" s="5" t="s">
        <v>46</v>
      </c>
      <c r="I310" s="5" t="s">
        <v>196</v>
      </c>
      <c r="J310" s="15">
        <v>1090</v>
      </c>
      <c r="K310" s="7">
        <v>25</v>
      </c>
      <c r="L310" s="7">
        <f t="shared" si="30"/>
        <v>43.6</v>
      </c>
      <c r="M310" s="5" t="s">
        <v>10</v>
      </c>
      <c r="N310" s="5">
        <v>4</v>
      </c>
      <c r="O310" s="6">
        <f t="shared" si="31"/>
        <v>1.295029</v>
      </c>
      <c r="P310" s="6">
        <f t="shared" si="32"/>
        <v>0.13468301600000002</v>
      </c>
      <c r="Q310" s="10">
        <f t="shared" si="33"/>
        <v>2.8058961666666666E-3</v>
      </c>
      <c r="R310" s="10">
        <f t="shared" si="34"/>
        <v>1.9302197041295953E-2</v>
      </c>
      <c r="S310" s="10">
        <f t="shared" si="35"/>
        <v>2.2108093207962618E-2</v>
      </c>
    </row>
    <row r="311" spans="1:19" x14ac:dyDescent="0.25">
      <c r="A311" s="5" t="s">
        <v>8</v>
      </c>
      <c r="B311" s="5" t="s">
        <v>200</v>
      </c>
      <c r="C311" s="5" t="s">
        <v>27</v>
      </c>
      <c r="D311" s="5" t="s">
        <v>385</v>
      </c>
      <c r="E311" s="5" t="s">
        <v>384</v>
      </c>
      <c r="F311" s="5" t="s">
        <v>45</v>
      </c>
      <c r="G311" s="5" t="s">
        <v>390</v>
      </c>
      <c r="H311" s="5" t="s">
        <v>46</v>
      </c>
      <c r="I311" s="5" t="s">
        <v>196</v>
      </c>
      <c r="J311" s="15">
        <v>1040</v>
      </c>
      <c r="K311" s="7">
        <v>25.5</v>
      </c>
      <c r="L311" s="7">
        <f t="shared" si="30"/>
        <v>40.784313725490193</v>
      </c>
      <c r="M311" s="5" t="s">
        <v>10</v>
      </c>
      <c r="N311" s="5">
        <v>4</v>
      </c>
      <c r="O311" s="6">
        <f t="shared" si="31"/>
        <v>1.081184159938485</v>
      </c>
      <c r="P311" s="6">
        <f t="shared" si="32"/>
        <v>0.11244315263360244</v>
      </c>
      <c r="Q311" s="10">
        <f t="shared" si="33"/>
        <v>2.3425656798667176E-3</v>
      </c>
      <c r="R311" s="10">
        <f t="shared" si="34"/>
        <v>1.685861450724056E-2</v>
      </c>
      <c r="S311" s="10">
        <f t="shared" si="35"/>
        <v>1.9201180187107276E-2</v>
      </c>
    </row>
    <row r="312" spans="1:19" x14ac:dyDescent="0.25">
      <c r="A312" s="5" t="s">
        <v>8</v>
      </c>
      <c r="B312" s="5" t="s">
        <v>201</v>
      </c>
      <c r="C312" s="5" t="s">
        <v>27</v>
      </c>
      <c r="D312" s="5" t="s">
        <v>385</v>
      </c>
      <c r="E312" s="5" t="s">
        <v>384</v>
      </c>
      <c r="F312" s="5" t="s">
        <v>45</v>
      </c>
      <c r="G312" s="5" t="s">
        <v>390</v>
      </c>
      <c r="H312" s="5" t="s">
        <v>46</v>
      </c>
      <c r="I312" s="5" t="s">
        <v>196</v>
      </c>
      <c r="J312" s="15">
        <v>1020</v>
      </c>
      <c r="K312" s="7">
        <v>23.5</v>
      </c>
      <c r="L312" s="7">
        <f t="shared" si="30"/>
        <v>43.404255319148938</v>
      </c>
      <c r="M312" s="5" t="s">
        <v>10</v>
      </c>
      <c r="N312" s="5">
        <v>4</v>
      </c>
      <c r="O312" s="6">
        <f t="shared" si="31"/>
        <v>1.2010049796287914</v>
      </c>
      <c r="P312" s="6">
        <f t="shared" si="32"/>
        <v>0.1249045178813943</v>
      </c>
      <c r="Q312" s="10">
        <f t="shared" si="33"/>
        <v>2.6021774558623811E-3</v>
      </c>
      <c r="R312" s="10">
        <f t="shared" si="34"/>
        <v>1.824129766845984E-2</v>
      </c>
      <c r="S312" s="10">
        <f t="shared" si="35"/>
        <v>2.0843475124322219E-2</v>
      </c>
    </row>
    <row r="313" spans="1:19" x14ac:dyDescent="0.25">
      <c r="A313" s="5" t="s">
        <v>8</v>
      </c>
      <c r="B313" s="5" t="s">
        <v>300</v>
      </c>
      <c r="C313" s="5" t="s">
        <v>27</v>
      </c>
      <c r="D313" s="5" t="s">
        <v>385</v>
      </c>
      <c r="E313" s="5" t="s">
        <v>384</v>
      </c>
      <c r="F313" s="5" t="s">
        <v>45</v>
      </c>
      <c r="G313" s="5" t="s">
        <v>390</v>
      </c>
      <c r="H313" s="5" t="s">
        <v>46</v>
      </c>
      <c r="I313" s="5" t="s">
        <v>196</v>
      </c>
      <c r="J313" s="15">
        <v>1195</v>
      </c>
      <c r="K313" s="7">
        <v>24</v>
      </c>
      <c r="L313" s="7">
        <f t="shared" si="30"/>
        <v>49.791666666666664</v>
      </c>
      <c r="M313" s="5" t="s">
        <v>10</v>
      </c>
      <c r="N313" s="5">
        <v>4</v>
      </c>
      <c r="O313" s="6">
        <f t="shared" si="31"/>
        <v>1.8516600206163194</v>
      </c>
      <c r="P313" s="6">
        <f t="shared" si="32"/>
        <v>0.19257264214409722</v>
      </c>
      <c r="Q313" s="10">
        <f t="shared" si="33"/>
        <v>4.0119300446686918E-3</v>
      </c>
      <c r="R313" s="10">
        <f t="shared" si="34"/>
        <v>2.5238762776790758E-2</v>
      </c>
      <c r="S313" s="10">
        <f t="shared" si="35"/>
        <v>2.9250692821459451E-2</v>
      </c>
    </row>
    <row r="314" spans="1:19" x14ac:dyDescent="0.25">
      <c r="A314" s="5" t="s">
        <v>8</v>
      </c>
      <c r="B314" s="5" t="s">
        <v>322</v>
      </c>
      <c r="C314" s="5" t="s">
        <v>27</v>
      </c>
      <c r="D314" s="5" t="s">
        <v>385</v>
      </c>
      <c r="E314" s="5" t="s">
        <v>384</v>
      </c>
      <c r="F314" s="5" t="s">
        <v>45</v>
      </c>
      <c r="G314" s="5" t="s">
        <v>390</v>
      </c>
      <c r="H314" s="5" t="s">
        <v>46</v>
      </c>
      <c r="I314" s="5" t="s">
        <v>196</v>
      </c>
      <c r="J314" s="15">
        <v>840</v>
      </c>
      <c r="K314" s="7">
        <v>25</v>
      </c>
      <c r="L314" s="7">
        <f t="shared" si="30"/>
        <v>33.6</v>
      </c>
      <c r="M314" s="5" t="s">
        <v>10</v>
      </c>
      <c r="N314" s="5">
        <v>4</v>
      </c>
      <c r="O314" s="6">
        <f t="shared" si="31"/>
        <v>0.59270400000000001</v>
      </c>
      <c r="P314" s="6">
        <f t="shared" si="32"/>
        <v>6.1641216000000006E-2</v>
      </c>
      <c r="Q314" s="10">
        <f t="shared" si="33"/>
        <v>1.284192E-3</v>
      </c>
      <c r="R314" s="10">
        <f t="shared" si="34"/>
        <v>1.0740525188849282E-2</v>
      </c>
      <c r="S314" s="10">
        <f t="shared" si="35"/>
        <v>1.2024717188849282E-2</v>
      </c>
    </row>
    <row r="315" spans="1:19" x14ac:dyDescent="0.25">
      <c r="A315" s="5" t="s">
        <v>8</v>
      </c>
      <c r="B315" s="5" t="s">
        <v>328</v>
      </c>
      <c r="C315" s="5" t="s">
        <v>27</v>
      </c>
      <c r="D315" s="5" t="s">
        <v>385</v>
      </c>
      <c r="E315" s="5" t="s">
        <v>384</v>
      </c>
      <c r="F315" s="5" t="s">
        <v>45</v>
      </c>
      <c r="G315" s="5" t="s">
        <v>390</v>
      </c>
      <c r="H315" s="5" t="s">
        <v>46</v>
      </c>
      <c r="I315" s="5" t="s">
        <v>196</v>
      </c>
      <c r="J315" s="15">
        <v>1022</v>
      </c>
      <c r="K315" s="7">
        <v>24.8</v>
      </c>
      <c r="L315" s="7">
        <f t="shared" si="30"/>
        <v>41.20967741935484</v>
      </c>
      <c r="M315" s="5" t="s">
        <v>10</v>
      </c>
      <c r="N315" s="5">
        <v>4</v>
      </c>
      <c r="O315" s="6">
        <f t="shared" si="31"/>
        <v>1.0847492114334027</v>
      </c>
      <c r="P315" s="6">
        <f t="shared" si="32"/>
        <v>0.11281391798907389</v>
      </c>
      <c r="Q315" s="10">
        <f t="shared" si="33"/>
        <v>2.3502899581057056E-3</v>
      </c>
      <c r="R315" s="10">
        <f t="shared" si="34"/>
        <v>1.6900289015310911E-2</v>
      </c>
      <c r="S315" s="10">
        <f t="shared" si="35"/>
        <v>1.9250578973416616E-2</v>
      </c>
    </row>
    <row r="316" spans="1:19" x14ac:dyDescent="0.25">
      <c r="A316" s="5" t="s">
        <v>8</v>
      </c>
      <c r="B316" s="5" t="s">
        <v>339</v>
      </c>
      <c r="C316" s="5" t="s">
        <v>27</v>
      </c>
      <c r="D316" s="5" t="s">
        <v>385</v>
      </c>
      <c r="E316" s="5" t="s">
        <v>384</v>
      </c>
      <c r="F316" s="5" t="s">
        <v>45</v>
      </c>
      <c r="G316" s="5" t="s">
        <v>390</v>
      </c>
      <c r="H316" s="5" t="s">
        <v>46</v>
      </c>
      <c r="I316" s="5" t="s">
        <v>196</v>
      </c>
      <c r="J316" s="15">
        <v>880</v>
      </c>
      <c r="K316" s="7">
        <v>22.6</v>
      </c>
      <c r="L316" s="7">
        <f t="shared" si="30"/>
        <v>38.938053097345133</v>
      </c>
      <c r="M316" s="5" t="s">
        <v>10</v>
      </c>
      <c r="N316" s="5">
        <v>4</v>
      </c>
      <c r="O316" s="6">
        <f t="shared" si="31"/>
        <v>0.83389458845641784</v>
      </c>
      <c r="P316" s="6">
        <f t="shared" si="32"/>
        <v>8.6725037199467447E-2</v>
      </c>
      <c r="Q316" s="10">
        <f t="shared" si="33"/>
        <v>1.8067716083222385E-3</v>
      </c>
      <c r="R316" s="10">
        <f t="shared" si="34"/>
        <v>1.3874920102171794E-2</v>
      </c>
      <c r="S316" s="10">
        <f t="shared" si="35"/>
        <v>1.5681691710494033E-2</v>
      </c>
    </row>
    <row r="317" spans="1:19" x14ac:dyDescent="0.25">
      <c r="A317" s="5" t="s">
        <v>8</v>
      </c>
      <c r="B317" s="5" t="s">
        <v>339</v>
      </c>
      <c r="C317" s="5" t="s">
        <v>27</v>
      </c>
      <c r="D317" s="5" t="s">
        <v>385</v>
      </c>
      <c r="E317" s="5" t="s">
        <v>384</v>
      </c>
      <c r="F317" s="5" t="s">
        <v>45</v>
      </c>
      <c r="G317" s="5" t="s">
        <v>390</v>
      </c>
      <c r="H317" s="5" t="s">
        <v>46</v>
      </c>
      <c r="I317" s="5" t="s">
        <v>196</v>
      </c>
      <c r="J317" s="15">
        <v>820</v>
      </c>
      <c r="K317" s="7">
        <v>21.8</v>
      </c>
      <c r="L317" s="7">
        <f t="shared" si="30"/>
        <v>37.61467889908257</v>
      </c>
      <c r="M317" s="5" t="s">
        <v>10</v>
      </c>
      <c r="N317" s="5">
        <v>4</v>
      </c>
      <c r="O317" s="6">
        <f t="shared" si="31"/>
        <v>0.72511783519905726</v>
      </c>
      <c r="P317" s="6">
        <f t="shared" si="32"/>
        <v>7.5412254860701966E-2</v>
      </c>
      <c r="Q317" s="10">
        <f t="shared" si="33"/>
        <v>1.5710886429312907E-3</v>
      </c>
      <c r="R317" s="10">
        <f t="shared" si="34"/>
        <v>1.2494059354586017E-2</v>
      </c>
      <c r="S317" s="10">
        <f t="shared" si="35"/>
        <v>1.4065147997517308E-2</v>
      </c>
    </row>
    <row r="318" spans="1:19" x14ac:dyDescent="0.25">
      <c r="A318" s="5" t="s">
        <v>8</v>
      </c>
      <c r="B318" s="5" t="s">
        <v>192</v>
      </c>
      <c r="C318" s="5" t="s">
        <v>27</v>
      </c>
      <c r="D318" s="5" t="s">
        <v>385</v>
      </c>
      <c r="E318" s="5" t="s">
        <v>384</v>
      </c>
      <c r="F318" s="5" t="s">
        <v>45</v>
      </c>
      <c r="G318" s="5" t="s">
        <v>390</v>
      </c>
      <c r="H318" s="5" t="s">
        <v>46</v>
      </c>
      <c r="I318" s="5" t="s">
        <v>212</v>
      </c>
      <c r="J318" s="15">
        <v>730</v>
      </c>
      <c r="K318" s="7">
        <v>24.3</v>
      </c>
      <c r="L318" s="7">
        <f t="shared" si="30"/>
        <v>30.041152263374485</v>
      </c>
      <c r="M318" s="5" t="s">
        <v>10</v>
      </c>
      <c r="N318" s="5">
        <v>4</v>
      </c>
      <c r="O318" s="6">
        <f t="shared" si="31"/>
        <v>0.41175231587325783</v>
      </c>
      <c r="P318" s="6">
        <f t="shared" si="32"/>
        <v>4.2822240850818816E-2</v>
      </c>
      <c r="Q318" s="10">
        <f t="shared" si="33"/>
        <v>8.9213001772539199E-4</v>
      </c>
      <c r="R318" s="10">
        <f t="shared" si="34"/>
        <v>8.1728619312888239E-3</v>
      </c>
      <c r="S318" s="10">
        <f t="shared" si="35"/>
        <v>9.0649919490142158E-3</v>
      </c>
    </row>
    <row r="319" spans="1:19" x14ac:dyDescent="0.25">
      <c r="A319" s="5" t="s">
        <v>22</v>
      </c>
      <c r="B319" s="5" t="s">
        <v>63</v>
      </c>
      <c r="C319" s="5" t="s">
        <v>27</v>
      </c>
      <c r="D319" s="5" t="s">
        <v>385</v>
      </c>
      <c r="E319" s="5" t="s">
        <v>384</v>
      </c>
      <c r="F319" s="5" t="s">
        <v>45</v>
      </c>
      <c r="G319" s="5" t="s">
        <v>390</v>
      </c>
      <c r="H319" s="5" t="s">
        <v>46</v>
      </c>
      <c r="I319" s="5" t="s">
        <v>152</v>
      </c>
      <c r="J319" s="15">
        <v>2050</v>
      </c>
      <c r="K319" s="7">
        <v>48</v>
      </c>
      <c r="L319" s="7">
        <f t="shared" si="30"/>
        <v>42.708333333333336</v>
      </c>
      <c r="M319" s="5" t="s">
        <v>10</v>
      </c>
      <c r="N319" s="5">
        <v>4</v>
      </c>
      <c r="O319" s="6">
        <f t="shared" si="31"/>
        <v>2.3370022243923612</v>
      </c>
      <c r="P319" s="6">
        <f t="shared" si="32"/>
        <v>0.24304823133680559</v>
      </c>
      <c r="Q319" s="10">
        <f t="shared" si="33"/>
        <v>5.0635048195167825E-3</v>
      </c>
      <c r="R319" s="10">
        <f t="shared" si="34"/>
        <v>3.0053251699317985E-2</v>
      </c>
      <c r="S319" s="10">
        <f t="shared" si="35"/>
        <v>3.5116756518834766E-2</v>
      </c>
    </row>
    <row r="320" spans="1:19" x14ac:dyDescent="0.25">
      <c r="A320" s="5" t="s">
        <v>8</v>
      </c>
      <c r="B320" s="5" t="s">
        <v>375</v>
      </c>
      <c r="C320" s="5" t="s">
        <v>27</v>
      </c>
      <c r="D320" s="5" t="s">
        <v>385</v>
      </c>
      <c r="E320" s="5" t="s">
        <v>384</v>
      </c>
      <c r="F320" s="5" t="s">
        <v>45</v>
      </c>
      <c r="G320" s="5" t="s">
        <v>390</v>
      </c>
      <c r="H320" s="5" t="s">
        <v>46</v>
      </c>
      <c r="I320" s="5" t="s">
        <v>152</v>
      </c>
      <c r="J320" s="15">
        <v>2000</v>
      </c>
      <c r="K320" s="7">
        <v>47</v>
      </c>
      <c r="L320" s="7">
        <f t="shared" si="30"/>
        <v>42.553191489361701</v>
      </c>
      <c r="M320" s="5" t="s">
        <v>10</v>
      </c>
      <c r="N320" s="5">
        <v>4</v>
      </c>
      <c r="O320" s="6">
        <f t="shared" si="31"/>
        <v>2.2634676324128562</v>
      </c>
      <c r="P320" s="6">
        <f t="shared" si="32"/>
        <v>0.23540063377093706</v>
      </c>
      <c r="Q320" s="10">
        <f t="shared" si="33"/>
        <v>4.9041798702278549E-3</v>
      </c>
      <c r="R320" s="10">
        <f t="shared" si="34"/>
        <v>2.9341197903551185E-2</v>
      </c>
      <c r="S320" s="10">
        <f t="shared" si="35"/>
        <v>3.4245377773779041E-2</v>
      </c>
    </row>
    <row r="321" spans="1:19" x14ac:dyDescent="0.25">
      <c r="A321" s="5" t="s">
        <v>8</v>
      </c>
      <c r="B321" s="5" t="s">
        <v>300</v>
      </c>
      <c r="C321" s="5" t="s">
        <v>27</v>
      </c>
      <c r="D321" s="5" t="s">
        <v>385</v>
      </c>
      <c r="E321" s="5" t="s">
        <v>384</v>
      </c>
      <c r="F321" s="5" t="s">
        <v>45</v>
      </c>
      <c r="G321" s="5" t="s">
        <v>390</v>
      </c>
      <c r="H321" s="5" t="s">
        <v>46</v>
      </c>
      <c r="I321" s="5" t="s">
        <v>302</v>
      </c>
      <c r="J321" s="15">
        <v>1357</v>
      </c>
      <c r="K321" s="7">
        <v>29</v>
      </c>
      <c r="L321" s="7">
        <f t="shared" si="30"/>
        <v>46.793103448275865</v>
      </c>
      <c r="M321" s="5" t="s">
        <v>10</v>
      </c>
      <c r="N321" s="5">
        <v>4</v>
      </c>
      <c r="O321" s="6">
        <f t="shared" si="31"/>
        <v>1.8570498610285375</v>
      </c>
      <c r="P321" s="6">
        <f t="shared" si="32"/>
        <v>0.19313318554696787</v>
      </c>
      <c r="Q321" s="10">
        <f t="shared" si="33"/>
        <v>4.0236080322284982E-3</v>
      </c>
      <c r="R321" s="10">
        <f t="shared" si="34"/>
        <v>2.5293841786768613E-2</v>
      </c>
      <c r="S321" s="10">
        <f t="shared" si="35"/>
        <v>2.9317449818997112E-2</v>
      </c>
    </row>
    <row r="322" spans="1:19" x14ac:dyDescent="0.25">
      <c r="A322" s="5" t="s">
        <v>8</v>
      </c>
      <c r="B322" s="5" t="s">
        <v>328</v>
      </c>
      <c r="C322" s="5" t="s">
        <v>27</v>
      </c>
      <c r="D322" s="5" t="s">
        <v>385</v>
      </c>
      <c r="E322" s="5" t="s">
        <v>384</v>
      </c>
      <c r="F322" s="5" t="s">
        <v>45</v>
      </c>
      <c r="G322" s="5" t="s">
        <v>390</v>
      </c>
      <c r="H322" s="5" t="s">
        <v>46</v>
      </c>
      <c r="I322" s="5" t="s">
        <v>302</v>
      </c>
      <c r="J322" s="15">
        <v>1363</v>
      </c>
      <c r="K322" s="7">
        <v>28.2</v>
      </c>
      <c r="L322" s="7">
        <f t="shared" si="30"/>
        <v>48.333333333333336</v>
      </c>
      <c r="M322" s="5" t="s">
        <v>10</v>
      </c>
      <c r="N322" s="5">
        <v>4</v>
      </c>
      <c r="O322" s="6">
        <f t="shared" si="31"/>
        <v>1.9900746527777777</v>
      </c>
      <c r="P322" s="6">
        <f t="shared" si="32"/>
        <v>0.20696776388888888</v>
      </c>
      <c r="Q322" s="10">
        <f t="shared" si="33"/>
        <v>4.3118284143518516E-3</v>
      </c>
      <c r="R322" s="10">
        <f t="shared" si="34"/>
        <v>2.6640915833609679E-2</v>
      </c>
      <c r="S322" s="10">
        <f t="shared" si="35"/>
        <v>3.0952744247961531E-2</v>
      </c>
    </row>
    <row r="323" spans="1:19" x14ac:dyDescent="0.25">
      <c r="A323" s="5" t="s">
        <v>8</v>
      </c>
      <c r="B323" s="5" t="s">
        <v>354</v>
      </c>
      <c r="C323" s="5" t="s">
        <v>27</v>
      </c>
      <c r="D323" s="5" t="s">
        <v>385</v>
      </c>
      <c r="E323" s="5" t="s">
        <v>384</v>
      </c>
      <c r="F323" s="5" t="s">
        <v>45</v>
      </c>
      <c r="G323" s="5" t="s">
        <v>390</v>
      </c>
      <c r="H323" s="5" t="s">
        <v>46</v>
      </c>
      <c r="I323" s="5" t="s">
        <v>302</v>
      </c>
      <c r="J323" s="15">
        <v>1350</v>
      </c>
      <c r="K323" s="7">
        <v>32.5</v>
      </c>
      <c r="L323" s="7">
        <f t="shared" si="30"/>
        <v>41.53846153846154</v>
      </c>
      <c r="M323" s="5" t="s">
        <v>10</v>
      </c>
      <c r="N323" s="5">
        <v>4</v>
      </c>
      <c r="O323" s="6">
        <f t="shared" si="31"/>
        <v>1.4558431952662723</v>
      </c>
      <c r="P323" s="6">
        <f t="shared" si="32"/>
        <v>0.15140769230769233</v>
      </c>
      <c r="Q323" s="10">
        <f t="shared" si="33"/>
        <v>3.1543269230769229E-3</v>
      </c>
      <c r="R323" s="10">
        <f t="shared" si="34"/>
        <v>2.107332548180799E-2</v>
      </c>
      <c r="S323" s="10">
        <f t="shared" si="35"/>
        <v>2.4227652404884913E-2</v>
      </c>
    </row>
    <row r="324" spans="1:19" x14ac:dyDescent="0.25">
      <c r="A324" s="5" t="s">
        <v>22</v>
      </c>
      <c r="B324" s="5" t="s">
        <v>26</v>
      </c>
      <c r="C324" s="5" t="s">
        <v>27</v>
      </c>
      <c r="D324" s="5" t="s">
        <v>385</v>
      </c>
      <c r="E324" s="5" t="s">
        <v>384</v>
      </c>
      <c r="F324" s="5" t="s">
        <v>45</v>
      </c>
      <c r="G324" s="5" t="s">
        <v>390</v>
      </c>
      <c r="H324" s="5" t="s">
        <v>46</v>
      </c>
      <c r="I324" s="5" t="s">
        <v>48</v>
      </c>
      <c r="J324" s="15">
        <v>1300</v>
      </c>
      <c r="K324" s="7">
        <v>31.5</v>
      </c>
      <c r="L324" s="7">
        <f t="shared" si="30"/>
        <v>41.269841269841272</v>
      </c>
      <c r="M324" s="5" t="s">
        <v>10</v>
      </c>
      <c r="N324" s="5">
        <v>4</v>
      </c>
      <c r="O324" s="6">
        <f t="shared" si="31"/>
        <v>1.3838498362307887</v>
      </c>
      <c r="P324" s="6">
        <f t="shared" si="32"/>
        <v>0.14392038296800203</v>
      </c>
      <c r="Q324" s="10">
        <f t="shared" si="33"/>
        <v>2.9983413118333754E-3</v>
      </c>
      <c r="R324" s="10">
        <f t="shared" si="34"/>
        <v>2.0286814091063157E-2</v>
      </c>
      <c r="S324" s="10">
        <f t="shared" si="35"/>
        <v>2.3285155402896534E-2</v>
      </c>
    </row>
    <row r="325" spans="1:19" x14ac:dyDescent="0.25">
      <c r="A325" s="5" t="s">
        <v>8</v>
      </c>
      <c r="B325" s="5" t="s">
        <v>191</v>
      </c>
      <c r="C325" s="5" t="s">
        <v>27</v>
      </c>
      <c r="D325" s="5" t="s">
        <v>385</v>
      </c>
      <c r="E325" s="5" t="s">
        <v>384</v>
      </c>
      <c r="F325" s="5" t="s">
        <v>45</v>
      </c>
      <c r="G325" s="5" t="s">
        <v>390</v>
      </c>
      <c r="H325" s="5" t="s">
        <v>46</v>
      </c>
      <c r="I325" s="5" t="s">
        <v>48</v>
      </c>
      <c r="J325" s="15">
        <v>1700</v>
      </c>
      <c r="K325" s="7">
        <v>30</v>
      </c>
      <c r="L325" s="7">
        <f t="shared" si="30"/>
        <v>56.666666666666664</v>
      </c>
      <c r="M325" s="5" t="s">
        <v>10</v>
      </c>
      <c r="N325" s="5">
        <v>4</v>
      </c>
      <c r="O325" s="6">
        <f t="shared" si="31"/>
        <v>3.4118055555555551</v>
      </c>
      <c r="P325" s="6">
        <f t="shared" si="32"/>
        <v>0.35482777777777774</v>
      </c>
      <c r="Q325" s="10">
        <f t="shared" si="33"/>
        <v>7.3922453703703685E-3</v>
      </c>
      <c r="R325" s="10">
        <f t="shared" si="34"/>
        <v>3.9914925990768291E-2</v>
      </c>
      <c r="S325" s="10">
        <f t="shared" si="35"/>
        <v>4.7307171361138656E-2</v>
      </c>
    </row>
    <row r="326" spans="1:19" x14ac:dyDescent="0.25">
      <c r="A326" s="5" t="s">
        <v>8</v>
      </c>
      <c r="B326" s="5" t="s">
        <v>192</v>
      </c>
      <c r="C326" s="5" t="s">
        <v>27</v>
      </c>
      <c r="D326" s="5" t="s">
        <v>385</v>
      </c>
      <c r="E326" s="5" t="s">
        <v>384</v>
      </c>
      <c r="F326" s="5" t="s">
        <v>45</v>
      </c>
      <c r="G326" s="5" t="s">
        <v>390</v>
      </c>
      <c r="H326" s="5" t="s">
        <v>46</v>
      </c>
      <c r="I326" s="5" t="s">
        <v>48</v>
      </c>
      <c r="J326" s="15">
        <v>1590</v>
      </c>
      <c r="K326" s="7">
        <v>29.6</v>
      </c>
      <c r="L326" s="7">
        <f t="shared" si="30"/>
        <v>53.71621621621621</v>
      </c>
      <c r="M326" s="5" t="s">
        <v>10</v>
      </c>
      <c r="N326" s="5">
        <v>4</v>
      </c>
      <c r="O326" s="6">
        <f t="shared" si="31"/>
        <v>2.867397935308619</v>
      </c>
      <c r="P326" s="6">
        <f t="shared" si="32"/>
        <v>0.29820938527209634</v>
      </c>
      <c r="Q326" s="10">
        <f t="shared" si="33"/>
        <v>6.2126955265020068E-3</v>
      </c>
      <c r="R326" s="10">
        <f t="shared" si="34"/>
        <v>3.5035885669132544E-2</v>
      </c>
      <c r="S326" s="10">
        <f t="shared" si="35"/>
        <v>4.124858119563455E-2</v>
      </c>
    </row>
    <row r="327" spans="1:19" x14ac:dyDescent="0.25">
      <c r="A327" s="5" t="s">
        <v>8</v>
      </c>
      <c r="B327" s="5" t="s">
        <v>214</v>
      </c>
      <c r="C327" s="5" t="s">
        <v>27</v>
      </c>
      <c r="D327" s="5" t="s">
        <v>385</v>
      </c>
      <c r="E327" s="5" t="s">
        <v>384</v>
      </c>
      <c r="F327" s="5" t="s">
        <v>45</v>
      </c>
      <c r="G327" s="5" t="s">
        <v>390</v>
      </c>
      <c r="H327" s="5" t="s">
        <v>46</v>
      </c>
      <c r="I327" s="5" t="s">
        <v>48</v>
      </c>
      <c r="J327" s="15">
        <v>1100</v>
      </c>
      <c r="K327" s="7">
        <v>27</v>
      </c>
      <c r="L327" s="7">
        <f t="shared" si="30"/>
        <v>40.74074074074074</v>
      </c>
      <c r="M327" s="5" t="s">
        <v>10</v>
      </c>
      <c r="N327" s="5">
        <v>4</v>
      </c>
      <c r="O327" s="6">
        <f t="shared" si="31"/>
        <v>1.1411179698216736</v>
      </c>
      <c r="P327" s="6">
        <f t="shared" si="32"/>
        <v>0.11867626886145402</v>
      </c>
      <c r="Q327" s="10">
        <f t="shared" si="33"/>
        <v>2.4724222679469595E-3</v>
      </c>
      <c r="R327" s="10">
        <f t="shared" si="34"/>
        <v>1.7554765509974736E-2</v>
      </c>
      <c r="S327" s="10">
        <f t="shared" si="35"/>
        <v>2.0027187777921694E-2</v>
      </c>
    </row>
    <row r="328" spans="1:19" x14ac:dyDescent="0.25">
      <c r="A328" s="5" t="s">
        <v>8</v>
      </c>
      <c r="B328" s="5" t="s">
        <v>291</v>
      </c>
      <c r="C328" s="5" t="s">
        <v>27</v>
      </c>
      <c r="D328" s="5" t="s">
        <v>385</v>
      </c>
      <c r="E328" s="5" t="s">
        <v>384</v>
      </c>
      <c r="F328" s="5" t="s">
        <v>45</v>
      </c>
      <c r="G328" s="5" t="s">
        <v>390</v>
      </c>
      <c r="H328" s="5" t="s">
        <v>46</v>
      </c>
      <c r="I328" s="5" t="s">
        <v>48</v>
      </c>
      <c r="J328" s="15">
        <v>980</v>
      </c>
      <c r="K328" s="7">
        <v>26</v>
      </c>
      <c r="L328" s="7">
        <f t="shared" si="30"/>
        <v>37.692307692307693</v>
      </c>
      <c r="M328" s="5" t="s">
        <v>10</v>
      </c>
      <c r="N328" s="5">
        <v>4</v>
      </c>
      <c r="O328" s="6">
        <f t="shared" si="31"/>
        <v>0.87018491124260366</v>
      </c>
      <c r="P328" s="6">
        <f t="shared" si="32"/>
        <v>9.0499230769230776E-2</v>
      </c>
      <c r="Q328" s="10">
        <f t="shared" si="33"/>
        <v>1.8854006410256412E-3</v>
      </c>
      <c r="R328" s="10">
        <f t="shared" si="34"/>
        <v>1.4325367948525116E-2</v>
      </c>
      <c r="S328" s="10">
        <f t="shared" si="35"/>
        <v>1.6210768589550756E-2</v>
      </c>
    </row>
    <row r="329" spans="1:19" x14ac:dyDescent="0.25">
      <c r="A329" s="5" t="s">
        <v>8</v>
      </c>
      <c r="B329" s="5" t="s">
        <v>300</v>
      </c>
      <c r="C329" s="5" t="s">
        <v>27</v>
      </c>
      <c r="D329" s="5" t="s">
        <v>385</v>
      </c>
      <c r="E329" s="5" t="s">
        <v>384</v>
      </c>
      <c r="F329" s="5" t="s">
        <v>45</v>
      </c>
      <c r="G329" s="5" t="s">
        <v>390</v>
      </c>
      <c r="H329" s="5" t="s">
        <v>46</v>
      </c>
      <c r="I329" s="5" t="s">
        <v>48</v>
      </c>
      <c r="J329" s="15">
        <v>980</v>
      </c>
      <c r="K329" s="7">
        <v>26</v>
      </c>
      <c r="L329" s="7">
        <f t="shared" si="30"/>
        <v>37.692307692307693</v>
      </c>
      <c r="M329" s="5" t="s">
        <v>10</v>
      </c>
      <c r="N329" s="5">
        <v>4</v>
      </c>
      <c r="O329" s="6">
        <f t="shared" si="31"/>
        <v>0.87018491124260366</v>
      </c>
      <c r="P329" s="6">
        <f t="shared" si="32"/>
        <v>9.0499230769230776E-2</v>
      </c>
      <c r="Q329" s="10">
        <f t="shared" si="33"/>
        <v>1.8854006410256412E-3</v>
      </c>
      <c r="R329" s="10">
        <f t="shared" si="34"/>
        <v>1.4325367948525116E-2</v>
      </c>
      <c r="S329" s="10">
        <f t="shared" si="35"/>
        <v>1.6210768589550756E-2</v>
      </c>
    </row>
    <row r="330" spans="1:19" x14ac:dyDescent="0.25">
      <c r="A330" s="5" t="s">
        <v>8</v>
      </c>
      <c r="B330" s="5" t="s">
        <v>307</v>
      </c>
      <c r="C330" s="5" t="s">
        <v>27</v>
      </c>
      <c r="D330" s="5" t="s">
        <v>385</v>
      </c>
      <c r="E330" s="5" t="s">
        <v>384</v>
      </c>
      <c r="F330" s="5" t="s">
        <v>45</v>
      </c>
      <c r="G330" s="5" t="s">
        <v>390</v>
      </c>
      <c r="H330" s="5" t="s">
        <v>46</v>
      </c>
      <c r="I330" s="5" t="s">
        <v>48</v>
      </c>
      <c r="J330" s="15">
        <v>1600</v>
      </c>
      <c r="K330" s="7">
        <v>31.2</v>
      </c>
      <c r="L330" s="7">
        <f t="shared" ref="L330:L393" si="36">J330/K330</f>
        <v>51.282051282051285</v>
      </c>
      <c r="M330" s="5" t="s">
        <v>10</v>
      </c>
      <c r="N330" s="5">
        <v>4</v>
      </c>
      <c r="O330" s="6">
        <f t="shared" ref="O330:O393" si="37">(J330*L330^2)/(1.6*10^6)</f>
        <v>2.6298487836949382</v>
      </c>
      <c r="P330" s="6">
        <f t="shared" ref="P330:P393" si="38">(0.104*J330*L330^2)/(1.6*10^6)</f>
        <v>0.27350427350427353</v>
      </c>
      <c r="Q330" s="10">
        <f t="shared" ref="Q330:Q393" si="39">(0.104*O330)/(12*N330)</f>
        <v>5.6980056980057E-3</v>
      </c>
      <c r="R330" s="10">
        <f t="shared" ref="R330:R393" si="40">0.0159*O330^0.75</f>
        <v>3.2835618960862005E-2</v>
      </c>
      <c r="S330" s="10">
        <f t="shared" ref="S330:S393" si="41">Q330+R330</f>
        <v>3.8533624658867706E-2</v>
      </c>
    </row>
    <row r="331" spans="1:19" x14ac:dyDescent="0.25">
      <c r="A331" s="5" t="s">
        <v>8</v>
      </c>
      <c r="B331" s="5" t="s">
        <v>339</v>
      </c>
      <c r="C331" s="5" t="s">
        <v>27</v>
      </c>
      <c r="D331" s="5" t="s">
        <v>385</v>
      </c>
      <c r="E331" s="5" t="s">
        <v>384</v>
      </c>
      <c r="F331" s="5" t="s">
        <v>45</v>
      </c>
      <c r="G331" s="5" t="s">
        <v>390</v>
      </c>
      <c r="H331" s="5" t="s">
        <v>46</v>
      </c>
      <c r="I331" s="5" t="s">
        <v>48</v>
      </c>
      <c r="J331" s="15">
        <v>1080</v>
      </c>
      <c r="K331" s="7">
        <v>28.5</v>
      </c>
      <c r="L331" s="7">
        <f t="shared" si="36"/>
        <v>37.89473684210526</v>
      </c>
      <c r="M331" s="5" t="s">
        <v>10</v>
      </c>
      <c r="N331" s="5">
        <v>4</v>
      </c>
      <c r="O331" s="6">
        <f t="shared" si="37"/>
        <v>0.96930747922437654</v>
      </c>
      <c r="P331" s="6">
        <f t="shared" si="38"/>
        <v>0.10080797783933516</v>
      </c>
      <c r="Q331" s="10">
        <f t="shared" si="39"/>
        <v>2.1001662049861488E-3</v>
      </c>
      <c r="R331" s="10">
        <f t="shared" si="40"/>
        <v>1.5532569200814635E-2</v>
      </c>
      <c r="S331" s="10">
        <f t="shared" si="41"/>
        <v>1.7632735405800785E-2</v>
      </c>
    </row>
    <row r="332" spans="1:19" x14ac:dyDescent="0.25">
      <c r="A332" s="5" t="s">
        <v>8</v>
      </c>
      <c r="B332" s="5" t="s">
        <v>339</v>
      </c>
      <c r="C332" s="5" t="s">
        <v>27</v>
      </c>
      <c r="D332" s="5" t="s">
        <v>385</v>
      </c>
      <c r="E332" s="5" t="s">
        <v>384</v>
      </c>
      <c r="F332" s="5" t="s">
        <v>45</v>
      </c>
      <c r="G332" s="5" t="s">
        <v>390</v>
      </c>
      <c r="H332" s="5" t="s">
        <v>46</v>
      </c>
      <c r="I332" s="5" t="s">
        <v>48</v>
      </c>
      <c r="J332" s="15">
        <v>962</v>
      </c>
      <c r="K332" s="7">
        <v>25</v>
      </c>
      <c r="L332" s="7">
        <f t="shared" si="36"/>
        <v>38.479999999999997</v>
      </c>
      <c r="M332" s="5" t="s">
        <v>10</v>
      </c>
      <c r="N332" s="5">
        <v>4</v>
      </c>
      <c r="O332" s="6">
        <f t="shared" si="37"/>
        <v>0.89027712799999981</v>
      </c>
      <c r="P332" s="6">
        <f t="shared" si="38"/>
        <v>9.2588821311999983E-2</v>
      </c>
      <c r="Q332" s="10">
        <f t="shared" si="39"/>
        <v>1.9289337773333328E-3</v>
      </c>
      <c r="R332" s="10">
        <f t="shared" si="40"/>
        <v>1.4572733957196257E-2</v>
      </c>
      <c r="S332" s="10">
        <f t="shared" si="41"/>
        <v>1.6501667734529591E-2</v>
      </c>
    </row>
    <row r="333" spans="1:19" x14ac:dyDescent="0.25">
      <c r="A333" s="5" t="s">
        <v>8</v>
      </c>
      <c r="B333" s="5" t="s">
        <v>339</v>
      </c>
      <c r="C333" s="5" t="s">
        <v>27</v>
      </c>
      <c r="D333" s="5" t="s">
        <v>385</v>
      </c>
      <c r="E333" s="5" t="s">
        <v>384</v>
      </c>
      <c r="F333" s="5" t="s">
        <v>45</v>
      </c>
      <c r="G333" s="5" t="s">
        <v>390</v>
      </c>
      <c r="H333" s="5" t="s">
        <v>46</v>
      </c>
      <c r="I333" s="5" t="s">
        <v>48</v>
      </c>
      <c r="J333" s="15">
        <v>970</v>
      </c>
      <c r="K333" s="7">
        <v>24.4</v>
      </c>
      <c r="L333" s="7">
        <f t="shared" si="36"/>
        <v>39.754098360655739</v>
      </c>
      <c r="M333" s="5" t="s">
        <v>10</v>
      </c>
      <c r="N333" s="5">
        <v>4</v>
      </c>
      <c r="O333" s="6">
        <f t="shared" si="37"/>
        <v>0.95811042898414411</v>
      </c>
      <c r="P333" s="6">
        <f t="shared" si="38"/>
        <v>9.9643484614350977E-2</v>
      </c>
      <c r="Q333" s="10">
        <f t="shared" si="39"/>
        <v>2.0759059294656454E-3</v>
      </c>
      <c r="R333" s="10">
        <f t="shared" si="40"/>
        <v>1.5397804452543755E-2</v>
      </c>
      <c r="S333" s="10">
        <f t="shared" si="41"/>
        <v>1.74737103820094E-2</v>
      </c>
    </row>
    <row r="334" spans="1:19" x14ac:dyDescent="0.25">
      <c r="A334" s="5" t="s">
        <v>22</v>
      </c>
      <c r="B334" s="5" t="s">
        <v>63</v>
      </c>
      <c r="C334" s="5" t="s">
        <v>27</v>
      </c>
      <c r="D334" s="5" t="s">
        <v>385</v>
      </c>
      <c r="E334" s="5" t="s">
        <v>384</v>
      </c>
      <c r="F334" s="5" t="s">
        <v>45</v>
      </c>
      <c r="G334" s="5" t="s">
        <v>390</v>
      </c>
      <c r="H334" s="5" t="s">
        <v>46</v>
      </c>
      <c r="I334" s="5" t="s">
        <v>14</v>
      </c>
      <c r="J334" s="15">
        <v>1110</v>
      </c>
      <c r="K334" s="7">
        <v>25</v>
      </c>
      <c r="L334" s="7">
        <f t="shared" si="36"/>
        <v>44.4</v>
      </c>
      <c r="M334" s="5" t="s">
        <v>10</v>
      </c>
      <c r="N334" s="5">
        <v>4</v>
      </c>
      <c r="O334" s="6">
        <f t="shared" si="37"/>
        <v>1.367631</v>
      </c>
      <c r="P334" s="6">
        <f t="shared" si="38"/>
        <v>0.14223362399999998</v>
      </c>
      <c r="Q334" s="10">
        <f t="shared" si="39"/>
        <v>2.9632005000000002E-3</v>
      </c>
      <c r="R334" s="10">
        <f t="shared" si="40"/>
        <v>2.0108229189784745E-2</v>
      </c>
      <c r="S334" s="10">
        <f t="shared" si="41"/>
        <v>2.3071429689784744E-2</v>
      </c>
    </row>
    <row r="335" spans="1:19" x14ac:dyDescent="0.25">
      <c r="A335" s="5" t="s">
        <v>8</v>
      </c>
      <c r="B335" s="5" t="s">
        <v>192</v>
      </c>
      <c r="C335" s="5" t="s">
        <v>27</v>
      </c>
      <c r="D335" s="5" t="s">
        <v>385</v>
      </c>
      <c r="E335" s="5" t="s">
        <v>384</v>
      </c>
      <c r="F335" s="5" t="s">
        <v>45</v>
      </c>
      <c r="G335" s="5" t="s">
        <v>390</v>
      </c>
      <c r="H335" s="5" t="s">
        <v>46</v>
      </c>
      <c r="I335" s="5" t="s">
        <v>14</v>
      </c>
      <c r="J335" s="15">
        <v>1090</v>
      </c>
      <c r="K335" s="7">
        <v>27.3</v>
      </c>
      <c r="L335" s="7">
        <f t="shared" si="36"/>
        <v>39.926739926739927</v>
      </c>
      <c r="M335" s="5" t="s">
        <v>10</v>
      </c>
      <c r="N335" s="5">
        <v>4</v>
      </c>
      <c r="O335" s="6">
        <f t="shared" si="37"/>
        <v>1.0860109823021911</v>
      </c>
      <c r="P335" s="6">
        <f t="shared" si="38"/>
        <v>0.11294514215942787</v>
      </c>
      <c r="Q335" s="10">
        <f t="shared" si="39"/>
        <v>2.3530237949880807E-3</v>
      </c>
      <c r="R335" s="10">
        <f t="shared" si="40"/>
        <v>1.6915030574766531E-2</v>
      </c>
      <c r="S335" s="10">
        <f t="shared" si="41"/>
        <v>1.9268054369754612E-2</v>
      </c>
    </row>
    <row r="336" spans="1:19" x14ac:dyDescent="0.25">
      <c r="A336" s="5" t="s">
        <v>8</v>
      </c>
      <c r="B336" s="5" t="s">
        <v>191</v>
      </c>
      <c r="C336" s="5" t="s">
        <v>27</v>
      </c>
      <c r="D336" s="5" t="s">
        <v>385</v>
      </c>
      <c r="E336" s="5" t="s">
        <v>384</v>
      </c>
      <c r="F336" s="5" t="s">
        <v>45</v>
      </c>
      <c r="G336" s="5" t="s">
        <v>390</v>
      </c>
      <c r="H336" s="5" t="s">
        <v>46</v>
      </c>
      <c r="I336" s="5" t="s">
        <v>14</v>
      </c>
      <c r="J336" s="15">
        <v>1200</v>
      </c>
      <c r="K336" s="7">
        <v>25</v>
      </c>
      <c r="L336" s="7">
        <f t="shared" si="36"/>
        <v>48</v>
      </c>
      <c r="M336" s="5" t="s">
        <v>10</v>
      </c>
      <c r="N336" s="5">
        <v>4</v>
      </c>
      <c r="O336" s="6">
        <f t="shared" si="37"/>
        <v>1.728</v>
      </c>
      <c r="P336" s="6">
        <f t="shared" si="38"/>
        <v>0.17971200000000001</v>
      </c>
      <c r="Q336" s="10">
        <f t="shared" si="39"/>
        <v>3.7439999999999995E-3</v>
      </c>
      <c r="R336" s="10">
        <f t="shared" si="40"/>
        <v>2.3963758151521651E-2</v>
      </c>
      <c r="S336" s="10">
        <f t="shared" si="41"/>
        <v>2.7707758151521652E-2</v>
      </c>
    </row>
    <row r="337" spans="1:19" x14ac:dyDescent="0.25">
      <c r="A337" s="5" t="s">
        <v>8</v>
      </c>
      <c r="B337" s="5" t="s">
        <v>193</v>
      </c>
      <c r="C337" s="5" t="s">
        <v>27</v>
      </c>
      <c r="D337" s="5" t="s">
        <v>385</v>
      </c>
      <c r="E337" s="5" t="s">
        <v>384</v>
      </c>
      <c r="F337" s="5" t="s">
        <v>45</v>
      </c>
      <c r="G337" s="5" t="s">
        <v>390</v>
      </c>
      <c r="H337" s="5" t="s">
        <v>46</v>
      </c>
      <c r="I337" s="5" t="s">
        <v>14</v>
      </c>
      <c r="J337" s="15">
        <v>1110</v>
      </c>
      <c r="K337" s="7">
        <v>24.5</v>
      </c>
      <c r="L337" s="7">
        <f t="shared" si="36"/>
        <v>45.306122448979593</v>
      </c>
      <c r="M337" s="5" t="s">
        <v>10</v>
      </c>
      <c r="N337" s="5">
        <v>4</v>
      </c>
      <c r="O337" s="6">
        <f t="shared" si="37"/>
        <v>1.424022282382341</v>
      </c>
      <c r="P337" s="6">
        <f t="shared" si="38"/>
        <v>0.14809831736776344</v>
      </c>
      <c r="Q337" s="10">
        <f t="shared" si="39"/>
        <v>3.0853816118284055E-3</v>
      </c>
      <c r="R337" s="10">
        <f t="shared" si="40"/>
        <v>2.0726917227040922E-2</v>
      </c>
      <c r="S337" s="10">
        <f t="shared" si="41"/>
        <v>2.3812298838869327E-2</v>
      </c>
    </row>
    <row r="338" spans="1:19" x14ac:dyDescent="0.25">
      <c r="A338" s="5" t="s">
        <v>8</v>
      </c>
      <c r="B338" s="5" t="s">
        <v>194</v>
      </c>
      <c r="C338" s="5" t="s">
        <v>27</v>
      </c>
      <c r="D338" s="5" t="s">
        <v>385</v>
      </c>
      <c r="E338" s="5" t="s">
        <v>384</v>
      </c>
      <c r="F338" s="5" t="s">
        <v>45</v>
      </c>
      <c r="G338" s="5" t="s">
        <v>390</v>
      </c>
      <c r="H338" s="5" t="s">
        <v>46</v>
      </c>
      <c r="I338" s="5" t="s">
        <v>14</v>
      </c>
      <c r="J338" s="15">
        <v>1070</v>
      </c>
      <c r="K338" s="7">
        <v>24.5</v>
      </c>
      <c r="L338" s="7">
        <f t="shared" si="36"/>
        <v>43.673469387755105</v>
      </c>
      <c r="M338" s="5" t="s">
        <v>10</v>
      </c>
      <c r="N338" s="5">
        <v>4</v>
      </c>
      <c r="O338" s="6">
        <f t="shared" si="37"/>
        <v>1.275554977092878</v>
      </c>
      <c r="P338" s="6">
        <f t="shared" si="38"/>
        <v>0.13265771761765932</v>
      </c>
      <c r="Q338" s="10">
        <f t="shared" si="39"/>
        <v>2.7637024503679025E-3</v>
      </c>
      <c r="R338" s="10">
        <f t="shared" si="40"/>
        <v>1.9084092397598378E-2</v>
      </c>
      <c r="S338" s="10">
        <f t="shared" si="41"/>
        <v>2.1847794847966281E-2</v>
      </c>
    </row>
    <row r="339" spans="1:19" x14ac:dyDescent="0.25">
      <c r="A339" s="5" t="s">
        <v>8</v>
      </c>
      <c r="B339" s="5" t="s">
        <v>195</v>
      </c>
      <c r="C339" s="5" t="s">
        <v>27</v>
      </c>
      <c r="D339" s="5" t="s">
        <v>385</v>
      </c>
      <c r="E339" s="5" t="s">
        <v>384</v>
      </c>
      <c r="F339" s="5" t="s">
        <v>45</v>
      </c>
      <c r="G339" s="5" t="s">
        <v>390</v>
      </c>
      <c r="H339" s="5" t="s">
        <v>46</v>
      </c>
      <c r="I339" s="5" t="s">
        <v>14</v>
      </c>
      <c r="J339" s="15">
        <v>1160</v>
      </c>
      <c r="K339" s="7">
        <v>31.9</v>
      </c>
      <c r="L339" s="7">
        <f t="shared" si="36"/>
        <v>36.363636363636367</v>
      </c>
      <c r="M339" s="5" t="s">
        <v>10</v>
      </c>
      <c r="N339" s="5">
        <v>4</v>
      </c>
      <c r="O339" s="6">
        <f t="shared" si="37"/>
        <v>0.95867768595041347</v>
      </c>
      <c r="P339" s="6">
        <f t="shared" si="38"/>
        <v>9.9702479338843006E-2</v>
      </c>
      <c r="Q339" s="10">
        <f t="shared" si="39"/>
        <v>2.0771349862258957E-3</v>
      </c>
      <c r="R339" s="10">
        <f t="shared" si="40"/>
        <v>1.5404641241904566E-2</v>
      </c>
      <c r="S339" s="10">
        <f t="shared" si="41"/>
        <v>1.7481776228130463E-2</v>
      </c>
    </row>
    <row r="340" spans="1:19" x14ac:dyDescent="0.25">
      <c r="A340" s="5" t="s">
        <v>8</v>
      </c>
      <c r="B340" s="5" t="s">
        <v>214</v>
      </c>
      <c r="C340" s="5" t="s">
        <v>27</v>
      </c>
      <c r="D340" s="5" t="s">
        <v>385</v>
      </c>
      <c r="E340" s="5" t="s">
        <v>384</v>
      </c>
      <c r="F340" s="5" t="s">
        <v>45</v>
      </c>
      <c r="G340" s="5" t="s">
        <v>390</v>
      </c>
      <c r="H340" s="5" t="s">
        <v>46</v>
      </c>
      <c r="I340" s="5" t="s">
        <v>14</v>
      </c>
      <c r="J340" s="15">
        <v>1100</v>
      </c>
      <c r="K340" s="7">
        <v>32</v>
      </c>
      <c r="L340" s="7">
        <f t="shared" si="36"/>
        <v>34.375</v>
      </c>
      <c r="M340" s="5" t="s">
        <v>10</v>
      </c>
      <c r="N340" s="5">
        <v>4</v>
      </c>
      <c r="O340" s="6">
        <f t="shared" si="37"/>
        <v>0.8123779296875</v>
      </c>
      <c r="P340" s="6">
        <f t="shared" si="38"/>
        <v>8.4487304687500001E-2</v>
      </c>
      <c r="Q340" s="10">
        <f t="shared" si="39"/>
        <v>1.7601521809895834E-3</v>
      </c>
      <c r="R340" s="10">
        <f t="shared" si="40"/>
        <v>1.3605537743536752E-2</v>
      </c>
      <c r="S340" s="10">
        <f t="shared" si="41"/>
        <v>1.5365689924526336E-2</v>
      </c>
    </row>
    <row r="341" spans="1:19" x14ac:dyDescent="0.25">
      <c r="A341" s="5" t="s">
        <v>8</v>
      </c>
      <c r="B341" s="5" t="s">
        <v>329</v>
      </c>
      <c r="C341" s="5" t="s">
        <v>27</v>
      </c>
      <c r="D341" s="5" t="s">
        <v>385</v>
      </c>
      <c r="E341" s="5" t="s">
        <v>384</v>
      </c>
      <c r="F341" s="5" t="s">
        <v>45</v>
      </c>
      <c r="G341" s="5" t="s">
        <v>390</v>
      </c>
      <c r="H341" s="5" t="s">
        <v>46</v>
      </c>
      <c r="I341" s="5" t="s">
        <v>14</v>
      </c>
      <c r="J341" s="15">
        <v>1120</v>
      </c>
      <c r="K341" s="7">
        <v>36.5</v>
      </c>
      <c r="L341" s="7">
        <f t="shared" si="36"/>
        <v>30.684931506849313</v>
      </c>
      <c r="M341" s="5" t="s">
        <v>10</v>
      </c>
      <c r="N341" s="5">
        <v>4</v>
      </c>
      <c r="O341" s="6">
        <f t="shared" si="37"/>
        <v>0.65909551510602349</v>
      </c>
      <c r="P341" s="6">
        <f t="shared" si="38"/>
        <v>6.8545933571026438E-2</v>
      </c>
      <c r="Q341" s="10">
        <f t="shared" si="39"/>
        <v>1.4280402827297175E-3</v>
      </c>
      <c r="R341" s="10">
        <f t="shared" si="40"/>
        <v>1.1630767966535846E-2</v>
      </c>
      <c r="S341" s="10">
        <f t="shared" si="41"/>
        <v>1.3058808249265565E-2</v>
      </c>
    </row>
    <row r="342" spans="1:19" x14ac:dyDescent="0.25">
      <c r="A342" s="5" t="s">
        <v>8</v>
      </c>
      <c r="B342" s="5" t="s">
        <v>339</v>
      </c>
      <c r="C342" s="5" t="s">
        <v>27</v>
      </c>
      <c r="D342" s="5" t="s">
        <v>385</v>
      </c>
      <c r="E342" s="5" t="s">
        <v>384</v>
      </c>
      <c r="F342" s="5" t="s">
        <v>45</v>
      </c>
      <c r="G342" s="5" t="s">
        <v>390</v>
      </c>
      <c r="H342" s="5" t="s">
        <v>46</v>
      </c>
      <c r="I342" s="5" t="s">
        <v>14</v>
      </c>
      <c r="J342" s="15">
        <v>1010</v>
      </c>
      <c r="K342" s="7">
        <v>21.1</v>
      </c>
      <c r="L342" s="7">
        <f t="shared" si="36"/>
        <v>47.867298578199048</v>
      </c>
      <c r="M342" s="5" t="s">
        <v>10</v>
      </c>
      <c r="N342" s="5">
        <v>4</v>
      </c>
      <c r="O342" s="6">
        <f t="shared" si="37"/>
        <v>1.4463694099413755</v>
      </c>
      <c r="P342" s="6">
        <f t="shared" si="38"/>
        <v>0.15042241863390304</v>
      </c>
      <c r="Q342" s="10">
        <f t="shared" si="39"/>
        <v>3.1338003882063134E-3</v>
      </c>
      <c r="R342" s="10">
        <f t="shared" si="40"/>
        <v>2.0970391834637787E-2</v>
      </c>
      <c r="S342" s="10">
        <f t="shared" si="41"/>
        <v>2.4104192222844101E-2</v>
      </c>
    </row>
    <row r="343" spans="1:19" x14ac:dyDescent="0.25">
      <c r="A343" s="5" t="s">
        <v>8</v>
      </c>
      <c r="B343" s="5" t="s">
        <v>308</v>
      </c>
      <c r="C343" s="5" t="s">
        <v>27</v>
      </c>
      <c r="D343" s="5" t="s">
        <v>385</v>
      </c>
      <c r="E343" s="5" t="s">
        <v>384</v>
      </c>
      <c r="F343" s="5" t="s">
        <v>45</v>
      </c>
      <c r="G343" s="5" t="s">
        <v>390</v>
      </c>
      <c r="H343" s="5" t="s">
        <v>46</v>
      </c>
      <c r="I343" s="5" t="s">
        <v>71</v>
      </c>
      <c r="J343" s="15">
        <v>924</v>
      </c>
      <c r="K343" s="7">
        <v>33</v>
      </c>
      <c r="L343" s="7">
        <f t="shared" si="36"/>
        <v>28</v>
      </c>
      <c r="M343" s="5" t="s">
        <v>10</v>
      </c>
      <c r="N343" s="5">
        <v>4</v>
      </c>
      <c r="O343" s="6">
        <f t="shared" si="37"/>
        <v>0.45276</v>
      </c>
      <c r="P343" s="6">
        <f t="shared" si="38"/>
        <v>4.7087039999999997E-2</v>
      </c>
      <c r="Q343" s="10">
        <f t="shared" si="39"/>
        <v>9.8098E-4</v>
      </c>
      <c r="R343" s="10">
        <f t="shared" si="40"/>
        <v>8.7760312850900107E-3</v>
      </c>
      <c r="S343" s="10">
        <f t="shared" si="41"/>
        <v>9.7570112850900101E-3</v>
      </c>
    </row>
    <row r="344" spans="1:19" x14ac:dyDescent="0.25">
      <c r="A344" s="5" t="s">
        <v>8</v>
      </c>
      <c r="B344" s="5" t="s">
        <v>214</v>
      </c>
      <c r="C344" s="5" t="s">
        <v>27</v>
      </c>
      <c r="D344" s="5" t="s">
        <v>385</v>
      </c>
      <c r="E344" s="5" t="s">
        <v>384</v>
      </c>
      <c r="F344" s="5" t="s">
        <v>45</v>
      </c>
      <c r="G344" s="5" t="s">
        <v>390</v>
      </c>
      <c r="H344" s="5" t="s">
        <v>46</v>
      </c>
      <c r="I344" s="5" t="s">
        <v>215</v>
      </c>
      <c r="J344" s="15">
        <v>1100</v>
      </c>
      <c r="K344" s="7">
        <v>25</v>
      </c>
      <c r="L344" s="7">
        <f t="shared" si="36"/>
        <v>44</v>
      </c>
      <c r="M344" s="5" t="s">
        <v>10</v>
      </c>
      <c r="N344" s="5">
        <v>4</v>
      </c>
      <c r="O344" s="6">
        <f t="shared" si="37"/>
        <v>1.331</v>
      </c>
      <c r="P344" s="6">
        <f t="shared" si="38"/>
        <v>0.13842399999999999</v>
      </c>
      <c r="Q344" s="10">
        <f t="shared" si="39"/>
        <v>2.8838333333333333E-3</v>
      </c>
      <c r="R344" s="10">
        <f t="shared" si="40"/>
        <v>1.9702923264295638E-2</v>
      </c>
      <c r="S344" s="10">
        <f t="shared" si="41"/>
        <v>2.258675659762897E-2</v>
      </c>
    </row>
    <row r="345" spans="1:19" x14ac:dyDescent="0.25">
      <c r="A345" s="5" t="s">
        <v>8</v>
      </c>
      <c r="B345" s="5" t="s">
        <v>311</v>
      </c>
      <c r="C345" s="5" t="s">
        <v>27</v>
      </c>
      <c r="D345" s="5" t="s">
        <v>385</v>
      </c>
      <c r="E345" s="5" t="s">
        <v>384</v>
      </c>
      <c r="F345" s="5" t="s">
        <v>45</v>
      </c>
      <c r="G345" s="5" t="s">
        <v>390</v>
      </c>
      <c r="H345" s="5" t="s">
        <v>46</v>
      </c>
      <c r="I345" s="5" t="s">
        <v>215</v>
      </c>
      <c r="J345" s="15">
        <v>1200</v>
      </c>
      <c r="K345" s="7">
        <v>28</v>
      </c>
      <c r="L345" s="7">
        <f t="shared" si="36"/>
        <v>42.857142857142854</v>
      </c>
      <c r="M345" s="5" t="s">
        <v>10</v>
      </c>
      <c r="N345" s="5">
        <v>4</v>
      </c>
      <c r="O345" s="6">
        <f t="shared" si="37"/>
        <v>1.3775510204081631</v>
      </c>
      <c r="P345" s="6">
        <f t="shared" si="38"/>
        <v>0.14326530612244898</v>
      </c>
      <c r="Q345" s="10">
        <f t="shared" si="39"/>
        <v>2.9846938775510198E-3</v>
      </c>
      <c r="R345" s="10">
        <f t="shared" si="40"/>
        <v>2.0217520582724226E-2</v>
      </c>
      <c r="S345" s="10">
        <f t="shared" si="41"/>
        <v>2.3202214460275247E-2</v>
      </c>
    </row>
    <row r="346" spans="1:19" x14ac:dyDescent="0.25">
      <c r="A346" s="5" t="s">
        <v>8</v>
      </c>
      <c r="B346" s="5" t="s">
        <v>339</v>
      </c>
      <c r="C346" s="5" t="s">
        <v>27</v>
      </c>
      <c r="D346" s="5" t="s">
        <v>385</v>
      </c>
      <c r="E346" s="5" t="s">
        <v>384</v>
      </c>
      <c r="F346" s="5" t="s">
        <v>45</v>
      </c>
      <c r="G346" s="5" t="s">
        <v>390</v>
      </c>
      <c r="H346" s="5" t="s">
        <v>46</v>
      </c>
      <c r="I346" s="5" t="s">
        <v>342</v>
      </c>
      <c r="J346" s="15">
        <v>1400</v>
      </c>
      <c r="K346" s="7">
        <v>25.1</v>
      </c>
      <c r="L346" s="7">
        <f t="shared" si="36"/>
        <v>55.776892430278885</v>
      </c>
      <c r="M346" s="5" t="s">
        <v>10</v>
      </c>
      <c r="N346" s="5">
        <v>4</v>
      </c>
      <c r="O346" s="6">
        <f t="shared" si="37"/>
        <v>2.7221790130315395</v>
      </c>
      <c r="P346" s="6">
        <f t="shared" si="38"/>
        <v>0.28310661735528009</v>
      </c>
      <c r="Q346" s="10">
        <f t="shared" si="39"/>
        <v>5.8980545282350015E-3</v>
      </c>
      <c r="R346" s="10">
        <f t="shared" si="40"/>
        <v>3.3696487711617512E-2</v>
      </c>
      <c r="S346" s="10">
        <f t="shared" si="41"/>
        <v>3.9594542239852516E-2</v>
      </c>
    </row>
    <row r="347" spans="1:19" x14ac:dyDescent="0.25">
      <c r="A347" s="5" t="s">
        <v>8</v>
      </c>
      <c r="B347" s="5" t="s">
        <v>356</v>
      </c>
      <c r="C347" s="5" t="s">
        <v>27</v>
      </c>
      <c r="D347" s="5" t="s">
        <v>385</v>
      </c>
      <c r="E347" s="5" t="s">
        <v>384</v>
      </c>
      <c r="F347" s="5" t="s">
        <v>45</v>
      </c>
      <c r="G347" s="5" t="s">
        <v>390</v>
      </c>
      <c r="H347" s="5" t="s">
        <v>46</v>
      </c>
      <c r="I347" s="5" t="s">
        <v>355</v>
      </c>
      <c r="J347" s="15">
        <v>1145</v>
      </c>
      <c r="K347" s="7">
        <v>25</v>
      </c>
      <c r="L347" s="7">
        <f t="shared" si="36"/>
        <v>45.8</v>
      </c>
      <c r="M347" s="5" t="s">
        <v>10</v>
      </c>
      <c r="N347" s="5">
        <v>4</v>
      </c>
      <c r="O347" s="6">
        <f t="shared" si="37"/>
        <v>1.501123625</v>
      </c>
      <c r="P347" s="6">
        <f t="shared" si="38"/>
        <v>0.15611685699999997</v>
      </c>
      <c r="Q347" s="10">
        <f t="shared" si="39"/>
        <v>3.2524345208333333E-3</v>
      </c>
      <c r="R347" s="10">
        <f t="shared" si="40"/>
        <v>2.156301422213177E-2</v>
      </c>
      <c r="S347" s="10">
        <f t="shared" si="41"/>
        <v>2.4815448742965103E-2</v>
      </c>
    </row>
    <row r="348" spans="1:19" x14ac:dyDescent="0.25">
      <c r="A348" s="5" t="s">
        <v>8</v>
      </c>
      <c r="B348" s="5" t="s">
        <v>354</v>
      </c>
      <c r="C348" s="5" t="s">
        <v>27</v>
      </c>
      <c r="D348" s="5" t="s">
        <v>385</v>
      </c>
      <c r="E348" s="5" t="s">
        <v>384</v>
      </c>
      <c r="F348" s="5" t="s">
        <v>45</v>
      </c>
      <c r="G348" s="5" t="s">
        <v>390</v>
      </c>
      <c r="H348" s="5" t="s">
        <v>46</v>
      </c>
      <c r="I348" s="5" t="s">
        <v>355</v>
      </c>
      <c r="J348" s="15">
        <v>1110</v>
      </c>
      <c r="K348" s="7">
        <v>23.5</v>
      </c>
      <c r="L348" s="7">
        <f t="shared" si="36"/>
        <v>47.234042553191486</v>
      </c>
      <c r="M348" s="5" t="s">
        <v>10</v>
      </c>
      <c r="N348" s="5">
        <v>4</v>
      </c>
      <c r="O348" s="6">
        <f t="shared" si="37"/>
        <v>1.5477942507922133</v>
      </c>
      <c r="P348" s="6">
        <f t="shared" si="38"/>
        <v>0.16097060208239017</v>
      </c>
      <c r="Q348" s="10">
        <f t="shared" si="39"/>
        <v>3.3535542100497952E-3</v>
      </c>
      <c r="R348" s="10">
        <f t="shared" si="40"/>
        <v>2.2063888096792793E-2</v>
      </c>
      <c r="S348" s="10">
        <f t="shared" si="41"/>
        <v>2.5417442306842588E-2</v>
      </c>
    </row>
    <row r="349" spans="1:19" x14ac:dyDescent="0.25">
      <c r="A349" s="5" t="s">
        <v>22</v>
      </c>
      <c r="B349" s="5" t="s">
        <v>26</v>
      </c>
      <c r="C349" s="5" t="s">
        <v>27</v>
      </c>
      <c r="D349" s="5" t="s">
        <v>385</v>
      </c>
      <c r="E349" s="5" t="s">
        <v>384</v>
      </c>
      <c r="F349" s="5" t="s">
        <v>45</v>
      </c>
      <c r="G349" s="5" t="s">
        <v>390</v>
      </c>
      <c r="H349" s="5" t="s">
        <v>46</v>
      </c>
      <c r="I349" s="5" t="s">
        <v>49</v>
      </c>
      <c r="J349" s="15">
        <v>1350</v>
      </c>
      <c r="K349" s="7">
        <v>27</v>
      </c>
      <c r="L349" s="7">
        <f t="shared" si="36"/>
        <v>50</v>
      </c>
      <c r="M349" s="5" t="s">
        <v>10</v>
      </c>
      <c r="N349" s="5">
        <v>4</v>
      </c>
      <c r="O349" s="6">
        <f t="shared" si="37"/>
        <v>2.109375</v>
      </c>
      <c r="P349" s="6">
        <f t="shared" si="38"/>
        <v>0.21937499999999999</v>
      </c>
      <c r="Q349" s="10">
        <f t="shared" si="39"/>
        <v>4.5703124999999997E-3</v>
      </c>
      <c r="R349" s="10">
        <f t="shared" si="40"/>
        <v>2.7829952828119141E-2</v>
      </c>
      <c r="S349" s="10">
        <f t="shared" si="41"/>
        <v>3.2400265328119141E-2</v>
      </c>
    </row>
    <row r="350" spans="1:19" x14ac:dyDescent="0.25">
      <c r="A350" s="5" t="s">
        <v>8</v>
      </c>
      <c r="B350" s="5" t="s">
        <v>161</v>
      </c>
      <c r="C350" s="5" t="s">
        <v>27</v>
      </c>
      <c r="D350" s="5" t="s">
        <v>385</v>
      </c>
      <c r="E350" s="5" t="s">
        <v>384</v>
      </c>
      <c r="F350" s="5" t="s">
        <v>45</v>
      </c>
      <c r="G350" s="5" t="s">
        <v>390</v>
      </c>
      <c r="H350" s="5" t="s">
        <v>46</v>
      </c>
      <c r="I350" s="5" t="s">
        <v>49</v>
      </c>
      <c r="J350" s="15">
        <v>1280</v>
      </c>
      <c r="K350" s="7">
        <v>22</v>
      </c>
      <c r="L350" s="7">
        <f t="shared" si="36"/>
        <v>58.18181818181818</v>
      </c>
      <c r="M350" s="5" t="s">
        <v>10</v>
      </c>
      <c r="N350" s="5">
        <v>4</v>
      </c>
      <c r="O350" s="6">
        <f t="shared" si="37"/>
        <v>2.7080991735537188</v>
      </c>
      <c r="P350" s="6">
        <f t="shared" si="38"/>
        <v>0.28164231404958673</v>
      </c>
      <c r="Q350" s="10">
        <f t="shared" si="39"/>
        <v>5.8675482093663899E-3</v>
      </c>
      <c r="R350" s="10">
        <f t="shared" si="40"/>
        <v>3.3565687567479949E-2</v>
      </c>
      <c r="S350" s="10">
        <f t="shared" si="41"/>
        <v>3.9433235776846341E-2</v>
      </c>
    </row>
    <row r="351" spans="1:19" x14ac:dyDescent="0.25">
      <c r="A351" s="5" t="s">
        <v>8</v>
      </c>
      <c r="B351" s="5" t="s">
        <v>300</v>
      </c>
      <c r="C351" s="5" t="s">
        <v>27</v>
      </c>
      <c r="D351" s="5" t="s">
        <v>385</v>
      </c>
      <c r="E351" s="5" t="s">
        <v>384</v>
      </c>
      <c r="F351" s="5" t="s">
        <v>45</v>
      </c>
      <c r="G351" s="5" t="s">
        <v>390</v>
      </c>
      <c r="H351" s="5" t="s">
        <v>46</v>
      </c>
      <c r="I351" s="5" t="s">
        <v>301</v>
      </c>
      <c r="J351" s="15">
        <v>1165</v>
      </c>
      <c r="K351" s="7">
        <v>30</v>
      </c>
      <c r="L351" s="7">
        <f t="shared" si="36"/>
        <v>38.833333333333336</v>
      </c>
      <c r="M351" s="5" t="s">
        <v>10</v>
      </c>
      <c r="N351" s="5">
        <v>4</v>
      </c>
      <c r="O351" s="6">
        <f t="shared" si="37"/>
        <v>1.0980327256944447</v>
      </c>
      <c r="P351" s="6">
        <f t="shared" si="38"/>
        <v>0.11419540347222225</v>
      </c>
      <c r="Q351" s="10">
        <f t="shared" si="39"/>
        <v>2.3790709056712967E-3</v>
      </c>
      <c r="R351" s="10">
        <f t="shared" si="40"/>
        <v>1.7055269538571984E-2</v>
      </c>
      <c r="S351" s="10">
        <f t="shared" si="41"/>
        <v>1.9434340444243279E-2</v>
      </c>
    </row>
    <row r="352" spans="1:19" x14ac:dyDescent="0.25">
      <c r="A352" s="5" t="s">
        <v>8</v>
      </c>
      <c r="B352" s="5" t="s">
        <v>156</v>
      </c>
      <c r="C352" s="5" t="s">
        <v>27</v>
      </c>
      <c r="D352" s="5" t="s">
        <v>385</v>
      </c>
      <c r="E352" s="5" t="s">
        <v>384</v>
      </c>
      <c r="F352" s="5" t="s">
        <v>45</v>
      </c>
      <c r="G352" s="5" t="s">
        <v>390</v>
      </c>
      <c r="H352" s="5" t="s">
        <v>46</v>
      </c>
      <c r="I352" s="5" t="s">
        <v>159</v>
      </c>
      <c r="J352" s="15">
        <v>850</v>
      </c>
      <c r="K352" s="7">
        <v>30</v>
      </c>
      <c r="L352" s="7">
        <f t="shared" si="36"/>
        <v>28.333333333333332</v>
      </c>
      <c r="M352" s="5" t="s">
        <v>10</v>
      </c>
      <c r="N352" s="5">
        <v>4</v>
      </c>
      <c r="O352" s="6">
        <f t="shared" si="37"/>
        <v>0.42647569444444439</v>
      </c>
      <c r="P352" s="6">
        <f t="shared" si="38"/>
        <v>4.4353472222222218E-2</v>
      </c>
      <c r="Q352" s="10">
        <f t="shared" si="39"/>
        <v>9.2403067129629606E-4</v>
      </c>
      <c r="R352" s="10">
        <f t="shared" si="40"/>
        <v>8.3910795451885949E-3</v>
      </c>
      <c r="S352" s="10">
        <f t="shared" si="41"/>
        <v>9.3151102164848905E-3</v>
      </c>
    </row>
    <row r="353" spans="1:19" x14ac:dyDescent="0.25">
      <c r="A353" s="5" t="s">
        <v>8</v>
      </c>
      <c r="B353" s="5" t="s">
        <v>308</v>
      </c>
      <c r="C353" s="5" t="s">
        <v>27</v>
      </c>
      <c r="D353" s="5" t="s">
        <v>385</v>
      </c>
      <c r="E353" s="5" t="s">
        <v>384</v>
      </c>
      <c r="F353" s="5" t="s">
        <v>45</v>
      </c>
      <c r="G353" s="5" t="s">
        <v>390</v>
      </c>
      <c r="H353" s="5" t="s">
        <v>46</v>
      </c>
      <c r="I353" s="5" t="s">
        <v>159</v>
      </c>
      <c r="J353" s="15">
        <v>886</v>
      </c>
      <c r="K353" s="7">
        <v>27.7</v>
      </c>
      <c r="L353" s="7">
        <f t="shared" si="36"/>
        <v>31.985559566787003</v>
      </c>
      <c r="M353" s="5" t="s">
        <v>10</v>
      </c>
      <c r="N353" s="5">
        <v>4</v>
      </c>
      <c r="O353" s="6">
        <f t="shared" si="37"/>
        <v>0.56652834651826556</v>
      </c>
      <c r="P353" s="6">
        <f t="shared" si="38"/>
        <v>5.8918948037899606E-2</v>
      </c>
      <c r="Q353" s="10">
        <f t="shared" si="39"/>
        <v>1.2274780841229087E-3</v>
      </c>
      <c r="R353" s="10">
        <f t="shared" si="40"/>
        <v>1.0382772973710441E-2</v>
      </c>
      <c r="S353" s="10">
        <f t="shared" si="41"/>
        <v>1.1610251057833349E-2</v>
      </c>
    </row>
    <row r="354" spans="1:19" x14ac:dyDescent="0.25">
      <c r="A354" s="5" t="s">
        <v>22</v>
      </c>
      <c r="B354" s="5" t="s">
        <v>26</v>
      </c>
      <c r="C354" s="5" t="s">
        <v>27</v>
      </c>
      <c r="D354" s="5" t="s">
        <v>385</v>
      </c>
      <c r="E354" s="5" t="s">
        <v>384</v>
      </c>
      <c r="F354" s="5" t="s">
        <v>45</v>
      </c>
      <c r="G354" s="5" t="s">
        <v>390</v>
      </c>
      <c r="H354" s="5" t="s">
        <v>46</v>
      </c>
      <c r="I354" s="5" t="s">
        <v>50</v>
      </c>
      <c r="J354" s="15">
        <v>2050</v>
      </c>
      <c r="K354" s="7">
        <v>33</v>
      </c>
      <c r="L354" s="7">
        <f t="shared" si="36"/>
        <v>62.121212121212125</v>
      </c>
      <c r="M354" s="5" t="s">
        <v>10</v>
      </c>
      <c r="N354" s="5">
        <v>4</v>
      </c>
      <c r="O354" s="6">
        <f t="shared" si="37"/>
        <v>4.94440140036731</v>
      </c>
      <c r="P354" s="6">
        <f t="shared" si="38"/>
        <v>0.51421774563820022</v>
      </c>
      <c r="Q354" s="10">
        <f t="shared" si="39"/>
        <v>1.0712869700795838E-2</v>
      </c>
      <c r="R354" s="10">
        <f t="shared" si="40"/>
        <v>5.2720851367536438E-2</v>
      </c>
      <c r="S354" s="10">
        <f t="shared" si="41"/>
        <v>6.3433721068332283E-2</v>
      </c>
    </row>
    <row r="355" spans="1:19" x14ac:dyDescent="0.25">
      <c r="A355" s="5" t="s">
        <v>8</v>
      </c>
      <c r="B355" s="5" t="s">
        <v>284</v>
      </c>
      <c r="C355" s="5" t="s">
        <v>27</v>
      </c>
      <c r="D355" s="5" t="s">
        <v>385</v>
      </c>
      <c r="E355" s="5" t="s">
        <v>384</v>
      </c>
      <c r="F355" s="5" t="s">
        <v>45</v>
      </c>
      <c r="G355" s="5" t="s">
        <v>390</v>
      </c>
      <c r="H355" s="5" t="s">
        <v>46</v>
      </c>
      <c r="I355" s="5" t="s">
        <v>50</v>
      </c>
      <c r="J355" s="15">
        <v>1800</v>
      </c>
      <c r="K355" s="7">
        <v>36.700000000000003</v>
      </c>
      <c r="L355" s="7">
        <f t="shared" si="36"/>
        <v>49.046321525885553</v>
      </c>
      <c r="M355" s="5" t="s">
        <v>10</v>
      </c>
      <c r="N355" s="5">
        <v>4</v>
      </c>
      <c r="O355" s="6">
        <f t="shared" si="37"/>
        <v>2.7062343621231126</v>
      </c>
      <c r="P355" s="6">
        <f t="shared" si="38"/>
        <v>0.28144837366080372</v>
      </c>
      <c r="Q355" s="10">
        <f t="shared" si="39"/>
        <v>5.8635077846000772E-3</v>
      </c>
      <c r="R355" s="10">
        <f t="shared" si="40"/>
        <v>3.3548350942273784E-2</v>
      </c>
      <c r="S355" s="10">
        <f t="shared" si="41"/>
        <v>3.9411858726873861E-2</v>
      </c>
    </row>
    <row r="356" spans="1:19" x14ac:dyDescent="0.25">
      <c r="A356" s="5" t="s">
        <v>8</v>
      </c>
      <c r="B356" s="5" t="s">
        <v>233</v>
      </c>
      <c r="C356" s="5" t="s">
        <v>27</v>
      </c>
      <c r="D356" s="5" t="s">
        <v>385</v>
      </c>
      <c r="E356" s="5" t="s">
        <v>384</v>
      </c>
      <c r="F356" s="5" t="s">
        <v>45</v>
      </c>
      <c r="G356" s="5" t="s">
        <v>390</v>
      </c>
      <c r="H356" s="5" t="s">
        <v>46</v>
      </c>
      <c r="I356" s="5" t="s">
        <v>234</v>
      </c>
      <c r="J356" s="15">
        <v>1465</v>
      </c>
      <c r="K356" s="7">
        <v>35</v>
      </c>
      <c r="L356" s="7">
        <f t="shared" si="36"/>
        <v>41.857142857142854</v>
      </c>
      <c r="M356" s="5" t="s">
        <v>10</v>
      </c>
      <c r="N356" s="5">
        <v>4</v>
      </c>
      <c r="O356" s="6">
        <f t="shared" si="37"/>
        <v>1.6041936862244897</v>
      </c>
      <c r="P356" s="6">
        <f t="shared" si="38"/>
        <v>0.1668361433673469</v>
      </c>
      <c r="Q356" s="10">
        <f t="shared" si="39"/>
        <v>3.4757529868197274E-3</v>
      </c>
      <c r="R356" s="10">
        <f t="shared" si="40"/>
        <v>2.2664165160455583E-2</v>
      </c>
      <c r="S356" s="10">
        <f t="shared" si="41"/>
        <v>2.6139918147275312E-2</v>
      </c>
    </row>
    <row r="357" spans="1:19" x14ac:dyDescent="0.25">
      <c r="A357" s="5" t="s">
        <v>22</v>
      </c>
      <c r="B357" s="5" t="s">
        <v>26</v>
      </c>
      <c r="C357" s="5" t="s">
        <v>27</v>
      </c>
      <c r="D357" s="5" t="s">
        <v>385</v>
      </c>
      <c r="E357" s="5" t="s">
        <v>384</v>
      </c>
      <c r="F357" s="5" t="s">
        <v>45</v>
      </c>
      <c r="G357" s="5" t="s">
        <v>390</v>
      </c>
      <c r="H357" s="5" t="s">
        <v>46</v>
      </c>
      <c r="I357" s="5" t="s">
        <v>51</v>
      </c>
      <c r="J357" s="15">
        <v>1400</v>
      </c>
      <c r="K357" s="7">
        <v>30.5</v>
      </c>
      <c r="L357" s="7">
        <f t="shared" si="36"/>
        <v>45.901639344262293</v>
      </c>
      <c r="M357" s="5" t="s">
        <v>10</v>
      </c>
      <c r="N357" s="5">
        <v>4</v>
      </c>
      <c r="O357" s="6">
        <f t="shared" si="37"/>
        <v>1.843590432679387</v>
      </c>
      <c r="P357" s="6">
        <f t="shared" si="38"/>
        <v>0.19173340499865626</v>
      </c>
      <c r="Q357" s="10">
        <f t="shared" si="39"/>
        <v>3.9944459374720047E-3</v>
      </c>
      <c r="R357" s="10">
        <f t="shared" si="40"/>
        <v>2.5156224312647517E-2</v>
      </c>
      <c r="S357" s="10">
        <f t="shared" si="41"/>
        <v>2.9150670250119522E-2</v>
      </c>
    </row>
    <row r="358" spans="1:19" x14ac:dyDescent="0.25">
      <c r="A358" s="5" t="s">
        <v>8</v>
      </c>
      <c r="B358" s="5" t="s">
        <v>192</v>
      </c>
      <c r="C358" s="5" t="s">
        <v>27</v>
      </c>
      <c r="D358" s="5" t="s">
        <v>385</v>
      </c>
      <c r="E358" s="5" t="s">
        <v>384</v>
      </c>
      <c r="F358" s="5" t="s">
        <v>45</v>
      </c>
      <c r="G358" s="5" t="s">
        <v>390</v>
      </c>
      <c r="H358" s="5" t="s">
        <v>46</v>
      </c>
      <c r="I358" s="5" t="s">
        <v>51</v>
      </c>
      <c r="J358" s="15">
        <v>1100</v>
      </c>
      <c r="K358" s="7">
        <v>31</v>
      </c>
      <c r="L358" s="7">
        <f t="shared" si="36"/>
        <v>35.483870967741936</v>
      </c>
      <c r="M358" s="5" t="s">
        <v>10</v>
      </c>
      <c r="N358" s="5">
        <v>4</v>
      </c>
      <c r="O358" s="6">
        <f t="shared" si="37"/>
        <v>0.86563475546305946</v>
      </c>
      <c r="P358" s="6">
        <f t="shared" si="38"/>
        <v>9.0026014568158175E-2</v>
      </c>
      <c r="Q358" s="10">
        <f t="shared" si="39"/>
        <v>1.875541970169962E-3</v>
      </c>
      <c r="R358" s="10">
        <f t="shared" si="40"/>
        <v>1.4269151143928181E-2</v>
      </c>
      <c r="S358" s="10">
        <f t="shared" si="41"/>
        <v>1.6144693114098142E-2</v>
      </c>
    </row>
    <row r="359" spans="1:19" x14ac:dyDescent="0.25">
      <c r="A359" s="5" t="s">
        <v>8</v>
      </c>
      <c r="B359" s="5" t="s">
        <v>291</v>
      </c>
      <c r="C359" s="5" t="s">
        <v>27</v>
      </c>
      <c r="D359" s="5" t="s">
        <v>385</v>
      </c>
      <c r="E359" s="5" t="s">
        <v>384</v>
      </c>
      <c r="F359" s="5" t="s">
        <v>45</v>
      </c>
      <c r="G359" s="5" t="s">
        <v>390</v>
      </c>
      <c r="H359" s="5" t="s">
        <v>46</v>
      </c>
      <c r="I359" s="5" t="s">
        <v>51</v>
      </c>
      <c r="J359" s="15">
        <v>1294</v>
      </c>
      <c r="K359" s="7">
        <v>31.7</v>
      </c>
      <c r="L359" s="7">
        <f t="shared" si="36"/>
        <v>40.820189274447948</v>
      </c>
      <c r="M359" s="5" t="s">
        <v>10</v>
      </c>
      <c r="N359" s="5">
        <v>4</v>
      </c>
      <c r="O359" s="6">
        <f t="shared" si="37"/>
        <v>1.3476103006299196</v>
      </c>
      <c r="P359" s="6">
        <f t="shared" si="38"/>
        <v>0.14015147126551164</v>
      </c>
      <c r="Q359" s="10">
        <f t="shared" si="39"/>
        <v>2.9198223180314925E-3</v>
      </c>
      <c r="R359" s="10">
        <f t="shared" si="40"/>
        <v>1.9887050004996944E-2</v>
      </c>
      <c r="S359" s="10">
        <f t="shared" si="41"/>
        <v>2.2806872323028436E-2</v>
      </c>
    </row>
    <row r="360" spans="1:19" x14ac:dyDescent="0.25">
      <c r="A360" s="5" t="s">
        <v>8</v>
      </c>
      <c r="B360" s="5" t="s">
        <v>291</v>
      </c>
      <c r="C360" s="5" t="s">
        <v>27</v>
      </c>
      <c r="D360" s="5" t="s">
        <v>385</v>
      </c>
      <c r="E360" s="5" t="s">
        <v>384</v>
      </c>
      <c r="F360" s="5" t="s">
        <v>45</v>
      </c>
      <c r="G360" s="5" t="s">
        <v>390</v>
      </c>
      <c r="H360" s="5" t="s">
        <v>46</v>
      </c>
      <c r="I360" s="5" t="s">
        <v>51</v>
      </c>
      <c r="J360" s="15">
        <v>1309</v>
      </c>
      <c r="K360" s="7">
        <v>33.4</v>
      </c>
      <c r="L360" s="7">
        <f t="shared" si="36"/>
        <v>39.191616766467071</v>
      </c>
      <c r="M360" s="5" t="s">
        <v>10</v>
      </c>
      <c r="N360" s="5">
        <v>4</v>
      </c>
      <c r="O360" s="6">
        <f t="shared" si="37"/>
        <v>1.2566259485146476</v>
      </c>
      <c r="P360" s="6">
        <f t="shared" si="38"/>
        <v>0.13068909864552336</v>
      </c>
      <c r="Q360" s="10">
        <f t="shared" si="39"/>
        <v>2.7226895551150693E-3</v>
      </c>
      <c r="R360" s="10">
        <f t="shared" si="40"/>
        <v>1.8871292313959852E-2</v>
      </c>
      <c r="S360" s="10">
        <f t="shared" si="41"/>
        <v>2.1593981869074921E-2</v>
      </c>
    </row>
    <row r="361" spans="1:19" x14ac:dyDescent="0.25">
      <c r="A361" s="5" t="s">
        <v>8</v>
      </c>
      <c r="B361" s="5" t="s">
        <v>291</v>
      </c>
      <c r="C361" s="5" t="s">
        <v>27</v>
      </c>
      <c r="D361" s="5" t="s">
        <v>385</v>
      </c>
      <c r="E361" s="5" t="s">
        <v>384</v>
      </c>
      <c r="F361" s="5" t="s">
        <v>45</v>
      </c>
      <c r="G361" s="5" t="s">
        <v>390</v>
      </c>
      <c r="H361" s="5" t="s">
        <v>46</v>
      </c>
      <c r="I361" s="5" t="s">
        <v>51</v>
      </c>
      <c r="J361" s="15">
        <v>1245</v>
      </c>
      <c r="K361" s="7">
        <v>35.700000000000003</v>
      </c>
      <c r="L361" s="7">
        <f t="shared" si="36"/>
        <v>34.87394957983193</v>
      </c>
      <c r="M361" s="5" t="s">
        <v>10</v>
      </c>
      <c r="N361" s="5">
        <v>4</v>
      </c>
      <c r="O361" s="6">
        <f t="shared" si="37"/>
        <v>0.94634967957771321</v>
      </c>
      <c r="P361" s="6">
        <f t="shared" si="38"/>
        <v>9.8420366676082172E-2</v>
      </c>
      <c r="Q361" s="10">
        <f t="shared" si="39"/>
        <v>2.0504243057517121E-3</v>
      </c>
      <c r="R361" s="10">
        <f t="shared" si="40"/>
        <v>1.5255830466574619E-2</v>
      </c>
      <c r="S361" s="10">
        <f t="shared" si="41"/>
        <v>1.7306254772326331E-2</v>
      </c>
    </row>
    <row r="362" spans="1:19" x14ac:dyDescent="0.25">
      <c r="A362" s="5" t="s">
        <v>8</v>
      </c>
      <c r="B362" s="5" t="s">
        <v>291</v>
      </c>
      <c r="C362" s="5" t="s">
        <v>27</v>
      </c>
      <c r="D362" s="5" t="s">
        <v>385</v>
      </c>
      <c r="E362" s="5" t="s">
        <v>384</v>
      </c>
      <c r="F362" s="5" t="s">
        <v>45</v>
      </c>
      <c r="G362" s="5" t="s">
        <v>390</v>
      </c>
      <c r="H362" s="5" t="s">
        <v>46</v>
      </c>
      <c r="I362" s="5" t="s">
        <v>51</v>
      </c>
      <c r="J362" s="15">
        <v>1263</v>
      </c>
      <c r="K362" s="7">
        <v>27.6</v>
      </c>
      <c r="L362" s="7">
        <f t="shared" si="36"/>
        <v>45.760869565217391</v>
      </c>
      <c r="M362" s="5" t="s">
        <v>10</v>
      </c>
      <c r="N362" s="5">
        <v>4</v>
      </c>
      <c r="O362" s="6">
        <f t="shared" si="37"/>
        <v>1.6529963891186199</v>
      </c>
      <c r="P362" s="6">
        <f t="shared" si="38"/>
        <v>0.17191162446833649</v>
      </c>
      <c r="Q362" s="10">
        <f t="shared" si="39"/>
        <v>3.5814921764236764E-3</v>
      </c>
      <c r="R362" s="10">
        <f t="shared" si="40"/>
        <v>2.3179339312449272E-2</v>
      </c>
      <c r="S362" s="10">
        <f t="shared" si="41"/>
        <v>2.6760831488872948E-2</v>
      </c>
    </row>
    <row r="363" spans="1:19" x14ac:dyDescent="0.25">
      <c r="A363" s="5" t="s">
        <v>8</v>
      </c>
      <c r="B363" s="5" t="s">
        <v>291</v>
      </c>
      <c r="C363" s="5" t="s">
        <v>27</v>
      </c>
      <c r="D363" s="5" t="s">
        <v>385</v>
      </c>
      <c r="E363" s="5" t="s">
        <v>384</v>
      </c>
      <c r="F363" s="5" t="s">
        <v>45</v>
      </c>
      <c r="G363" s="5" t="s">
        <v>390</v>
      </c>
      <c r="H363" s="5" t="s">
        <v>46</v>
      </c>
      <c r="I363" s="5" t="s">
        <v>51</v>
      </c>
      <c r="J363" s="15">
        <v>1284</v>
      </c>
      <c r="K363" s="7">
        <v>30</v>
      </c>
      <c r="L363" s="7">
        <f t="shared" si="36"/>
        <v>42.8</v>
      </c>
      <c r="M363" s="5" t="s">
        <v>10</v>
      </c>
      <c r="N363" s="5">
        <v>4</v>
      </c>
      <c r="O363" s="6">
        <f t="shared" si="37"/>
        <v>1.4700515999999997</v>
      </c>
      <c r="P363" s="6">
        <f t="shared" si="38"/>
        <v>0.15288536639999997</v>
      </c>
      <c r="Q363" s="10">
        <f t="shared" si="39"/>
        <v>3.1851117999999994E-3</v>
      </c>
      <c r="R363" s="10">
        <f t="shared" si="40"/>
        <v>2.122738802515543E-2</v>
      </c>
      <c r="S363" s="10">
        <f t="shared" si="41"/>
        <v>2.4412499825155427E-2</v>
      </c>
    </row>
    <row r="364" spans="1:19" x14ac:dyDescent="0.25">
      <c r="A364" s="5" t="s">
        <v>8</v>
      </c>
      <c r="B364" s="5" t="s">
        <v>291</v>
      </c>
      <c r="C364" s="5" t="s">
        <v>27</v>
      </c>
      <c r="D364" s="5" t="s">
        <v>385</v>
      </c>
      <c r="E364" s="5" t="s">
        <v>384</v>
      </c>
      <c r="F364" s="5" t="s">
        <v>45</v>
      </c>
      <c r="G364" s="5" t="s">
        <v>390</v>
      </c>
      <c r="H364" s="5" t="s">
        <v>46</v>
      </c>
      <c r="I364" s="5" t="s">
        <v>51</v>
      </c>
      <c r="J364" s="15">
        <v>1251</v>
      </c>
      <c r="K364" s="7">
        <v>32.700000000000003</v>
      </c>
      <c r="L364" s="7">
        <f t="shared" si="36"/>
        <v>38.256880733944953</v>
      </c>
      <c r="M364" s="5" t="s">
        <v>10</v>
      </c>
      <c r="N364" s="5">
        <v>4</v>
      </c>
      <c r="O364" s="6">
        <f t="shared" si="37"/>
        <v>1.1443435895547511</v>
      </c>
      <c r="P364" s="6">
        <f t="shared" si="38"/>
        <v>0.11901173331369411</v>
      </c>
      <c r="Q364" s="10">
        <f t="shared" si="39"/>
        <v>2.4794111107019606E-3</v>
      </c>
      <c r="R364" s="10">
        <f t="shared" si="40"/>
        <v>1.759196916585937E-2</v>
      </c>
      <c r="S364" s="10">
        <f t="shared" si="41"/>
        <v>2.0071380276561329E-2</v>
      </c>
    </row>
    <row r="365" spans="1:19" x14ac:dyDescent="0.25">
      <c r="A365" s="5" t="s">
        <v>8</v>
      </c>
      <c r="B365" s="5" t="s">
        <v>291</v>
      </c>
      <c r="C365" s="5" t="s">
        <v>27</v>
      </c>
      <c r="D365" s="5" t="s">
        <v>385</v>
      </c>
      <c r="E365" s="5" t="s">
        <v>384</v>
      </c>
      <c r="F365" s="5" t="s">
        <v>45</v>
      </c>
      <c r="G365" s="5" t="s">
        <v>390</v>
      </c>
      <c r="H365" s="5" t="s">
        <v>46</v>
      </c>
      <c r="I365" s="5" t="s">
        <v>51</v>
      </c>
      <c r="J365" s="15">
        <v>1135</v>
      </c>
      <c r="K365" s="7">
        <v>29.2</v>
      </c>
      <c r="L365" s="7">
        <f t="shared" si="36"/>
        <v>38.869863013698634</v>
      </c>
      <c r="M365" s="5" t="s">
        <v>10</v>
      </c>
      <c r="N365" s="5">
        <v>4</v>
      </c>
      <c r="O365" s="6">
        <f t="shared" si="37"/>
        <v>1.0717707465929349</v>
      </c>
      <c r="P365" s="6">
        <f t="shared" si="38"/>
        <v>0.11146415764566524</v>
      </c>
      <c r="Q365" s="10">
        <f t="shared" si="39"/>
        <v>2.3221699509513587E-3</v>
      </c>
      <c r="R365" s="10">
        <f t="shared" si="40"/>
        <v>1.6748408640447264E-2</v>
      </c>
      <c r="S365" s="10">
        <f t="shared" si="41"/>
        <v>1.9070578591398622E-2</v>
      </c>
    </row>
    <row r="366" spans="1:19" x14ac:dyDescent="0.25">
      <c r="A366" s="5" t="s">
        <v>8</v>
      </c>
      <c r="B366" s="5" t="s">
        <v>291</v>
      </c>
      <c r="C366" s="5" t="s">
        <v>27</v>
      </c>
      <c r="D366" s="5" t="s">
        <v>385</v>
      </c>
      <c r="E366" s="5" t="s">
        <v>384</v>
      </c>
      <c r="F366" s="5" t="s">
        <v>45</v>
      </c>
      <c r="G366" s="5" t="s">
        <v>390</v>
      </c>
      <c r="H366" s="5" t="s">
        <v>46</v>
      </c>
      <c r="I366" s="5" t="s">
        <v>51</v>
      </c>
      <c r="J366" s="15">
        <v>1203</v>
      </c>
      <c r="K366" s="7">
        <v>26.7</v>
      </c>
      <c r="L366" s="7">
        <f t="shared" si="36"/>
        <v>45.056179775280903</v>
      </c>
      <c r="M366" s="5" t="s">
        <v>10</v>
      </c>
      <c r="N366" s="5">
        <v>4</v>
      </c>
      <c r="O366" s="6">
        <f t="shared" si="37"/>
        <v>1.526350863211716</v>
      </c>
      <c r="P366" s="6">
        <f t="shared" si="38"/>
        <v>0.15874048977401847</v>
      </c>
      <c r="Q366" s="10">
        <f t="shared" si="39"/>
        <v>3.3070935369587176E-3</v>
      </c>
      <c r="R366" s="10">
        <f t="shared" si="40"/>
        <v>2.1834231306130446E-2</v>
      </c>
      <c r="S366" s="10">
        <f t="shared" si="41"/>
        <v>2.5141324843089164E-2</v>
      </c>
    </row>
    <row r="367" spans="1:19" x14ac:dyDescent="0.25">
      <c r="A367" s="5" t="s">
        <v>8</v>
      </c>
      <c r="B367" s="5" t="s">
        <v>300</v>
      </c>
      <c r="C367" s="5" t="s">
        <v>27</v>
      </c>
      <c r="D367" s="5" t="s">
        <v>385</v>
      </c>
      <c r="E367" s="5" t="s">
        <v>384</v>
      </c>
      <c r="F367" s="5" t="s">
        <v>45</v>
      </c>
      <c r="G367" s="5" t="s">
        <v>390</v>
      </c>
      <c r="H367" s="5" t="s">
        <v>46</v>
      </c>
      <c r="I367" s="5" t="s">
        <v>51</v>
      </c>
      <c r="J367" s="15">
        <v>1263</v>
      </c>
      <c r="K367" s="7">
        <v>31.9</v>
      </c>
      <c r="L367" s="7">
        <f t="shared" si="36"/>
        <v>39.592476489028215</v>
      </c>
      <c r="M367" s="5" t="s">
        <v>10</v>
      </c>
      <c r="N367" s="5">
        <v>4</v>
      </c>
      <c r="O367" s="6">
        <f t="shared" si="37"/>
        <v>1.2373959860604751</v>
      </c>
      <c r="P367" s="6">
        <f t="shared" si="38"/>
        <v>0.12868918255028944</v>
      </c>
      <c r="Q367" s="10">
        <f t="shared" si="39"/>
        <v>2.6810246364643627E-3</v>
      </c>
      <c r="R367" s="10">
        <f t="shared" si="40"/>
        <v>1.8654286884243587E-2</v>
      </c>
      <c r="S367" s="10">
        <f t="shared" si="41"/>
        <v>2.1335311520707952E-2</v>
      </c>
    </row>
    <row r="368" spans="1:19" x14ac:dyDescent="0.25">
      <c r="A368" s="5" t="s">
        <v>8</v>
      </c>
      <c r="B368" s="5" t="s">
        <v>378</v>
      </c>
      <c r="C368" s="5" t="s">
        <v>27</v>
      </c>
      <c r="D368" s="5" t="s">
        <v>385</v>
      </c>
      <c r="E368" s="5" t="s">
        <v>384</v>
      </c>
      <c r="F368" s="5" t="s">
        <v>45</v>
      </c>
      <c r="G368" s="5" t="s">
        <v>390</v>
      </c>
      <c r="H368" s="5" t="s">
        <v>46</v>
      </c>
      <c r="I368" s="5" t="s">
        <v>183</v>
      </c>
      <c r="J368" s="15">
        <v>1470</v>
      </c>
      <c r="K368" s="7">
        <v>38.1</v>
      </c>
      <c r="L368" s="7">
        <f t="shared" si="36"/>
        <v>38.582677165354326</v>
      </c>
      <c r="M368" s="5" t="s">
        <v>10</v>
      </c>
      <c r="N368" s="5">
        <v>4</v>
      </c>
      <c r="O368" s="6">
        <f t="shared" si="37"/>
        <v>1.3676723603447203</v>
      </c>
      <c r="P368" s="6">
        <f t="shared" si="38"/>
        <v>0.14223792547585093</v>
      </c>
      <c r="Q368" s="10">
        <f t="shared" si="39"/>
        <v>2.963290114080227E-3</v>
      </c>
      <c r="R368" s="10">
        <f t="shared" si="40"/>
        <v>2.010868527780138E-2</v>
      </c>
      <c r="S368" s="10">
        <f t="shared" si="41"/>
        <v>2.3071975391881609E-2</v>
      </c>
    </row>
    <row r="369" spans="1:19" x14ac:dyDescent="0.25">
      <c r="A369" s="5" t="s">
        <v>22</v>
      </c>
      <c r="B369" s="5" t="s">
        <v>63</v>
      </c>
      <c r="C369" s="5" t="s">
        <v>27</v>
      </c>
      <c r="D369" s="5" t="s">
        <v>385</v>
      </c>
      <c r="E369" s="5" t="s">
        <v>384</v>
      </c>
      <c r="F369" s="5" t="s">
        <v>45</v>
      </c>
      <c r="G369" s="5" t="s">
        <v>390</v>
      </c>
      <c r="H369" s="5" t="s">
        <v>46</v>
      </c>
      <c r="I369" s="5" t="s">
        <v>153</v>
      </c>
      <c r="J369" s="15">
        <v>1510</v>
      </c>
      <c r="K369" s="7">
        <v>39</v>
      </c>
      <c r="L369" s="7">
        <f t="shared" si="36"/>
        <v>38.717948717948715</v>
      </c>
      <c r="M369" s="5" t="s">
        <v>10</v>
      </c>
      <c r="N369" s="5">
        <v>4</v>
      </c>
      <c r="O369" s="6">
        <f t="shared" si="37"/>
        <v>1.4147563280736355</v>
      </c>
      <c r="P369" s="6">
        <f t="shared" si="38"/>
        <v>0.14713465811965809</v>
      </c>
      <c r="Q369" s="10">
        <f t="shared" si="39"/>
        <v>3.0653053774928767E-3</v>
      </c>
      <c r="R369" s="10">
        <f t="shared" si="40"/>
        <v>2.0625683925483206E-2</v>
      </c>
      <c r="S369" s="10">
        <f t="shared" si="41"/>
        <v>2.3690989302976084E-2</v>
      </c>
    </row>
    <row r="370" spans="1:19" x14ac:dyDescent="0.25">
      <c r="A370" s="5" t="s">
        <v>8</v>
      </c>
      <c r="B370" s="5" t="s">
        <v>375</v>
      </c>
      <c r="C370" s="5" t="s">
        <v>27</v>
      </c>
      <c r="D370" s="5" t="s">
        <v>385</v>
      </c>
      <c r="E370" s="5" t="s">
        <v>384</v>
      </c>
      <c r="F370" s="5" t="s">
        <v>45</v>
      </c>
      <c r="G370" s="5" t="s">
        <v>390</v>
      </c>
      <c r="H370" s="5" t="s">
        <v>46</v>
      </c>
      <c r="I370" s="5" t="s">
        <v>153</v>
      </c>
      <c r="J370" s="15">
        <v>1510</v>
      </c>
      <c r="K370" s="7">
        <v>39</v>
      </c>
      <c r="L370" s="7">
        <f t="shared" si="36"/>
        <v>38.717948717948715</v>
      </c>
      <c r="M370" s="5" t="s">
        <v>10</v>
      </c>
      <c r="N370" s="5">
        <v>4</v>
      </c>
      <c r="O370" s="6">
        <f t="shared" si="37"/>
        <v>1.4147563280736355</v>
      </c>
      <c r="P370" s="6">
        <f t="shared" si="38"/>
        <v>0.14713465811965809</v>
      </c>
      <c r="Q370" s="10">
        <f t="shared" si="39"/>
        <v>3.0653053774928767E-3</v>
      </c>
      <c r="R370" s="10">
        <f t="shared" si="40"/>
        <v>2.0625683925483206E-2</v>
      </c>
      <c r="S370" s="10">
        <f t="shared" si="41"/>
        <v>2.3690989302976084E-2</v>
      </c>
    </row>
    <row r="371" spans="1:19" x14ac:dyDescent="0.25">
      <c r="A371" s="5" t="s">
        <v>8</v>
      </c>
      <c r="B371" s="5" t="s">
        <v>328</v>
      </c>
      <c r="C371" s="5" t="s">
        <v>27</v>
      </c>
      <c r="D371" s="5" t="s">
        <v>385</v>
      </c>
      <c r="E371" s="5" t="s">
        <v>384</v>
      </c>
      <c r="F371" s="5" t="s">
        <v>45</v>
      </c>
      <c r="G371" s="5" t="s">
        <v>390</v>
      </c>
      <c r="H371" s="5" t="s">
        <v>46</v>
      </c>
      <c r="I371" s="5" t="s">
        <v>39</v>
      </c>
      <c r="J371" s="15">
        <v>1735</v>
      </c>
      <c r="K371" s="7">
        <v>27</v>
      </c>
      <c r="L371" s="7">
        <f t="shared" si="36"/>
        <v>64.259259259259252</v>
      </c>
      <c r="M371" s="5" t="s">
        <v>10</v>
      </c>
      <c r="N371" s="5">
        <v>4</v>
      </c>
      <c r="O371" s="6">
        <f t="shared" si="37"/>
        <v>4.4776580718449912</v>
      </c>
      <c r="P371" s="6">
        <f t="shared" si="38"/>
        <v>0.46567643947187914</v>
      </c>
      <c r="Q371" s="10">
        <f t="shared" si="39"/>
        <v>9.7015924889974816E-3</v>
      </c>
      <c r="R371" s="10">
        <f t="shared" si="40"/>
        <v>4.8942406422067777E-2</v>
      </c>
      <c r="S371" s="10">
        <f t="shared" si="41"/>
        <v>5.8643998911065261E-2</v>
      </c>
    </row>
    <row r="372" spans="1:19" x14ac:dyDescent="0.25">
      <c r="A372" s="5" t="s">
        <v>8</v>
      </c>
      <c r="B372" s="5" t="s">
        <v>378</v>
      </c>
      <c r="C372" s="5" t="s">
        <v>27</v>
      </c>
      <c r="D372" s="5" t="s">
        <v>385</v>
      </c>
      <c r="E372" s="5" t="s">
        <v>384</v>
      </c>
      <c r="F372" s="5" t="s">
        <v>45</v>
      </c>
      <c r="G372" s="5" t="s">
        <v>390</v>
      </c>
      <c r="H372" s="5" t="s">
        <v>46</v>
      </c>
      <c r="I372" s="5" t="s">
        <v>379</v>
      </c>
      <c r="J372" s="15">
        <v>1160</v>
      </c>
      <c r="K372" s="7">
        <v>39</v>
      </c>
      <c r="L372" s="7">
        <f t="shared" si="36"/>
        <v>29.743589743589745</v>
      </c>
      <c r="M372" s="5" t="s">
        <v>10</v>
      </c>
      <c r="N372" s="5">
        <v>4</v>
      </c>
      <c r="O372" s="6">
        <f t="shared" si="37"/>
        <v>0.64139381985535826</v>
      </c>
      <c r="P372" s="6">
        <f t="shared" si="38"/>
        <v>6.670495726495726E-2</v>
      </c>
      <c r="Q372" s="10">
        <f t="shared" si="39"/>
        <v>1.3896866096866096E-3</v>
      </c>
      <c r="R372" s="10">
        <f t="shared" si="40"/>
        <v>1.1395691995518462E-2</v>
      </c>
      <c r="S372" s="10">
        <f t="shared" si="41"/>
        <v>1.2785378605205072E-2</v>
      </c>
    </row>
    <row r="373" spans="1:19" x14ac:dyDescent="0.25">
      <c r="A373" s="5" t="s">
        <v>8</v>
      </c>
      <c r="B373" s="5" t="s">
        <v>339</v>
      </c>
      <c r="C373" s="5" t="s">
        <v>27</v>
      </c>
      <c r="D373" s="5" t="s">
        <v>385</v>
      </c>
      <c r="E373" s="5" t="s">
        <v>384</v>
      </c>
      <c r="F373" s="5" t="s">
        <v>45</v>
      </c>
      <c r="G373" s="5" t="s">
        <v>390</v>
      </c>
      <c r="H373" s="5" t="s">
        <v>46</v>
      </c>
      <c r="I373" s="5" t="s">
        <v>343</v>
      </c>
      <c r="J373" s="15">
        <v>917</v>
      </c>
      <c r="K373" s="7">
        <v>21.1</v>
      </c>
      <c r="L373" s="7">
        <f t="shared" si="36"/>
        <v>43.459715639810426</v>
      </c>
      <c r="M373" s="5" t="s">
        <v>10</v>
      </c>
      <c r="N373" s="5">
        <v>4</v>
      </c>
      <c r="O373" s="6">
        <f t="shared" si="37"/>
        <v>1.0824880576020304</v>
      </c>
      <c r="P373" s="6">
        <f t="shared" si="38"/>
        <v>0.11257875799061115</v>
      </c>
      <c r="Q373" s="10">
        <f t="shared" si="39"/>
        <v>2.3453907914710655E-3</v>
      </c>
      <c r="R373" s="10">
        <f t="shared" si="40"/>
        <v>1.6873860704511252E-2</v>
      </c>
      <c r="S373" s="10">
        <f t="shared" si="41"/>
        <v>1.9219251495982317E-2</v>
      </c>
    </row>
    <row r="374" spans="1:19" x14ac:dyDescent="0.25">
      <c r="A374" s="5" t="s">
        <v>8</v>
      </c>
      <c r="B374" s="5" t="s">
        <v>161</v>
      </c>
      <c r="C374" s="5" t="s">
        <v>27</v>
      </c>
      <c r="D374" s="5" t="s">
        <v>385</v>
      </c>
      <c r="E374" s="5" t="s">
        <v>384</v>
      </c>
      <c r="F374" s="5" t="s">
        <v>45</v>
      </c>
      <c r="G374" s="5" t="s">
        <v>390</v>
      </c>
      <c r="H374" s="5" t="s">
        <v>46</v>
      </c>
      <c r="I374" s="5" t="s">
        <v>163</v>
      </c>
      <c r="J374" s="15">
        <v>1320</v>
      </c>
      <c r="K374" s="7">
        <v>31</v>
      </c>
      <c r="L374" s="7">
        <f t="shared" si="36"/>
        <v>42.58064516129032</v>
      </c>
      <c r="M374" s="5" t="s">
        <v>10</v>
      </c>
      <c r="N374" s="5">
        <v>4</v>
      </c>
      <c r="O374" s="6">
        <f t="shared" si="37"/>
        <v>1.4958168574401665</v>
      </c>
      <c r="P374" s="6">
        <f t="shared" si="38"/>
        <v>0.1555649531737773</v>
      </c>
      <c r="Q374" s="10">
        <f t="shared" si="39"/>
        <v>3.2409365244536938E-3</v>
      </c>
      <c r="R374" s="10">
        <f t="shared" si="40"/>
        <v>2.1505816795006499E-2</v>
      </c>
      <c r="S374" s="10">
        <f t="shared" si="41"/>
        <v>2.4746753319460191E-2</v>
      </c>
    </row>
    <row r="375" spans="1:19" x14ac:dyDescent="0.25">
      <c r="A375" s="5" t="s">
        <v>22</v>
      </c>
      <c r="B375" s="5" t="s">
        <v>63</v>
      </c>
      <c r="C375" s="5" t="s">
        <v>27</v>
      </c>
      <c r="D375" s="5" t="s">
        <v>385</v>
      </c>
      <c r="E375" s="5" t="s">
        <v>384</v>
      </c>
      <c r="F375" s="5" t="s">
        <v>45</v>
      </c>
      <c r="G375" s="5" t="s">
        <v>390</v>
      </c>
      <c r="H375" s="5" t="s">
        <v>72</v>
      </c>
      <c r="I375" s="5" t="s">
        <v>73</v>
      </c>
      <c r="J375" s="15">
        <v>1100</v>
      </c>
      <c r="K375" s="7">
        <v>29</v>
      </c>
      <c r="L375" s="7">
        <f t="shared" si="36"/>
        <v>37.931034482758619</v>
      </c>
      <c r="M375" s="5" t="s">
        <v>10</v>
      </c>
      <c r="N375" s="5">
        <v>4</v>
      </c>
      <c r="O375" s="6">
        <f t="shared" si="37"/>
        <v>0.9891498216409037</v>
      </c>
      <c r="P375" s="6">
        <f t="shared" si="38"/>
        <v>0.10287158145065398</v>
      </c>
      <c r="Q375" s="10">
        <f t="shared" si="39"/>
        <v>2.1431579468886245E-3</v>
      </c>
      <c r="R375" s="10">
        <f t="shared" si="40"/>
        <v>1.5770435338965008E-2</v>
      </c>
      <c r="S375" s="10">
        <f t="shared" si="41"/>
        <v>1.7913593285853631E-2</v>
      </c>
    </row>
    <row r="376" spans="1:19" x14ac:dyDescent="0.25">
      <c r="A376" s="5" t="s">
        <v>22</v>
      </c>
      <c r="B376" s="5" t="s">
        <v>63</v>
      </c>
      <c r="C376" s="5" t="s">
        <v>27</v>
      </c>
      <c r="D376" s="5" t="s">
        <v>385</v>
      </c>
      <c r="E376" s="5" t="s">
        <v>384</v>
      </c>
      <c r="F376" s="5" t="s">
        <v>45</v>
      </c>
      <c r="G376" s="5" t="s">
        <v>390</v>
      </c>
      <c r="H376" s="5" t="s">
        <v>77</v>
      </c>
      <c r="I376" s="5" t="s">
        <v>78</v>
      </c>
      <c r="J376" s="15">
        <v>750</v>
      </c>
      <c r="K376" s="7">
        <v>25.5</v>
      </c>
      <c r="L376" s="7">
        <f t="shared" si="36"/>
        <v>29.411764705882351</v>
      </c>
      <c r="M376" s="5" t="s">
        <v>10</v>
      </c>
      <c r="N376" s="5">
        <v>4</v>
      </c>
      <c r="O376" s="6">
        <f t="shared" si="37"/>
        <v>0.40549307958477504</v>
      </c>
      <c r="P376" s="6">
        <f t="shared" si="38"/>
        <v>4.2171280276816603E-2</v>
      </c>
      <c r="Q376" s="10">
        <f t="shared" si="39"/>
        <v>8.7856833910034593E-4</v>
      </c>
      <c r="R376" s="10">
        <f t="shared" si="40"/>
        <v>8.0795041676919276E-3</v>
      </c>
      <c r="S376" s="10">
        <f t="shared" si="41"/>
        <v>8.958072506792274E-3</v>
      </c>
    </row>
    <row r="377" spans="1:19" x14ac:dyDescent="0.25">
      <c r="A377" s="5" t="s">
        <v>8</v>
      </c>
      <c r="B377" s="5" t="s">
        <v>296</v>
      </c>
      <c r="C377" s="5" t="s">
        <v>27</v>
      </c>
      <c r="D377" s="5" t="s">
        <v>385</v>
      </c>
      <c r="E377" s="5" t="s">
        <v>384</v>
      </c>
      <c r="F377" s="5" t="s">
        <v>45</v>
      </c>
      <c r="G377" s="5" t="s">
        <v>390</v>
      </c>
      <c r="H377" s="5" t="s">
        <v>77</v>
      </c>
      <c r="I377" s="5" t="s">
        <v>297</v>
      </c>
      <c r="J377" s="15">
        <v>740</v>
      </c>
      <c r="K377" s="7">
        <v>26</v>
      </c>
      <c r="L377" s="7">
        <f t="shared" si="36"/>
        <v>28.46153846153846</v>
      </c>
      <c r="M377" s="5" t="s">
        <v>10</v>
      </c>
      <c r="N377" s="5">
        <v>4</v>
      </c>
      <c r="O377" s="6">
        <f t="shared" si="37"/>
        <v>0.37465236686390524</v>
      </c>
      <c r="P377" s="6">
        <f t="shared" si="38"/>
        <v>3.8963846153846148E-2</v>
      </c>
      <c r="Q377" s="10">
        <f t="shared" si="39"/>
        <v>8.117467948717946E-4</v>
      </c>
      <c r="R377" s="10">
        <f t="shared" si="40"/>
        <v>7.6140983946227968E-3</v>
      </c>
      <c r="S377" s="10">
        <f t="shared" si="41"/>
        <v>8.4258451894945914E-3</v>
      </c>
    </row>
    <row r="378" spans="1:19" x14ac:dyDescent="0.25">
      <c r="A378" s="5" t="s">
        <v>8</v>
      </c>
      <c r="B378" s="5" t="s">
        <v>322</v>
      </c>
      <c r="C378" s="5" t="s">
        <v>27</v>
      </c>
      <c r="D378" s="5" t="s">
        <v>385</v>
      </c>
      <c r="E378" s="5" t="s">
        <v>384</v>
      </c>
      <c r="F378" s="5" t="s">
        <v>45</v>
      </c>
      <c r="G378" s="5" t="s">
        <v>390</v>
      </c>
      <c r="H378" s="5" t="s">
        <v>77</v>
      </c>
      <c r="I378" s="5" t="s">
        <v>324</v>
      </c>
      <c r="J378" s="15">
        <v>1100</v>
      </c>
      <c r="K378" s="7">
        <v>37</v>
      </c>
      <c r="L378" s="7">
        <f t="shared" si="36"/>
        <v>29.72972972972973</v>
      </c>
      <c r="M378" s="5" t="s">
        <v>10</v>
      </c>
      <c r="N378" s="5">
        <v>4</v>
      </c>
      <c r="O378" s="6">
        <f t="shared" si="37"/>
        <v>0.60765157048940832</v>
      </c>
      <c r="P378" s="6">
        <f t="shared" si="38"/>
        <v>6.3195763330898463E-2</v>
      </c>
      <c r="Q378" s="10">
        <f t="shared" si="39"/>
        <v>1.3165784027270512E-3</v>
      </c>
      <c r="R378" s="10">
        <f t="shared" si="40"/>
        <v>1.0943042674342459E-2</v>
      </c>
      <c r="S378" s="10">
        <f t="shared" si="41"/>
        <v>1.2259621077069511E-2</v>
      </c>
    </row>
    <row r="379" spans="1:19" x14ac:dyDescent="0.25">
      <c r="A379" s="5" t="s">
        <v>8</v>
      </c>
      <c r="B379" s="5" t="s">
        <v>322</v>
      </c>
      <c r="C379" s="5" t="s">
        <v>27</v>
      </c>
      <c r="D379" s="5" t="s">
        <v>385</v>
      </c>
      <c r="E379" s="5" t="s">
        <v>384</v>
      </c>
      <c r="F379" s="5" t="s">
        <v>45</v>
      </c>
      <c r="G379" s="5" t="s">
        <v>390</v>
      </c>
      <c r="H379" s="5" t="s">
        <v>77</v>
      </c>
      <c r="I379" s="5" t="s">
        <v>71</v>
      </c>
      <c r="J379" s="15">
        <v>1000</v>
      </c>
      <c r="K379" s="7">
        <v>34</v>
      </c>
      <c r="L379" s="7">
        <f t="shared" si="36"/>
        <v>29.411764705882351</v>
      </c>
      <c r="M379" s="5" t="s">
        <v>10</v>
      </c>
      <c r="N379" s="5">
        <v>4</v>
      </c>
      <c r="O379" s="6">
        <f t="shared" si="37"/>
        <v>0.54065743944636668</v>
      </c>
      <c r="P379" s="6">
        <f t="shared" si="38"/>
        <v>5.6228373702422139E-2</v>
      </c>
      <c r="Q379" s="10">
        <f t="shared" si="39"/>
        <v>1.1714244521337945E-3</v>
      </c>
      <c r="R379" s="10">
        <f t="shared" si="40"/>
        <v>1.0025101116786362E-2</v>
      </c>
      <c r="S379" s="10">
        <f t="shared" si="41"/>
        <v>1.1196525568920156E-2</v>
      </c>
    </row>
    <row r="380" spans="1:19" x14ac:dyDescent="0.25">
      <c r="A380" s="5" t="s">
        <v>22</v>
      </c>
      <c r="B380" s="5" t="s">
        <v>63</v>
      </c>
      <c r="C380" s="5" t="s">
        <v>27</v>
      </c>
      <c r="D380" s="5" t="s">
        <v>385</v>
      </c>
      <c r="E380" s="5" t="s">
        <v>384</v>
      </c>
      <c r="F380" s="5" t="s">
        <v>45</v>
      </c>
      <c r="G380" s="5" t="s">
        <v>390</v>
      </c>
      <c r="H380" s="5" t="s">
        <v>74</v>
      </c>
      <c r="I380" s="5" t="s">
        <v>24</v>
      </c>
      <c r="J380" s="15">
        <v>1000</v>
      </c>
      <c r="K380" s="7">
        <v>30</v>
      </c>
      <c r="L380" s="7">
        <f t="shared" si="36"/>
        <v>33.333333333333336</v>
      </c>
      <c r="M380" s="5" t="s">
        <v>10</v>
      </c>
      <c r="N380" s="5">
        <v>4</v>
      </c>
      <c r="O380" s="6">
        <f t="shared" si="37"/>
        <v>0.69444444444444453</v>
      </c>
      <c r="P380" s="6">
        <f t="shared" si="38"/>
        <v>7.2222222222222229E-2</v>
      </c>
      <c r="Q380" s="10">
        <f t="shared" si="39"/>
        <v>1.5046296296296298E-3</v>
      </c>
      <c r="R380" s="10">
        <f t="shared" si="40"/>
        <v>1.2095539811572421E-2</v>
      </c>
      <c r="S380" s="10">
        <f t="shared" si="41"/>
        <v>1.3600169441202051E-2</v>
      </c>
    </row>
    <row r="381" spans="1:19" x14ac:dyDescent="0.25">
      <c r="A381" s="5" t="s">
        <v>8</v>
      </c>
      <c r="B381" s="5" t="s">
        <v>264</v>
      </c>
      <c r="C381" s="5" t="s">
        <v>27</v>
      </c>
      <c r="D381" s="5" t="s">
        <v>385</v>
      </c>
      <c r="E381" s="5" t="s">
        <v>384</v>
      </c>
      <c r="F381" s="5" t="s">
        <v>45</v>
      </c>
      <c r="G381" s="5" t="s">
        <v>383</v>
      </c>
      <c r="H381" s="5" t="s">
        <v>89</v>
      </c>
      <c r="I381" s="5" t="s">
        <v>266</v>
      </c>
      <c r="J381" s="15">
        <v>1120</v>
      </c>
      <c r="K381" s="7">
        <v>29.2</v>
      </c>
      <c r="L381" s="7">
        <f t="shared" si="36"/>
        <v>38.356164383561648</v>
      </c>
      <c r="M381" s="5" t="s">
        <v>10</v>
      </c>
      <c r="N381" s="5">
        <v>4</v>
      </c>
      <c r="O381" s="6">
        <f t="shared" si="37"/>
        <v>1.029836742353162</v>
      </c>
      <c r="P381" s="6">
        <f t="shared" si="38"/>
        <v>0.10710302120472885</v>
      </c>
      <c r="Q381" s="10">
        <f t="shared" si="39"/>
        <v>2.2313129417651846E-3</v>
      </c>
      <c r="R381" s="10">
        <f t="shared" si="40"/>
        <v>1.6254492377313225E-2</v>
      </c>
      <c r="S381" s="10">
        <f t="shared" si="41"/>
        <v>1.8485805319078411E-2</v>
      </c>
    </row>
    <row r="382" spans="1:19" x14ac:dyDescent="0.25">
      <c r="A382" s="5" t="s">
        <v>8</v>
      </c>
      <c r="B382" s="5" t="s">
        <v>358</v>
      </c>
      <c r="C382" s="5" t="s">
        <v>27</v>
      </c>
      <c r="D382" s="5" t="s">
        <v>385</v>
      </c>
      <c r="E382" s="5" t="s">
        <v>384</v>
      </c>
      <c r="F382" s="5" t="s">
        <v>45</v>
      </c>
      <c r="G382" s="5" t="s">
        <v>383</v>
      </c>
      <c r="H382" s="5" t="s">
        <v>89</v>
      </c>
      <c r="I382" s="5" t="s">
        <v>267</v>
      </c>
      <c r="J382" s="15">
        <v>1425</v>
      </c>
      <c r="K382" s="7">
        <v>33.5</v>
      </c>
      <c r="L382" s="7">
        <f t="shared" si="36"/>
        <v>42.537313432835823</v>
      </c>
      <c r="M382" s="5" t="s">
        <v>10</v>
      </c>
      <c r="N382" s="5">
        <v>4</v>
      </c>
      <c r="O382" s="6">
        <f t="shared" si="37"/>
        <v>1.6115173897304527</v>
      </c>
      <c r="P382" s="6">
        <f t="shared" si="38"/>
        <v>0.16759780853196707</v>
      </c>
      <c r="Q382" s="10">
        <f t="shared" si="39"/>
        <v>3.4916210110826473E-3</v>
      </c>
      <c r="R382" s="10">
        <f t="shared" si="40"/>
        <v>2.2741723321392279E-2</v>
      </c>
      <c r="S382" s="10">
        <f t="shared" si="41"/>
        <v>2.6233344332474928E-2</v>
      </c>
    </row>
    <row r="383" spans="1:19" x14ac:dyDescent="0.25">
      <c r="A383" s="5" t="s">
        <v>8</v>
      </c>
      <c r="B383" s="5" t="s">
        <v>264</v>
      </c>
      <c r="C383" s="5" t="s">
        <v>27</v>
      </c>
      <c r="D383" s="5" t="s">
        <v>385</v>
      </c>
      <c r="E383" s="5" t="s">
        <v>384</v>
      </c>
      <c r="F383" s="5" t="s">
        <v>45</v>
      </c>
      <c r="G383" s="5" t="s">
        <v>383</v>
      </c>
      <c r="H383" s="5" t="s">
        <v>89</v>
      </c>
      <c r="I383" s="5" t="s">
        <v>267</v>
      </c>
      <c r="J383" s="15">
        <v>1300</v>
      </c>
      <c r="K383" s="7">
        <v>33.5</v>
      </c>
      <c r="L383" s="7">
        <f t="shared" si="36"/>
        <v>38.805970149253731</v>
      </c>
      <c r="M383" s="5" t="s">
        <v>10</v>
      </c>
      <c r="N383" s="5">
        <v>4</v>
      </c>
      <c r="O383" s="6">
        <f t="shared" si="37"/>
        <v>1.2235464468701269</v>
      </c>
      <c r="P383" s="6">
        <f t="shared" si="38"/>
        <v>0.1272488304744932</v>
      </c>
      <c r="Q383" s="10">
        <f t="shared" si="39"/>
        <v>2.6510173015519417E-3</v>
      </c>
      <c r="R383" s="10">
        <f t="shared" si="40"/>
        <v>1.8497475870327421E-2</v>
      </c>
      <c r="S383" s="10">
        <f t="shared" si="41"/>
        <v>2.1148493171879362E-2</v>
      </c>
    </row>
    <row r="384" spans="1:19" x14ac:dyDescent="0.25">
      <c r="A384" s="5" t="s">
        <v>22</v>
      </c>
      <c r="B384" s="5" t="s">
        <v>63</v>
      </c>
      <c r="C384" s="5" t="s">
        <v>27</v>
      </c>
      <c r="D384" s="5" t="s">
        <v>385</v>
      </c>
      <c r="E384" s="5" t="s">
        <v>384</v>
      </c>
      <c r="F384" s="5" t="s">
        <v>45</v>
      </c>
      <c r="G384" s="5" t="s">
        <v>383</v>
      </c>
      <c r="H384" s="5" t="s">
        <v>89</v>
      </c>
      <c r="I384" s="5" t="s">
        <v>90</v>
      </c>
      <c r="J384" s="15">
        <v>840</v>
      </c>
      <c r="K384" s="7">
        <v>21.5</v>
      </c>
      <c r="L384" s="7">
        <f t="shared" si="36"/>
        <v>39.069767441860463</v>
      </c>
      <c r="M384" s="5" t="s">
        <v>10</v>
      </c>
      <c r="N384" s="5">
        <v>4</v>
      </c>
      <c r="O384" s="6">
        <f t="shared" si="37"/>
        <v>0.80138453217955641</v>
      </c>
      <c r="P384" s="6">
        <f t="shared" si="38"/>
        <v>8.3343991346673862E-2</v>
      </c>
      <c r="Q384" s="10">
        <f t="shared" si="39"/>
        <v>1.7363331530557055E-3</v>
      </c>
      <c r="R384" s="10">
        <f t="shared" si="40"/>
        <v>1.3467216474127932E-2</v>
      </c>
      <c r="S384" s="10">
        <f t="shared" si="41"/>
        <v>1.5203549627183637E-2</v>
      </c>
    </row>
    <row r="385" spans="1:19" x14ac:dyDescent="0.25">
      <c r="A385" s="5" t="s">
        <v>8</v>
      </c>
      <c r="B385" s="5" t="s">
        <v>359</v>
      </c>
      <c r="C385" s="5" t="s">
        <v>27</v>
      </c>
      <c r="D385" s="5" t="s">
        <v>385</v>
      </c>
      <c r="E385" s="5" t="s">
        <v>384</v>
      </c>
      <c r="F385" s="5" t="s">
        <v>45</v>
      </c>
      <c r="G385" s="5" t="s">
        <v>383</v>
      </c>
      <c r="H385" s="5" t="s">
        <v>89</v>
      </c>
      <c r="I385" s="5" t="s">
        <v>90</v>
      </c>
      <c r="J385" s="15">
        <v>840</v>
      </c>
      <c r="K385" s="7">
        <v>21.5</v>
      </c>
      <c r="L385" s="7">
        <f t="shared" si="36"/>
        <v>39.069767441860463</v>
      </c>
      <c r="M385" s="5" t="s">
        <v>10</v>
      </c>
      <c r="N385" s="5">
        <v>4</v>
      </c>
      <c r="O385" s="6">
        <f t="shared" si="37"/>
        <v>0.80138453217955641</v>
      </c>
      <c r="P385" s="6">
        <f t="shared" si="38"/>
        <v>8.3343991346673862E-2</v>
      </c>
      <c r="Q385" s="10">
        <f t="shared" si="39"/>
        <v>1.7363331530557055E-3</v>
      </c>
      <c r="R385" s="10">
        <f t="shared" si="40"/>
        <v>1.3467216474127932E-2</v>
      </c>
      <c r="S385" s="10">
        <f t="shared" si="41"/>
        <v>1.5203549627183637E-2</v>
      </c>
    </row>
    <row r="386" spans="1:19" x14ac:dyDescent="0.25">
      <c r="A386" s="5" t="s">
        <v>8</v>
      </c>
      <c r="B386" s="5" t="s">
        <v>360</v>
      </c>
      <c r="C386" s="5" t="s">
        <v>27</v>
      </c>
      <c r="D386" s="5" t="s">
        <v>385</v>
      </c>
      <c r="E386" s="5" t="s">
        <v>384</v>
      </c>
      <c r="F386" s="5" t="s">
        <v>45</v>
      </c>
      <c r="G386" s="5" t="s">
        <v>383</v>
      </c>
      <c r="H386" s="5" t="s">
        <v>89</v>
      </c>
      <c r="I386" s="5" t="s">
        <v>90</v>
      </c>
      <c r="J386" s="15">
        <v>1190</v>
      </c>
      <c r="K386" s="7">
        <v>22.5</v>
      </c>
      <c r="L386" s="7">
        <f t="shared" si="36"/>
        <v>52.888888888888886</v>
      </c>
      <c r="M386" s="5" t="s">
        <v>10</v>
      </c>
      <c r="N386" s="5">
        <v>4</v>
      </c>
      <c r="O386" s="6">
        <f t="shared" si="37"/>
        <v>2.0804432098765431</v>
      </c>
      <c r="P386" s="6">
        <f t="shared" si="38"/>
        <v>0.21636609382716043</v>
      </c>
      <c r="Q386" s="10">
        <f t="shared" si="39"/>
        <v>4.5076269547325099E-3</v>
      </c>
      <c r="R386" s="10">
        <f t="shared" si="40"/>
        <v>2.7543176383485118E-2</v>
      </c>
      <c r="S386" s="10">
        <f t="shared" si="41"/>
        <v>3.205080333821763E-2</v>
      </c>
    </row>
    <row r="387" spans="1:19" x14ac:dyDescent="0.25">
      <c r="A387" s="5" t="s">
        <v>8</v>
      </c>
      <c r="B387" s="5" t="s">
        <v>264</v>
      </c>
      <c r="C387" s="5" t="s">
        <v>27</v>
      </c>
      <c r="D387" s="5" t="s">
        <v>385</v>
      </c>
      <c r="E387" s="5" t="s">
        <v>384</v>
      </c>
      <c r="F387" s="5" t="s">
        <v>45</v>
      </c>
      <c r="G387" s="5" t="s">
        <v>383</v>
      </c>
      <c r="H387" s="5" t="s">
        <v>89</v>
      </c>
      <c r="I387" s="5" t="s">
        <v>90</v>
      </c>
      <c r="J387" s="15">
        <v>1000</v>
      </c>
      <c r="K387" s="7">
        <v>22</v>
      </c>
      <c r="L387" s="7">
        <f t="shared" si="36"/>
        <v>45.454545454545453</v>
      </c>
      <c r="M387" s="5" t="s">
        <v>10</v>
      </c>
      <c r="N387" s="5">
        <v>4</v>
      </c>
      <c r="O387" s="6">
        <f t="shared" si="37"/>
        <v>1.2913223140495866</v>
      </c>
      <c r="P387" s="6">
        <f t="shared" si="38"/>
        <v>0.13429752066115702</v>
      </c>
      <c r="Q387" s="10">
        <f t="shared" si="39"/>
        <v>2.7978650137741039E-3</v>
      </c>
      <c r="R387" s="10">
        <f t="shared" si="40"/>
        <v>1.9260746534398895E-2</v>
      </c>
      <c r="S387" s="10">
        <f t="shared" si="41"/>
        <v>2.2058611548172999E-2</v>
      </c>
    </row>
    <row r="388" spans="1:19" x14ac:dyDescent="0.25">
      <c r="A388" s="5" t="s">
        <v>8</v>
      </c>
      <c r="B388" s="5" t="s">
        <v>264</v>
      </c>
      <c r="C388" s="5" t="s">
        <v>27</v>
      </c>
      <c r="D388" s="5" t="s">
        <v>385</v>
      </c>
      <c r="E388" s="5" t="s">
        <v>384</v>
      </c>
      <c r="F388" s="5" t="s">
        <v>45</v>
      </c>
      <c r="G388" s="5" t="s">
        <v>383</v>
      </c>
      <c r="H388" s="5" t="s">
        <v>89</v>
      </c>
      <c r="I388" s="5" t="s">
        <v>265</v>
      </c>
      <c r="J388" s="15">
        <v>1000</v>
      </c>
      <c r="K388" s="7">
        <v>25</v>
      </c>
      <c r="L388" s="7">
        <f t="shared" si="36"/>
        <v>40</v>
      </c>
      <c r="M388" s="5" t="s">
        <v>10</v>
      </c>
      <c r="N388" s="5">
        <v>4</v>
      </c>
      <c r="O388" s="6">
        <f t="shared" si="37"/>
        <v>1</v>
      </c>
      <c r="P388" s="6">
        <f t="shared" si="38"/>
        <v>0.104</v>
      </c>
      <c r="Q388" s="10">
        <f t="shared" si="39"/>
        <v>2.1666666666666666E-3</v>
      </c>
      <c r="R388" s="10">
        <f t="shared" si="40"/>
        <v>1.5900000000000001E-2</v>
      </c>
      <c r="S388" s="10">
        <f t="shared" si="41"/>
        <v>1.8066666666666668E-2</v>
      </c>
    </row>
    <row r="389" spans="1:19" x14ac:dyDescent="0.25">
      <c r="A389" s="5" t="s">
        <v>8</v>
      </c>
      <c r="B389" s="5" t="s">
        <v>264</v>
      </c>
      <c r="C389" s="5" t="s">
        <v>27</v>
      </c>
      <c r="D389" s="5" t="s">
        <v>385</v>
      </c>
      <c r="E389" s="5" t="s">
        <v>384</v>
      </c>
      <c r="F389" s="5" t="s">
        <v>45</v>
      </c>
      <c r="G389" s="5" t="s">
        <v>383</v>
      </c>
      <c r="H389" s="5" t="s">
        <v>89</v>
      </c>
      <c r="I389" s="5" t="s">
        <v>268</v>
      </c>
      <c r="J389" s="15">
        <v>1300</v>
      </c>
      <c r="K389" s="7">
        <v>27.5</v>
      </c>
      <c r="L389" s="7">
        <f t="shared" si="36"/>
        <v>47.272727272727273</v>
      </c>
      <c r="M389" s="5" t="s">
        <v>10</v>
      </c>
      <c r="N389" s="5">
        <v>4</v>
      </c>
      <c r="O389" s="6">
        <f t="shared" si="37"/>
        <v>1.815702479338843</v>
      </c>
      <c r="P389" s="6">
        <f t="shared" si="38"/>
        <v>0.18883305785123963</v>
      </c>
      <c r="Q389" s="10">
        <f t="shared" si="39"/>
        <v>3.9340220385674926E-3</v>
      </c>
      <c r="R389" s="10">
        <f t="shared" si="40"/>
        <v>2.4870277967481078E-2</v>
      </c>
      <c r="S389" s="10">
        <f t="shared" si="41"/>
        <v>2.8804300006048569E-2</v>
      </c>
    </row>
    <row r="390" spans="1:19" x14ac:dyDescent="0.25">
      <c r="A390" s="5" t="s">
        <v>8</v>
      </c>
      <c r="B390" s="5" t="s">
        <v>358</v>
      </c>
      <c r="C390" s="5" t="s">
        <v>27</v>
      </c>
      <c r="D390" s="5" t="s">
        <v>385</v>
      </c>
      <c r="E390" s="5" t="s">
        <v>384</v>
      </c>
      <c r="F390" s="5" t="s">
        <v>45</v>
      </c>
      <c r="G390" s="5" t="s">
        <v>383</v>
      </c>
      <c r="H390" s="5" t="s">
        <v>89</v>
      </c>
      <c r="I390" s="5" t="s">
        <v>269</v>
      </c>
      <c r="J390" s="15">
        <v>1150</v>
      </c>
      <c r="K390" s="7">
        <v>25.8</v>
      </c>
      <c r="L390" s="7">
        <f t="shared" si="36"/>
        <v>44.573643410852711</v>
      </c>
      <c r="M390" s="5" t="s">
        <v>10</v>
      </c>
      <c r="N390" s="5">
        <v>4</v>
      </c>
      <c r="O390" s="6">
        <f t="shared" si="37"/>
        <v>1.4280194624722071</v>
      </c>
      <c r="P390" s="6">
        <f t="shared" si="38"/>
        <v>0.14851402409710951</v>
      </c>
      <c r="Q390" s="10">
        <f t="shared" si="39"/>
        <v>3.0940421686897822E-3</v>
      </c>
      <c r="R390" s="10">
        <f t="shared" si="40"/>
        <v>2.0770536726440858E-2</v>
      </c>
      <c r="S390" s="10">
        <f t="shared" si="41"/>
        <v>2.3864578895130641E-2</v>
      </c>
    </row>
    <row r="391" spans="1:19" x14ac:dyDescent="0.25">
      <c r="A391" s="5" t="s">
        <v>8</v>
      </c>
      <c r="B391" s="5" t="s">
        <v>264</v>
      </c>
      <c r="C391" s="5" t="s">
        <v>27</v>
      </c>
      <c r="D391" s="5" t="s">
        <v>385</v>
      </c>
      <c r="E391" s="5" t="s">
        <v>384</v>
      </c>
      <c r="F391" s="5" t="s">
        <v>45</v>
      </c>
      <c r="G391" s="5" t="s">
        <v>383</v>
      </c>
      <c r="H391" s="5" t="s">
        <v>89</v>
      </c>
      <c r="I391" s="5" t="s">
        <v>269</v>
      </c>
      <c r="J391" s="15">
        <v>1060</v>
      </c>
      <c r="K391" s="7">
        <v>23.5</v>
      </c>
      <c r="L391" s="7">
        <f t="shared" si="36"/>
        <v>45.106382978723403</v>
      </c>
      <c r="M391" s="5" t="s">
        <v>10</v>
      </c>
      <c r="N391" s="5">
        <v>4</v>
      </c>
      <c r="O391" s="6">
        <f t="shared" si="37"/>
        <v>1.3479130828429153</v>
      </c>
      <c r="P391" s="6">
        <f t="shared" si="38"/>
        <v>0.14018296061566318</v>
      </c>
      <c r="Q391" s="10">
        <f t="shared" si="39"/>
        <v>2.9204783461596498E-3</v>
      </c>
      <c r="R391" s="10">
        <f t="shared" si="40"/>
        <v>1.9890401090197855E-2</v>
      </c>
      <c r="S391" s="10">
        <f t="shared" si="41"/>
        <v>2.2810879436357505E-2</v>
      </c>
    </row>
    <row r="392" spans="1:19" x14ac:dyDescent="0.25">
      <c r="A392" s="5" t="s">
        <v>8</v>
      </c>
      <c r="B392" s="5" t="s">
        <v>312</v>
      </c>
      <c r="C392" s="5" t="s">
        <v>27</v>
      </c>
      <c r="D392" s="5" t="s">
        <v>385</v>
      </c>
      <c r="E392" s="5" t="s">
        <v>384</v>
      </c>
      <c r="F392" s="5" t="s">
        <v>45</v>
      </c>
      <c r="G392" s="5" t="s">
        <v>383</v>
      </c>
      <c r="H392" s="5" t="s">
        <v>89</v>
      </c>
      <c r="I392" s="5" t="s">
        <v>269</v>
      </c>
      <c r="J392" s="15">
        <v>1040</v>
      </c>
      <c r="K392" s="7">
        <v>22</v>
      </c>
      <c r="L392" s="7">
        <f t="shared" si="36"/>
        <v>47.272727272727273</v>
      </c>
      <c r="M392" s="5" t="s">
        <v>10</v>
      </c>
      <c r="N392" s="5">
        <v>4</v>
      </c>
      <c r="O392" s="6">
        <f t="shared" si="37"/>
        <v>1.4525619834710741</v>
      </c>
      <c r="P392" s="6">
        <f t="shared" si="38"/>
        <v>0.15106644628099172</v>
      </c>
      <c r="Q392" s="10">
        <f t="shared" si="39"/>
        <v>3.1472176308539935E-3</v>
      </c>
      <c r="R392" s="10">
        <f t="shared" si="40"/>
        <v>2.1037693789274791E-2</v>
      </c>
      <c r="S392" s="10">
        <f t="shared" si="41"/>
        <v>2.4184911420128786E-2</v>
      </c>
    </row>
    <row r="393" spans="1:19" x14ac:dyDescent="0.25">
      <c r="A393" s="5" t="s">
        <v>8</v>
      </c>
      <c r="B393" s="5" t="s">
        <v>312</v>
      </c>
      <c r="C393" s="5" t="s">
        <v>27</v>
      </c>
      <c r="D393" s="5" t="s">
        <v>385</v>
      </c>
      <c r="E393" s="5" t="s">
        <v>384</v>
      </c>
      <c r="F393" s="5" t="s">
        <v>45</v>
      </c>
      <c r="G393" s="5" t="s">
        <v>383</v>
      </c>
      <c r="H393" s="5" t="s">
        <v>89</v>
      </c>
      <c r="I393" s="5" t="s">
        <v>269</v>
      </c>
      <c r="J393" s="15">
        <v>1215</v>
      </c>
      <c r="K393" s="7">
        <v>26.3</v>
      </c>
      <c r="L393" s="7">
        <f t="shared" si="36"/>
        <v>46.197718631178709</v>
      </c>
      <c r="M393" s="5" t="s">
        <v>10</v>
      </c>
      <c r="N393" s="5">
        <v>4</v>
      </c>
      <c r="O393" s="6">
        <f t="shared" si="37"/>
        <v>1.6206803038572197</v>
      </c>
      <c r="P393" s="6">
        <f t="shared" si="38"/>
        <v>0.16855075160115085</v>
      </c>
      <c r="Q393" s="10">
        <f t="shared" si="39"/>
        <v>3.5114739916906426E-3</v>
      </c>
      <c r="R393" s="10">
        <f t="shared" si="40"/>
        <v>2.2838634796892455E-2</v>
      </c>
      <c r="S393" s="10">
        <f t="shared" si="41"/>
        <v>2.6350108788583099E-2</v>
      </c>
    </row>
    <row r="394" spans="1:19" x14ac:dyDescent="0.25">
      <c r="A394" s="5" t="s">
        <v>8</v>
      </c>
      <c r="B394" s="5" t="s">
        <v>264</v>
      </c>
      <c r="C394" s="5" t="s">
        <v>27</v>
      </c>
      <c r="D394" s="5" t="s">
        <v>385</v>
      </c>
      <c r="E394" s="5" t="s">
        <v>384</v>
      </c>
      <c r="F394" s="5" t="s">
        <v>45</v>
      </c>
      <c r="G394" s="5" t="s">
        <v>383</v>
      </c>
      <c r="H394" s="5" t="s">
        <v>89</v>
      </c>
      <c r="I394" s="5" t="s">
        <v>130</v>
      </c>
      <c r="J394" s="15">
        <v>1385</v>
      </c>
      <c r="K394" s="7">
        <v>26.4</v>
      </c>
      <c r="L394" s="7">
        <f t="shared" ref="L394:L408" si="42">J394/K394</f>
        <v>52.462121212121218</v>
      </c>
      <c r="M394" s="5" t="s">
        <v>10</v>
      </c>
      <c r="N394" s="5">
        <v>4</v>
      </c>
      <c r="O394" s="6">
        <f t="shared" ref="O394:O408" si="43">(J394*L394^2)/(1.6*10^6)</f>
        <v>2.3824373215464307</v>
      </c>
      <c r="P394" s="6">
        <f t="shared" ref="P394:P408" si="44">(0.104*J394*L394^2)/(1.6*10^6)</f>
        <v>0.24777348144082881</v>
      </c>
      <c r="Q394" s="10">
        <f t="shared" ref="Q394:Q408" si="45">(0.104*O394)/(12*N394)</f>
        <v>5.1619475300172663E-3</v>
      </c>
      <c r="R394" s="10">
        <f t="shared" ref="R394:R408" si="46">0.0159*O394^0.75</f>
        <v>3.0490408095780776E-2</v>
      </c>
      <c r="S394" s="10">
        <f t="shared" ref="S394:S408" si="47">Q394+R394</f>
        <v>3.5652355625798042E-2</v>
      </c>
    </row>
    <row r="395" spans="1:19" x14ac:dyDescent="0.25">
      <c r="A395" s="5" t="s">
        <v>22</v>
      </c>
      <c r="B395" s="5" t="s">
        <v>63</v>
      </c>
      <c r="C395" s="5" t="s">
        <v>27</v>
      </c>
      <c r="D395" s="5" t="s">
        <v>385</v>
      </c>
      <c r="E395" s="5" t="s">
        <v>384</v>
      </c>
      <c r="F395" s="5" t="s">
        <v>45</v>
      </c>
      <c r="G395" s="5" t="s">
        <v>383</v>
      </c>
      <c r="H395" s="5" t="s">
        <v>84</v>
      </c>
      <c r="I395" s="5" t="s">
        <v>85</v>
      </c>
      <c r="J395" s="15">
        <v>1150</v>
      </c>
      <c r="K395" s="7">
        <v>26</v>
      </c>
      <c r="L395" s="7">
        <f t="shared" si="42"/>
        <v>44.230769230769234</v>
      </c>
      <c r="M395" s="5" t="s">
        <v>10</v>
      </c>
      <c r="N395" s="5">
        <v>4</v>
      </c>
      <c r="O395" s="6">
        <f t="shared" si="43"/>
        <v>1.4061344304733729</v>
      </c>
      <c r="P395" s="6">
        <f t="shared" si="44"/>
        <v>0.14623798076923078</v>
      </c>
      <c r="Q395" s="10">
        <f t="shared" si="45"/>
        <v>3.0466245993589747E-3</v>
      </c>
      <c r="R395" s="10">
        <f t="shared" si="46"/>
        <v>2.0531338164569143E-2</v>
      </c>
      <c r="S395" s="10">
        <f t="shared" si="47"/>
        <v>2.3577962763928116E-2</v>
      </c>
    </row>
    <row r="396" spans="1:19" x14ac:dyDescent="0.25">
      <c r="A396" s="5" t="s">
        <v>8</v>
      </c>
      <c r="B396" s="5" t="s">
        <v>326</v>
      </c>
      <c r="C396" s="5" t="s">
        <v>27</v>
      </c>
      <c r="D396" s="5" t="s">
        <v>385</v>
      </c>
      <c r="E396" s="5" t="s">
        <v>384</v>
      </c>
      <c r="F396" s="5" t="s">
        <v>45</v>
      </c>
      <c r="G396" s="5" t="s">
        <v>383</v>
      </c>
      <c r="H396" s="5" t="s">
        <v>84</v>
      </c>
      <c r="I396" s="5" t="s">
        <v>327</v>
      </c>
      <c r="J396" s="15">
        <v>1150</v>
      </c>
      <c r="K396" s="7">
        <v>21</v>
      </c>
      <c r="L396" s="7">
        <f t="shared" si="42"/>
        <v>54.761904761904759</v>
      </c>
      <c r="M396" s="5" t="s">
        <v>10</v>
      </c>
      <c r="N396" s="5">
        <v>4</v>
      </c>
      <c r="O396" s="6">
        <f t="shared" si="43"/>
        <v>2.1554350907029476</v>
      </c>
      <c r="P396" s="6">
        <f t="shared" si="44"/>
        <v>0.22416524943310653</v>
      </c>
      <c r="Q396" s="10">
        <f t="shared" si="45"/>
        <v>4.6701093631897192E-3</v>
      </c>
      <c r="R396" s="10">
        <f t="shared" si="46"/>
        <v>2.828448893687794E-2</v>
      </c>
      <c r="S396" s="10">
        <f t="shared" si="47"/>
        <v>3.295459830006766E-2</v>
      </c>
    </row>
    <row r="397" spans="1:19" x14ac:dyDescent="0.25">
      <c r="A397" s="5" t="s">
        <v>8</v>
      </c>
      <c r="B397" s="5" t="s">
        <v>322</v>
      </c>
      <c r="C397" s="5" t="s">
        <v>27</v>
      </c>
      <c r="D397" s="5" t="s">
        <v>385</v>
      </c>
      <c r="E397" s="5" t="s">
        <v>384</v>
      </c>
      <c r="F397" s="5" t="s">
        <v>45</v>
      </c>
      <c r="G397" s="5" t="s">
        <v>383</v>
      </c>
      <c r="H397" s="5" t="s">
        <v>84</v>
      </c>
      <c r="I397" s="5" t="s">
        <v>211</v>
      </c>
      <c r="J397" s="15">
        <v>1350</v>
      </c>
      <c r="K397" s="7">
        <v>35</v>
      </c>
      <c r="L397" s="7">
        <f t="shared" si="42"/>
        <v>38.571428571428569</v>
      </c>
      <c r="M397" s="5" t="s">
        <v>10</v>
      </c>
      <c r="N397" s="5">
        <v>4</v>
      </c>
      <c r="O397" s="6">
        <f t="shared" si="43"/>
        <v>1.2552933673469386</v>
      </c>
      <c r="P397" s="6">
        <f t="shared" si="44"/>
        <v>0.13055051020408162</v>
      </c>
      <c r="Q397" s="10">
        <f t="shared" si="45"/>
        <v>2.719802295918367E-3</v>
      </c>
      <c r="R397" s="10">
        <f t="shared" si="46"/>
        <v>1.8856281365180333E-2</v>
      </c>
      <c r="S397" s="10">
        <f t="shared" si="47"/>
        <v>2.1576083661098699E-2</v>
      </c>
    </row>
    <row r="398" spans="1:19" x14ac:dyDescent="0.25">
      <c r="A398" s="5" t="s">
        <v>8</v>
      </c>
      <c r="B398" s="5" t="s">
        <v>206</v>
      </c>
      <c r="C398" s="5" t="s">
        <v>27</v>
      </c>
      <c r="D398" s="5" t="s">
        <v>385</v>
      </c>
      <c r="E398" s="5" t="s">
        <v>384</v>
      </c>
      <c r="F398" s="5" t="s">
        <v>45</v>
      </c>
      <c r="G398" s="5" t="s">
        <v>383</v>
      </c>
      <c r="H398" s="5" t="s">
        <v>84</v>
      </c>
      <c r="I398" s="5" t="s">
        <v>211</v>
      </c>
      <c r="J398" s="15">
        <v>1050</v>
      </c>
      <c r="K398" s="7">
        <v>20</v>
      </c>
      <c r="L398" s="7">
        <f t="shared" si="42"/>
        <v>52.5</v>
      </c>
      <c r="M398" s="5" t="s">
        <v>10</v>
      </c>
      <c r="N398" s="5">
        <v>4</v>
      </c>
      <c r="O398" s="6">
        <f t="shared" si="43"/>
        <v>1.8087890625</v>
      </c>
      <c r="P398" s="6">
        <f t="shared" si="44"/>
        <v>0.18811406249999996</v>
      </c>
      <c r="Q398" s="10">
        <f t="shared" si="45"/>
        <v>3.9190429687499997E-3</v>
      </c>
      <c r="R398" s="10">
        <f t="shared" si="46"/>
        <v>2.4799222591898096E-2</v>
      </c>
      <c r="S398" s="10">
        <f t="shared" si="47"/>
        <v>2.8718265560648097E-2</v>
      </c>
    </row>
    <row r="399" spans="1:19" x14ac:dyDescent="0.25">
      <c r="A399" s="5" t="s">
        <v>8</v>
      </c>
      <c r="B399" s="5" t="s">
        <v>204</v>
      </c>
      <c r="C399" s="5" t="s">
        <v>27</v>
      </c>
      <c r="D399" s="5" t="s">
        <v>385</v>
      </c>
      <c r="E399" s="5" t="s">
        <v>384</v>
      </c>
      <c r="F399" s="5" t="s">
        <v>45</v>
      </c>
      <c r="G399" s="5" t="s">
        <v>383</v>
      </c>
      <c r="H399" s="5" t="s">
        <v>84</v>
      </c>
      <c r="I399" s="5" t="s">
        <v>211</v>
      </c>
      <c r="J399" s="15">
        <v>1300</v>
      </c>
      <c r="K399" s="7">
        <v>31</v>
      </c>
      <c r="L399" s="7">
        <f t="shared" si="42"/>
        <v>41.935483870967744</v>
      </c>
      <c r="M399" s="5" t="s">
        <v>10</v>
      </c>
      <c r="N399" s="5">
        <v>4</v>
      </c>
      <c r="O399" s="6">
        <f t="shared" si="43"/>
        <v>1.4288501560874092</v>
      </c>
      <c r="P399" s="6">
        <f t="shared" si="44"/>
        <v>0.14860041623309053</v>
      </c>
      <c r="Q399" s="10">
        <f t="shared" si="45"/>
        <v>3.0958420048560532E-3</v>
      </c>
      <c r="R399" s="10">
        <f t="shared" si="46"/>
        <v>2.0779597893882982E-2</v>
      </c>
      <c r="S399" s="10">
        <f t="shared" si="47"/>
        <v>2.3875439898739036E-2</v>
      </c>
    </row>
    <row r="400" spans="1:19" x14ac:dyDescent="0.25">
      <c r="A400" s="5" t="s">
        <v>8</v>
      </c>
      <c r="B400" s="5" t="s">
        <v>192</v>
      </c>
      <c r="C400" s="5" t="s">
        <v>27</v>
      </c>
      <c r="D400" s="5" t="s">
        <v>385</v>
      </c>
      <c r="E400" s="5" t="s">
        <v>384</v>
      </c>
      <c r="F400" s="5" t="s">
        <v>45</v>
      </c>
      <c r="G400" s="5" t="s">
        <v>383</v>
      </c>
      <c r="H400" s="5" t="s">
        <v>84</v>
      </c>
      <c r="I400" s="5" t="s">
        <v>211</v>
      </c>
      <c r="J400" s="15">
        <v>1240</v>
      </c>
      <c r="K400" s="7">
        <v>33</v>
      </c>
      <c r="L400" s="7">
        <f t="shared" si="42"/>
        <v>37.575757575757578</v>
      </c>
      <c r="M400" s="5" t="s">
        <v>10</v>
      </c>
      <c r="N400" s="5">
        <v>4</v>
      </c>
      <c r="O400" s="6">
        <f t="shared" si="43"/>
        <v>1.0942516069788797</v>
      </c>
      <c r="P400" s="6">
        <f t="shared" si="44"/>
        <v>0.1138021671258035</v>
      </c>
      <c r="Q400" s="10">
        <f t="shared" si="45"/>
        <v>2.3708784817875728E-3</v>
      </c>
      <c r="R400" s="10">
        <f t="shared" si="46"/>
        <v>1.7011202684541326E-2</v>
      </c>
      <c r="S400" s="10">
        <f t="shared" si="47"/>
        <v>1.9382081166328897E-2</v>
      </c>
    </row>
    <row r="401" spans="1:19" x14ac:dyDescent="0.25">
      <c r="A401" s="5" t="s">
        <v>22</v>
      </c>
      <c r="B401" s="5" t="s">
        <v>63</v>
      </c>
      <c r="C401" s="5" t="s">
        <v>27</v>
      </c>
      <c r="D401" s="5" t="s">
        <v>385</v>
      </c>
      <c r="E401" s="5" t="s">
        <v>384</v>
      </c>
      <c r="F401" s="5" t="s">
        <v>45</v>
      </c>
      <c r="G401" s="5" t="s">
        <v>383</v>
      </c>
      <c r="H401" s="5" t="s">
        <v>86</v>
      </c>
      <c r="I401" s="5" t="s">
        <v>87</v>
      </c>
      <c r="J401" s="15">
        <v>1500</v>
      </c>
      <c r="K401" s="7">
        <v>36</v>
      </c>
      <c r="L401" s="7">
        <f t="shared" si="42"/>
        <v>41.666666666666664</v>
      </c>
      <c r="M401" s="5" t="s">
        <v>10</v>
      </c>
      <c r="N401" s="5">
        <v>4</v>
      </c>
      <c r="O401" s="6">
        <f t="shared" si="43"/>
        <v>1.6276041666666665</v>
      </c>
      <c r="P401" s="6">
        <f t="shared" si="44"/>
        <v>0.16927083333333331</v>
      </c>
      <c r="Q401" s="10">
        <f t="shared" si="45"/>
        <v>3.5264756944444441E-3</v>
      </c>
      <c r="R401" s="10">
        <f t="shared" si="46"/>
        <v>2.2911774118795719E-2</v>
      </c>
      <c r="S401" s="10">
        <f t="shared" si="47"/>
        <v>2.6438249813240163E-2</v>
      </c>
    </row>
    <row r="402" spans="1:19" x14ac:dyDescent="0.25">
      <c r="A402" s="5" t="s">
        <v>22</v>
      </c>
      <c r="B402" s="5" t="s">
        <v>63</v>
      </c>
      <c r="C402" s="5" t="s">
        <v>27</v>
      </c>
      <c r="D402" s="5" t="s">
        <v>385</v>
      </c>
      <c r="E402" s="5" t="s">
        <v>384</v>
      </c>
      <c r="F402" s="5" t="s">
        <v>45</v>
      </c>
      <c r="G402" s="5" t="s">
        <v>383</v>
      </c>
      <c r="H402" s="5" t="s">
        <v>88</v>
      </c>
      <c r="I402" s="5" t="s">
        <v>15</v>
      </c>
      <c r="J402" s="15">
        <v>1700</v>
      </c>
      <c r="K402" s="7">
        <v>22</v>
      </c>
      <c r="L402" s="7">
        <f t="shared" si="42"/>
        <v>77.272727272727266</v>
      </c>
      <c r="M402" s="5" t="s">
        <v>10</v>
      </c>
      <c r="N402" s="5">
        <v>4</v>
      </c>
      <c r="O402" s="6">
        <f t="shared" si="43"/>
        <v>6.344266528925619</v>
      </c>
      <c r="P402" s="6">
        <f t="shared" si="44"/>
        <v>0.65980371900826429</v>
      </c>
      <c r="Q402" s="10">
        <f t="shared" si="45"/>
        <v>1.3745910812672174E-2</v>
      </c>
      <c r="R402" s="10">
        <f t="shared" si="46"/>
        <v>6.3559897650201369E-2</v>
      </c>
      <c r="S402" s="10">
        <f t="shared" si="47"/>
        <v>7.7305808462873549E-2</v>
      </c>
    </row>
    <row r="403" spans="1:19" x14ac:dyDescent="0.25">
      <c r="A403" s="5" t="s">
        <v>22</v>
      </c>
      <c r="B403" s="5" t="s">
        <v>63</v>
      </c>
      <c r="C403" s="5" t="s">
        <v>27</v>
      </c>
      <c r="D403" s="5" t="s">
        <v>385</v>
      </c>
      <c r="E403" s="5" t="s">
        <v>384</v>
      </c>
      <c r="F403" s="5" t="s">
        <v>45</v>
      </c>
      <c r="G403" s="5" t="s">
        <v>383</v>
      </c>
      <c r="H403" s="5" t="s">
        <v>83</v>
      </c>
      <c r="I403" s="5" t="s">
        <v>62</v>
      </c>
      <c r="J403" s="15">
        <v>1300</v>
      </c>
      <c r="K403" s="7">
        <v>28</v>
      </c>
      <c r="L403" s="7">
        <f t="shared" si="42"/>
        <v>46.428571428571431</v>
      </c>
      <c r="M403" s="5" t="s">
        <v>10</v>
      </c>
      <c r="N403" s="5">
        <v>4</v>
      </c>
      <c r="O403" s="6">
        <f t="shared" si="43"/>
        <v>1.751434948979592</v>
      </c>
      <c r="P403" s="6">
        <f t="shared" si="44"/>
        <v>0.18214923469387756</v>
      </c>
      <c r="Q403" s="10">
        <f t="shared" si="45"/>
        <v>3.7947757227891157E-3</v>
      </c>
      <c r="R403" s="10">
        <f t="shared" si="46"/>
        <v>2.4207092683528889E-2</v>
      </c>
      <c r="S403" s="10">
        <f t="shared" si="47"/>
        <v>2.8001868406318006E-2</v>
      </c>
    </row>
    <row r="404" spans="1:19" x14ac:dyDescent="0.25">
      <c r="A404" s="5" t="s">
        <v>8</v>
      </c>
      <c r="B404" s="5" t="s">
        <v>339</v>
      </c>
      <c r="C404" s="5" t="s">
        <v>27</v>
      </c>
      <c r="D404" s="5" t="s">
        <v>385</v>
      </c>
      <c r="E404" s="5" t="s">
        <v>384</v>
      </c>
      <c r="F404" s="5" t="s">
        <v>45</v>
      </c>
      <c r="G404" s="5" t="s">
        <v>383</v>
      </c>
      <c r="H404" s="5" t="s">
        <v>83</v>
      </c>
      <c r="I404" s="5" t="s">
        <v>341</v>
      </c>
      <c r="J404" s="15">
        <v>1103</v>
      </c>
      <c r="K404" s="7">
        <v>27.5</v>
      </c>
      <c r="L404" s="7">
        <f t="shared" si="42"/>
        <v>40.109090909090909</v>
      </c>
      <c r="M404" s="5" t="s">
        <v>10</v>
      </c>
      <c r="N404" s="5">
        <v>4</v>
      </c>
      <c r="O404" s="6">
        <f t="shared" si="43"/>
        <v>1.109024567768595</v>
      </c>
      <c r="P404" s="6">
        <f t="shared" si="44"/>
        <v>0.11533855504793387</v>
      </c>
      <c r="Q404" s="10">
        <f t="shared" si="45"/>
        <v>2.4028865634986222E-3</v>
      </c>
      <c r="R404" s="10">
        <f t="shared" si="46"/>
        <v>1.7183158637034863E-2</v>
      </c>
      <c r="S404" s="10">
        <f t="shared" si="47"/>
        <v>1.9586045200533485E-2</v>
      </c>
    </row>
    <row r="405" spans="1:19" x14ac:dyDescent="0.25">
      <c r="A405" s="5" t="s">
        <v>8</v>
      </c>
      <c r="B405" s="5" t="s">
        <v>369</v>
      </c>
      <c r="C405" s="5" t="s">
        <v>27</v>
      </c>
      <c r="D405" s="5" t="s">
        <v>385</v>
      </c>
      <c r="E405" s="5" t="s">
        <v>384</v>
      </c>
      <c r="F405" s="5" t="s">
        <v>45</v>
      </c>
      <c r="G405" s="5" t="s">
        <v>383</v>
      </c>
      <c r="H405" s="5" t="s">
        <v>83</v>
      </c>
      <c r="I405" s="5" t="s">
        <v>341</v>
      </c>
      <c r="J405" s="15">
        <v>1260</v>
      </c>
      <c r="K405" s="7">
        <v>29.9</v>
      </c>
      <c r="L405" s="7">
        <f t="shared" si="42"/>
        <v>42.140468227424748</v>
      </c>
      <c r="M405" s="5" t="s">
        <v>10</v>
      </c>
      <c r="N405" s="5">
        <v>4</v>
      </c>
      <c r="O405" s="6">
        <f t="shared" si="43"/>
        <v>1.3984575116609432</v>
      </c>
      <c r="P405" s="6">
        <f t="shared" si="44"/>
        <v>0.14543958121273809</v>
      </c>
      <c r="Q405" s="10">
        <f t="shared" si="45"/>
        <v>3.029991275265377E-3</v>
      </c>
      <c r="R405" s="10">
        <f t="shared" si="46"/>
        <v>2.0447211129455776E-2</v>
      </c>
      <c r="S405" s="10">
        <f t="shared" si="47"/>
        <v>2.3477202404721152E-2</v>
      </c>
    </row>
    <row r="406" spans="1:19" x14ac:dyDescent="0.25">
      <c r="A406" s="5" t="s">
        <v>8</v>
      </c>
      <c r="B406" s="5" t="s">
        <v>339</v>
      </c>
      <c r="C406" s="5" t="s">
        <v>27</v>
      </c>
      <c r="D406" s="5" t="s">
        <v>385</v>
      </c>
      <c r="E406" s="5" t="s">
        <v>384</v>
      </c>
      <c r="F406" s="5" t="s">
        <v>45</v>
      </c>
      <c r="G406" s="5" t="s">
        <v>383</v>
      </c>
      <c r="H406" s="5" t="s">
        <v>83</v>
      </c>
      <c r="I406" s="5" t="s">
        <v>340</v>
      </c>
      <c r="J406" s="15">
        <v>1023</v>
      </c>
      <c r="K406" s="7">
        <v>26.4</v>
      </c>
      <c r="L406" s="7">
        <f t="shared" si="42"/>
        <v>38.75</v>
      </c>
      <c r="M406" s="5" t="s">
        <v>10</v>
      </c>
      <c r="N406" s="5">
        <v>4</v>
      </c>
      <c r="O406" s="6">
        <f t="shared" si="43"/>
        <v>0.96006152343749995</v>
      </c>
      <c r="P406" s="6">
        <f t="shared" si="44"/>
        <v>9.9846398437499997E-2</v>
      </c>
      <c r="Q406" s="10">
        <f t="shared" si="45"/>
        <v>2.0801333007812498E-3</v>
      </c>
      <c r="R406" s="10">
        <f t="shared" si="46"/>
        <v>1.5421315518521045E-2</v>
      </c>
      <c r="S406" s="10">
        <f t="shared" si="47"/>
        <v>1.7501448819302295E-2</v>
      </c>
    </row>
    <row r="407" spans="1:19" x14ac:dyDescent="0.25">
      <c r="A407" s="5" t="s">
        <v>8</v>
      </c>
      <c r="B407" s="5" t="s">
        <v>339</v>
      </c>
      <c r="C407" s="5" t="s">
        <v>27</v>
      </c>
      <c r="D407" s="5" t="s">
        <v>385</v>
      </c>
      <c r="E407" s="5" t="s">
        <v>384</v>
      </c>
      <c r="F407" s="5" t="s">
        <v>45</v>
      </c>
      <c r="G407" s="5" t="s">
        <v>383</v>
      </c>
      <c r="H407" s="5" t="s">
        <v>83</v>
      </c>
      <c r="I407" s="5" t="s">
        <v>340</v>
      </c>
      <c r="J407" s="15">
        <v>1009</v>
      </c>
      <c r="K407" s="7">
        <v>22.1</v>
      </c>
      <c r="L407" s="7">
        <f t="shared" si="42"/>
        <v>45.656108597285062</v>
      </c>
      <c r="M407" s="5" t="s">
        <v>10</v>
      </c>
      <c r="N407" s="5">
        <v>4</v>
      </c>
      <c r="O407" s="6">
        <f t="shared" si="43"/>
        <v>1.314525359073319</v>
      </c>
      <c r="P407" s="6">
        <f t="shared" si="44"/>
        <v>0.13671063734362518</v>
      </c>
      <c r="Q407" s="10">
        <f t="shared" si="45"/>
        <v>2.8481382779921914E-3</v>
      </c>
      <c r="R407" s="10">
        <f t="shared" si="46"/>
        <v>1.9519732008710461E-2</v>
      </c>
      <c r="S407" s="10">
        <f t="shared" si="47"/>
        <v>2.2367870286702653E-2</v>
      </c>
    </row>
    <row r="408" spans="1:19" x14ac:dyDescent="0.25">
      <c r="A408" s="5" t="s">
        <v>8</v>
      </c>
      <c r="B408" s="5" t="s">
        <v>369</v>
      </c>
      <c r="C408" s="5" t="s">
        <v>27</v>
      </c>
      <c r="D408" s="5" t="s">
        <v>385</v>
      </c>
      <c r="E408" s="5" t="s">
        <v>384</v>
      </c>
      <c r="F408" s="5" t="s">
        <v>45</v>
      </c>
      <c r="G408" s="5" t="s">
        <v>383</v>
      </c>
      <c r="H408" s="5" t="s">
        <v>83</v>
      </c>
      <c r="I408" s="5" t="s">
        <v>340</v>
      </c>
      <c r="J408" s="15">
        <v>1340</v>
      </c>
      <c r="K408" s="7">
        <v>36.5</v>
      </c>
      <c r="L408" s="7">
        <f t="shared" si="42"/>
        <v>36.712328767123289</v>
      </c>
      <c r="M408" s="5" t="s">
        <v>10</v>
      </c>
      <c r="N408" s="5">
        <v>4</v>
      </c>
      <c r="O408" s="6">
        <f t="shared" si="43"/>
        <v>1.1287783824357291</v>
      </c>
      <c r="P408" s="6">
        <f t="shared" si="44"/>
        <v>0.11739295177331582</v>
      </c>
      <c r="Q408" s="10">
        <f t="shared" si="45"/>
        <v>2.4456864952774131E-3</v>
      </c>
      <c r="R408" s="10">
        <f t="shared" si="46"/>
        <v>1.7412199601379269E-2</v>
      </c>
      <c r="S408" s="10">
        <f t="shared" si="47"/>
        <v>1.9857886096656681E-2</v>
      </c>
    </row>
    <row r="409" spans="1:19" x14ac:dyDescent="0.25">
      <c r="J409" s="16">
        <f t="shared" ref="J409:S409" si="48">AVERAGE(J2:J408)</f>
        <v>1780.2702702702702</v>
      </c>
      <c r="K409" s="12">
        <f t="shared" si="48"/>
        <v>30.160196560196571</v>
      </c>
      <c r="L409" s="12">
        <f t="shared" si="48"/>
        <v>59.089335320873985</v>
      </c>
      <c r="M409" s="16" t="e">
        <f t="shared" si="48"/>
        <v>#DIV/0!</v>
      </c>
      <c r="N409" s="16">
        <f t="shared" si="48"/>
        <v>4</v>
      </c>
      <c r="O409" s="13">
        <f t="shared" si="48"/>
        <v>6.0043603271871371</v>
      </c>
      <c r="P409" s="13">
        <f t="shared" si="48"/>
        <v>0.62445347402746143</v>
      </c>
      <c r="Q409" s="14">
        <f t="shared" si="48"/>
        <v>1.3009447375572133E-2</v>
      </c>
      <c r="R409" s="14">
        <f t="shared" si="48"/>
        <v>5.3853935943161388E-2</v>
      </c>
      <c r="S409" s="14">
        <f t="shared" si="48"/>
        <v>6.6863383318733496E-2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5"/>
  <sheetViews>
    <sheetView topLeftCell="J1" workbookViewId="0">
      <pane ySplit="1" topLeftCell="A116" activePane="bottomLeft" state="frozen"/>
      <selection pane="bottomLeft" activeCell="T1" sqref="T1:AB1048576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890</v>
      </c>
      <c r="K2" s="7">
        <v>19</v>
      </c>
      <c r="L2" s="7">
        <f>J2/K2</f>
        <v>46.842105263157897</v>
      </c>
      <c r="M2" s="5" t="s">
        <v>9</v>
      </c>
      <c r="N2" s="5">
        <v>4</v>
      </c>
      <c r="O2" s="6">
        <f>(J2*L2^2)/(1.6*10^6)</f>
        <v>1.2205141966759003</v>
      </c>
      <c r="P2" s="6">
        <f>(0.104*J2*L2^2)/(1.6*10^6)</f>
        <v>0.12693347645429362</v>
      </c>
      <c r="Q2" s="10">
        <f>(0.104*O2)/(12*N2)</f>
        <v>2.6444474261311172E-3</v>
      </c>
      <c r="R2" s="10">
        <f>0.0159*O2^0.75</f>
        <v>1.8463084224508496E-2</v>
      </c>
      <c r="S2" s="10">
        <f>Q2+R2</f>
        <v>2.1107531650639614E-2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850</v>
      </c>
      <c r="K3" s="7">
        <v>13</v>
      </c>
      <c r="L3" s="7">
        <f>J3/K3</f>
        <v>65.384615384615387</v>
      </c>
      <c r="M3" s="5" t="s">
        <v>9</v>
      </c>
      <c r="N3" s="5">
        <v>4</v>
      </c>
      <c r="O3" s="6">
        <f>(J3*L3^2)/(1.6*10^6)</f>
        <v>2.2711723372781067</v>
      </c>
      <c r="P3" s="6">
        <f>(0.104*J3*L3^2)/(1.6*10^6)</f>
        <v>0.23620192307692309</v>
      </c>
      <c r="Q3" s="10">
        <f>(0.104*O3)/(12*N3)</f>
        <v>4.9208733974358976E-3</v>
      </c>
      <c r="R3" s="10">
        <f>0.0159*O3^0.75</f>
        <v>2.9416072803725764E-2</v>
      </c>
      <c r="S3" s="10">
        <f>Q3+R3</f>
        <v>3.4336946201161664E-2</v>
      </c>
    </row>
    <row r="4" spans="1:19" x14ac:dyDescent="0.25">
      <c r="A4" s="5" t="s">
        <v>22</v>
      </c>
      <c r="B4" s="5" t="s">
        <v>63</v>
      </c>
      <c r="C4" s="5" t="s">
        <v>27</v>
      </c>
      <c r="D4" s="5" t="s">
        <v>389</v>
      </c>
      <c r="E4" s="5" t="s">
        <v>388</v>
      </c>
      <c r="F4" s="5" t="s">
        <v>28</v>
      </c>
      <c r="G4" s="5" t="s">
        <v>398</v>
      </c>
      <c r="H4" s="5" t="s">
        <v>133</v>
      </c>
      <c r="I4" s="5" t="s">
        <v>25</v>
      </c>
      <c r="J4" s="15">
        <v>1900</v>
      </c>
      <c r="K4" s="7">
        <v>50</v>
      </c>
      <c r="L4" s="7">
        <f>J4/K4</f>
        <v>38</v>
      </c>
      <c r="M4" s="5" t="s">
        <v>9</v>
      </c>
      <c r="N4" s="5">
        <v>4</v>
      </c>
      <c r="O4" s="6">
        <f>(J4*L4^2)/(1.6*10^6)</f>
        <v>1.71475</v>
      </c>
      <c r="P4" s="6">
        <f>(0.104*J4*L4^2)/(1.6*10^6)</f>
        <v>0.17833399999999996</v>
      </c>
      <c r="Q4" s="10">
        <f>(0.104*O4)/(12*N4)</f>
        <v>3.7152916666666667E-3</v>
      </c>
      <c r="R4" s="10">
        <f>0.0159*O4^0.75</f>
        <v>2.3825813226263679E-2</v>
      </c>
      <c r="S4" s="10">
        <f>Q4+R4</f>
        <v>2.7541104892930345E-2</v>
      </c>
    </row>
    <row r="5" spans="1:19" x14ac:dyDescent="0.25">
      <c r="J5" s="16">
        <f>AVERAGE(J2:J4)</f>
        <v>1213.3333333333333</v>
      </c>
      <c r="K5" s="12">
        <f t="shared" ref="K5:S5" si="0">AVERAGE(K2:K4)</f>
        <v>27.333333333333332</v>
      </c>
      <c r="L5" s="12">
        <f t="shared" si="0"/>
        <v>50.075573549257761</v>
      </c>
      <c r="M5" s="11" t="e">
        <f t="shared" si="0"/>
        <v>#DIV/0!</v>
      </c>
      <c r="N5" s="11">
        <f t="shared" si="0"/>
        <v>4</v>
      </c>
      <c r="O5" s="13">
        <f t="shared" si="0"/>
        <v>1.7354788446513354</v>
      </c>
      <c r="P5" s="13">
        <f t="shared" si="0"/>
        <v>0.18048979984373889</v>
      </c>
      <c r="Q5" s="14">
        <f t="shared" si="0"/>
        <v>3.7602041634112273E-3</v>
      </c>
      <c r="R5" s="14">
        <f t="shared" si="0"/>
        <v>2.3901656751499314E-2</v>
      </c>
      <c r="S5" s="14">
        <f t="shared" si="0"/>
        <v>2.7661860914910536E-2</v>
      </c>
    </row>
    <row r="6" spans="1:19" x14ac:dyDescent="0.25">
      <c r="A6" s="5" t="s">
        <v>8</v>
      </c>
      <c r="B6" s="5" t="s">
        <v>277</v>
      </c>
      <c r="C6" s="5" t="s">
        <v>27</v>
      </c>
      <c r="D6" s="5" t="s">
        <v>385</v>
      </c>
      <c r="E6" s="5" t="s">
        <v>387</v>
      </c>
      <c r="F6" s="5" t="s">
        <v>52</v>
      </c>
      <c r="G6" s="5" t="s">
        <v>386</v>
      </c>
      <c r="H6" s="5" t="s">
        <v>58</v>
      </c>
      <c r="I6" s="5" t="s">
        <v>278</v>
      </c>
      <c r="J6" s="15">
        <v>1640</v>
      </c>
      <c r="K6" s="7">
        <v>34.5</v>
      </c>
      <c r="L6" s="7">
        <f t="shared" ref="L6:L37" si="1">J6/K6</f>
        <v>47.536231884057969</v>
      </c>
      <c r="M6" s="5" t="s">
        <v>9</v>
      </c>
      <c r="N6" s="5">
        <v>4</v>
      </c>
      <c r="O6" s="6">
        <f t="shared" ref="O6:O37" si="2">(J6*L6^2)/(1.6*10^6)</f>
        <v>2.316185675278303</v>
      </c>
      <c r="P6" s="6">
        <f t="shared" ref="P6:P37" si="3">(0.104*J6*L6^2)/(1.6*10^6)</f>
        <v>0.24088331022894349</v>
      </c>
      <c r="Q6" s="10">
        <f t="shared" ref="Q6:Q37" si="4">(0.104*O6)/(12*N6)</f>
        <v>5.0184022964363225E-3</v>
      </c>
      <c r="R6" s="10">
        <f t="shared" ref="R6:R37" si="5">0.0159*O6^0.75</f>
        <v>2.9852255693463999E-2</v>
      </c>
      <c r="S6" s="10">
        <f t="shared" ref="S6:S37" si="6">Q6+R6</f>
        <v>3.4870657989900321E-2</v>
      </c>
    </row>
    <row r="7" spans="1:19" x14ac:dyDescent="0.25">
      <c r="A7" s="5" t="s">
        <v>8</v>
      </c>
      <c r="B7" s="5" t="s">
        <v>291</v>
      </c>
      <c r="C7" s="5" t="s">
        <v>27</v>
      </c>
      <c r="D7" s="5" t="s">
        <v>385</v>
      </c>
      <c r="E7" s="5" t="s">
        <v>387</v>
      </c>
      <c r="F7" s="5" t="s">
        <v>52</v>
      </c>
      <c r="G7" s="5" t="s">
        <v>386</v>
      </c>
      <c r="H7" s="5" t="s">
        <v>58</v>
      </c>
      <c r="I7" s="5" t="s">
        <v>278</v>
      </c>
      <c r="J7" s="15">
        <v>1650</v>
      </c>
      <c r="K7" s="7">
        <v>36.5</v>
      </c>
      <c r="L7" s="7">
        <f t="shared" si="1"/>
        <v>45.205479452054796</v>
      </c>
      <c r="M7" s="5" t="s">
        <v>9</v>
      </c>
      <c r="N7" s="5">
        <v>4</v>
      </c>
      <c r="O7" s="6">
        <f t="shared" si="2"/>
        <v>2.1073958528804653</v>
      </c>
      <c r="P7" s="6">
        <f t="shared" si="3"/>
        <v>0.2191691686995684</v>
      </c>
      <c r="Q7" s="10">
        <f t="shared" si="4"/>
        <v>4.5660243479076741E-3</v>
      </c>
      <c r="R7" s="10">
        <f t="shared" si="5"/>
        <v>2.7810366682914086E-2</v>
      </c>
      <c r="S7" s="10">
        <f t="shared" si="6"/>
        <v>3.2376391030821759E-2</v>
      </c>
    </row>
    <row r="8" spans="1:19" x14ac:dyDescent="0.25">
      <c r="A8" s="5" t="s">
        <v>8</v>
      </c>
      <c r="B8" s="5" t="s">
        <v>291</v>
      </c>
      <c r="C8" s="5" t="s">
        <v>27</v>
      </c>
      <c r="D8" s="5" t="s">
        <v>385</v>
      </c>
      <c r="E8" s="5" t="s">
        <v>387</v>
      </c>
      <c r="F8" s="5" t="s">
        <v>52</v>
      </c>
      <c r="G8" s="5" t="s">
        <v>386</v>
      </c>
      <c r="H8" s="5" t="s">
        <v>58</v>
      </c>
      <c r="I8" s="5" t="s">
        <v>257</v>
      </c>
      <c r="J8" s="15">
        <v>3200</v>
      </c>
      <c r="K8" s="7">
        <v>50</v>
      </c>
      <c r="L8" s="7">
        <f t="shared" si="1"/>
        <v>64</v>
      </c>
      <c r="M8" s="5" t="s">
        <v>9</v>
      </c>
      <c r="N8" s="5">
        <v>4</v>
      </c>
      <c r="O8" s="6">
        <f t="shared" si="2"/>
        <v>8.1920000000000002</v>
      </c>
      <c r="P8" s="6">
        <f t="shared" si="3"/>
        <v>0.85196800000000006</v>
      </c>
      <c r="Q8" s="10">
        <f t="shared" si="4"/>
        <v>1.7749333333333332E-2</v>
      </c>
      <c r="R8" s="10">
        <f t="shared" si="5"/>
        <v>7.6990932905730558E-2</v>
      </c>
      <c r="S8" s="10">
        <f t="shared" si="6"/>
        <v>9.4740266239063897E-2</v>
      </c>
    </row>
    <row r="9" spans="1:19" x14ac:dyDescent="0.25">
      <c r="A9" s="5" t="s">
        <v>8</v>
      </c>
      <c r="B9" s="5" t="s">
        <v>291</v>
      </c>
      <c r="C9" s="5" t="s">
        <v>27</v>
      </c>
      <c r="D9" s="5" t="s">
        <v>385</v>
      </c>
      <c r="E9" s="5" t="s">
        <v>387</v>
      </c>
      <c r="F9" s="5" t="s">
        <v>52</v>
      </c>
      <c r="G9" s="5" t="s">
        <v>386</v>
      </c>
      <c r="H9" s="5" t="s">
        <v>58</v>
      </c>
      <c r="I9" s="5" t="s">
        <v>292</v>
      </c>
      <c r="J9" s="15">
        <v>2200</v>
      </c>
      <c r="K9" s="7">
        <v>30.5</v>
      </c>
      <c r="L9" s="7">
        <f t="shared" si="1"/>
        <v>72.131147540983605</v>
      </c>
      <c r="M9" s="5" t="s">
        <v>9</v>
      </c>
      <c r="N9" s="5">
        <v>4</v>
      </c>
      <c r="O9" s="6">
        <f t="shared" si="2"/>
        <v>7.153990862671324</v>
      </c>
      <c r="P9" s="6">
        <f t="shared" si="3"/>
        <v>0.74401504971781773</v>
      </c>
      <c r="Q9" s="10">
        <f t="shared" si="4"/>
        <v>1.5500313535787867E-2</v>
      </c>
      <c r="R9" s="10">
        <f t="shared" si="5"/>
        <v>6.9551805788942461E-2</v>
      </c>
      <c r="S9" s="10">
        <f t="shared" si="6"/>
        <v>8.5052119324730335E-2</v>
      </c>
    </row>
    <row r="10" spans="1:19" x14ac:dyDescent="0.25">
      <c r="A10" s="5" t="s">
        <v>22</v>
      </c>
      <c r="B10" s="5" t="s">
        <v>26</v>
      </c>
      <c r="C10" s="5" t="s">
        <v>27</v>
      </c>
      <c r="D10" s="5" t="s">
        <v>385</v>
      </c>
      <c r="E10" s="5" t="s">
        <v>387</v>
      </c>
      <c r="F10" s="5" t="s">
        <v>52</v>
      </c>
      <c r="G10" s="5" t="s">
        <v>386</v>
      </c>
      <c r="H10" s="5" t="s">
        <v>58</v>
      </c>
      <c r="I10" s="5" t="s">
        <v>59</v>
      </c>
      <c r="J10" s="15">
        <v>1650</v>
      </c>
      <c r="K10" s="7">
        <v>33</v>
      </c>
      <c r="L10" s="7">
        <f t="shared" si="1"/>
        <v>50</v>
      </c>
      <c r="M10" s="5" t="s">
        <v>9</v>
      </c>
      <c r="N10" s="5">
        <v>4</v>
      </c>
      <c r="O10" s="6">
        <f t="shared" si="2"/>
        <v>2.578125</v>
      </c>
      <c r="P10" s="6">
        <f t="shared" si="3"/>
        <v>0.268125</v>
      </c>
      <c r="Q10" s="10">
        <f t="shared" si="4"/>
        <v>5.5859374999999998E-3</v>
      </c>
      <c r="R10" s="10">
        <f t="shared" si="5"/>
        <v>3.2350060856390632E-2</v>
      </c>
      <c r="S10" s="10">
        <f t="shared" si="6"/>
        <v>3.7935998356390631E-2</v>
      </c>
    </row>
    <row r="11" spans="1:19" x14ac:dyDescent="0.25">
      <c r="A11" s="5" t="s">
        <v>8</v>
      </c>
      <c r="B11" s="5" t="s">
        <v>291</v>
      </c>
      <c r="C11" s="5" t="s">
        <v>27</v>
      </c>
      <c r="D11" s="5" t="s">
        <v>385</v>
      </c>
      <c r="E11" s="5" t="s">
        <v>387</v>
      </c>
      <c r="F11" s="5" t="s">
        <v>52</v>
      </c>
      <c r="G11" s="5" t="s">
        <v>386</v>
      </c>
      <c r="H11" s="5" t="s">
        <v>58</v>
      </c>
      <c r="I11" s="5" t="s">
        <v>59</v>
      </c>
      <c r="J11" s="15">
        <v>1650</v>
      </c>
      <c r="K11" s="7">
        <v>33</v>
      </c>
      <c r="L11" s="7">
        <f t="shared" si="1"/>
        <v>50</v>
      </c>
      <c r="M11" s="5" t="s">
        <v>9</v>
      </c>
      <c r="N11" s="5">
        <v>4</v>
      </c>
      <c r="O11" s="6">
        <f t="shared" si="2"/>
        <v>2.578125</v>
      </c>
      <c r="P11" s="6">
        <f t="shared" si="3"/>
        <v>0.268125</v>
      </c>
      <c r="Q11" s="10">
        <f t="shared" si="4"/>
        <v>5.5859374999999998E-3</v>
      </c>
      <c r="R11" s="10">
        <f t="shared" si="5"/>
        <v>3.2350060856390632E-2</v>
      </c>
      <c r="S11" s="10">
        <f t="shared" si="6"/>
        <v>3.7935998356390631E-2</v>
      </c>
    </row>
    <row r="12" spans="1:19" x14ac:dyDescent="0.25">
      <c r="A12" s="5" t="s">
        <v>8</v>
      </c>
      <c r="B12" s="5" t="s">
        <v>291</v>
      </c>
      <c r="C12" s="5" t="s">
        <v>27</v>
      </c>
      <c r="D12" s="5" t="s">
        <v>385</v>
      </c>
      <c r="E12" s="5" t="s">
        <v>387</v>
      </c>
      <c r="F12" s="5" t="s">
        <v>52</v>
      </c>
      <c r="G12" s="5" t="s">
        <v>386</v>
      </c>
      <c r="H12" s="5" t="s">
        <v>58</v>
      </c>
      <c r="I12" s="5" t="s">
        <v>59</v>
      </c>
      <c r="J12" s="15">
        <v>1650</v>
      </c>
      <c r="K12" s="7">
        <v>28</v>
      </c>
      <c r="L12" s="7">
        <f t="shared" si="1"/>
        <v>58.928571428571431</v>
      </c>
      <c r="M12" s="5" t="s">
        <v>9</v>
      </c>
      <c r="N12" s="5">
        <v>4</v>
      </c>
      <c r="O12" s="6">
        <f t="shared" si="2"/>
        <v>3.581094547193878</v>
      </c>
      <c r="P12" s="6">
        <f t="shared" si="3"/>
        <v>0.37243383290816329</v>
      </c>
      <c r="Q12" s="10">
        <f t="shared" si="4"/>
        <v>7.7590381855867354E-3</v>
      </c>
      <c r="R12" s="10">
        <f t="shared" si="5"/>
        <v>4.1391290283335047E-2</v>
      </c>
      <c r="S12" s="10">
        <f t="shared" si="6"/>
        <v>4.9150328468921783E-2</v>
      </c>
    </row>
    <row r="13" spans="1:19" x14ac:dyDescent="0.25">
      <c r="A13" s="5" t="s">
        <v>8</v>
      </c>
      <c r="B13" s="5" t="s">
        <v>291</v>
      </c>
      <c r="C13" s="5" t="s">
        <v>27</v>
      </c>
      <c r="D13" s="5" t="s">
        <v>385</v>
      </c>
      <c r="E13" s="5" t="s">
        <v>387</v>
      </c>
      <c r="F13" s="5" t="s">
        <v>52</v>
      </c>
      <c r="G13" s="5" t="s">
        <v>386</v>
      </c>
      <c r="H13" s="5" t="s">
        <v>58</v>
      </c>
      <c r="I13" s="5" t="s">
        <v>59</v>
      </c>
      <c r="J13" s="15">
        <v>1650</v>
      </c>
      <c r="K13" s="7">
        <v>21</v>
      </c>
      <c r="L13" s="7">
        <f t="shared" si="1"/>
        <v>78.571428571428569</v>
      </c>
      <c r="M13" s="5" t="s">
        <v>9</v>
      </c>
      <c r="N13" s="5">
        <v>4</v>
      </c>
      <c r="O13" s="6">
        <f t="shared" si="2"/>
        <v>6.3663903061224483</v>
      </c>
      <c r="P13" s="6">
        <f t="shared" si="3"/>
        <v>0.66210459183673465</v>
      </c>
      <c r="Q13" s="10">
        <f t="shared" si="4"/>
        <v>1.3793845663265303E-2</v>
      </c>
      <c r="R13" s="10">
        <f t="shared" si="5"/>
        <v>6.3726060232505155E-2</v>
      </c>
      <c r="S13" s="10">
        <f t="shared" si="6"/>
        <v>7.7519905895770458E-2</v>
      </c>
    </row>
    <row r="14" spans="1:19" x14ac:dyDescent="0.25">
      <c r="A14" s="5" t="s">
        <v>8</v>
      </c>
      <c r="B14" s="5" t="s">
        <v>291</v>
      </c>
      <c r="C14" s="5" t="s">
        <v>27</v>
      </c>
      <c r="D14" s="5" t="s">
        <v>385</v>
      </c>
      <c r="E14" s="5" t="s">
        <v>387</v>
      </c>
      <c r="F14" s="5" t="s">
        <v>52</v>
      </c>
      <c r="G14" s="5" t="s">
        <v>386</v>
      </c>
      <c r="H14" s="5" t="s">
        <v>58</v>
      </c>
      <c r="I14" s="5" t="s">
        <v>59</v>
      </c>
      <c r="J14" s="15">
        <v>1800</v>
      </c>
      <c r="K14" s="7">
        <v>35.5</v>
      </c>
      <c r="L14" s="7">
        <f t="shared" si="1"/>
        <v>50.70422535211268</v>
      </c>
      <c r="M14" s="5" t="s">
        <v>9</v>
      </c>
      <c r="N14" s="5">
        <v>4</v>
      </c>
      <c r="O14" s="6">
        <f t="shared" si="2"/>
        <v>2.8922832771275542</v>
      </c>
      <c r="P14" s="6">
        <f t="shared" si="3"/>
        <v>0.30079746082126563</v>
      </c>
      <c r="Q14" s="10">
        <f t="shared" si="4"/>
        <v>6.2666137671097003E-3</v>
      </c>
      <c r="R14" s="10">
        <f t="shared" si="5"/>
        <v>3.526368912472827E-2</v>
      </c>
      <c r="S14" s="10">
        <f t="shared" si="6"/>
        <v>4.153030289183797E-2</v>
      </c>
    </row>
    <row r="15" spans="1:19" x14ac:dyDescent="0.25">
      <c r="A15" s="5" t="s">
        <v>8</v>
      </c>
      <c r="B15" s="5" t="s">
        <v>319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59</v>
      </c>
      <c r="J15" s="15">
        <v>1850</v>
      </c>
      <c r="K15" s="7">
        <v>35</v>
      </c>
      <c r="L15" s="7">
        <f t="shared" si="1"/>
        <v>52.857142857142854</v>
      </c>
      <c r="M15" s="5" t="s">
        <v>9</v>
      </c>
      <c r="N15" s="5">
        <v>4</v>
      </c>
      <c r="O15" s="6">
        <f t="shared" si="2"/>
        <v>3.2304209183673462</v>
      </c>
      <c r="P15" s="6">
        <f t="shared" si="3"/>
        <v>0.33596377551020401</v>
      </c>
      <c r="Q15" s="10">
        <f t="shared" si="4"/>
        <v>6.9992453231292502E-3</v>
      </c>
      <c r="R15" s="10">
        <f t="shared" si="5"/>
        <v>3.8312585381453851E-2</v>
      </c>
      <c r="S15" s="10">
        <f t="shared" si="6"/>
        <v>4.5311830704583098E-2</v>
      </c>
    </row>
    <row r="16" spans="1:19" x14ac:dyDescent="0.25">
      <c r="A16" s="5" t="s">
        <v>8</v>
      </c>
      <c r="B16" s="5" t="s">
        <v>291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295</v>
      </c>
      <c r="J16" s="15">
        <v>2000</v>
      </c>
      <c r="K16" s="7">
        <v>35</v>
      </c>
      <c r="L16" s="7">
        <f t="shared" si="1"/>
        <v>57.142857142857146</v>
      </c>
      <c r="M16" s="5" t="s">
        <v>9</v>
      </c>
      <c r="N16" s="5">
        <v>4</v>
      </c>
      <c r="O16" s="6">
        <f t="shared" si="2"/>
        <v>4.0816326530612246</v>
      </c>
      <c r="P16" s="6">
        <f t="shared" si="3"/>
        <v>0.42448979591836739</v>
      </c>
      <c r="Q16" s="10">
        <f t="shared" si="4"/>
        <v>8.8435374149659855E-3</v>
      </c>
      <c r="R16" s="10">
        <f t="shared" si="5"/>
        <v>4.5658596864765109E-2</v>
      </c>
      <c r="S16" s="10">
        <f t="shared" si="6"/>
        <v>5.4502134279731093E-2</v>
      </c>
    </row>
    <row r="17" spans="1:19" x14ac:dyDescent="0.25">
      <c r="A17" s="5" t="s">
        <v>22</v>
      </c>
      <c r="B17" s="5" t="s">
        <v>26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60</v>
      </c>
      <c r="J17" s="15">
        <v>2050</v>
      </c>
      <c r="K17" s="7">
        <v>33.5</v>
      </c>
      <c r="L17" s="7">
        <f t="shared" si="1"/>
        <v>61.194029850746269</v>
      </c>
      <c r="M17" s="5" t="s">
        <v>9</v>
      </c>
      <c r="N17" s="5">
        <v>4</v>
      </c>
      <c r="O17" s="6">
        <f t="shared" si="2"/>
        <v>4.7979087770104698</v>
      </c>
      <c r="P17" s="6">
        <f t="shared" si="3"/>
        <v>0.4989825128090889</v>
      </c>
      <c r="Q17" s="10">
        <f t="shared" si="4"/>
        <v>1.0395469016856018E-2</v>
      </c>
      <c r="R17" s="10">
        <f t="shared" si="5"/>
        <v>5.1544948987063487E-2</v>
      </c>
      <c r="S17" s="10">
        <f t="shared" si="6"/>
        <v>6.1940418003919501E-2</v>
      </c>
    </row>
    <row r="18" spans="1:19" x14ac:dyDescent="0.25">
      <c r="A18" s="5" t="s">
        <v>8</v>
      </c>
      <c r="B18" s="5" t="s">
        <v>291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60</v>
      </c>
      <c r="J18" s="15">
        <v>1900</v>
      </c>
      <c r="K18" s="7">
        <v>30</v>
      </c>
      <c r="L18" s="7">
        <f t="shared" si="1"/>
        <v>63.333333333333336</v>
      </c>
      <c r="M18" s="5" t="s">
        <v>9</v>
      </c>
      <c r="N18" s="5">
        <v>4</v>
      </c>
      <c r="O18" s="6">
        <f t="shared" si="2"/>
        <v>4.7631944444444452</v>
      </c>
      <c r="P18" s="6">
        <f t="shared" si="3"/>
        <v>0.49537222222222227</v>
      </c>
      <c r="Q18" s="10">
        <f t="shared" si="4"/>
        <v>1.0320254629629631E-2</v>
      </c>
      <c r="R18" s="10">
        <f t="shared" si="5"/>
        <v>5.1264987686204244E-2</v>
      </c>
      <c r="S18" s="10">
        <f t="shared" si="6"/>
        <v>6.1585242315833871E-2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60</v>
      </c>
      <c r="J19" s="15">
        <v>2050</v>
      </c>
      <c r="K19" s="7">
        <v>33.5</v>
      </c>
      <c r="L19" s="7">
        <f t="shared" si="1"/>
        <v>61.194029850746269</v>
      </c>
      <c r="M19" s="5" t="s">
        <v>9</v>
      </c>
      <c r="N19" s="5">
        <v>4</v>
      </c>
      <c r="O19" s="6">
        <f t="shared" si="2"/>
        <v>4.7979087770104698</v>
      </c>
      <c r="P19" s="6">
        <f t="shared" si="3"/>
        <v>0.4989825128090889</v>
      </c>
      <c r="Q19" s="10">
        <f t="shared" si="4"/>
        <v>1.0395469016856018E-2</v>
      </c>
      <c r="R19" s="10">
        <f t="shared" si="5"/>
        <v>5.1544948987063487E-2</v>
      </c>
      <c r="S19" s="10">
        <f t="shared" si="6"/>
        <v>6.1940418003919501E-2</v>
      </c>
    </row>
    <row r="20" spans="1:19" x14ac:dyDescent="0.25">
      <c r="A20" s="5" t="s">
        <v>22</v>
      </c>
      <c r="B20" s="5" t="s">
        <v>26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61</v>
      </c>
      <c r="J20" s="15">
        <v>2550</v>
      </c>
      <c r="K20" s="7">
        <v>35</v>
      </c>
      <c r="L20" s="7">
        <f t="shared" si="1"/>
        <v>72.857142857142861</v>
      </c>
      <c r="M20" s="5" t="s">
        <v>9</v>
      </c>
      <c r="N20" s="5">
        <v>4</v>
      </c>
      <c r="O20" s="6">
        <f t="shared" si="2"/>
        <v>8.459885204081635</v>
      </c>
      <c r="P20" s="6">
        <f t="shared" si="3"/>
        <v>0.87982806122448998</v>
      </c>
      <c r="Q20" s="10">
        <f t="shared" si="4"/>
        <v>1.8329751275510207E-2</v>
      </c>
      <c r="R20" s="10">
        <f t="shared" si="5"/>
        <v>7.8871568346940854E-2</v>
      </c>
      <c r="S20" s="10">
        <f t="shared" si="6"/>
        <v>9.7201319622451057E-2</v>
      </c>
    </row>
    <row r="21" spans="1:19" x14ac:dyDescent="0.25">
      <c r="A21" s="5" t="s">
        <v>8</v>
      </c>
      <c r="B21" s="5" t="s">
        <v>291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61</v>
      </c>
      <c r="J21" s="15">
        <v>2600</v>
      </c>
      <c r="K21" s="7">
        <v>35</v>
      </c>
      <c r="L21" s="7">
        <f t="shared" si="1"/>
        <v>74.285714285714292</v>
      </c>
      <c r="M21" s="5" t="s">
        <v>9</v>
      </c>
      <c r="N21" s="5">
        <v>4</v>
      </c>
      <c r="O21" s="6">
        <f t="shared" si="2"/>
        <v>8.9673469387755116</v>
      </c>
      <c r="P21" s="6">
        <f t="shared" si="3"/>
        <v>0.93260408163265329</v>
      </c>
      <c r="Q21" s="10">
        <f t="shared" si="4"/>
        <v>1.9429251700680276E-2</v>
      </c>
      <c r="R21" s="10">
        <f t="shared" si="5"/>
        <v>8.2393908285298398E-2</v>
      </c>
      <c r="S21" s="10">
        <f t="shared" si="6"/>
        <v>0.10182315998597867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61</v>
      </c>
      <c r="J22" s="15">
        <v>2350</v>
      </c>
      <c r="K22" s="7">
        <v>30</v>
      </c>
      <c r="L22" s="7">
        <f t="shared" si="1"/>
        <v>78.333333333333329</v>
      </c>
      <c r="M22" s="5" t="s">
        <v>9</v>
      </c>
      <c r="N22" s="5">
        <v>4</v>
      </c>
      <c r="O22" s="6">
        <f t="shared" si="2"/>
        <v>9.0124131944444432</v>
      </c>
      <c r="P22" s="6">
        <f t="shared" si="3"/>
        <v>0.93729097222222202</v>
      </c>
      <c r="Q22" s="10">
        <f t="shared" si="4"/>
        <v>1.9526895254629625E-2</v>
      </c>
      <c r="R22" s="10">
        <f t="shared" si="5"/>
        <v>8.2704272421860542E-2</v>
      </c>
      <c r="S22" s="10">
        <f t="shared" si="6"/>
        <v>0.10223116767649017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61</v>
      </c>
      <c r="J23" s="15">
        <v>2600</v>
      </c>
      <c r="K23" s="7">
        <v>30</v>
      </c>
      <c r="L23" s="7">
        <f t="shared" si="1"/>
        <v>86.666666666666671</v>
      </c>
      <c r="M23" s="5" t="s">
        <v>9</v>
      </c>
      <c r="N23" s="5">
        <v>4</v>
      </c>
      <c r="O23" s="6">
        <f t="shared" si="2"/>
        <v>12.205555555555557</v>
      </c>
      <c r="P23" s="6">
        <f t="shared" si="3"/>
        <v>1.2693777777777777</v>
      </c>
      <c r="Q23" s="10">
        <f t="shared" si="4"/>
        <v>2.6445370370370373E-2</v>
      </c>
      <c r="R23" s="10">
        <f t="shared" si="5"/>
        <v>0.10382819119660902</v>
      </c>
      <c r="S23" s="10">
        <f t="shared" si="6"/>
        <v>0.13027356156697939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61</v>
      </c>
      <c r="J24" s="15">
        <v>2550</v>
      </c>
      <c r="K24" s="7">
        <v>35</v>
      </c>
      <c r="L24" s="7">
        <f t="shared" si="1"/>
        <v>72.857142857142861</v>
      </c>
      <c r="M24" s="5" t="s">
        <v>9</v>
      </c>
      <c r="N24" s="5">
        <v>4</v>
      </c>
      <c r="O24" s="6">
        <f t="shared" si="2"/>
        <v>8.459885204081635</v>
      </c>
      <c r="P24" s="6">
        <f t="shared" si="3"/>
        <v>0.87982806122448998</v>
      </c>
      <c r="Q24" s="10">
        <f t="shared" si="4"/>
        <v>1.8329751275510207E-2</v>
      </c>
      <c r="R24" s="10">
        <f t="shared" si="5"/>
        <v>7.8871568346940854E-2</v>
      </c>
      <c r="S24" s="10">
        <f t="shared" si="6"/>
        <v>9.7201319622451057E-2</v>
      </c>
    </row>
    <row r="25" spans="1:19" x14ac:dyDescent="0.25">
      <c r="A25" s="5" t="s">
        <v>8</v>
      </c>
      <c r="B25" s="5" t="s">
        <v>319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61</v>
      </c>
      <c r="J25" s="15">
        <v>2400</v>
      </c>
      <c r="K25" s="7">
        <v>30</v>
      </c>
      <c r="L25" s="7">
        <f t="shared" si="1"/>
        <v>80</v>
      </c>
      <c r="M25" s="5" t="s">
        <v>9</v>
      </c>
      <c r="N25" s="5">
        <v>4</v>
      </c>
      <c r="O25" s="6">
        <f t="shared" si="2"/>
        <v>9.6</v>
      </c>
      <c r="P25" s="6">
        <f t="shared" si="3"/>
        <v>0.99839999999999995</v>
      </c>
      <c r="Q25" s="10">
        <f t="shared" si="4"/>
        <v>2.0799999999999999E-2</v>
      </c>
      <c r="R25" s="10">
        <f t="shared" si="5"/>
        <v>8.671626204879955E-2</v>
      </c>
      <c r="S25" s="10">
        <f t="shared" si="6"/>
        <v>0.10751626204879955</v>
      </c>
    </row>
    <row r="26" spans="1:19" x14ac:dyDescent="0.25">
      <c r="A26" s="5" t="s">
        <v>22</v>
      </c>
      <c r="B26" s="5" t="s">
        <v>63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97</v>
      </c>
      <c r="I26" s="5" t="s">
        <v>61</v>
      </c>
      <c r="J26" s="15">
        <v>2600</v>
      </c>
      <c r="K26" s="7">
        <v>35</v>
      </c>
      <c r="L26" s="7">
        <f t="shared" si="1"/>
        <v>74.285714285714292</v>
      </c>
      <c r="M26" s="5" t="s">
        <v>9</v>
      </c>
      <c r="N26" s="5">
        <v>4</v>
      </c>
      <c r="O26" s="6">
        <f t="shared" si="2"/>
        <v>8.9673469387755116</v>
      </c>
      <c r="P26" s="6">
        <f t="shared" si="3"/>
        <v>0.93260408163265329</v>
      </c>
      <c r="Q26" s="10">
        <f t="shared" si="4"/>
        <v>1.9429251700680276E-2</v>
      </c>
      <c r="R26" s="10">
        <f t="shared" si="5"/>
        <v>8.2393908285298398E-2</v>
      </c>
      <c r="S26" s="10">
        <f t="shared" si="6"/>
        <v>0.10182315998597867</v>
      </c>
    </row>
    <row r="27" spans="1:19" x14ac:dyDescent="0.25">
      <c r="A27" s="5" t="s">
        <v>8</v>
      </c>
      <c r="B27" s="5" t="s">
        <v>287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102</v>
      </c>
      <c r="I27" s="5" t="s">
        <v>218</v>
      </c>
      <c r="J27" s="15">
        <v>2300</v>
      </c>
      <c r="K27" s="7">
        <v>35.700000000000003</v>
      </c>
      <c r="L27" s="7">
        <f t="shared" si="1"/>
        <v>64.425770308123248</v>
      </c>
      <c r="M27" s="5" t="s">
        <v>9</v>
      </c>
      <c r="N27" s="5">
        <v>4</v>
      </c>
      <c r="O27" s="6">
        <f t="shared" si="2"/>
        <v>5.9666023272053916</v>
      </c>
      <c r="P27" s="6">
        <f t="shared" si="3"/>
        <v>0.6205266420293607</v>
      </c>
      <c r="Q27" s="10">
        <f t="shared" si="4"/>
        <v>1.2927638375611681E-2</v>
      </c>
      <c r="R27" s="10">
        <f t="shared" si="5"/>
        <v>6.0700524564906364E-2</v>
      </c>
      <c r="S27" s="10">
        <f t="shared" si="6"/>
        <v>7.3628162940518049E-2</v>
      </c>
    </row>
    <row r="28" spans="1:19" x14ac:dyDescent="0.25">
      <c r="A28" s="5" t="s">
        <v>22</v>
      </c>
      <c r="B28" s="5" t="s">
        <v>63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98</v>
      </c>
      <c r="I28" s="5" t="s">
        <v>99</v>
      </c>
      <c r="J28" s="15">
        <v>2950</v>
      </c>
      <c r="K28" s="7">
        <v>38</v>
      </c>
      <c r="L28" s="7">
        <f t="shared" si="1"/>
        <v>77.631578947368425</v>
      </c>
      <c r="M28" s="5" t="s">
        <v>9</v>
      </c>
      <c r="N28" s="5">
        <v>4</v>
      </c>
      <c r="O28" s="6">
        <f t="shared" si="2"/>
        <v>11.111658154432133</v>
      </c>
      <c r="P28" s="6">
        <f t="shared" si="3"/>
        <v>1.155612448060942</v>
      </c>
      <c r="Q28" s="10">
        <f t="shared" si="4"/>
        <v>2.4075259334602955E-2</v>
      </c>
      <c r="R28" s="10">
        <f t="shared" si="5"/>
        <v>9.6767891534095082E-2</v>
      </c>
      <c r="S28" s="10">
        <f t="shared" si="6"/>
        <v>0.12084315086869804</v>
      </c>
    </row>
    <row r="29" spans="1:19" x14ac:dyDescent="0.25">
      <c r="A29" s="5" t="s">
        <v>8</v>
      </c>
      <c r="B29" s="5" t="s">
        <v>319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98</v>
      </c>
      <c r="I29" s="5" t="s">
        <v>99</v>
      </c>
      <c r="J29" s="15">
        <v>2300</v>
      </c>
      <c r="K29" s="7">
        <v>27.5</v>
      </c>
      <c r="L29" s="7">
        <f t="shared" si="1"/>
        <v>83.63636363636364</v>
      </c>
      <c r="M29" s="5" t="s">
        <v>9</v>
      </c>
      <c r="N29" s="5">
        <v>4</v>
      </c>
      <c r="O29" s="6">
        <f t="shared" si="2"/>
        <v>10.055371900826447</v>
      </c>
      <c r="P29" s="6">
        <f t="shared" si="3"/>
        <v>1.0457586776859504</v>
      </c>
      <c r="Q29" s="10">
        <f t="shared" si="4"/>
        <v>2.17866391184573E-2</v>
      </c>
      <c r="R29" s="10">
        <f t="shared" si="5"/>
        <v>8.9783333841978313E-2</v>
      </c>
      <c r="S29" s="10">
        <f t="shared" si="6"/>
        <v>0.11156997296043561</v>
      </c>
    </row>
    <row r="30" spans="1:19" x14ac:dyDescent="0.25">
      <c r="A30" s="5" t="s">
        <v>8</v>
      </c>
      <c r="B30" s="5" t="s">
        <v>319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98</v>
      </c>
      <c r="I30" s="5" t="s">
        <v>321</v>
      </c>
      <c r="J30" s="15">
        <v>2379</v>
      </c>
      <c r="K30" s="7">
        <v>28</v>
      </c>
      <c r="L30" s="7">
        <f t="shared" si="1"/>
        <v>84.964285714285708</v>
      </c>
      <c r="M30" s="5" t="s">
        <v>9</v>
      </c>
      <c r="N30" s="5">
        <v>4</v>
      </c>
      <c r="O30" s="6">
        <f t="shared" si="2"/>
        <v>10.733646316167091</v>
      </c>
      <c r="P30" s="6">
        <f t="shared" si="3"/>
        <v>1.1162992168813775</v>
      </c>
      <c r="Q30" s="10">
        <f t="shared" si="4"/>
        <v>2.3256233685028698E-2</v>
      </c>
      <c r="R30" s="10">
        <f t="shared" si="5"/>
        <v>9.4288252092691066E-2</v>
      </c>
      <c r="S30" s="10">
        <f t="shared" si="6"/>
        <v>0.11754448577771977</v>
      </c>
    </row>
    <row r="31" spans="1:19" x14ac:dyDescent="0.25">
      <c r="A31" s="5" t="s">
        <v>22</v>
      </c>
      <c r="B31" s="5" t="s">
        <v>63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100</v>
      </c>
      <c r="I31" s="5" t="s">
        <v>101</v>
      </c>
      <c r="J31" s="15">
        <v>2550</v>
      </c>
      <c r="K31" s="7">
        <v>41.5</v>
      </c>
      <c r="L31" s="7">
        <f t="shared" si="1"/>
        <v>61.445783132530117</v>
      </c>
      <c r="M31" s="5" t="s">
        <v>9</v>
      </c>
      <c r="N31" s="5">
        <v>4</v>
      </c>
      <c r="O31" s="6">
        <f t="shared" si="2"/>
        <v>6.0173374219770652</v>
      </c>
      <c r="P31" s="6">
        <f t="shared" si="3"/>
        <v>0.62580309188561467</v>
      </c>
      <c r="Q31" s="10">
        <f t="shared" si="4"/>
        <v>1.3037564414283642E-2</v>
      </c>
      <c r="R31" s="10">
        <f t="shared" si="5"/>
        <v>6.1087225180813873E-2</v>
      </c>
      <c r="S31" s="10">
        <f t="shared" si="6"/>
        <v>7.4124789595097509E-2</v>
      </c>
    </row>
    <row r="32" spans="1:19" x14ac:dyDescent="0.25">
      <c r="A32" s="5" t="s">
        <v>22</v>
      </c>
      <c r="B32" s="5" t="s">
        <v>63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394</v>
      </c>
      <c r="H32" s="5" t="s">
        <v>104</v>
      </c>
      <c r="I32" s="5" t="s">
        <v>105</v>
      </c>
      <c r="J32" s="15">
        <v>1150</v>
      </c>
      <c r="K32" s="7">
        <v>33.5</v>
      </c>
      <c r="L32" s="7">
        <f t="shared" si="1"/>
        <v>34.328358208955223</v>
      </c>
      <c r="M32" s="5" t="s">
        <v>9</v>
      </c>
      <c r="N32" s="5">
        <v>4</v>
      </c>
      <c r="O32" s="6">
        <f t="shared" si="2"/>
        <v>0.8470010024504343</v>
      </c>
      <c r="P32" s="6">
        <f t="shared" si="3"/>
        <v>8.8088104254845159E-2</v>
      </c>
      <c r="Q32" s="10">
        <f t="shared" si="4"/>
        <v>1.8351688386426075E-3</v>
      </c>
      <c r="R32" s="10">
        <f t="shared" si="5"/>
        <v>1.4038156107889724E-2</v>
      </c>
      <c r="S32" s="10">
        <f t="shared" si="6"/>
        <v>1.5873324946532333E-2</v>
      </c>
    </row>
    <row r="33" spans="1:19" x14ac:dyDescent="0.25">
      <c r="A33" s="5" t="s">
        <v>22</v>
      </c>
      <c r="B33" s="5" t="s">
        <v>63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394</v>
      </c>
      <c r="H33" s="5" t="s">
        <v>110</v>
      </c>
      <c r="I33" s="5" t="s">
        <v>111</v>
      </c>
      <c r="J33" s="15">
        <v>3075</v>
      </c>
      <c r="K33" s="7">
        <v>36</v>
      </c>
      <c r="L33" s="7">
        <f t="shared" si="1"/>
        <v>85.416666666666671</v>
      </c>
      <c r="M33" s="5" t="s">
        <v>9</v>
      </c>
      <c r="N33" s="5">
        <v>4</v>
      </c>
      <c r="O33" s="6">
        <f t="shared" si="2"/>
        <v>14.022013346354168</v>
      </c>
      <c r="P33" s="6">
        <f t="shared" si="3"/>
        <v>1.4582893880208334</v>
      </c>
      <c r="Q33" s="10">
        <f t="shared" si="4"/>
        <v>3.0381028917100695E-2</v>
      </c>
      <c r="R33" s="10">
        <f t="shared" si="5"/>
        <v>0.11521390760074078</v>
      </c>
      <c r="S33" s="10">
        <f t="shared" si="6"/>
        <v>0.14559493651784147</v>
      </c>
    </row>
    <row r="34" spans="1:19" x14ac:dyDescent="0.25">
      <c r="A34" s="5" t="s">
        <v>8</v>
      </c>
      <c r="B34" s="5" t="s">
        <v>161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394</v>
      </c>
      <c r="H34" s="5" t="s">
        <v>110</v>
      </c>
      <c r="I34" s="5" t="s">
        <v>162</v>
      </c>
      <c r="J34" s="15">
        <v>2220</v>
      </c>
      <c r="K34" s="7">
        <v>45.5</v>
      </c>
      <c r="L34" s="7">
        <f t="shared" si="1"/>
        <v>48.791208791208788</v>
      </c>
      <c r="M34" s="5" t="s">
        <v>9</v>
      </c>
      <c r="N34" s="5">
        <v>4</v>
      </c>
      <c r="O34" s="6">
        <f t="shared" si="2"/>
        <v>3.3030576017389204</v>
      </c>
      <c r="P34" s="6">
        <f t="shared" si="3"/>
        <v>0.3435179905808477</v>
      </c>
      <c r="Q34" s="10">
        <f t="shared" si="4"/>
        <v>7.1566248037676604E-3</v>
      </c>
      <c r="R34" s="10">
        <f t="shared" si="5"/>
        <v>3.8956886034440183E-2</v>
      </c>
      <c r="S34" s="10">
        <f t="shared" si="6"/>
        <v>4.6113510838207847E-2</v>
      </c>
    </row>
    <row r="35" spans="1:19" x14ac:dyDescent="0.25">
      <c r="A35" s="5" t="s">
        <v>8</v>
      </c>
      <c r="B35" s="5" t="s">
        <v>161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394</v>
      </c>
      <c r="H35" s="5" t="s">
        <v>110</v>
      </c>
      <c r="I35" s="5" t="s">
        <v>162</v>
      </c>
      <c r="J35" s="15">
        <v>2035</v>
      </c>
      <c r="K35" s="7">
        <v>39.5</v>
      </c>
      <c r="L35" s="7">
        <f t="shared" si="1"/>
        <v>51.518987341772153</v>
      </c>
      <c r="M35" s="5" t="s">
        <v>9</v>
      </c>
      <c r="N35" s="5">
        <v>4</v>
      </c>
      <c r="O35" s="6">
        <f t="shared" si="2"/>
        <v>3.3758183283928864</v>
      </c>
      <c r="P35" s="6">
        <f t="shared" si="3"/>
        <v>0.35108510615286009</v>
      </c>
      <c r="Q35" s="10">
        <f t="shared" si="4"/>
        <v>7.3142730448512534E-3</v>
      </c>
      <c r="R35" s="10">
        <f t="shared" si="5"/>
        <v>3.9598745211520084E-2</v>
      </c>
      <c r="S35" s="10">
        <f t="shared" si="6"/>
        <v>4.6913018256371335E-2</v>
      </c>
    </row>
    <row r="36" spans="1:19" x14ac:dyDescent="0.25">
      <c r="A36" s="5" t="s">
        <v>22</v>
      </c>
      <c r="B36" s="5" t="s">
        <v>63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394</v>
      </c>
      <c r="H36" s="5" t="s">
        <v>56</v>
      </c>
      <c r="I36" s="5" t="s">
        <v>103</v>
      </c>
      <c r="J36" s="15">
        <v>1600</v>
      </c>
      <c r="K36" s="7">
        <v>36.5</v>
      </c>
      <c r="L36" s="7">
        <f t="shared" si="1"/>
        <v>43.835616438356162</v>
      </c>
      <c r="M36" s="5" t="s">
        <v>9</v>
      </c>
      <c r="N36" s="5">
        <v>4</v>
      </c>
      <c r="O36" s="6">
        <f t="shared" si="2"/>
        <v>1.9215612685306809</v>
      </c>
      <c r="P36" s="6">
        <f t="shared" si="3"/>
        <v>0.19984237192719084</v>
      </c>
      <c r="Q36" s="10">
        <f t="shared" si="4"/>
        <v>4.163382748483142E-3</v>
      </c>
      <c r="R36" s="10">
        <f t="shared" si="5"/>
        <v>2.5950026257178908E-2</v>
      </c>
      <c r="S36" s="10">
        <f t="shared" si="6"/>
        <v>3.0113409005662048E-2</v>
      </c>
    </row>
    <row r="37" spans="1:19" x14ac:dyDescent="0.25">
      <c r="A37" s="5" t="s">
        <v>8</v>
      </c>
      <c r="B37" s="5" t="s">
        <v>165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394</v>
      </c>
      <c r="H37" s="5" t="s">
        <v>56</v>
      </c>
      <c r="I37" s="5" t="s">
        <v>169</v>
      </c>
      <c r="J37" s="15">
        <v>1980</v>
      </c>
      <c r="K37" s="7">
        <v>32</v>
      </c>
      <c r="L37" s="7">
        <f t="shared" si="1"/>
        <v>61.875</v>
      </c>
      <c r="M37" s="5" t="s">
        <v>9</v>
      </c>
      <c r="N37" s="5">
        <v>4</v>
      </c>
      <c r="O37" s="6">
        <f t="shared" si="2"/>
        <v>4.7377880859374999</v>
      </c>
      <c r="P37" s="6">
        <f t="shared" si="3"/>
        <v>0.49272996093749999</v>
      </c>
      <c r="Q37" s="10">
        <f t="shared" si="4"/>
        <v>1.026520751953125E-2</v>
      </c>
      <c r="R37" s="10">
        <f t="shared" si="5"/>
        <v>5.1059769265745597E-2</v>
      </c>
      <c r="S37" s="10">
        <f t="shared" si="6"/>
        <v>6.1324976785276847E-2</v>
      </c>
    </row>
    <row r="38" spans="1:19" x14ac:dyDescent="0.25">
      <c r="A38" s="5" t="s">
        <v>22</v>
      </c>
      <c r="B38" s="5" t="s">
        <v>26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394</v>
      </c>
      <c r="H38" s="5" t="s">
        <v>56</v>
      </c>
      <c r="I38" s="5" t="s">
        <v>57</v>
      </c>
      <c r="J38" s="15">
        <v>1750</v>
      </c>
      <c r="K38" s="7">
        <v>28.5</v>
      </c>
      <c r="L38" s="7">
        <f t="shared" ref="L38:L68" si="7">J38/K38</f>
        <v>61.403508771929822</v>
      </c>
      <c r="M38" s="5" t="s">
        <v>9</v>
      </c>
      <c r="N38" s="5">
        <v>4</v>
      </c>
      <c r="O38" s="6">
        <f t="shared" ref="O38:O68" si="8">(J38*L38^2)/(1.6*10^6)</f>
        <v>4.1238650353955055</v>
      </c>
      <c r="P38" s="6">
        <f t="shared" ref="P38:P68" si="9">(0.104*J38*L38^2)/(1.6*10^6)</f>
        <v>0.42888196368113263</v>
      </c>
      <c r="Q38" s="10">
        <f t="shared" ref="Q38:Q68" si="10">(0.104*O38)/(12*N38)</f>
        <v>8.9350409100235947E-3</v>
      </c>
      <c r="R38" s="10">
        <f t="shared" ref="R38:R68" si="11">0.0159*O38^0.75</f>
        <v>4.6012460418506596E-2</v>
      </c>
      <c r="S38" s="10">
        <f t="shared" ref="S38:S68" si="12">Q38+R38</f>
        <v>5.4947501328530192E-2</v>
      </c>
    </row>
    <row r="39" spans="1:19" x14ac:dyDescent="0.25">
      <c r="A39" s="5" t="s">
        <v>8</v>
      </c>
      <c r="B39" s="5" t="s">
        <v>187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394</v>
      </c>
      <c r="H39" s="5" t="s">
        <v>56</v>
      </c>
      <c r="I39" s="5" t="s">
        <v>57</v>
      </c>
      <c r="J39" s="15">
        <v>2120</v>
      </c>
      <c r="K39" s="7">
        <v>32.200000000000003</v>
      </c>
      <c r="L39" s="7">
        <f t="shared" si="7"/>
        <v>65.838509316770185</v>
      </c>
      <c r="M39" s="5" t="s">
        <v>9</v>
      </c>
      <c r="N39" s="5">
        <v>4</v>
      </c>
      <c r="O39" s="6">
        <f t="shared" si="8"/>
        <v>5.7434898344971259</v>
      </c>
      <c r="P39" s="6">
        <f t="shared" si="9"/>
        <v>0.59732294278770115</v>
      </c>
      <c r="Q39" s="10">
        <f t="shared" si="10"/>
        <v>1.2444227974743772E-2</v>
      </c>
      <c r="R39" s="10">
        <f t="shared" si="11"/>
        <v>5.89900843101481E-2</v>
      </c>
      <c r="S39" s="10">
        <f t="shared" si="12"/>
        <v>7.1434312284891874E-2</v>
      </c>
    </row>
    <row r="40" spans="1:19" x14ac:dyDescent="0.25">
      <c r="A40" s="5" t="s">
        <v>8</v>
      </c>
      <c r="B40" s="5" t="s">
        <v>187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394</v>
      </c>
      <c r="H40" s="5" t="s">
        <v>56</v>
      </c>
      <c r="I40" s="5" t="s">
        <v>57</v>
      </c>
      <c r="J40" s="15">
        <v>2070</v>
      </c>
      <c r="K40" s="7">
        <v>31.4</v>
      </c>
      <c r="L40" s="7">
        <f t="shared" si="7"/>
        <v>65.923566878980893</v>
      </c>
      <c r="M40" s="5" t="s">
        <v>9</v>
      </c>
      <c r="N40" s="5">
        <v>4</v>
      </c>
      <c r="O40" s="6">
        <f t="shared" si="8"/>
        <v>5.6225296918739085</v>
      </c>
      <c r="P40" s="6">
        <f t="shared" si="9"/>
        <v>0.58474308795488661</v>
      </c>
      <c r="Q40" s="10">
        <f t="shared" si="10"/>
        <v>1.2182147665726803E-2</v>
      </c>
      <c r="R40" s="10">
        <f t="shared" si="11"/>
        <v>5.8055843919859323E-2</v>
      </c>
      <c r="S40" s="10">
        <f t="shared" si="12"/>
        <v>7.0237991585586121E-2</v>
      </c>
    </row>
    <row r="41" spans="1:19" x14ac:dyDescent="0.25">
      <c r="A41" s="5" t="s">
        <v>8</v>
      </c>
      <c r="B41" s="5" t="s">
        <v>187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394</v>
      </c>
      <c r="H41" s="5" t="s">
        <v>56</v>
      </c>
      <c r="I41" s="5" t="s">
        <v>57</v>
      </c>
      <c r="J41" s="15">
        <v>2010</v>
      </c>
      <c r="K41" s="7">
        <v>31.4</v>
      </c>
      <c r="L41" s="7">
        <f t="shared" si="7"/>
        <v>64.012738853503194</v>
      </c>
      <c r="M41" s="5" t="s">
        <v>9</v>
      </c>
      <c r="N41" s="5">
        <v>4</v>
      </c>
      <c r="O41" s="6">
        <f t="shared" si="8"/>
        <v>5.1476486115055389</v>
      </c>
      <c r="P41" s="6">
        <f t="shared" si="9"/>
        <v>0.53535545559657605</v>
      </c>
      <c r="Q41" s="10">
        <f t="shared" si="10"/>
        <v>1.1153238658262002E-2</v>
      </c>
      <c r="R41" s="10">
        <f t="shared" si="11"/>
        <v>5.4338018137809183E-2</v>
      </c>
      <c r="S41" s="10">
        <f t="shared" si="12"/>
        <v>6.5491256796071179E-2</v>
      </c>
    </row>
    <row r="42" spans="1:19" x14ac:dyDescent="0.25">
      <c r="A42" s="5" t="s">
        <v>8</v>
      </c>
      <c r="B42" s="5" t="s">
        <v>187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394</v>
      </c>
      <c r="H42" s="5" t="s">
        <v>56</v>
      </c>
      <c r="I42" s="5" t="s">
        <v>57</v>
      </c>
      <c r="J42" s="15">
        <v>1990</v>
      </c>
      <c r="K42" s="7">
        <v>29.5</v>
      </c>
      <c r="L42" s="7">
        <f t="shared" si="7"/>
        <v>67.457627118644069</v>
      </c>
      <c r="M42" s="5" t="s">
        <v>9</v>
      </c>
      <c r="N42" s="5">
        <v>4</v>
      </c>
      <c r="O42" s="6">
        <f t="shared" si="8"/>
        <v>5.6597234989945413</v>
      </c>
      <c r="P42" s="6">
        <f t="shared" si="9"/>
        <v>0.58861124389543229</v>
      </c>
      <c r="Q42" s="10">
        <f t="shared" si="10"/>
        <v>1.2262734247821505E-2</v>
      </c>
      <c r="R42" s="10">
        <f t="shared" si="11"/>
        <v>5.8343641943083634E-2</v>
      </c>
      <c r="S42" s="10">
        <f t="shared" si="12"/>
        <v>7.0606376190905137E-2</v>
      </c>
    </row>
    <row r="43" spans="1:19" x14ac:dyDescent="0.25">
      <c r="A43" s="5" t="s">
        <v>22</v>
      </c>
      <c r="B43" s="5" t="s">
        <v>63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394</v>
      </c>
      <c r="H43" s="5" t="s">
        <v>56</v>
      </c>
      <c r="I43" s="5" t="s">
        <v>151</v>
      </c>
      <c r="J43" s="15">
        <v>3550</v>
      </c>
      <c r="K43" s="7">
        <v>33.5</v>
      </c>
      <c r="L43" s="7">
        <f t="shared" si="7"/>
        <v>105.97014925373135</v>
      </c>
      <c r="M43" s="5" t="s">
        <v>9</v>
      </c>
      <c r="N43" s="5">
        <v>4</v>
      </c>
      <c r="O43" s="6">
        <f t="shared" si="8"/>
        <v>24.91583593227891</v>
      </c>
      <c r="P43" s="6">
        <f t="shared" si="9"/>
        <v>2.5912469369570066</v>
      </c>
      <c r="Q43" s="10">
        <f t="shared" si="10"/>
        <v>5.3984311186604302E-2</v>
      </c>
      <c r="R43" s="10">
        <f t="shared" si="11"/>
        <v>0.1773183662256573</v>
      </c>
      <c r="S43" s="10">
        <f t="shared" si="12"/>
        <v>0.2313026774122616</v>
      </c>
    </row>
    <row r="44" spans="1:19" x14ac:dyDescent="0.25">
      <c r="A44" s="5" t="s">
        <v>8</v>
      </c>
      <c r="B44" s="5" t="s">
        <v>217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394</v>
      </c>
      <c r="H44" s="5" t="s">
        <v>56</v>
      </c>
      <c r="I44" s="5" t="s">
        <v>151</v>
      </c>
      <c r="J44" s="15">
        <v>3550</v>
      </c>
      <c r="K44" s="7">
        <v>33.5</v>
      </c>
      <c r="L44" s="7">
        <f t="shared" si="7"/>
        <v>105.97014925373135</v>
      </c>
      <c r="M44" s="5" t="s">
        <v>9</v>
      </c>
      <c r="N44" s="5">
        <v>4</v>
      </c>
      <c r="O44" s="6">
        <f t="shared" si="8"/>
        <v>24.91583593227891</v>
      </c>
      <c r="P44" s="6">
        <f t="shared" si="9"/>
        <v>2.5912469369570066</v>
      </c>
      <c r="Q44" s="10">
        <f t="shared" si="10"/>
        <v>5.3984311186604302E-2</v>
      </c>
      <c r="R44" s="10">
        <f t="shared" si="11"/>
        <v>0.1773183662256573</v>
      </c>
      <c r="S44" s="10">
        <f t="shared" si="12"/>
        <v>0.2313026774122616</v>
      </c>
    </row>
    <row r="45" spans="1:19" x14ac:dyDescent="0.25">
      <c r="A45" s="5" t="s">
        <v>22</v>
      </c>
      <c r="B45" s="5" t="s">
        <v>63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394</v>
      </c>
      <c r="H45" s="5" t="s">
        <v>108</v>
      </c>
      <c r="I45" s="5" t="s">
        <v>109</v>
      </c>
      <c r="J45" s="15">
        <v>1600</v>
      </c>
      <c r="K45" s="7">
        <v>36</v>
      </c>
      <c r="L45" s="7">
        <f t="shared" si="7"/>
        <v>44.444444444444443</v>
      </c>
      <c r="M45" s="5" t="s">
        <v>9</v>
      </c>
      <c r="N45" s="5">
        <v>4</v>
      </c>
      <c r="O45" s="6">
        <f t="shared" si="8"/>
        <v>1.9753086419753083</v>
      </c>
      <c r="P45" s="6">
        <f t="shared" si="9"/>
        <v>0.20543209876543209</v>
      </c>
      <c r="Q45" s="10">
        <f t="shared" si="10"/>
        <v>4.2798353909465009E-3</v>
      </c>
      <c r="R45" s="10">
        <f t="shared" si="11"/>
        <v>2.6492524653412002E-2</v>
      </c>
      <c r="S45" s="10">
        <f t="shared" si="12"/>
        <v>3.0772360044358502E-2</v>
      </c>
    </row>
    <row r="46" spans="1:19" x14ac:dyDescent="0.25">
      <c r="A46" s="5" t="s">
        <v>22</v>
      </c>
      <c r="B46" s="5" t="s">
        <v>63</v>
      </c>
      <c r="C46" s="5" t="s">
        <v>27</v>
      </c>
      <c r="D46" s="5" t="s">
        <v>385</v>
      </c>
      <c r="E46" s="5" t="s">
        <v>387</v>
      </c>
      <c r="F46" s="5" t="s">
        <v>112</v>
      </c>
      <c r="G46" s="5" t="s">
        <v>395</v>
      </c>
      <c r="H46" s="5" t="s">
        <v>129</v>
      </c>
      <c r="I46" s="5" t="s">
        <v>130</v>
      </c>
      <c r="J46" s="15">
        <v>2560</v>
      </c>
      <c r="K46" s="7">
        <v>44</v>
      </c>
      <c r="L46" s="7">
        <f t="shared" si="7"/>
        <v>58.18181818181818</v>
      </c>
      <c r="M46" s="5" t="s">
        <v>9</v>
      </c>
      <c r="N46" s="5">
        <v>4</v>
      </c>
      <c r="O46" s="6">
        <f t="shared" si="8"/>
        <v>5.4161983471074375</v>
      </c>
      <c r="P46" s="6">
        <f t="shared" si="9"/>
        <v>0.56328462809917346</v>
      </c>
      <c r="Q46" s="10">
        <f t="shared" si="10"/>
        <v>1.173509641873278E-2</v>
      </c>
      <c r="R46" s="10">
        <f t="shared" si="11"/>
        <v>5.6450532702040132E-2</v>
      </c>
      <c r="S46" s="10">
        <f t="shared" si="12"/>
        <v>6.8185629120772917E-2</v>
      </c>
    </row>
    <row r="47" spans="1:19" x14ac:dyDescent="0.25">
      <c r="A47" s="5" t="s">
        <v>22</v>
      </c>
      <c r="B47" s="5" t="s">
        <v>63</v>
      </c>
      <c r="C47" s="5" t="s">
        <v>27</v>
      </c>
      <c r="D47" s="5" t="s">
        <v>385</v>
      </c>
      <c r="E47" s="5" t="s">
        <v>387</v>
      </c>
      <c r="F47" s="5" t="s">
        <v>112</v>
      </c>
      <c r="G47" s="5" t="s">
        <v>395</v>
      </c>
      <c r="H47" s="5" t="s">
        <v>123</v>
      </c>
      <c r="I47" s="5" t="s">
        <v>124</v>
      </c>
      <c r="J47" s="15">
        <v>1700</v>
      </c>
      <c r="K47" s="7">
        <v>36.5</v>
      </c>
      <c r="L47" s="7">
        <f t="shared" si="7"/>
        <v>46.575342465753423</v>
      </c>
      <c r="M47" s="5" t="s">
        <v>9</v>
      </c>
      <c r="N47" s="5">
        <v>4</v>
      </c>
      <c r="O47" s="6">
        <f t="shared" si="8"/>
        <v>2.3048414336648522</v>
      </c>
      <c r="P47" s="6">
        <f t="shared" si="9"/>
        <v>0.23970350910114463</v>
      </c>
      <c r="Q47" s="10">
        <f t="shared" si="10"/>
        <v>4.9938231062738462E-3</v>
      </c>
      <c r="R47" s="10">
        <f t="shared" si="11"/>
        <v>2.974253037207969E-2</v>
      </c>
      <c r="S47" s="10">
        <f t="shared" si="12"/>
        <v>3.4736353478353535E-2</v>
      </c>
    </row>
    <row r="48" spans="1:19" x14ac:dyDescent="0.25">
      <c r="A48" s="5" t="s">
        <v>22</v>
      </c>
      <c r="B48" s="5" t="s">
        <v>63</v>
      </c>
      <c r="C48" s="5" t="s">
        <v>27</v>
      </c>
      <c r="D48" s="5" t="s">
        <v>385</v>
      </c>
      <c r="E48" s="5" t="s">
        <v>387</v>
      </c>
      <c r="F48" s="5" t="s">
        <v>112</v>
      </c>
      <c r="G48" s="5" t="s">
        <v>395</v>
      </c>
      <c r="H48" s="5" t="s">
        <v>127</v>
      </c>
      <c r="I48" s="5" t="s">
        <v>128</v>
      </c>
      <c r="J48" s="15">
        <v>2495</v>
      </c>
      <c r="K48" s="7">
        <v>37</v>
      </c>
      <c r="L48" s="7">
        <f t="shared" si="7"/>
        <v>67.432432432432435</v>
      </c>
      <c r="M48" s="5" t="s">
        <v>9</v>
      </c>
      <c r="N48" s="5">
        <v>4</v>
      </c>
      <c r="O48" s="6">
        <f t="shared" si="8"/>
        <v>7.090685434167276</v>
      </c>
      <c r="P48" s="6">
        <f t="shared" si="9"/>
        <v>0.73743128515339662</v>
      </c>
      <c r="Q48" s="10">
        <f t="shared" si="10"/>
        <v>1.5363151774029096E-2</v>
      </c>
      <c r="R48" s="10">
        <f t="shared" si="11"/>
        <v>6.9089697094163655E-2</v>
      </c>
      <c r="S48" s="10">
        <f t="shared" si="12"/>
        <v>8.4452848868192751E-2</v>
      </c>
    </row>
    <row r="49" spans="1:19" x14ac:dyDescent="0.25">
      <c r="A49" s="5" t="s">
        <v>8</v>
      </c>
      <c r="B49" s="5" t="s">
        <v>239</v>
      </c>
      <c r="C49" s="5" t="s">
        <v>27</v>
      </c>
      <c r="D49" s="5" t="s">
        <v>385</v>
      </c>
      <c r="E49" s="5" t="s">
        <v>387</v>
      </c>
      <c r="F49" s="5" t="s">
        <v>112</v>
      </c>
      <c r="G49" s="5" t="s">
        <v>395</v>
      </c>
      <c r="H49" s="5" t="s">
        <v>127</v>
      </c>
      <c r="I49" s="5" t="s">
        <v>240</v>
      </c>
      <c r="J49" s="15">
        <v>3180</v>
      </c>
      <c r="K49" s="7">
        <v>49.3</v>
      </c>
      <c r="L49" s="7">
        <f t="shared" si="7"/>
        <v>64.503042596348891</v>
      </c>
      <c r="M49" s="5" t="s">
        <v>9</v>
      </c>
      <c r="N49" s="5">
        <v>4</v>
      </c>
      <c r="O49" s="6">
        <f t="shared" si="8"/>
        <v>8.2692769770704686</v>
      </c>
      <c r="P49" s="6">
        <f t="shared" si="9"/>
        <v>0.86000480561532866</v>
      </c>
      <c r="Q49" s="10">
        <f t="shared" si="10"/>
        <v>1.7916766783652682E-2</v>
      </c>
      <c r="R49" s="10">
        <f t="shared" si="11"/>
        <v>7.7534997706638811E-2</v>
      </c>
      <c r="S49" s="10">
        <f t="shared" si="12"/>
        <v>9.5451764490291496E-2</v>
      </c>
    </row>
    <row r="50" spans="1:19" x14ac:dyDescent="0.25">
      <c r="A50" s="5" t="s">
        <v>8</v>
      </c>
      <c r="B50" s="5" t="s">
        <v>333</v>
      </c>
      <c r="C50" s="5" t="s">
        <v>27</v>
      </c>
      <c r="D50" s="5" t="s">
        <v>385</v>
      </c>
      <c r="E50" s="5" t="s">
        <v>387</v>
      </c>
      <c r="F50" s="5" t="s">
        <v>112</v>
      </c>
      <c r="G50" s="5" t="s">
        <v>395</v>
      </c>
      <c r="H50" s="5" t="s">
        <v>127</v>
      </c>
      <c r="I50" s="5" t="s">
        <v>240</v>
      </c>
      <c r="J50" s="15">
        <v>2290</v>
      </c>
      <c r="K50" s="7">
        <v>25.4</v>
      </c>
      <c r="L50" s="7">
        <f t="shared" si="7"/>
        <v>90.157480314960637</v>
      </c>
      <c r="M50" s="5" t="s">
        <v>9</v>
      </c>
      <c r="N50" s="5">
        <v>4</v>
      </c>
      <c r="O50" s="6">
        <f t="shared" si="8"/>
        <v>11.633731361212723</v>
      </c>
      <c r="P50" s="6">
        <f t="shared" si="9"/>
        <v>1.2099080615661233</v>
      </c>
      <c r="Q50" s="10">
        <f t="shared" si="10"/>
        <v>2.5206417949294232E-2</v>
      </c>
      <c r="R50" s="10">
        <f t="shared" si="11"/>
        <v>0.10015817386585321</v>
      </c>
      <c r="S50" s="10">
        <f t="shared" si="12"/>
        <v>0.12536459181514745</v>
      </c>
    </row>
    <row r="51" spans="1:19" x14ac:dyDescent="0.25">
      <c r="A51" s="5" t="s">
        <v>8</v>
      </c>
      <c r="B51" s="5" t="s">
        <v>333</v>
      </c>
      <c r="C51" s="5" t="s">
        <v>27</v>
      </c>
      <c r="D51" s="5" t="s">
        <v>385</v>
      </c>
      <c r="E51" s="5" t="s">
        <v>387</v>
      </c>
      <c r="F51" s="5" t="s">
        <v>112</v>
      </c>
      <c r="G51" s="5" t="s">
        <v>395</v>
      </c>
      <c r="H51" s="5" t="s">
        <v>127</v>
      </c>
      <c r="I51" s="5" t="s">
        <v>334</v>
      </c>
      <c r="J51" s="15">
        <v>1900</v>
      </c>
      <c r="K51" s="7">
        <v>34.200000000000003</v>
      </c>
      <c r="L51" s="7">
        <f t="shared" si="7"/>
        <v>55.55555555555555</v>
      </c>
      <c r="M51" s="5" t="s">
        <v>9</v>
      </c>
      <c r="N51" s="5">
        <v>4</v>
      </c>
      <c r="O51" s="6">
        <f t="shared" si="8"/>
        <v>3.6651234567901225</v>
      </c>
      <c r="P51" s="6">
        <f t="shared" si="9"/>
        <v>0.38117283950617276</v>
      </c>
      <c r="Q51" s="10">
        <f t="shared" si="10"/>
        <v>7.9411008230452652E-3</v>
      </c>
      <c r="R51" s="10">
        <f t="shared" si="11"/>
        <v>4.2117596577025559E-2</v>
      </c>
      <c r="S51" s="10">
        <f t="shared" si="12"/>
        <v>5.0058697400070823E-2</v>
      </c>
    </row>
    <row r="52" spans="1:19" x14ac:dyDescent="0.25">
      <c r="A52" s="5" t="s">
        <v>8</v>
      </c>
      <c r="B52" s="5" t="s">
        <v>350</v>
      </c>
      <c r="C52" s="5" t="s">
        <v>27</v>
      </c>
      <c r="D52" s="5" t="s">
        <v>385</v>
      </c>
      <c r="E52" s="5" t="s">
        <v>387</v>
      </c>
      <c r="F52" s="5" t="s">
        <v>112</v>
      </c>
      <c r="G52" s="5" t="s">
        <v>391</v>
      </c>
      <c r="H52" s="5" t="s">
        <v>53</v>
      </c>
      <c r="I52" s="5" t="s">
        <v>349</v>
      </c>
      <c r="J52" s="15">
        <v>2700</v>
      </c>
      <c r="K52" s="7">
        <v>40.5</v>
      </c>
      <c r="L52" s="7">
        <f t="shared" si="7"/>
        <v>66.666666666666671</v>
      </c>
      <c r="M52" s="5" t="s">
        <v>9</v>
      </c>
      <c r="N52" s="5">
        <v>4</v>
      </c>
      <c r="O52" s="6">
        <f t="shared" si="8"/>
        <v>7.5000000000000009</v>
      </c>
      <c r="P52" s="6">
        <f t="shared" si="9"/>
        <v>0.78000000000000014</v>
      </c>
      <c r="Q52" s="10">
        <f t="shared" si="10"/>
        <v>1.6250000000000001E-2</v>
      </c>
      <c r="R52" s="10">
        <f t="shared" si="11"/>
        <v>7.2059803226958916E-2</v>
      </c>
      <c r="S52" s="10">
        <f t="shared" si="12"/>
        <v>8.8309803226958916E-2</v>
      </c>
    </row>
    <row r="53" spans="1:19" x14ac:dyDescent="0.25">
      <c r="A53" s="5" t="s">
        <v>8</v>
      </c>
      <c r="B53" s="5" t="s">
        <v>347</v>
      </c>
      <c r="C53" s="5" t="s">
        <v>27</v>
      </c>
      <c r="D53" s="5" t="s">
        <v>385</v>
      </c>
      <c r="E53" s="5" t="s">
        <v>387</v>
      </c>
      <c r="F53" s="5" t="s">
        <v>112</v>
      </c>
      <c r="G53" s="5" t="s">
        <v>391</v>
      </c>
      <c r="H53" s="5" t="s">
        <v>53</v>
      </c>
      <c r="I53" s="5" t="s">
        <v>349</v>
      </c>
      <c r="J53" s="15">
        <v>2500</v>
      </c>
      <c r="K53" s="7">
        <v>31</v>
      </c>
      <c r="L53" s="7">
        <f t="shared" si="7"/>
        <v>80.645161290322577</v>
      </c>
      <c r="M53" s="5" t="s">
        <v>9</v>
      </c>
      <c r="N53" s="5">
        <v>4</v>
      </c>
      <c r="O53" s="6">
        <f t="shared" si="8"/>
        <v>10.161940686784598</v>
      </c>
      <c r="P53" s="6">
        <f t="shared" si="9"/>
        <v>1.0568418314255983</v>
      </c>
      <c r="Q53" s="10">
        <f t="shared" si="10"/>
        <v>2.2017538154699964E-2</v>
      </c>
      <c r="R53" s="10">
        <f t="shared" si="11"/>
        <v>9.0496048477232735E-2</v>
      </c>
      <c r="S53" s="10">
        <f t="shared" si="12"/>
        <v>0.1125135866319327</v>
      </c>
    </row>
    <row r="54" spans="1:19" x14ac:dyDescent="0.25">
      <c r="A54" s="5" t="s">
        <v>22</v>
      </c>
      <c r="B54" s="5" t="s">
        <v>63</v>
      </c>
      <c r="C54" s="5" t="s">
        <v>27</v>
      </c>
      <c r="D54" s="5" t="s">
        <v>385</v>
      </c>
      <c r="E54" s="5" t="s">
        <v>387</v>
      </c>
      <c r="F54" s="5" t="s">
        <v>112</v>
      </c>
      <c r="G54" s="5" t="s">
        <v>391</v>
      </c>
      <c r="H54" s="5" t="s">
        <v>53</v>
      </c>
      <c r="I54" s="5" t="s">
        <v>145</v>
      </c>
      <c r="J54" s="15">
        <v>2200</v>
      </c>
      <c r="K54" s="7">
        <v>42.5</v>
      </c>
      <c r="L54" s="7">
        <f t="shared" si="7"/>
        <v>51.764705882352942</v>
      </c>
      <c r="M54" s="5" t="s">
        <v>9</v>
      </c>
      <c r="N54" s="5">
        <v>4</v>
      </c>
      <c r="O54" s="6">
        <f t="shared" si="8"/>
        <v>3.6844290657439451</v>
      </c>
      <c r="P54" s="6">
        <f t="shared" si="9"/>
        <v>0.38318062283737025</v>
      </c>
      <c r="Q54" s="10">
        <f t="shared" si="10"/>
        <v>7.9829296424452131E-3</v>
      </c>
      <c r="R54" s="10">
        <f t="shared" si="11"/>
        <v>4.2283874397514749E-2</v>
      </c>
      <c r="S54" s="10">
        <f t="shared" si="12"/>
        <v>5.0266804039959964E-2</v>
      </c>
    </row>
    <row r="55" spans="1:19" x14ac:dyDescent="0.25">
      <c r="A55" s="5" t="s">
        <v>8</v>
      </c>
      <c r="B55" s="5" t="s">
        <v>303</v>
      </c>
      <c r="C55" s="5" t="s">
        <v>27</v>
      </c>
      <c r="D55" s="5" t="s">
        <v>385</v>
      </c>
      <c r="E55" s="5" t="s">
        <v>387</v>
      </c>
      <c r="F55" s="5" t="s">
        <v>112</v>
      </c>
      <c r="G55" s="5" t="s">
        <v>391</v>
      </c>
      <c r="H55" s="5" t="s">
        <v>53</v>
      </c>
      <c r="I55" s="5" t="s">
        <v>305</v>
      </c>
      <c r="J55" s="15">
        <v>2710</v>
      </c>
      <c r="K55" s="7">
        <v>38</v>
      </c>
      <c r="L55" s="7">
        <f t="shared" si="7"/>
        <v>71.315789473684205</v>
      </c>
      <c r="M55" s="5" t="s">
        <v>9</v>
      </c>
      <c r="N55" s="5">
        <v>4</v>
      </c>
      <c r="O55" s="6">
        <f t="shared" si="8"/>
        <v>8.6143139716066468</v>
      </c>
      <c r="P55" s="6">
        <f t="shared" si="9"/>
        <v>0.8958886530470912</v>
      </c>
      <c r="Q55" s="10">
        <f t="shared" si="10"/>
        <v>1.8664346938481065E-2</v>
      </c>
      <c r="R55" s="10">
        <f t="shared" si="11"/>
        <v>7.9948928370579042E-2</v>
      </c>
      <c r="S55" s="10">
        <f t="shared" si="12"/>
        <v>9.8613275309060111E-2</v>
      </c>
    </row>
    <row r="56" spans="1:19" x14ac:dyDescent="0.25">
      <c r="A56" s="5" t="s">
        <v>8</v>
      </c>
      <c r="B56" s="5" t="s">
        <v>303</v>
      </c>
      <c r="C56" s="5" t="s">
        <v>27</v>
      </c>
      <c r="D56" s="5" t="s">
        <v>385</v>
      </c>
      <c r="E56" s="5" t="s">
        <v>387</v>
      </c>
      <c r="F56" s="5" t="s">
        <v>112</v>
      </c>
      <c r="G56" s="5" t="s">
        <v>391</v>
      </c>
      <c r="H56" s="5" t="s">
        <v>53</v>
      </c>
      <c r="I56" s="5" t="s">
        <v>305</v>
      </c>
      <c r="J56" s="15">
        <v>2500</v>
      </c>
      <c r="K56" s="7">
        <v>35</v>
      </c>
      <c r="L56" s="7">
        <f t="shared" si="7"/>
        <v>71.428571428571431</v>
      </c>
      <c r="M56" s="5" t="s">
        <v>9</v>
      </c>
      <c r="N56" s="5">
        <v>4</v>
      </c>
      <c r="O56" s="6">
        <f t="shared" si="8"/>
        <v>7.9719387755102051</v>
      </c>
      <c r="P56" s="6">
        <f t="shared" si="9"/>
        <v>0.82908163265306123</v>
      </c>
      <c r="Q56" s="10">
        <f t="shared" si="10"/>
        <v>1.7272534013605446E-2</v>
      </c>
      <c r="R56" s="10">
        <f t="shared" si="11"/>
        <v>7.5434512896593864E-2</v>
      </c>
      <c r="S56" s="10">
        <f t="shared" si="12"/>
        <v>9.2707046910199306E-2</v>
      </c>
    </row>
    <row r="57" spans="1:19" x14ac:dyDescent="0.25">
      <c r="A57" s="5" t="s">
        <v>8</v>
      </c>
      <c r="B57" s="5" t="s">
        <v>228</v>
      </c>
      <c r="C57" s="5" t="s">
        <v>27</v>
      </c>
      <c r="D57" s="5" t="s">
        <v>385</v>
      </c>
      <c r="E57" s="5" t="s">
        <v>387</v>
      </c>
      <c r="F57" s="5" t="s">
        <v>112</v>
      </c>
      <c r="G57" s="5" t="s">
        <v>391</v>
      </c>
      <c r="H57" s="5" t="s">
        <v>53</v>
      </c>
      <c r="I57" s="5" t="s">
        <v>230</v>
      </c>
      <c r="J57" s="15">
        <v>2600</v>
      </c>
      <c r="K57" s="7">
        <v>39.5</v>
      </c>
      <c r="L57" s="7">
        <f t="shared" si="7"/>
        <v>65.822784810126578</v>
      </c>
      <c r="M57" s="5" t="s">
        <v>9</v>
      </c>
      <c r="N57" s="5">
        <v>4</v>
      </c>
      <c r="O57" s="6">
        <f t="shared" si="8"/>
        <v>7.0405383752603745</v>
      </c>
      <c r="P57" s="6">
        <f t="shared" si="9"/>
        <v>0.73221599102707891</v>
      </c>
      <c r="Q57" s="10">
        <f t="shared" si="10"/>
        <v>1.5254499813064143E-2</v>
      </c>
      <c r="R57" s="10">
        <f t="shared" si="11"/>
        <v>6.8722907763020355E-2</v>
      </c>
      <c r="S57" s="10">
        <f t="shared" si="12"/>
        <v>8.3977407576084503E-2</v>
      </c>
    </row>
    <row r="58" spans="1:19" x14ac:dyDescent="0.25">
      <c r="A58" s="5" t="s">
        <v>8</v>
      </c>
      <c r="B58" s="5" t="s">
        <v>284</v>
      </c>
      <c r="C58" s="5" t="s">
        <v>27</v>
      </c>
      <c r="D58" s="5" t="s">
        <v>385</v>
      </c>
      <c r="E58" s="5" t="s">
        <v>387</v>
      </c>
      <c r="F58" s="5" t="s">
        <v>112</v>
      </c>
      <c r="G58" s="5" t="s">
        <v>391</v>
      </c>
      <c r="H58" s="5" t="s">
        <v>53</v>
      </c>
      <c r="I58" s="5" t="s">
        <v>285</v>
      </c>
      <c r="J58" s="15">
        <v>3000</v>
      </c>
      <c r="K58" s="7">
        <v>46.3</v>
      </c>
      <c r="L58" s="7">
        <f t="shared" si="7"/>
        <v>64.794816414686835</v>
      </c>
      <c r="M58" s="5" t="s">
        <v>9</v>
      </c>
      <c r="N58" s="5">
        <v>4</v>
      </c>
      <c r="O58" s="6">
        <f t="shared" si="8"/>
        <v>7.8719404391493191</v>
      </c>
      <c r="P58" s="6">
        <f t="shared" si="9"/>
        <v>0.81868180567152926</v>
      </c>
      <c r="Q58" s="10">
        <f t="shared" si="10"/>
        <v>1.7055870951490189E-2</v>
      </c>
      <c r="R58" s="10">
        <f t="shared" si="11"/>
        <v>7.4723718195041214E-2</v>
      </c>
      <c r="S58" s="10">
        <f t="shared" si="12"/>
        <v>9.1779589146531407E-2</v>
      </c>
    </row>
    <row r="59" spans="1:19" x14ac:dyDescent="0.25">
      <c r="A59" s="5" t="s">
        <v>8</v>
      </c>
      <c r="B59" s="5" t="s">
        <v>303</v>
      </c>
      <c r="C59" s="5" t="s">
        <v>27</v>
      </c>
      <c r="D59" s="5" t="s">
        <v>385</v>
      </c>
      <c r="E59" s="5" t="s">
        <v>387</v>
      </c>
      <c r="F59" s="5" t="s">
        <v>112</v>
      </c>
      <c r="G59" s="5" t="s">
        <v>391</v>
      </c>
      <c r="H59" s="5" t="s">
        <v>53</v>
      </c>
      <c r="I59" s="5" t="s">
        <v>304</v>
      </c>
      <c r="J59" s="15">
        <v>2330</v>
      </c>
      <c r="K59" s="7">
        <v>32</v>
      </c>
      <c r="L59" s="7">
        <f t="shared" si="7"/>
        <v>72.8125</v>
      </c>
      <c r="M59" s="5" t="s">
        <v>9</v>
      </c>
      <c r="N59" s="5">
        <v>4</v>
      </c>
      <c r="O59" s="6">
        <f t="shared" si="8"/>
        <v>7.7205426025390622</v>
      </c>
      <c r="P59" s="6">
        <f t="shared" si="9"/>
        <v>0.80293643066406251</v>
      </c>
      <c r="Q59" s="10">
        <f t="shared" si="10"/>
        <v>1.6727842305501301E-2</v>
      </c>
      <c r="R59" s="10">
        <f t="shared" si="11"/>
        <v>7.3643257759382366E-2</v>
      </c>
      <c r="S59" s="10">
        <f t="shared" si="12"/>
        <v>9.0371100064883664E-2</v>
      </c>
    </row>
    <row r="60" spans="1:19" x14ac:dyDescent="0.25">
      <c r="A60" s="5" t="s">
        <v>22</v>
      </c>
      <c r="B60" s="5" t="s">
        <v>63</v>
      </c>
      <c r="C60" s="5" t="s">
        <v>27</v>
      </c>
      <c r="D60" s="5" t="s">
        <v>385</v>
      </c>
      <c r="E60" s="5" t="s">
        <v>387</v>
      </c>
      <c r="F60" s="5" t="s">
        <v>112</v>
      </c>
      <c r="G60" s="5" t="s">
        <v>391</v>
      </c>
      <c r="H60" s="5" t="s">
        <v>53</v>
      </c>
      <c r="I60" s="5" t="s">
        <v>147</v>
      </c>
      <c r="J60" s="15">
        <v>2200</v>
      </c>
      <c r="K60" s="7">
        <v>33</v>
      </c>
      <c r="L60" s="7">
        <f t="shared" si="7"/>
        <v>66.666666666666671</v>
      </c>
      <c r="M60" s="5" t="s">
        <v>9</v>
      </c>
      <c r="N60" s="5">
        <v>4</v>
      </c>
      <c r="O60" s="6">
        <f t="shared" si="8"/>
        <v>6.1111111111111125</v>
      </c>
      <c r="P60" s="6">
        <f t="shared" si="9"/>
        <v>0.63555555555555565</v>
      </c>
      <c r="Q60" s="10">
        <f t="shared" si="10"/>
        <v>1.3240740740740742E-2</v>
      </c>
      <c r="R60" s="10">
        <f t="shared" si="11"/>
        <v>6.1799827002558427E-2</v>
      </c>
      <c r="S60" s="10">
        <f t="shared" si="12"/>
        <v>7.5040567743299175E-2</v>
      </c>
    </row>
    <row r="61" spans="1:19" x14ac:dyDescent="0.25">
      <c r="A61" s="5" t="s">
        <v>8</v>
      </c>
      <c r="B61" s="5" t="s">
        <v>228</v>
      </c>
      <c r="C61" s="5" t="s">
        <v>27</v>
      </c>
      <c r="D61" s="5" t="s">
        <v>385</v>
      </c>
      <c r="E61" s="5" t="s">
        <v>387</v>
      </c>
      <c r="F61" s="5" t="s">
        <v>112</v>
      </c>
      <c r="G61" s="5" t="s">
        <v>391</v>
      </c>
      <c r="H61" s="5" t="s">
        <v>53</v>
      </c>
      <c r="I61" s="5" t="s">
        <v>229</v>
      </c>
      <c r="J61" s="15">
        <v>2100</v>
      </c>
      <c r="K61" s="7">
        <v>34</v>
      </c>
      <c r="L61" s="7">
        <f t="shared" si="7"/>
        <v>61.764705882352942</v>
      </c>
      <c r="M61" s="5" t="s">
        <v>9</v>
      </c>
      <c r="N61" s="5">
        <v>4</v>
      </c>
      <c r="O61" s="6">
        <f t="shared" si="8"/>
        <v>5.0070285467128031</v>
      </c>
      <c r="P61" s="6">
        <f t="shared" si="9"/>
        <v>0.52073096885813142</v>
      </c>
      <c r="Q61" s="10">
        <f t="shared" si="10"/>
        <v>1.0848561851211073E-2</v>
      </c>
      <c r="R61" s="10">
        <f t="shared" si="11"/>
        <v>5.3220895151738591E-2</v>
      </c>
      <c r="S61" s="10">
        <f t="shared" si="12"/>
        <v>6.4069457002949665E-2</v>
      </c>
    </row>
    <row r="62" spans="1:19" x14ac:dyDescent="0.25">
      <c r="A62" s="5" t="s">
        <v>22</v>
      </c>
      <c r="B62" s="5" t="s">
        <v>26</v>
      </c>
      <c r="C62" s="5" t="s">
        <v>27</v>
      </c>
      <c r="D62" s="5" t="s">
        <v>385</v>
      </c>
      <c r="E62" s="5" t="s">
        <v>387</v>
      </c>
      <c r="F62" s="5" t="s">
        <v>112</v>
      </c>
      <c r="G62" s="5" t="s">
        <v>391</v>
      </c>
      <c r="H62" s="5" t="s">
        <v>53</v>
      </c>
      <c r="I62" s="5" t="s">
        <v>55</v>
      </c>
      <c r="J62" s="15">
        <v>3400</v>
      </c>
      <c r="K62" s="7">
        <v>37.5</v>
      </c>
      <c r="L62" s="7">
        <f t="shared" si="7"/>
        <v>90.666666666666671</v>
      </c>
      <c r="M62" s="5" t="s">
        <v>9</v>
      </c>
      <c r="N62" s="5">
        <v>4</v>
      </c>
      <c r="O62" s="6">
        <f t="shared" si="8"/>
        <v>17.468444444444447</v>
      </c>
      <c r="P62" s="6">
        <f t="shared" si="9"/>
        <v>1.8167182222222222</v>
      </c>
      <c r="Q62" s="10">
        <f t="shared" si="10"/>
        <v>3.7848296296296303E-2</v>
      </c>
      <c r="R62" s="10">
        <f t="shared" si="11"/>
        <v>0.13585880775908216</v>
      </c>
      <c r="S62" s="10">
        <f t="shared" si="12"/>
        <v>0.17370710405537845</v>
      </c>
    </row>
    <row r="63" spans="1:19" x14ac:dyDescent="0.25">
      <c r="A63" s="5" t="s">
        <v>8</v>
      </c>
      <c r="B63" s="5" t="s">
        <v>372</v>
      </c>
      <c r="C63" s="5" t="s">
        <v>27</v>
      </c>
      <c r="D63" s="5" t="s">
        <v>385</v>
      </c>
      <c r="E63" s="5" t="s">
        <v>387</v>
      </c>
      <c r="F63" s="5" t="s">
        <v>112</v>
      </c>
      <c r="G63" s="5" t="s">
        <v>391</v>
      </c>
      <c r="H63" s="5" t="s">
        <v>53</v>
      </c>
      <c r="I63" s="5" t="s">
        <v>374</v>
      </c>
      <c r="J63" s="15">
        <v>3460</v>
      </c>
      <c r="K63" s="7">
        <v>50.7</v>
      </c>
      <c r="L63" s="7">
        <f t="shared" si="7"/>
        <v>68.244575936883621</v>
      </c>
      <c r="M63" s="5" t="s">
        <v>9</v>
      </c>
      <c r="N63" s="5">
        <v>4</v>
      </c>
      <c r="O63" s="6">
        <f t="shared" si="8"/>
        <v>10.071459138140973</v>
      </c>
      <c r="P63" s="6">
        <f t="shared" si="9"/>
        <v>1.0474317503666613</v>
      </c>
      <c r="Q63" s="10">
        <f t="shared" si="10"/>
        <v>2.1821494799305442E-2</v>
      </c>
      <c r="R63" s="10">
        <f t="shared" si="11"/>
        <v>8.9891043220326733E-2</v>
      </c>
      <c r="S63" s="10">
        <f t="shared" si="12"/>
        <v>0.11171253801963217</v>
      </c>
    </row>
    <row r="64" spans="1:19" x14ac:dyDescent="0.25">
      <c r="A64" s="5" t="s">
        <v>22</v>
      </c>
      <c r="B64" s="5" t="s">
        <v>63</v>
      </c>
      <c r="C64" s="5" t="s">
        <v>27</v>
      </c>
      <c r="D64" s="5" t="s">
        <v>385</v>
      </c>
      <c r="E64" s="5" t="s">
        <v>387</v>
      </c>
      <c r="F64" s="5" t="s">
        <v>112</v>
      </c>
      <c r="G64" s="5" t="s">
        <v>391</v>
      </c>
      <c r="H64" s="5" t="s">
        <v>53</v>
      </c>
      <c r="I64" s="5" t="s">
        <v>114</v>
      </c>
      <c r="J64" s="15">
        <v>1700</v>
      </c>
      <c r="K64" s="7">
        <v>28</v>
      </c>
      <c r="L64" s="7">
        <f t="shared" si="7"/>
        <v>60.714285714285715</v>
      </c>
      <c r="M64" s="5" t="s">
        <v>9</v>
      </c>
      <c r="N64" s="5">
        <v>4</v>
      </c>
      <c r="O64" s="6">
        <f t="shared" si="8"/>
        <v>3.9166135204081631</v>
      </c>
      <c r="P64" s="6">
        <f t="shared" si="9"/>
        <v>0.40732780612244895</v>
      </c>
      <c r="Q64" s="10">
        <f t="shared" si="10"/>
        <v>8.4859959608843526E-3</v>
      </c>
      <c r="R64" s="10">
        <f t="shared" si="11"/>
        <v>4.4267007423098879E-2</v>
      </c>
      <c r="S64" s="10">
        <f t="shared" si="12"/>
        <v>5.2753003383983234E-2</v>
      </c>
    </row>
    <row r="65" spans="1:19" x14ac:dyDescent="0.25">
      <c r="A65" s="5" t="s">
        <v>22</v>
      </c>
      <c r="B65" s="5" t="s">
        <v>63</v>
      </c>
      <c r="C65" s="5" t="s">
        <v>27</v>
      </c>
      <c r="D65" s="5" t="s">
        <v>385</v>
      </c>
      <c r="E65" s="5" t="s">
        <v>387</v>
      </c>
      <c r="F65" s="5" t="s">
        <v>112</v>
      </c>
      <c r="G65" s="5" t="s">
        <v>391</v>
      </c>
      <c r="H65" s="5" t="s">
        <v>115</v>
      </c>
      <c r="I65" s="5" t="s">
        <v>116</v>
      </c>
      <c r="J65" s="15">
        <v>750</v>
      </c>
      <c r="K65" s="7">
        <v>23</v>
      </c>
      <c r="L65" s="7">
        <f t="shared" si="7"/>
        <v>32.608695652173914</v>
      </c>
      <c r="M65" s="5" t="s">
        <v>9</v>
      </c>
      <c r="N65" s="5">
        <v>4</v>
      </c>
      <c r="O65" s="6">
        <f t="shared" si="8"/>
        <v>0.49843454631379974</v>
      </c>
      <c r="P65" s="6">
        <f t="shared" si="9"/>
        <v>5.1837192816635173E-2</v>
      </c>
      <c r="Q65" s="10">
        <f t="shared" si="10"/>
        <v>1.0799415170132329E-3</v>
      </c>
      <c r="R65" s="10">
        <f t="shared" si="11"/>
        <v>9.431987704294223E-3</v>
      </c>
      <c r="S65" s="10">
        <f t="shared" si="12"/>
        <v>1.0511929221307456E-2</v>
      </c>
    </row>
    <row r="66" spans="1:19" x14ac:dyDescent="0.25">
      <c r="A66" s="5" t="s">
        <v>8</v>
      </c>
      <c r="B66" s="5" t="s">
        <v>372</v>
      </c>
      <c r="C66" s="5" t="s">
        <v>27</v>
      </c>
      <c r="D66" s="5" t="s">
        <v>385</v>
      </c>
      <c r="E66" s="5" t="s">
        <v>384</v>
      </c>
      <c r="F66" s="5" t="s">
        <v>91</v>
      </c>
      <c r="G66" s="5" t="s">
        <v>393</v>
      </c>
      <c r="H66" s="5" t="s">
        <v>92</v>
      </c>
      <c r="I66" s="5" t="s">
        <v>373</v>
      </c>
      <c r="J66" s="15">
        <v>2510</v>
      </c>
      <c r="K66" s="7">
        <v>41.4</v>
      </c>
      <c r="L66" s="7">
        <f t="shared" si="7"/>
        <v>60.628019323671502</v>
      </c>
      <c r="M66" s="5" t="s">
        <v>9</v>
      </c>
      <c r="N66" s="5">
        <v>4</v>
      </c>
      <c r="O66" s="6">
        <f t="shared" si="8"/>
        <v>5.7663433656561418</v>
      </c>
      <c r="P66" s="6">
        <f t="shared" si="9"/>
        <v>0.59969971002823874</v>
      </c>
      <c r="Q66" s="10">
        <f t="shared" si="10"/>
        <v>1.249374395892164E-2</v>
      </c>
      <c r="R66" s="10">
        <f t="shared" si="11"/>
        <v>5.9166039480103155E-2</v>
      </c>
      <c r="S66" s="10">
        <f t="shared" si="12"/>
        <v>7.1659783439024793E-2</v>
      </c>
    </row>
    <row r="67" spans="1:19" x14ac:dyDescent="0.25">
      <c r="A67" s="5" t="s">
        <v>22</v>
      </c>
      <c r="B67" s="5" t="s">
        <v>63</v>
      </c>
      <c r="C67" s="5" t="s">
        <v>27</v>
      </c>
      <c r="D67" s="5" t="s">
        <v>385</v>
      </c>
      <c r="E67" s="5" t="s">
        <v>384</v>
      </c>
      <c r="F67" s="5" t="s">
        <v>91</v>
      </c>
      <c r="G67" s="5" t="s">
        <v>393</v>
      </c>
      <c r="H67" s="5" t="s">
        <v>92</v>
      </c>
      <c r="I67" s="5" t="s">
        <v>19</v>
      </c>
      <c r="J67" s="15">
        <v>1585</v>
      </c>
      <c r="K67" s="7">
        <v>66</v>
      </c>
      <c r="L67" s="7">
        <f t="shared" si="7"/>
        <v>24.015151515151516</v>
      </c>
      <c r="M67" s="5" t="s">
        <v>9</v>
      </c>
      <c r="N67" s="5">
        <v>4</v>
      </c>
      <c r="O67" s="6">
        <f t="shared" si="8"/>
        <v>0.57132068196166208</v>
      </c>
      <c r="P67" s="6">
        <f t="shared" si="9"/>
        <v>5.941735092401286E-2</v>
      </c>
      <c r="Q67" s="10">
        <f t="shared" si="10"/>
        <v>1.2378614775836012E-3</v>
      </c>
      <c r="R67" s="10">
        <f t="shared" si="11"/>
        <v>1.0448575464998765E-2</v>
      </c>
      <c r="S67" s="10">
        <f t="shared" si="12"/>
        <v>1.1686436942582366E-2</v>
      </c>
    </row>
    <row r="68" spans="1:19" x14ac:dyDescent="0.25">
      <c r="A68" s="5" t="s">
        <v>8</v>
      </c>
      <c r="B68" s="5" t="s">
        <v>308</v>
      </c>
      <c r="C68" s="5" t="s">
        <v>27</v>
      </c>
      <c r="D68" s="5" t="s">
        <v>385</v>
      </c>
      <c r="E68" s="5" t="s">
        <v>384</v>
      </c>
      <c r="F68" s="5" t="s">
        <v>91</v>
      </c>
      <c r="G68" s="5" t="s">
        <v>393</v>
      </c>
      <c r="H68" s="5" t="s">
        <v>92</v>
      </c>
      <c r="I68" s="5" t="s">
        <v>309</v>
      </c>
      <c r="J68" s="15">
        <v>1215</v>
      </c>
      <c r="K68" s="7">
        <v>41</v>
      </c>
      <c r="L68" s="7">
        <f t="shared" si="7"/>
        <v>29.634146341463413</v>
      </c>
      <c r="M68" s="5" t="s">
        <v>9</v>
      </c>
      <c r="N68" s="5">
        <v>4</v>
      </c>
      <c r="O68" s="6">
        <f t="shared" si="8"/>
        <v>0.66686993419095775</v>
      </c>
      <c r="P68" s="6">
        <f t="shared" si="9"/>
        <v>6.9354473155859603E-2</v>
      </c>
      <c r="Q68" s="10">
        <f t="shared" si="10"/>
        <v>1.4448848574137418E-3</v>
      </c>
      <c r="R68" s="10">
        <f t="shared" si="11"/>
        <v>1.1733510805087846E-2</v>
      </c>
      <c r="S68" s="10">
        <f t="shared" si="12"/>
        <v>1.3178395662501587E-2</v>
      </c>
    </row>
    <row r="69" spans="1:19" x14ac:dyDescent="0.25">
      <c r="A69" s="5" t="s">
        <v>22</v>
      </c>
      <c r="B69" s="5" t="s">
        <v>63</v>
      </c>
      <c r="C69" s="5" t="s">
        <v>27</v>
      </c>
      <c r="D69" s="5" t="s">
        <v>385</v>
      </c>
      <c r="E69" s="5" t="s">
        <v>384</v>
      </c>
      <c r="F69" s="5" t="s">
        <v>91</v>
      </c>
      <c r="G69" s="5" t="s">
        <v>393</v>
      </c>
      <c r="H69" s="5" t="s">
        <v>93</v>
      </c>
      <c r="I69" s="5" t="s">
        <v>94</v>
      </c>
      <c r="J69" s="15">
        <v>2400</v>
      </c>
      <c r="K69" s="7">
        <v>30</v>
      </c>
      <c r="L69" s="7">
        <f t="shared" ref="L69:L99" si="13">J69/K69</f>
        <v>80</v>
      </c>
      <c r="M69" s="5" t="s">
        <v>9</v>
      </c>
      <c r="N69" s="5">
        <v>4</v>
      </c>
      <c r="O69" s="6">
        <f t="shared" ref="O69:O99" si="14">(J69*L69^2)/(1.6*10^6)</f>
        <v>9.6</v>
      </c>
      <c r="P69" s="6">
        <f t="shared" ref="P69:P99" si="15">(0.104*J69*L69^2)/(1.6*10^6)</f>
        <v>0.99839999999999995</v>
      </c>
      <c r="Q69" s="10">
        <f t="shared" ref="Q69:Q99" si="16">(0.104*O69)/(12*N69)</f>
        <v>2.0799999999999999E-2</v>
      </c>
      <c r="R69" s="10">
        <f t="shared" ref="R69:R99" si="17">0.0159*O69^0.75</f>
        <v>8.671626204879955E-2</v>
      </c>
      <c r="S69" s="10">
        <f t="shared" ref="S69:S99" si="18">Q69+R69</f>
        <v>0.10751626204879955</v>
      </c>
    </row>
    <row r="70" spans="1:19" x14ac:dyDescent="0.25">
      <c r="A70" s="5" t="s">
        <v>8</v>
      </c>
      <c r="B70" s="5" t="s">
        <v>336</v>
      </c>
      <c r="C70" s="5" t="s">
        <v>27</v>
      </c>
      <c r="D70" s="5" t="s">
        <v>385</v>
      </c>
      <c r="E70" s="5" t="s">
        <v>384</v>
      </c>
      <c r="F70" s="5" t="s">
        <v>91</v>
      </c>
      <c r="G70" s="5" t="s">
        <v>393</v>
      </c>
      <c r="H70" s="5" t="s">
        <v>93</v>
      </c>
      <c r="I70" s="5" t="s">
        <v>94</v>
      </c>
      <c r="J70" s="15">
        <v>2840</v>
      </c>
      <c r="K70" s="7">
        <v>30</v>
      </c>
      <c r="L70" s="7">
        <f t="shared" si="13"/>
        <v>94.666666666666671</v>
      </c>
      <c r="M70" s="5" t="s">
        <v>9</v>
      </c>
      <c r="N70" s="5">
        <v>4</v>
      </c>
      <c r="O70" s="6">
        <f t="shared" si="14"/>
        <v>15.907155555555557</v>
      </c>
      <c r="P70" s="6">
        <f t="shared" si="15"/>
        <v>1.6543441777777783</v>
      </c>
      <c r="Q70" s="10">
        <f t="shared" si="16"/>
        <v>3.4465503703703708E-2</v>
      </c>
      <c r="R70" s="10">
        <f t="shared" si="17"/>
        <v>0.12664601248462076</v>
      </c>
      <c r="S70" s="10">
        <f t="shared" si="18"/>
        <v>0.16111151618832448</v>
      </c>
    </row>
    <row r="71" spans="1:19" x14ac:dyDescent="0.25">
      <c r="A71" s="5" t="s">
        <v>8</v>
      </c>
      <c r="B71" s="5" t="s">
        <v>336</v>
      </c>
      <c r="C71" s="5" t="s">
        <v>27</v>
      </c>
      <c r="D71" s="5" t="s">
        <v>385</v>
      </c>
      <c r="E71" s="5" t="s">
        <v>384</v>
      </c>
      <c r="F71" s="5" t="s">
        <v>91</v>
      </c>
      <c r="G71" s="5" t="s">
        <v>393</v>
      </c>
      <c r="H71" s="5" t="s">
        <v>93</v>
      </c>
      <c r="I71" s="5" t="s">
        <v>338</v>
      </c>
      <c r="J71" s="15">
        <v>2620</v>
      </c>
      <c r="K71" s="7">
        <v>30.5</v>
      </c>
      <c r="L71" s="7">
        <f t="shared" si="13"/>
        <v>85.901639344262293</v>
      </c>
      <c r="M71" s="5" t="s">
        <v>9</v>
      </c>
      <c r="N71" s="5">
        <v>4</v>
      </c>
      <c r="O71" s="6">
        <f t="shared" si="14"/>
        <v>12.083262563826928</v>
      </c>
      <c r="P71" s="6">
        <f t="shared" si="15"/>
        <v>1.2566593066380003</v>
      </c>
      <c r="Q71" s="10">
        <f t="shared" si="16"/>
        <v>2.6180402221625012E-2</v>
      </c>
      <c r="R71" s="10">
        <f t="shared" si="17"/>
        <v>0.10304698364299147</v>
      </c>
      <c r="S71" s="10">
        <f t="shared" si="18"/>
        <v>0.12922738586461649</v>
      </c>
    </row>
    <row r="72" spans="1:19" x14ac:dyDescent="0.25">
      <c r="A72" s="5" t="s">
        <v>8</v>
      </c>
      <c r="B72" s="5" t="s">
        <v>165</v>
      </c>
      <c r="C72" s="5" t="s">
        <v>27</v>
      </c>
      <c r="D72" s="5" t="s">
        <v>385</v>
      </c>
      <c r="E72" s="5" t="s">
        <v>384</v>
      </c>
      <c r="F72" s="5" t="s">
        <v>30</v>
      </c>
      <c r="G72" s="5" t="s">
        <v>397</v>
      </c>
      <c r="H72" s="5" t="s">
        <v>36</v>
      </c>
      <c r="I72" s="5" t="s">
        <v>173</v>
      </c>
      <c r="J72" s="15">
        <v>3000</v>
      </c>
      <c r="K72" s="7">
        <v>21.5</v>
      </c>
      <c r="L72" s="7">
        <f t="shared" si="13"/>
        <v>139.53488372093022</v>
      </c>
      <c r="M72" s="5" t="s">
        <v>9</v>
      </c>
      <c r="N72" s="5">
        <v>4</v>
      </c>
      <c r="O72" s="6">
        <f t="shared" si="14"/>
        <v>36.50621957815035</v>
      </c>
      <c r="P72" s="6">
        <f t="shared" si="15"/>
        <v>3.7966468361276364</v>
      </c>
      <c r="Q72" s="10">
        <f t="shared" si="16"/>
        <v>7.9096809085992426E-2</v>
      </c>
      <c r="R72" s="10">
        <f t="shared" si="17"/>
        <v>0.23614147442789565</v>
      </c>
      <c r="S72" s="10">
        <f t="shared" si="18"/>
        <v>0.31523828351388805</v>
      </c>
    </row>
    <row r="73" spans="1:19" x14ac:dyDescent="0.25">
      <c r="A73" s="5" t="s">
        <v>8</v>
      </c>
      <c r="B73" s="5" t="s">
        <v>165</v>
      </c>
      <c r="C73" s="5" t="s">
        <v>27</v>
      </c>
      <c r="D73" s="5" t="s">
        <v>385</v>
      </c>
      <c r="E73" s="5" t="s">
        <v>384</v>
      </c>
      <c r="F73" s="5" t="s">
        <v>30</v>
      </c>
      <c r="G73" s="5" t="s">
        <v>397</v>
      </c>
      <c r="H73" s="5" t="s">
        <v>36</v>
      </c>
      <c r="I73" s="5" t="s">
        <v>174</v>
      </c>
      <c r="J73" s="15">
        <v>4700</v>
      </c>
      <c r="K73" s="7">
        <v>37</v>
      </c>
      <c r="L73" s="7">
        <f t="shared" si="13"/>
        <v>127.02702702702703</v>
      </c>
      <c r="M73" s="5" t="s">
        <v>9</v>
      </c>
      <c r="N73" s="5">
        <v>4</v>
      </c>
      <c r="O73" s="6">
        <f t="shared" si="14"/>
        <v>47.399105186267356</v>
      </c>
      <c r="P73" s="6">
        <f t="shared" si="15"/>
        <v>4.9295069393718043</v>
      </c>
      <c r="Q73" s="10">
        <f t="shared" si="16"/>
        <v>0.10269806123691261</v>
      </c>
      <c r="R73" s="10">
        <f t="shared" si="17"/>
        <v>0.28722664908804313</v>
      </c>
      <c r="S73" s="10">
        <f t="shared" si="18"/>
        <v>0.38992471032495574</v>
      </c>
    </row>
    <row r="74" spans="1:19" x14ac:dyDescent="0.25">
      <c r="A74" s="5" t="s">
        <v>22</v>
      </c>
      <c r="B74" s="5" t="s">
        <v>26</v>
      </c>
      <c r="C74" s="5" t="s">
        <v>27</v>
      </c>
      <c r="D74" s="5" t="s">
        <v>385</v>
      </c>
      <c r="E74" s="5" t="s">
        <v>384</v>
      </c>
      <c r="F74" s="5" t="s">
        <v>30</v>
      </c>
      <c r="G74" s="5" t="s">
        <v>397</v>
      </c>
      <c r="H74" s="5" t="s">
        <v>36</v>
      </c>
      <c r="I74" s="5" t="s">
        <v>18</v>
      </c>
      <c r="J74" s="15">
        <v>1850</v>
      </c>
      <c r="K74" s="7">
        <v>29</v>
      </c>
      <c r="L74" s="7">
        <f t="shared" si="13"/>
        <v>63.793103448275865</v>
      </c>
      <c r="M74" s="5" t="s">
        <v>9</v>
      </c>
      <c r="N74" s="5">
        <v>4</v>
      </c>
      <c r="O74" s="6">
        <f t="shared" si="14"/>
        <v>4.7054288049940549</v>
      </c>
      <c r="P74" s="6">
        <f t="shared" si="15"/>
        <v>0.48936459571938168</v>
      </c>
      <c r="Q74" s="10">
        <f t="shared" si="16"/>
        <v>1.0195095744153785E-2</v>
      </c>
      <c r="R74" s="10">
        <f t="shared" si="17"/>
        <v>5.0797990133562676E-2</v>
      </c>
      <c r="S74" s="10">
        <f t="shared" si="18"/>
        <v>6.0993085877716458E-2</v>
      </c>
    </row>
    <row r="75" spans="1:19" x14ac:dyDescent="0.25">
      <c r="A75" s="5" t="s">
        <v>8</v>
      </c>
      <c r="B75" s="5" t="s">
        <v>165</v>
      </c>
      <c r="C75" s="5" t="s">
        <v>27</v>
      </c>
      <c r="D75" s="5" t="s">
        <v>385</v>
      </c>
      <c r="E75" s="5" t="s">
        <v>384</v>
      </c>
      <c r="F75" s="5" t="s">
        <v>30</v>
      </c>
      <c r="G75" s="5" t="s">
        <v>397</v>
      </c>
      <c r="H75" s="5" t="s">
        <v>36</v>
      </c>
      <c r="I75" s="5" t="s">
        <v>18</v>
      </c>
      <c r="J75" s="15">
        <v>1600</v>
      </c>
      <c r="K75" s="7">
        <v>29</v>
      </c>
      <c r="L75" s="7">
        <f t="shared" si="13"/>
        <v>55.172413793103445</v>
      </c>
      <c r="M75" s="5" t="s">
        <v>9</v>
      </c>
      <c r="N75" s="5">
        <v>4</v>
      </c>
      <c r="O75" s="6">
        <f t="shared" si="14"/>
        <v>3.0439952437574314</v>
      </c>
      <c r="P75" s="6">
        <f t="shared" si="15"/>
        <v>0.31657550535077283</v>
      </c>
      <c r="Q75" s="10">
        <f t="shared" si="16"/>
        <v>6.5953230281411007E-3</v>
      </c>
      <c r="R75" s="10">
        <f t="shared" si="17"/>
        <v>3.6642078556231465E-2</v>
      </c>
      <c r="S75" s="10">
        <f t="shared" si="18"/>
        <v>4.3237401584372566E-2</v>
      </c>
    </row>
    <row r="76" spans="1:19" x14ac:dyDescent="0.25">
      <c r="A76" s="5" t="s">
        <v>8</v>
      </c>
      <c r="B76" s="5" t="s">
        <v>165</v>
      </c>
      <c r="C76" s="5" t="s">
        <v>27</v>
      </c>
      <c r="D76" s="5" t="s">
        <v>385</v>
      </c>
      <c r="E76" s="5" t="s">
        <v>384</v>
      </c>
      <c r="F76" s="5" t="s">
        <v>30</v>
      </c>
      <c r="G76" s="5" t="s">
        <v>397</v>
      </c>
      <c r="H76" s="5" t="s">
        <v>36</v>
      </c>
      <c r="I76" s="5" t="s">
        <v>180</v>
      </c>
      <c r="J76" s="15">
        <v>3850</v>
      </c>
      <c r="K76" s="7">
        <v>31</v>
      </c>
      <c r="L76" s="7">
        <f t="shared" si="13"/>
        <v>124.19354838709677</v>
      </c>
      <c r="M76" s="5" t="s">
        <v>9</v>
      </c>
      <c r="N76" s="5">
        <v>4</v>
      </c>
      <c r="O76" s="6">
        <f t="shared" si="14"/>
        <v>37.114090140478666</v>
      </c>
      <c r="P76" s="6">
        <f t="shared" si="15"/>
        <v>3.8598653746097806</v>
      </c>
      <c r="Q76" s="10">
        <f t="shared" si="16"/>
        <v>8.0413861971037101E-2</v>
      </c>
      <c r="R76" s="10">
        <f t="shared" si="17"/>
        <v>0.23908439899747766</v>
      </c>
      <c r="S76" s="10">
        <f t="shared" si="18"/>
        <v>0.31949826096851475</v>
      </c>
    </row>
    <row r="77" spans="1:19" x14ac:dyDescent="0.25">
      <c r="A77" s="5" t="s">
        <v>8</v>
      </c>
      <c r="B77" s="5" t="s">
        <v>165</v>
      </c>
      <c r="C77" s="5" t="s">
        <v>27</v>
      </c>
      <c r="D77" s="5" t="s">
        <v>385</v>
      </c>
      <c r="E77" s="5" t="s">
        <v>384</v>
      </c>
      <c r="F77" s="5" t="s">
        <v>30</v>
      </c>
      <c r="G77" s="5" t="s">
        <v>397</v>
      </c>
      <c r="H77" s="5" t="s">
        <v>36</v>
      </c>
      <c r="I77" s="5" t="s">
        <v>71</v>
      </c>
      <c r="J77" s="15">
        <v>2850</v>
      </c>
      <c r="K77" s="7">
        <v>31.5</v>
      </c>
      <c r="L77" s="7">
        <f t="shared" si="13"/>
        <v>90.476190476190482</v>
      </c>
      <c r="M77" s="5" t="s">
        <v>9</v>
      </c>
      <c r="N77" s="5">
        <v>4</v>
      </c>
      <c r="O77" s="6">
        <f t="shared" si="14"/>
        <v>14.5812074829932</v>
      </c>
      <c r="P77" s="6">
        <f t="shared" si="15"/>
        <v>1.5164455782312927</v>
      </c>
      <c r="Q77" s="10">
        <f t="shared" si="16"/>
        <v>3.1592616213151931E-2</v>
      </c>
      <c r="R77" s="10">
        <f t="shared" si="17"/>
        <v>0.11864303331746644</v>
      </c>
      <c r="S77" s="10">
        <f t="shared" si="18"/>
        <v>0.15023564953061835</v>
      </c>
    </row>
    <row r="78" spans="1:19" x14ac:dyDescent="0.25">
      <c r="A78" s="5" t="s">
        <v>22</v>
      </c>
      <c r="B78" s="5" t="s">
        <v>26</v>
      </c>
      <c r="C78" s="5" t="s">
        <v>27</v>
      </c>
      <c r="D78" s="5" t="s">
        <v>385</v>
      </c>
      <c r="E78" s="5" t="s">
        <v>384</v>
      </c>
      <c r="F78" s="5" t="s">
        <v>30</v>
      </c>
      <c r="G78" s="5" t="s">
        <v>397</v>
      </c>
      <c r="H78" s="5" t="s">
        <v>36</v>
      </c>
      <c r="I78" s="5" t="s">
        <v>37</v>
      </c>
      <c r="J78" s="15">
        <v>3100</v>
      </c>
      <c r="K78" s="7">
        <v>36</v>
      </c>
      <c r="L78" s="7">
        <f t="shared" si="13"/>
        <v>86.111111111111114</v>
      </c>
      <c r="M78" s="5" t="s">
        <v>9</v>
      </c>
      <c r="N78" s="5">
        <v>4</v>
      </c>
      <c r="O78" s="6">
        <f t="shared" si="14"/>
        <v>14.366801697530866</v>
      </c>
      <c r="P78" s="6">
        <f t="shared" si="15"/>
        <v>1.4941473765432098</v>
      </c>
      <c r="Q78" s="10">
        <f t="shared" si="16"/>
        <v>3.1128070344650208E-2</v>
      </c>
      <c r="R78" s="10">
        <f t="shared" si="17"/>
        <v>0.11733219553044927</v>
      </c>
      <c r="S78" s="10">
        <f t="shared" si="18"/>
        <v>0.14846026587509947</v>
      </c>
    </row>
    <row r="79" spans="1:19" x14ac:dyDescent="0.25">
      <c r="A79" s="5" t="s">
        <v>8</v>
      </c>
      <c r="B79" s="5" t="s">
        <v>165</v>
      </c>
      <c r="C79" s="5" t="s">
        <v>27</v>
      </c>
      <c r="D79" s="5" t="s">
        <v>385</v>
      </c>
      <c r="E79" s="5" t="s">
        <v>384</v>
      </c>
      <c r="F79" s="5" t="s">
        <v>30</v>
      </c>
      <c r="G79" s="5" t="s">
        <v>397</v>
      </c>
      <c r="H79" s="5" t="s">
        <v>36</v>
      </c>
      <c r="I79" s="5" t="s">
        <v>37</v>
      </c>
      <c r="J79" s="15">
        <v>3000</v>
      </c>
      <c r="K79" s="7">
        <v>34</v>
      </c>
      <c r="L79" s="7">
        <f t="shared" si="13"/>
        <v>88.235294117647058</v>
      </c>
      <c r="M79" s="5" t="s">
        <v>9</v>
      </c>
      <c r="N79" s="5">
        <v>4</v>
      </c>
      <c r="O79" s="6">
        <f t="shared" si="14"/>
        <v>14.597750865051902</v>
      </c>
      <c r="P79" s="6">
        <f t="shared" si="15"/>
        <v>1.5181660899653979</v>
      </c>
      <c r="Q79" s="10">
        <f t="shared" si="16"/>
        <v>3.1628460207612452E-2</v>
      </c>
      <c r="R79" s="10">
        <f t="shared" si="17"/>
        <v>0.11874397551321185</v>
      </c>
      <c r="S79" s="10">
        <f t="shared" si="18"/>
        <v>0.15037243572082432</v>
      </c>
    </row>
    <row r="80" spans="1:19" x14ac:dyDescent="0.25">
      <c r="A80" s="5" t="s">
        <v>8</v>
      </c>
      <c r="B80" s="5" t="s">
        <v>165</v>
      </c>
      <c r="C80" s="5" t="s">
        <v>27</v>
      </c>
      <c r="D80" s="5" t="s">
        <v>385</v>
      </c>
      <c r="E80" s="5" t="s">
        <v>384</v>
      </c>
      <c r="F80" s="5" t="s">
        <v>30</v>
      </c>
      <c r="G80" s="5" t="s">
        <v>397</v>
      </c>
      <c r="H80" s="5" t="s">
        <v>36</v>
      </c>
      <c r="I80" s="5" t="s">
        <v>182</v>
      </c>
      <c r="J80" s="15">
        <v>1450</v>
      </c>
      <c r="K80" s="7">
        <v>32</v>
      </c>
      <c r="L80" s="7">
        <f t="shared" si="13"/>
        <v>45.3125</v>
      </c>
      <c r="M80" s="5" t="s">
        <v>9</v>
      </c>
      <c r="N80" s="5">
        <v>4</v>
      </c>
      <c r="O80" s="6">
        <f t="shared" si="14"/>
        <v>1.8607330322265625</v>
      </c>
      <c r="P80" s="6">
        <f t="shared" si="15"/>
        <v>0.19351623535156245</v>
      </c>
      <c r="Q80" s="10">
        <f t="shared" si="16"/>
        <v>4.031588236490885E-3</v>
      </c>
      <c r="R80" s="10">
        <f t="shared" si="17"/>
        <v>2.5331457284123761E-2</v>
      </c>
      <c r="S80" s="10">
        <f t="shared" si="18"/>
        <v>2.9363045520614646E-2</v>
      </c>
    </row>
    <row r="81" spans="1:19" x14ac:dyDescent="0.25">
      <c r="A81" s="5" t="s">
        <v>8</v>
      </c>
      <c r="B81" s="5" t="s">
        <v>165</v>
      </c>
      <c r="C81" s="5" t="s">
        <v>27</v>
      </c>
      <c r="D81" s="5" t="s">
        <v>385</v>
      </c>
      <c r="E81" s="5" t="s">
        <v>384</v>
      </c>
      <c r="F81" s="5" t="s">
        <v>30</v>
      </c>
      <c r="G81" s="5" t="s">
        <v>397</v>
      </c>
      <c r="H81" s="5" t="s">
        <v>36</v>
      </c>
      <c r="I81" s="5" t="s">
        <v>184</v>
      </c>
      <c r="J81" s="15">
        <v>5250</v>
      </c>
      <c r="K81" s="7">
        <v>42.5</v>
      </c>
      <c r="L81" s="7">
        <f t="shared" si="13"/>
        <v>123.52941176470588</v>
      </c>
      <c r="M81" s="5" t="s">
        <v>9</v>
      </c>
      <c r="N81" s="5">
        <v>4</v>
      </c>
      <c r="O81" s="6">
        <f t="shared" si="14"/>
        <v>50.070285467128031</v>
      </c>
      <c r="P81" s="6">
        <f t="shared" si="15"/>
        <v>5.207309688581315</v>
      </c>
      <c r="Q81" s="10">
        <f t="shared" si="16"/>
        <v>0.10848561851211073</v>
      </c>
      <c r="R81" s="10">
        <f t="shared" si="17"/>
        <v>0.29928308707445306</v>
      </c>
      <c r="S81" s="10">
        <f t="shared" si="18"/>
        <v>0.40776870558656381</v>
      </c>
    </row>
    <row r="82" spans="1:19" x14ac:dyDescent="0.25">
      <c r="A82" s="5" t="s">
        <v>8</v>
      </c>
      <c r="B82" s="5" t="s">
        <v>165</v>
      </c>
      <c r="C82" s="5" t="s">
        <v>27</v>
      </c>
      <c r="D82" s="5" t="s">
        <v>385</v>
      </c>
      <c r="E82" s="5" t="s">
        <v>384</v>
      </c>
      <c r="F82" s="5" t="s">
        <v>30</v>
      </c>
      <c r="G82" s="5" t="s">
        <v>397</v>
      </c>
      <c r="H82" s="5" t="s">
        <v>36</v>
      </c>
      <c r="I82" s="5" t="s">
        <v>185</v>
      </c>
      <c r="J82" s="15">
        <v>3800</v>
      </c>
      <c r="K82" s="7">
        <v>19.5</v>
      </c>
      <c r="L82" s="7">
        <f t="shared" si="13"/>
        <v>194.87179487179486</v>
      </c>
      <c r="M82" s="5" t="s">
        <v>9</v>
      </c>
      <c r="N82" s="5">
        <v>4</v>
      </c>
      <c r="O82" s="6">
        <f t="shared" si="14"/>
        <v>90.190664036817864</v>
      </c>
      <c r="P82" s="6">
        <f t="shared" si="15"/>
        <v>9.3798290598290581</v>
      </c>
      <c r="Q82" s="10">
        <f t="shared" si="16"/>
        <v>0.19541310541310539</v>
      </c>
      <c r="R82" s="10">
        <f t="shared" si="17"/>
        <v>0.4653377789945094</v>
      </c>
      <c r="S82" s="10">
        <f t="shared" si="18"/>
        <v>0.66075088440761476</v>
      </c>
    </row>
    <row r="83" spans="1:19" x14ac:dyDescent="0.25">
      <c r="A83" s="5" t="s">
        <v>22</v>
      </c>
      <c r="B83" s="5" t="s">
        <v>26</v>
      </c>
      <c r="C83" s="5" t="s">
        <v>27</v>
      </c>
      <c r="D83" s="5" t="s">
        <v>385</v>
      </c>
      <c r="E83" s="5" t="s">
        <v>384</v>
      </c>
      <c r="F83" s="5" t="s">
        <v>30</v>
      </c>
      <c r="G83" s="5" t="s">
        <v>397</v>
      </c>
      <c r="H83" s="5" t="s">
        <v>36</v>
      </c>
      <c r="I83" s="5" t="s">
        <v>39</v>
      </c>
      <c r="J83" s="15">
        <v>1950</v>
      </c>
      <c r="K83" s="7">
        <v>38.5</v>
      </c>
      <c r="L83" s="7">
        <f t="shared" si="13"/>
        <v>50.649350649350652</v>
      </c>
      <c r="M83" s="5" t="s">
        <v>9</v>
      </c>
      <c r="N83" s="5">
        <v>4</v>
      </c>
      <c r="O83" s="6">
        <f t="shared" si="14"/>
        <v>3.1265285039635695</v>
      </c>
      <c r="P83" s="6">
        <f t="shared" si="15"/>
        <v>0.3251589644122112</v>
      </c>
      <c r="Q83" s="10">
        <f t="shared" si="16"/>
        <v>6.7741450919210668E-3</v>
      </c>
      <c r="R83" s="10">
        <f t="shared" si="17"/>
        <v>3.7384701610242169E-2</v>
      </c>
      <c r="S83" s="10">
        <f t="shared" si="18"/>
        <v>4.4158846702163232E-2</v>
      </c>
    </row>
    <row r="84" spans="1:19" x14ac:dyDescent="0.25">
      <c r="A84" s="5" t="s">
        <v>22</v>
      </c>
      <c r="B84" s="5" t="s">
        <v>63</v>
      </c>
      <c r="C84" s="5" t="s">
        <v>27</v>
      </c>
      <c r="D84" s="5" t="s">
        <v>385</v>
      </c>
      <c r="E84" s="5" t="s">
        <v>384</v>
      </c>
      <c r="F84" s="5" t="s">
        <v>30</v>
      </c>
      <c r="G84" s="5" t="s">
        <v>397</v>
      </c>
      <c r="H84" s="5" t="s">
        <v>36</v>
      </c>
      <c r="I84" s="5" t="s">
        <v>39</v>
      </c>
      <c r="J84" s="15">
        <v>1950</v>
      </c>
      <c r="K84" s="7">
        <v>38.5</v>
      </c>
      <c r="L84" s="7">
        <f t="shared" si="13"/>
        <v>50.649350649350652</v>
      </c>
      <c r="M84" s="5" t="s">
        <v>9</v>
      </c>
      <c r="N84" s="5">
        <v>4</v>
      </c>
      <c r="O84" s="6">
        <f t="shared" si="14"/>
        <v>3.1265285039635695</v>
      </c>
      <c r="P84" s="6">
        <f t="shared" si="15"/>
        <v>0.3251589644122112</v>
      </c>
      <c r="Q84" s="10">
        <f t="shared" si="16"/>
        <v>6.7741450919210668E-3</v>
      </c>
      <c r="R84" s="10">
        <f t="shared" si="17"/>
        <v>3.7384701610242169E-2</v>
      </c>
      <c r="S84" s="10">
        <f t="shared" si="18"/>
        <v>4.4158846702163232E-2</v>
      </c>
    </row>
    <row r="85" spans="1:19" x14ac:dyDescent="0.25">
      <c r="A85" s="5" t="s">
        <v>8</v>
      </c>
      <c r="B85" s="5" t="s">
        <v>165</v>
      </c>
      <c r="C85" s="5" t="s">
        <v>27</v>
      </c>
      <c r="D85" s="5" t="s">
        <v>385</v>
      </c>
      <c r="E85" s="5" t="s">
        <v>384</v>
      </c>
      <c r="F85" s="5" t="s">
        <v>30</v>
      </c>
      <c r="G85" s="5" t="s">
        <v>397</v>
      </c>
      <c r="H85" s="5" t="s">
        <v>36</v>
      </c>
      <c r="I85" s="5" t="s">
        <v>39</v>
      </c>
      <c r="J85" s="15">
        <v>1800</v>
      </c>
      <c r="K85" s="7">
        <v>38</v>
      </c>
      <c r="L85" s="7">
        <f t="shared" si="13"/>
        <v>47.368421052631582</v>
      </c>
      <c r="M85" s="5" t="s">
        <v>9</v>
      </c>
      <c r="N85" s="5">
        <v>4</v>
      </c>
      <c r="O85" s="6">
        <f t="shared" si="14"/>
        <v>2.5242382271468147</v>
      </c>
      <c r="P85" s="6">
        <f t="shared" si="15"/>
        <v>0.2625207756232687</v>
      </c>
      <c r="Q85" s="10">
        <f t="shared" si="16"/>
        <v>5.4691828254847643E-3</v>
      </c>
      <c r="R85" s="10">
        <f t="shared" si="17"/>
        <v>3.1841599745227871E-2</v>
      </c>
      <c r="S85" s="10">
        <f t="shared" si="18"/>
        <v>3.7310782570712638E-2</v>
      </c>
    </row>
    <row r="86" spans="1:19" x14ac:dyDescent="0.25">
      <c r="A86" s="5" t="s">
        <v>8</v>
      </c>
      <c r="B86" s="5" t="s">
        <v>165</v>
      </c>
      <c r="C86" s="5" t="s">
        <v>27</v>
      </c>
      <c r="D86" s="5" t="s">
        <v>385</v>
      </c>
      <c r="E86" s="5" t="s">
        <v>384</v>
      </c>
      <c r="F86" s="5" t="s">
        <v>30</v>
      </c>
      <c r="G86" s="5" t="s">
        <v>397</v>
      </c>
      <c r="H86" s="5" t="s">
        <v>36</v>
      </c>
      <c r="I86" s="5" t="s">
        <v>39</v>
      </c>
      <c r="J86" s="15">
        <v>1850</v>
      </c>
      <c r="K86" s="7">
        <v>38.5</v>
      </c>
      <c r="L86" s="7">
        <f t="shared" si="13"/>
        <v>48.051948051948052</v>
      </c>
      <c r="M86" s="5" t="s">
        <v>9</v>
      </c>
      <c r="N86" s="5">
        <v>4</v>
      </c>
      <c r="O86" s="6">
        <f t="shared" si="14"/>
        <v>2.6697693540226006</v>
      </c>
      <c r="P86" s="6">
        <f t="shared" si="15"/>
        <v>0.27765601281835045</v>
      </c>
      <c r="Q86" s="10">
        <f t="shared" si="16"/>
        <v>5.7845002670489677E-3</v>
      </c>
      <c r="R86" s="10">
        <f t="shared" si="17"/>
        <v>3.3208742598630749E-2</v>
      </c>
      <c r="S86" s="10">
        <f t="shared" si="18"/>
        <v>3.899324286567972E-2</v>
      </c>
    </row>
    <row r="87" spans="1:19" x14ac:dyDescent="0.25">
      <c r="A87" s="5" t="s">
        <v>8</v>
      </c>
      <c r="B87" s="5" t="s">
        <v>165</v>
      </c>
      <c r="C87" s="5" t="s">
        <v>27</v>
      </c>
      <c r="D87" s="5" t="s">
        <v>385</v>
      </c>
      <c r="E87" s="5" t="s">
        <v>384</v>
      </c>
      <c r="F87" s="5" t="s">
        <v>30</v>
      </c>
      <c r="G87" s="5" t="s">
        <v>397</v>
      </c>
      <c r="H87" s="5" t="s">
        <v>36</v>
      </c>
      <c r="I87" s="5" t="s">
        <v>186</v>
      </c>
      <c r="J87" s="15">
        <v>1250</v>
      </c>
      <c r="K87" s="7">
        <v>34</v>
      </c>
      <c r="L87" s="7">
        <f t="shared" si="13"/>
        <v>36.764705882352942</v>
      </c>
      <c r="M87" s="5" t="s">
        <v>9</v>
      </c>
      <c r="N87" s="5">
        <v>4</v>
      </c>
      <c r="O87" s="6">
        <f t="shared" si="14"/>
        <v>1.0559715614186851</v>
      </c>
      <c r="P87" s="6">
        <f t="shared" si="15"/>
        <v>0.10982104238754326</v>
      </c>
      <c r="Q87" s="10">
        <f t="shared" si="16"/>
        <v>2.2879383830738177E-3</v>
      </c>
      <c r="R87" s="10">
        <f t="shared" si="17"/>
        <v>1.65628966155872E-2</v>
      </c>
      <c r="S87" s="10">
        <f t="shared" si="18"/>
        <v>1.8850834998661019E-2</v>
      </c>
    </row>
    <row r="88" spans="1:19" x14ac:dyDescent="0.25">
      <c r="A88" s="5" t="s">
        <v>8</v>
      </c>
      <c r="B88" s="5" t="s">
        <v>220</v>
      </c>
      <c r="C88" s="5" t="s">
        <v>27</v>
      </c>
      <c r="D88" s="5" t="s">
        <v>385</v>
      </c>
      <c r="E88" s="5" t="s">
        <v>384</v>
      </c>
      <c r="F88" s="5" t="s">
        <v>30</v>
      </c>
      <c r="G88" s="5" t="s">
        <v>397</v>
      </c>
      <c r="H88" s="5" t="s">
        <v>64</v>
      </c>
      <c r="I88" s="5" t="s">
        <v>221</v>
      </c>
      <c r="J88" s="15">
        <v>4675</v>
      </c>
      <c r="K88" s="7">
        <v>30</v>
      </c>
      <c r="L88" s="7">
        <f t="shared" si="13"/>
        <v>155.83333333333334</v>
      </c>
      <c r="M88" s="5" t="s">
        <v>9</v>
      </c>
      <c r="N88" s="5">
        <v>4</v>
      </c>
      <c r="O88" s="6">
        <f t="shared" si="14"/>
        <v>70.954893663194454</v>
      </c>
      <c r="P88" s="6">
        <f t="shared" si="15"/>
        <v>7.3793089409722228</v>
      </c>
      <c r="Q88" s="10">
        <f t="shared" si="16"/>
        <v>0.15373560293692132</v>
      </c>
      <c r="R88" s="10">
        <f t="shared" si="17"/>
        <v>0.38871731788170716</v>
      </c>
      <c r="S88" s="10">
        <f t="shared" si="18"/>
        <v>0.5424529208186285</v>
      </c>
    </row>
    <row r="89" spans="1:19" x14ac:dyDescent="0.25">
      <c r="A89" s="5" t="s">
        <v>8</v>
      </c>
      <c r="B89" s="5" t="s">
        <v>220</v>
      </c>
      <c r="C89" s="5" t="s">
        <v>27</v>
      </c>
      <c r="D89" s="5" t="s">
        <v>385</v>
      </c>
      <c r="E89" s="5" t="s">
        <v>384</v>
      </c>
      <c r="F89" s="5" t="s">
        <v>30</v>
      </c>
      <c r="G89" s="5" t="s">
        <v>397</v>
      </c>
      <c r="H89" s="5" t="s">
        <v>64</v>
      </c>
      <c r="I89" s="5" t="s">
        <v>222</v>
      </c>
      <c r="J89" s="15">
        <v>7318</v>
      </c>
      <c r="K89" s="7">
        <v>42</v>
      </c>
      <c r="L89" s="7">
        <f t="shared" si="13"/>
        <v>174.23809523809524</v>
      </c>
      <c r="M89" s="5" t="s">
        <v>9</v>
      </c>
      <c r="N89" s="5">
        <v>4</v>
      </c>
      <c r="O89" s="6">
        <f t="shared" si="14"/>
        <v>138.85408214002268</v>
      </c>
      <c r="P89" s="6">
        <f t="shared" si="15"/>
        <v>14.440824542562359</v>
      </c>
      <c r="Q89" s="10">
        <f t="shared" si="16"/>
        <v>0.30085051130338247</v>
      </c>
      <c r="R89" s="10">
        <f t="shared" si="17"/>
        <v>0.64315568574253767</v>
      </c>
      <c r="S89" s="10">
        <f t="shared" si="18"/>
        <v>0.94400619704592015</v>
      </c>
    </row>
    <row r="90" spans="1:19" x14ac:dyDescent="0.25">
      <c r="A90" s="5" t="s">
        <v>8</v>
      </c>
      <c r="B90" s="5" t="s">
        <v>220</v>
      </c>
      <c r="C90" s="5" t="s">
        <v>27</v>
      </c>
      <c r="D90" s="5" t="s">
        <v>385</v>
      </c>
      <c r="E90" s="5" t="s">
        <v>384</v>
      </c>
      <c r="F90" s="5" t="s">
        <v>30</v>
      </c>
      <c r="G90" s="5" t="s">
        <v>397</v>
      </c>
      <c r="H90" s="5" t="s">
        <v>64</v>
      </c>
      <c r="I90" s="5" t="s">
        <v>222</v>
      </c>
      <c r="J90" s="15">
        <v>7175</v>
      </c>
      <c r="K90" s="7">
        <v>38</v>
      </c>
      <c r="L90" s="7">
        <f t="shared" si="13"/>
        <v>188.81578947368422</v>
      </c>
      <c r="M90" s="5" t="s">
        <v>9</v>
      </c>
      <c r="N90" s="5">
        <v>4</v>
      </c>
      <c r="O90" s="6">
        <f t="shared" si="14"/>
        <v>159.87425743377773</v>
      </c>
      <c r="P90" s="6">
        <f t="shared" si="15"/>
        <v>16.626922773112884</v>
      </c>
      <c r="Q90" s="10">
        <f t="shared" si="16"/>
        <v>0.34639422443985174</v>
      </c>
      <c r="R90" s="10">
        <f t="shared" si="17"/>
        <v>0.71487651439725008</v>
      </c>
      <c r="S90" s="10">
        <f t="shared" si="18"/>
        <v>1.0612707388371019</v>
      </c>
    </row>
    <row r="91" spans="1:19" x14ac:dyDescent="0.25">
      <c r="A91" s="5" t="s">
        <v>8</v>
      </c>
      <c r="B91" s="5" t="s">
        <v>220</v>
      </c>
      <c r="C91" s="5" t="s">
        <v>27</v>
      </c>
      <c r="D91" s="5" t="s">
        <v>385</v>
      </c>
      <c r="E91" s="5" t="s">
        <v>384</v>
      </c>
      <c r="F91" s="5" t="s">
        <v>30</v>
      </c>
      <c r="G91" s="5" t="s">
        <v>397</v>
      </c>
      <c r="H91" s="5" t="s">
        <v>64</v>
      </c>
      <c r="I91" s="5" t="s">
        <v>223</v>
      </c>
      <c r="J91" s="15">
        <v>2448</v>
      </c>
      <c r="K91" s="7">
        <v>17</v>
      </c>
      <c r="L91" s="7">
        <f t="shared" si="13"/>
        <v>144</v>
      </c>
      <c r="M91" s="5" t="s">
        <v>9</v>
      </c>
      <c r="N91" s="5">
        <v>4</v>
      </c>
      <c r="O91" s="6">
        <f t="shared" si="14"/>
        <v>31.72608</v>
      </c>
      <c r="P91" s="6">
        <f t="shared" si="15"/>
        <v>3.2995123199999994</v>
      </c>
      <c r="Q91" s="10">
        <f t="shared" si="16"/>
        <v>6.8739839999999997E-2</v>
      </c>
      <c r="R91" s="10">
        <f t="shared" si="17"/>
        <v>0.21254918085556765</v>
      </c>
      <c r="S91" s="10">
        <f t="shared" si="18"/>
        <v>0.28128902085556762</v>
      </c>
    </row>
    <row r="92" spans="1:19" x14ac:dyDescent="0.25">
      <c r="A92" s="5" t="s">
        <v>22</v>
      </c>
      <c r="B92" s="5" t="s">
        <v>26</v>
      </c>
      <c r="C92" s="5" t="s">
        <v>27</v>
      </c>
      <c r="D92" s="5" t="s">
        <v>385</v>
      </c>
      <c r="E92" s="5" t="s">
        <v>384</v>
      </c>
      <c r="F92" s="5" t="s">
        <v>30</v>
      </c>
      <c r="G92" s="5" t="s">
        <v>392</v>
      </c>
      <c r="H92" s="5" t="s">
        <v>31</v>
      </c>
      <c r="I92" s="5" t="s">
        <v>33</v>
      </c>
      <c r="J92" s="15">
        <v>1250</v>
      </c>
      <c r="K92" s="7">
        <v>25</v>
      </c>
      <c r="L92" s="7">
        <f t="shared" si="13"/>
        <v>50</v>
      </c>
      <c r="M92" s="5" t="s">
        <v>9</v>
      </c>
      <c r="N92" s="5">
        <v>4</v>
      </c>
      <c r="O92" s="6">
        <f t="shared" si="14"/>
        <v>1.953125</v>
      </c>
      <c r="P92" s="6">
        <f t="shared" si="15"/>
        <v>0.203125</v>
      </c>
      <c r="Q92" s="10">
        <f t="shared" si="16"/>
        <v>4.231770833333333E-3</v>
      </c>
      <c r="R92" s="10">
        <f t="shared" si="17"/>
        <v>2.6269067326101514E-2</v>
      </c>
      <c r="S92" s="10">
        <f t="shared" si="18"/>
        <v>3.0500838159434846E-2</v>
      </c>
    </row>
    <row r="93" spans="1:19" x14ac:dyDescent="0.25">
      <c r="A93" s="5" t="s">
        <v>22</v>
      </c>
      <c r="B93" s="5" t="s">
        <v>63</v>
      </c>
      <c r="C93" s="5" t="s">
        <v>27</v>
      </c>
      <c r="D93" s="5" t="s">
        <v>385</v>
      </c>
      <c r="E93" s="5" t="s">
        <v>384</v>
      </c>
      <c r="F93" s="5" t="s">
        <v>30</v>
      </c>
      <c r="G93" s="5" t="s">
        <v>392</v>
      </c>
      <c r="H93" s="5" t="s">
        <v>31</v>
      </c>
      <c r="I93" s="5" t="s">
        <v>33</v>
      </c>
      <c r="J93" s="15">
        <v>1050</v>
      </c>
      <c r="K93" s="7">
        <v>24.5</v>
      </c>
      <c r="L93" s="7">
        <f t="shared" si="13"/>
        <v>42.857142857142854</v>
      </c>
      <c r="M93" s="5" t="s">
        <v>9</v>
      </c>
      <c r="N93" s="5">
        <v>4</v>
      </c>
      <c r="O93" s="6">
        <f t="shared" si="14"/>
        <v>1.2053571428571428</v>
      </c>
      <c r="P93" s="6">
        <f t="shared" si="15"/>
        <v>0.12535714285714283</v>
      </c>
      <c r="Q93" s="10">
        <f t="shared" si="16"/>
        <v>2.6116071428571425E-3</v>
      </c>
      <c r="R93" s="10">
        <f t="shared" si="17"/>
        <v>1.8290851916478671E-2</v>
      </c>
      <c r="S93" s="10">
        <f t="shared" si="18"/>
        <v>2.0902459059335812E-2</v>
      </c>
    </row>
    <row r="94" spans="1:19" x14ac:dyDescent="0.25">
      <c r="A94" s="5" t="s">
        <v>8</v>
      </c>
      <c r="B94" s="5" t="s">
        <v>287</v>
      </c>
      <c r="C94" s="5" t="s">
        <v>27</v>
      </c>
      <c r="D94" s="5" t="s">
        <v>385</v>
      </c>
      <c r="E94" s="5" t="s">
        <v>384</v>
      </c>
      <c r="F94" s="5" t="s">
        <v>30</v>
      </c>
      <c r="G94" s="5" t="s">
        <v>392</v>
      </c>
      <c r="H94" s="5" t="s">
        <v>31</v>
      </c>
      <c r="I94" s="5" t="s">
        <v>33</v>
      </c>
      <c r="J94" s="15">
        <v>1000</v>
      </c>
      <c r="K94" s="7">
        <v>26.5</v>
      </c>
      <c r="L94" s="7">
        <f t="shared" si="13"/>
        <v>37.735849056603776</v>
      </c>
      <c r="M94" s="5" t="s">
        <v>9</v>
      </c>
      <c r="N94" s="5">
        <v>4</v>
      </c>
      <c r="O94" s="6">
        <f t="shared" si="14"/>
        <v>0.88999644001424005</v>
      </c>
      <c r="P94" s="6">
        <f t="shared" si="15"/>
        <v>9.2559629761480952E-2</v>
      </c>
      <c r="Q94" s="10">
        <f t="shared" si="16"/>
        <v>1.9283256200308535E-3</v>
      </c>
      <c r="R94" s="10">
        <f t="shared" si="17"/>
        <v>1.4569287935358966E-2</v>
      </c>
      <c r="S94" s="10">
        <f t="shared" si="18"/>
        <v>1.6497613555389819E-2</v>
      </c>
    </row>
    <row r="95" spans="1:19" x14ac:dyDescent="0.25">
      <c r="A95" s="5" t="s">
        <v>22</v>
      </c>
      <c r="B95" s="5" t="s">
        <v>63</v>
      </c>
      <c r="C95" s="5" t="s">
        <v>27</v>
      </c>
      <c r="D95" s="5" t="s">
        <v>385</v>
      </c>
      <c r="E95" s="5" t="s">
        <v>384</v>
      </c>
      <c r="F95" s="5" t="s">
        <v>30</v>
      </c>
      <c r="G95" s="5" t="s">
        <v>392</v>
      </c>
      <c r="H95" s="5" t="s">
        <v>31</v>
      </c>
      <c r="I95" s="5" t="s">
        <v>141</v>
      </c>
      <c r="J95" s="15">
        <v>3070</v>
      </c>
      <c r="K95" s="7">
        <v>32.5</v>
      </c>
      <c r="L95" s="7">
        <f t="shared" si="13"/>
        <v>94.461538461538467</v>
      </c>
      <c r="M95" s="5" t="s">
        <v>9</v>
      </c>
      <c r="N95" s="5">
        <v>4</v>
      </c>
      <c r="O95" s="6">
        <f t="shared" si="14"/>
        <v>17.120972189349114</v>
      </c>
      <c r="P95" s="6">
        <f t="shared" si="15"/>
        <v>1.7805811076923079</v>
      </c>
      <c r="Q95" s="10">
        <f t="shared" si="16"/>
        <v>3.7095439743589746E-2</v>
      </c>
      <c r="R95" s="10">
        <f t="shared" si="17"/>
        <v>0.13382690699889258</v>
      </c>
      <c r="S95" s="10">
        <f t="shared" si="18"/>
        <v>0.17092234674248233</v>
      </c>
    </row>
    <row r="96" spans="1:19" x14ac:dyDescent="0.25">
      <c r="A96" s="5" t="s">
        <v>8</v>
      </c>
      <c r="B96" s="5" t="s">
        <v>370</v>
      </c>
      <c r="C96" s="5" t="s">
        <v>27</v>
      </c>
      <c r="D96" s="5" t="s">
        <v>385</v>
      </c>
      <c r="E96" s="5" t="s">
        <v>384</v>
      </c>
      <c r="F96" s="5" t="s">
        <v>30</v>
      </c>
      <c r="G96" s="5" t="s">
        <v>392</v>
      </c>
      <c r="H96" s="5" t="s">
        <v>34</v>
      </c>
      <c r="I96" s="5" t="s">
        <v>371</v>
      </c>
      <c r="J96" s="15">
        <v>799</v>
      </c>
      <c r="K96" s="7">
        <v>21.8</v>
      </c>
      <c r="L96" s="7">
        <f t="shared" si="13"/>
        <v>36.651376146788991</v>
      </c>
      <c r="M96" s="5" t="s">
        <v>9</v>
      </c>
      <c r="N96" s="5">
        <v>4</v>
      </c>
      <c r="O96" s="6">
        <f t="shared" si="14"/>
        <v>0.67082210961829813</v>
      </c>
      <c r="P96" s="6">
        <f t="shared" si="15"/>
        <v>6.9765499400302994E-2</v>
      </c>
      <c r="Q96" s="10">
        <f t="shared" si="16"/>
        <v>1.4534479041729794E-3</v>
      </c>
      <c r="R96" s="10">
        <f t="shared" si="17"/>
        <v>1.1785625867435959E-2</v>
      </c>
      <c r="S96" s="10">
        <f t="shared" si="18"/>
        <v>1.3239073771608939E-2</v>
      </c>
    </row>
    <row r="97" spans="1:19" x14ac:dyDescent="0.25">
      <c r="A97" s="5" t="s">
        <v>8</v>
      </c>
      <c r="B97" s="5" t="s">
        <v>370</v>
      </c>
      <c r="C97" s="5" t="s">
        <v>27</v>
      </c>
      <c r="D97" s="5" t="s">
        <v>385</v>
      </c>
      <c r="E97" s="5" t="s">
        <v>384</v>
      </c>
      <c r="F97" s="5" t="s">
        <v>30</v>
      </c>
      <c r="G97" s="5" t="s">
        <v>392</v>
      </c>
      <c r="H97" s="5" t="s">
        <v>34</v>
      </c>
      <c r="I97" s="5" t="s">
        <v>371</v>
      </c>
      <c r="J97" s="15">
        <v>695</v>
      </c>
      <c r="K97" s="7">
        <v>19.5</v>
      </c>
      <c r="L97" s="7">
        <f t="shared" si="13"/>
        <v>35.641025641025642</v>
      </c>
      <c r="M97" s="5" t="s">
        <v>9</v>
      </c>
      <c r="N97" s="5">
        <v>4</v>
      </c>
      <c r="O97" s="6">
        <f t="shared" si="14"/>
        <v>0.55177905161078245</v>
      </c>
      <c r="P97" s="6">
        <f t="shared" si="15"/>
        <v>5.7385021367521369E-2</v>
      </c>
      <c r="Q97" s="10">
        <f t="shared" si="16"/>
        <v>1.1955212784900285E-3</v>
      </c>
      <c r="R97" s="10">
        <f t="shared" si="17"/>
        <v>1.0179373052067059E-2</v>
      </c>
      <c r="S97" s="10">
        <f t="shared" si="18"/>
        <v>1.1374894330557089E-2</v>
      </c>
    </row>
    <row r="98" spans="1:19" x14ac:dyDescent="0.25">
      <c r="A98" s="5" t="s">
        <v>8</v>
      </c>
      <c r="B98" s="5" t="s">
        <v>270</v>
      </c>
      <c r="C98" s="5" t="s">
        <v>27</v>
      </c>
      <c r="D98" s="5" t="s">
        <v>385</v>
      </c>
      <c r="E98" s="5" t="s">
        <v>384</v>
      </c>
      <c r="F98" s="5" t="s">
        <v>30</v>
      </c>
      <c r="G98" s="5" t="s">
        <v>392</v>
      </c>
      <c r="H98" s="5" t="s">
        <v>34</v>
      </c>
      <c r="I98" s="5" t="s">
        <v>274</v>
      </c>
      <c r="J98" s="15">
        <v>3450</v>
      </c>
      <c r="K98" s="7">
        <v>45</v>
      </c>
      <c r="L98" s="7">
        <f t="shared" si="13"/>
        <v>76.666666666666671</v>
      </c>
      <c r="M98" s="5" t="s">
        <v>9</v>
      </c>
      <c r="N98" s="5">
        <v>4</v>
      </c>
      <c r="O98" s="6">
        <f t="shared" si="14"/>
        <v>12.673958333333335</v>
      </c>
      <c r="P98" s="6">
        <f t="shared" si="15"/>
        <v>1.3180916666666669</v>
      </c>
      <c r="Q98" s="10">
        <f t="shared" si="16"/>
        <v>2.7460243055555559E-2</v>
      </c>
      <c r="R98" s="10">
        <f t="shared" si="17"/>
        <v>0.10680247834350282</v>
      </c>
      <c r="S98" s="10">
        <f t="shared" si="18"/>
        <v>0.13426272139905837</v>
      </c>
    </row>
    <row r="99" spans="1:19" x14ac:dyDescent="0.25">
      <c r="A99" s="5" t="s">
        <v>8</v>
      </c>
      <c r="B99" s="5" t="s">
        <v>270</v>
      </c>
      <c r="C99" s="5" t="s">
        <v>27</v>
      </c>
      <c r="D99" s="5" t="s">
        <v>385</v>
      </c>
      <c r="E99" s="5" t="s">
        <v>384</v>
      </c>
      <c r="F99" s="5" t="s">
        <v>30</v>
      </c>
      <c r="G99" s="5" t="s">
        <v>392</v>
      </c>
      <c r="H99" s="5" t="s">
        <v>34</v>
      </c>
      <c r="I99" s="5" t="s">
        <v>271</v>
      </c>
      <c r="J99" s="15">
        <v>3400</v>
      </c>
      <c r="K99" s="7">
        <v>38</v>
      </c>
      <c r="L99" s="7">
        <f t="shared" si="13"/>
        <v>89.473684210526315</v>
      </c>
      <c r="M99" s="5" t="s">
        <v>9</v>
      </c>
      <c r="N99" s="5">
        <v>4</v>
      </c>
      <c r="O99" s="6">
        <f t="shared" si="14"/>
        <v>17.011772853185594</v>
      </c>
      <c r="P99" s="6">
        <f t="shared" si="15"/>
        <v>1.7692243767313018</v>
      </c>
      <c r="Q99" s="10">
        <f t="shared" si="16"/>
        <v>3.6858841181902115E-2</v>
      </c>
      <c r="R99" s="10">
        <f t="shared" si="17"/>
        <v>0.13318622383409978</v>
      </c>
      <c r="S99" s="10">
        <f t="shared" si="18"/>
        <v>0.17004506501600189</v>
      </c>
    </row>
    <row r="100" spans="1:19" x14ac:dyDescent="0.25">
      <c r="A100" s="5" t="s">
        <v>8</v>
      </c>
      <c r="B100" s="5" t="s">
        <v>270</v>
      </c>
      <c r="C100" s="5" t="s">
        <v>27</v>
      </c>
      <c r="D100" s="5" t="s">
        <v>385</v>
      </c>
      <c r="E100" s="5" t="s">
        <v>384</v>
      </c>
      <c r="F100" s="5" t="s">
        <v>30</v>
      </c>
      <c r="G100" s="5" t="s">
        <v>392</v>
      </c>
      <c r="H100" s="5" t="s">
        <v>34</v>
      </c>
      <c r="I100" s="5" t="s">
        <v>276</v>
      </c>
      <c r="J100" s="15">
        <v>1900</v>
      </c>
      <c r="K100" s="7">
        <v>29.8</v>
      </c>
      <c r="L100" s="7">
        <f t="shared" ref="L100:L131" si="19">J100/K100</f>
        <v>63.758389261744966</v>
      </c>
      <c r="M100" s="5" t="s">
        <v>9</v>
      </c>
      <c r="N100" s="5">
        <v>4</v>
      </c>
      <c r="O100" s="6">
        <f t="shared" ref="O100:O131" si="20">(J100*L100^2)/(1.6*10^6)</f>
        <v>4.8273444889869825</v>
      </c>
      <c r="P100" s="6">
        <f t="shared" ref="P100:P131" si="21">(0.104*J100*L100^2)/(1.6*10^6)</f>
        <v>0.50204382685464621</v>
      </c>
      <c r="Q100" s="10">
        <f t="shared" ref="Q100:Q131" si="22">(0.104*O100)/(12*N100)</f>
        <v>1.0459246392805129E-2</v>
      </c>
      <c r="R100" s="10">
        <f t="shared" ref="R100:R131" si="23">0.0159*O100^0.75</f>
        <v>5.1781943123725895E-2</v>
      </c>
      <c r="S100" s="10">
        <f t="shared" ref="S100:S131" si="24">Q100+R100</f>
        <v>6.2241189516531022E-2</v>
      </c>
    </row>
    <row r="101" spans="1:19" x14ac:dyDescent="0.25">
      <c r="A101" s="5" t="s">
        <v>8</v>
      </c>
      <c r="B101" s="5" t="s">
        <v>270</v>
      </c>
      <c r="C101" s="5" t="s">
        <v>27</v>
      </c>
      <c r="D101" s="5" t="s">
        <v>385</v>
      </c>
      <c r="E101" s="5" t="s">
        <v>384</v>
      </c>
      <c r="F101" s="5" t="s">
        <v>30</v>
      </c>
      <c r="G101" s="5" t="s">
        <v>392</v>
      </c>
      <c r="H101" s="5" t="s">
        <v>34</v>
      </c>
      <c r="I101" s="5" t="s">
        <v>275</v>
      </c>
      <c r="J101" s="15">
        <v>2390</v>
      </c>
      <c r="K101" s="7">
        <v>31.7</v>
      </c>
      <c r="L101" s="7">
        <f t="shared" si="19"/>
        <v>75.394321766561518</v>
      </c>
      <c r="M101" s="5" t="s">
        <v>9</v>
      </c>
      <c r="N101" s="5">
        <v>4</v>
      </c>
      <c r="O101" s="6">
        <f t="shared" si="20"/>
        <v>8.4909287334932184</v>
      </c>
      <c r="P101" s="6">
        <f t="shared" si="21"/>
        <v>0.88305658828329481</v>
      </c>
      <c r="Q101" s="10">
        <f t="shared" si="22"/>
        <v>1.8397012255901974E-2</v>
      </c>
      <c r="R101" s="10">
        <f t="shared" si="23"/>
        <v>7.9088533214020734E-2</v>
      </c>
      <c r="S101" s="10">
        <f t="shared" si="24"/>
        <v>9.7485545469922705E-2</v>
      </c>
    </row>
    <row r="102" spans="1:19" x14ac:dyDescent="0.25">
      <c r="A102" s="5" t="s">
        <v>8</v>
      </c>
      <c r="B102" s="5" t="s">
        <v>270</v>
      </c>
      <c r="C102" s="5" t="s">
        <v>27</v>
      </c>
      <c r="D102" s="5" t="s">
        <v>385</v>
      </c>
      <c r="E102" s="5" t="s">
        <v>384</v>
      </c>
      <c r="F102" s="5" t="s">
        <v>30</v>
      </c>
      <c r="G102" s="5" t="s">
        <v>392</v>
      </c>
      <c r="H102" s="5" t="s">
        <v>34</v>
      </c>
      <c r="I102" s="5" t="s">
        <v>272</v>
      </c>
      <c r="J102" s="15">
        <v>3180</v>
      </c>
      <c r="K102" s="7">
        <v>35</v>
      </c>
      <c r="L102" s="7">
        <f t="shared" si="19"/>
        <v>90.857142857142861</v>
      </c>
      <c r="M102" s="5" t="s">
        <v>9</v>
      </c>
      <c r="N102" s="5">
        <v>4</v>
      </c>
      <c r="O102" s="6">
        <f t="shared" si="20"/>
        <v>16.406853061224488</v>
      </c>
      <c r="P102" s="6">
        <f t="shared" si="21"/>
        <v>1.706312718367347</v>
      </c>
      <c r="Q102" s="10">
        <f t="shared" si="22"/>
        <v>3.554818163265306E-2</v>
      </c>
      <c r="R102" s="10">
        <f t="shared" si="23"/>
        <v>0.12961823122752753</v>
      </c>
      <c r="S102" s="10">
        <f t="shared" si="24"/>
        <v>0.16516641286018058</v>
      </c>
    </row>
    <row r="103" spans="1:19" x14ac:dyDescent="0.25">
      <c r="A103" s="5" t="s">
        <v>8</v>
      </c>
      <c r="B103" s="5" t="s">
        <v>270</v>
      </c>
      <c r="C103" s="5" t="s">
        <v>27</v>
      </c>
      <c r="D103" s="5" t="s">
        <v>385</v>
      </c>
      <c r="E103" s="5" t="s">
        <v>384</v>
      </c>
      <c r="F103" s="5" t="s">
        <v>30</v>
      </c>
      <c r="G103" s="5" t="s">
        <v>392</v>
      </c>
      <c r="H103" s="5" t="s">
        <v>34</v>
      </c>
      <c r="I103" s="5" t="s">
        <v>272</v>
      </c>
      <c r="J103" s="15">
        <v>3510</v>
      </c>
      <c r="K103" s="7">
        <v>38.200000000000003</v>
      </c>
      <c r="L103" s="7">
        <f t="shared" si="19"/>
        <v>91.8848167539267</v>
      </c>
      <c r="M103" s="5" t="s">
        <v>9</v>
      </c>
      <c r="N103" s="5">
        <v>4</v>
      </c>
      <c r="O103" s="6">
        <f t="shared" si="20"/>
        <v>18.52143538759902</v>
      </c>
      <c r="P103" s="6">
        <f t="shared" si="21"/>
        <v>1.9262292803102978</v>
      </c>
      <c r="Q103" s="10">
        <f t="shared" si="22"/>
        <v>4.0129776673131209E-2</v>
      </c>
      <c r="R103" s="10">
        <f t="shared" si="23"/>
        <v>0.14195578806050616</v>
      </c>
      <c r="S103" s="10">
        <f t="shared" si="24"/>
        <v>0.18208556473363735</v>
      </c>
    </row>
    <row r="104" spans="1:19" x14ac:dyDescent="0.25">
      <c r="A104" s="5" t="s">
        <v>8</v>
      </c>
      <c r="B104" s="5" t="s">
        <v>357</v>
      </c>
      <c r="C104" s="5" t="s">
        <v>27</v>
      </c>
      <c r="D104" s="5" t="s">
        <v>385</v>
      </c>
      <c r="E104" s="5" t="s">
        <v>384</v>
      </c>
      <c r="F104" s="5" t="s">
        <v>30</v>
      </c>
      <c r="G104" s="5" t="s">
        <v>392</v>
      </c>
      <c r="H104" s="5" t="s">
        <v>34</v>
      </c>
      <c r="I104" s="5" t="s">
        <v>318</v>
      </c>
      <c r="J104" s="15">
        <v>1800</v>
      </c>
      <c r="K104" s="7">
        <v>32</v>
      </c>
      <c r="L104" s="7">
        <f t="shared" si="19"/>
        <v>56.25</v>
      </c>
      <c r="M104" s="5" t="s">
        <v>9</v>
      </c>
      <c r="N104" s="5">
        <v>4</v>
      </c>
      <c r="O104" s="6">
        <f t="shared" si="20"/>
        <v>3.5595703125</v>
      </c>
      <c r="P104" s="6">
        <f t="shared" si="21"/>
        <v>0.37019531249999998</v>
      </c>
      <c r="Q104" s="10">
        <f t="shared" si="22"/>
        <v>7.71240234375E-3</v>
      </c>
      <c r="R104" s="10">
        <f t="shared" si="23"/>
        <v>4.1204562411128992E-2</v>
      </c>
      <c r="S104" s="10">
        <f t="shared" si="24"/>
        <v>4.8916964754878993E-2</v>
      </c>
    </row>
    <row r="105" spans="1:19" x14ac:dyDescent="0.25">
      <c r="A105" s="5" t="s">
        <v>22</v>
      </c>
      <c r="B105" s="5" t="s">
        <v>26</v>
      </c>
      <c r="C105" s="5" t="s">
        <v>27</v>
      </c>
      <c r="D105" s="5" t="s">
        <v>385</v>
      </c>
      <c r="E105" s="5" t="s">
        <v>384</v>
      </c>
      <c r="F105" s="5" t="s">
        <v>30</v>
      </c>
      <c r="G105" s="5" t="s">
        <v>392</v>
      </c>
      <c r="H105" s="5" t="s">
        <v>34</v>
      </c>
      <c r="I105" s="5" t="s">
        <v>35</v>
      </c>
      <c r="J105" s="15">
        <v>2500</v>
      </c>
      <c r="K105" s="7">
        <v>29.5</v>
      </c>
      <c r="L105" s="7">
        <f t="shared" si="19"/>
        <v>84.745762711864401</v>
      </c>
      <c r="M105" s="5" t="s">
        <v>9</v>
      </c>
      <c r="N105" s="5">
        <v>4</v>
      </c>
      <c r="O105" s="6">
        <f t="shared" si="20"/>
        <v>11.221631715024417</v>
      </c>
      <c r="P105" s="6">
        <f t="shared" si="21"/>
        <v>1.1670496983625394</v>
      </c>
      <c r="Q105" s="10">
        <f t="shared" si="22"/>
        <v>2.4313535382552903E-2</v>
      </c>
      <c r="R105" s="10">
        <f t="shared" si="23"/>
        <v>9.7485300079983322E-2</v>
      </c>
      <c r="S105" s="10">
        <f t="shared" si="24"/>
        <v>0.12179883546253623</v>
      </c>
    </row>
    <row r="106" spans="1:19" x14ac:dyDescent="0.25">
      <c r="A106" s="5" t="s">
        <v>8</v>
      </c>
      <c r="B106" s="5" t="s">
        <v>366</v>
      </c>
      <c r="C106" s="5" t="s">
        <v>27</v>
      </c>
      <c r="D106" s="5" t="s">
        <v>385</v>
      </c>
      <c r="E106" s="5" t="s">
        <v>384</v>
      </c>
      <c r="F106" s="5" t="s">
        <v>30</v>
      </c>
      <c r="G106" s="5" t="s">
        <v>392</v>
      </c>
      <c r="H106" s="5" t="s">
        <v>232</v>
      </c>
      <c r="I106" s="5" t="s">
        <v>367</v>
      </c>
      <c r="J106" s="15">
        <v>2530</v>
      </c>
      <c r="K106" s="7">
        <v>31.5</v>
      </c>
      <c r="L106" s="7">
        <f t="shared" si="19"/>
        <v>80.317460317460316</v>
      </c>
      <c r="M106" s="5" t="s">
        <v>9</v>
      </c>
      <c r="N106" s="5">
        <v>4</v>
      </c>
      <c r="O106" s="6">
        <f t="shared" si="20"/>
        <v>10.200476820357773</v>
      </c>
      <c r="P106" s="6">
        <f t="shared" si="21"/>
        <v>1.0608495893172085</v>
      </c>
      <c r="Q106" s="10">
        <f t="shared" si="22"/>
        <v>2.2101033110775173E-2</v>
      </c>
      <c r="R106" s="10">
        <f t="shared" si="23"/>
        <v>9.07533111467419E-2</v>
      </c>
      <c r="S106" s="10">
        <f t="shared" si="24"/>
        <v>0.11285434425751707</v>
      </c>
    </row>
    <row r="107" spans="1:19" x14ac:dyDescent="0.25">
      <c r="A107" s="5" t="s">
        <v>8</v>
      </c>
      <c r="B107" s="5" t="s">
        <v>346</v>
      </c>
      <c r="C107" s="5" t="s">
        <v>27</v>
      </c>
      <c r="D107" s="5" t="s">
        <v>385</v>
      </c>
      <c r="E107" s="5" t="s">
        <v>384</v>
      </c>
      <c r="F107" s="5" t="s">
        <v>30</v>
      </c>
      <c r="G107" s="5" t="s">
        <v>392</v>
      </c>
      <c r="H107" s="5" t="s">
        <v>232</v>
      </c>
      <c r="I107" s="5" t="s">
        <v>345</v>
      </c>
      <c r="J107" s="15">
        <v>3230</v>
      </c>
      <c r="K107" s="7">
        <v>33</v>
      </c>
      <c r="L107" s="7">
        <f t="shared" si="19"/>
        <v>97.878787878787875</v>
      </c>
      <c r="M107" s="5" t="s">
        <v>9</v>
      </c>
      <c r="N107" s="5">
        <v>4</v>
      </c>
      <c r="O107" s="6">
        <f t="shared" si="20"/>
        <v>19.340144054178143</v>
      </c>
      <c r="P107" s="6">
        <f t="shared" si="21"/>
        <v>2.0113749816345265</v>
      </c>
      <c r="Q107" s="10">
        <f t="shared" si="22"/>
        <v>4.1903645450719312E-2</v>
      </c>
      <c r="R107" s="10">
        <f t="shared" si="23"/>
        <v>0.14663643809535123</v>
      </c>
      <c r="S107" s="10">
        <f t="shared" si="24"/>
        <v>0.18854008354607055</v>
      </c>
    </row>
    <row r="108" spans="1:19" x14ac:dyDescent="0.25">
      <c r="A108" s="5" t="s">
        <v>8</v>
      </c>
      <c r="B108" s="5" t="s">
        <v>346</v>
      </c>
      <c r="C108" s="5" t="s">
        <v>27</v>
      </c>
      <c r="D108" s="5" t="s">
        <v>385</v>
      </c>
      <c r="E108" s="5" t="s">
        <v>384</v>
      </c>
      <c r="F108" s="5" t="s">
        <v>30</v>
      </c>
      <c r="G108" s="5" t="s">
        <v>392</v>
      </c>
      <c r="H108" s="5" t="s">
        <v>232</v>
      </c>
      <c r="I108" s="5" t="s">
        <v>345</v>
      </c>
      <c r="J108" s="15">
        <v>2950</v>
      </c>
      <c r="K108" s="7">
        <v>27.5</v>
      </c>
      <c r="L108" s="7">
        <f t="shared" si="19"/>
        <v>107.27272727272727</v>
      </c>
      <c r="M108" s="5" t="s">
        <v>9</v>
      </c>
      <c r="N108" s="5">
        <v>4</v>
      </c>
      <c r="O108" s="6">
        <f t="shared" si="20"/>
        <v>21.216838842975204</v>
      </c>
      <c r="P108" s="6">
        <f t="shared" si="21"/>
        <v>2.2065512396694213</v>
      </c>
      <c r="Q108" s="10">
        <f t="shared" si="22"/>
        <v>4.5969817493112936E-2</v>
      </c>
      <c r="R108" s="10">
        <f t="shared" si="23"/>
        <v>0.15718374523111669</v>
      </c>
      <c r="S108" s="10">
        <f t="shared" si="24"/>
        <v>0.20315356272422963</v>
      </c>
    </row>
    <row r="109" spans="1:19" x14ac:dyDescent="0.25">
      <c r="A109" s="5" t="s">
        <v>8</v>
      </c>
      <c r="B109" s="5" t="s">
        <v>344</v>
      </c>
      <c r="C109" s="5" t="s">
        <v>27</v>
      </c>
      <c r="D109" s="5" t="s">
        <v>385</v>
      </c>
      <c r="E109" s="5" t="s">
        <v>384</v>
      </c>
      <c r="F109" s="5" t="s">
        <v>30</v>
      </c>
      <c r="G109" s="5" t="s">
        <v>392</v>
      </c>
      <c r="H109" s="5" t="s">
        <v>232</v>
      </c>
      <c r="I109" s="5" t="s">
        <v>345</v>
      </c>
      <c r="J109" s="15">
        <v>3320</v>
      </c>
      <c r="K109" s="7">
        <v>30.8</v>
      </c>
      <c r="L109" s="7">
        <f t="shared" si="19"/>
        <v>107.79220779220779</v>
      </c>
      <c r="M109" s="5" t="s">
        <v>9</v>
      </c>
      <c r="N109" s="5">
        <v>4</v>
      </c>
      <c r="O109" s="6">
        <f t="shared" si="20"/>
        <v>24.109757125990889</v>
      </c>
      <c r="P109" s="6">
        <f t="shared" si="21"/>
        <v>2.5074147411030521</v>
      </c>
      <c r="Q109" s="10">
        <f t="shared" si="22"/>
        <v>5.2237807106313594E-2</v>
      </c>
      <c r="R109" s="10">
        <f t="shared" si="23"/>
        <v>0.17299826631519027</v>
      </c>
      <c r="S109" s="10">
        <f t="shared" si="24"/>
        <v>0.22523607342150387</v>
      </c>
    </row>
    <row r="110" spans="1:19" x14ac:dyDescent="0.25">
      <c r="A110" s="5" t="s">
        <v>8</v>
      </c>
      <c r="B110" s="5" t="s">
        <v>231</v>
      </c>
      <c r="C110" s="5" t="s">
        <v>27</v>
      </c>
      <c r="D110" s="5" t="s">
        <v>385</v>
      </c>
      <c r="E110" s="5" t="s">
        <v>384</v>
      </c>
      <c r="F110" s="5" t="s">
        <v>30</v>
      </c>
      <c r="G110" s="5" t="s">
        <v>392</v>
      </c>
      <c r="H110" s="5" t="s">
        <v>232</v>
      </c>
      <c r="I110" s="5" t="s">
        <v>67</v>
      </c>
      <c r="J110" s="15">
        <v>2290</v>
      </c>
      <c r="K110" s="7">
        <v>29</v>
      </c>
      <c r="L110" s="7">
        <f t="shared" si="19"/>
        <v>78.965517241379317</v>
      </c>
      <c r="M110" s="5" t="s">
        <v>9</v>
      </c>
      <c r="N110" s="5">
        <v>4</v>
      </c>
      <c r="O110" s="6">
        <f t="shared" si="20"/>
        <v>8.9246351070154581</v>
      </c>
      <c r="P110" s="6">
        <f t="shared" si="21"/>
        <v>0.9281620511296077</v>
      </c>
      <c r="Q110" s="10">
        <f t="shared" si="22"/>
        <v>1.9336709398533491E-2</v>
      </c>
      <c r="R110" s="10">
        <f t="shared" si="23"/>
        <v>8.2099398588030822E-2</v>
      </c>
      <c r="S110" s="10">
        <f t="shared" si="24"/>
        <v>0.10143610798656431</v>
      </c>
    </row>
    <row r="111" spans="1:19" x14ac:dyDescent="0.25">
      <c r="A111" s="5" t="s">
        <v>8</v>
      </c>
      <c r="B111" s="5" t="s">
        <v>366</v>
      </c>
      <c r="C111" s="5" t="s">
        <v>27</v>
      </c>
      <c r="D111" s="5" t="s">
        <v>385</v>
      </c>
      <c r="E111" s="5" t="s">
        <v>384</v>
      </c>
      <c r="F111" s="5" t="s">
        <v>30</v>
      </c>
      <c r="G111" s="5" t="s">
        <v>392</v>
      </c>
      <c r="H111" s="5" t="s">
        <v>232</v>
      </c>
      <c r="I111" s="5" t="s">
        <v>368</v>
      </c>
      <c r="J111" s="15">
        <v>2450</v>
      </c>
      <c r="K111" s="7">
        <v>30.5</v>
      </c>
      <c r="L111" s="7">
        <f t="shared" si="19"/>
        <v>80.327868852459019</v>
      </c>
      <c r="M111" s="5" t="s">
        <v>9</v>
      </c>
      <c r="N111" s="5">
        <v>4</v>
      </c>
      <c r="O111" s="6">
        <f t="shared" si="20"/>
        <v>9.880492475141093</v>
      </c>
      <c r="P111" s="6">
        <f t="shared" si="21"/>
        <v>1.0275712174146734</v>
      </c>
      <c r="Q111" s="10">
        <f t="shared" si="22"/>
        <v>2.1407733696139034E-2</v>
      </c>
      <c r="R111" s="10">
        <f t="shared" si="23"/>
        <v>8.8609659587763734E-2</v>
      </c>
      <c r="S111" s="10">
        <f t="shared" si="24"/>
        <v>0.11001739328390277</v>
      </c>
    </row>
    <row r="112" spans="1:19" x14ac:dyDescent="0.25">
      <c r="A112" s="5" t="s">
        <v>8</v>
      </c>
      <c r="B112" s="5" t="s">
        <v>366</v>
      </c>
      <c r="C112" s="5" t="s">
        <v>27</v>
      </c>
      <c r="D112" s="5" t="s">
        <v>385</v>
      </c>
      <c r="E112" s="5" t="s">
        <v>384</v>
      </c>
      <c r="F112" s="5" t="s">
        <v>30</v>
      </c>
      <c r="G112" s="5" t="s">
        <v>392</v>
      </c>
      <c r="H112" s="5" t="s">
        <v>232</v>
      </c>
      <c r="I112" s="5" t="s">
        <v>368</v>
      </c>
      <c r="J112" s="15">
        <v>2753</v>
      </c>
      <c r="K112" s="7">
        <v>32.799999999999997</v>
      </c>
      <c r="L112" s="7">
        <f t="shared" si="19"/>
        <v>83.932926829268297</v>
      </c>
      <c r="M112" s="5" t="s">
        <v>9</v>
      </c>
      <c r="N112" s="5">
        <v>4</v>
      </c>
      <c r="O112" s="6">
        <f t="shared" si="20"/>
        <v>12.121349234667795</v>
      </c>
      <c r="P112" s="6">
        <f t="shared" si="21"/>
        <v>1.2606203204054509</v>
      </c>
      <c r="Q112" s="10">
        <f t="shared" si="22"/>
        <v>2.6262923341780223E-2</v>
      </c>
      <c r="R112" s="10">
        <f t="shared" si="23"/>
        <v>0.10329049231083934</v>
      </c>
      <c r="S112" s="10">
        <f t="shared" si="24"/>
        <v>0.12955341565261957</v>
      </c>
    </row>
    <row r="113" spans="1:19" x14ac:dyDescent="0.25">
      <c r="A113" s="5" t="s">
        <v>8</v>
      </c>
      <c r="B113" s="5" t="s">
        <v>366</v>
      </c>
      <c r="C113" s="5" t="s">
        <v>27</v>
      </c>
      <c r="D113" s="5" t="s">
        <v>385</v>
      </c>
      <c r="E113" s="5" t="s">
        <v>384</v>
      </c>
      <c r="F113" s="5" t="s">
        <v>30</v>
      </c>
      <c r="G113" s="5" t="s">
        <v>392</v>
      </c>
      <c r="H113" s="5" t="s">
        <v>232</v>
      </c>
      <c r="I113" s="5" t="s">
        <v>35</v>
      </c>
      <c r="J113" s="15">
        <v>2748</v>
      </c>
      <c r="K113" s="7">
        <v>36.6</v>
      </c>
      <c r="L113" s="7">
        <f t="shared" si="19"/>
        <v>75.081967213114751</v>
      </c>
      <c r="M113" s="5" t="s">
        <v>9</v>
      </c>
      <c r="N113" s="5">
        <v>4</v>
      </c>
      <c r="O113" s="6">
        <f t="shared" si="20"/>
        <v>9.6820658425154509</v>
      </c>
      <c r="P113" s="6">
        <f t="shared" si="21"/>
        <v>1.0069348476216069</v>
      </c>
      <c r="Q113" s="10">
        <f t="shared" si="22"/>
        <v>2.0977809325450143E-2</v>
      </c>
      <c r="R113" s="10">
        <f t="shared" si="23"/>
        <v>8.7271642179623674E-2</v>
      </c>
      <c r="S113" s="10">
        <f t="shared" si="24"/>
        <v>0.10824945150507381</v>
      </c>
    </row>
    <row r="114" spans="1:19" x14ac:dyDescent="0.25">
      <c r="A114" s="5" t="s">
        <v>22</v>
      </c>
      <c r="B114" s="5" t="s">
        <v>63</v>
      </c>
      <c r="C114" s="5" t="s">
        <v>27</v>
      </c>
      <c r="D114" s="5" t="s">
        <v>385</v>
      </c>
      <c r="E114" s="5" t="s">
        <v>384</v>
      </c>
      <c r="F114" s="5" t="s">
        <v>30</v>
      </c>
      <c r="G114" s="5" t="s">
        <v>392</v>
      </c>
      <c r="H114" s="5" t="s">
        <v>66</v>
      </c>
      <c r="I114" s="5" t="s">
        <v>67</v>
      </c>
      <c r="J114" s="15">
        <v>2280</v>
      </c>
      <c r="K114" s="7">
        <v>29</v>
      </c>
      <c r="L114" s="7">
        <f t="shared" si="19"/>
        <v>78.620689655172413</v>
      </c>
      <c r="M114" s="5" t="s">
        <v>9</v>
      </c>
      <c r="N114" s="5">
        <v>4</v>
      </c>
      <c r="O114" s="6">
        <f t="shared" si="20"/>
        <v>8.8082282996432824</v>
      </c>
      <c r="P114" s="6">
        <f t="shared" si="21"/>
        <v>0.91605574316290117</v>
      </c>
      <c r="Q114" s="10">
        <f t="shared" si="22"/>
        <v>1.908449464922711E-2</v>
      </c>
      <c r="R114" s="10">
        <f t="shared" si="23"/>
        <v>8.1294945871818847E-2</v>
      </c>
      <c r="S114" s="10">
        <f t="shared" si="24"/>
        <v>0.10037944052104596</v>
      </c>
    </row>
    <row r="115" spans="1:19" x14ac:dyDescent="0.25">
      <c r="A115" s="5" t="s">
        <v>8</v>
      </c>
      <c r="B115" s="5" t="s">
        <v>241</v>
      </c>
      <c r="C115" s="5" t="s">
        <v>27</v>
      </c>
      <c r="D115" s="5" t="s">
        <v>385</v>
      </c>
      <c r="E115" s="5" t="s">
        <v>384</v>
      </c>
      <c r="F115" s="5" t="s">
        <v>30</v>
      </c>
      <c r="G115" s="5" t="s">
        <v>392</v>
      </c>
      <c r="H115" s="5" t="s">
        <v>40</v>
      </c>
      <c r="I115" s="5" t="s">
        <v>190</v>
      </c>
      <c r="J115" s="15">
        <v>2720</v>
      </c>
      <c r="K115" s="7">
        <v>30.3</v>
      </c>
      <c r="L115" s="7">
        <f t="shared" si="19"/>
        <v>89.768976897689768</v>
      </c>
      <c r="M115" s="5" t="s">
        <v>9</v>
      </c>
      <c r="N115" s="5">
        <v>4</v>
      </c>
      <c r="O115" s="6">
        <f t="shared" si="20"/>
        <v>13.69939766253853</v>
      </c>
      <c r="P115" s="6">
        <f t="shared" si="21"/>
        <v>1.4247373569040074</v>
      </c>
      <c r="Q115" s="10">
        <f t="shared" si="22"/>
        <v>2.9682028268833482E-2</v>
      </c>
      <c r="R115" s="10">
        <f t="shared" si="23"/>
        <v>0.11322002036146131</v>
      </c>
      <c r="S115" s="10">
        <f t="shared" si="24"/>
        <v>0.14290204863029479</v>
      </c>
    </row>
    <row r="116" spans="1:19" x14ac:dyDescent="0.25">
      <c r="A116" s="5" t="s">
        <v>8</v>
      </c>
      <c r="B116" s="5" t="s">
        <v>241</v>
      </c>
      <c r="C116" s="5" t="s">
        <v>27</v>
      </c>
      <c r="D116" s="5" t="s">
        <v>385</v>
      </c>
      <c r="E116" s="5" t="s">
        <v>384</v>
      </c>
      <c r="F116" s="5" t="s">
        <v>30</v>
      </c>
      <c r="G116" s="5" t="s">
        <v>392</v>
      </c>
      <c r="H116" s="5" t="s">
        <v>40</v>
      </c>
      <c r="I116" s="5" t="s">
        <v>258</v>
      </c>
      <c r="J116" s="15">
        <v>2320</v>
      </c>
      <c r="K116" s="7">
        <v>27.8</v>
      </c>
      <c r="L116" s="7">
        <f t="shared" si="19"/>
        <v>83.453237410071935</v>
      </c>
      <c r="M116" s="5" t="s">
        <v>9</v>
      </c>
      <c r="N116" s="5">
        <v>4</v>
      </c>
      <c r="O116" s="6">
        <f t="shared" si="20"/>
        <v>10.098442109621653</v>
      </c>
      <c r="P116" s="6">
        <f t="shared" si="21"/>
        <v>1.050237979400652</v>
      </c>
      <c r="Q116" s="10">
        <f t="shared" si="22"/>
        <v>2.1879957904180247E-2</v>
      </c>
      <c r="R116" s="10">
        <f t="shared" si="23"/>
        <v>9.0071606634706189E-2</v>
      </c>
      <c r="S116" s="10">
        <f t="shared" si="24"/>
        <v>0.11195156453888644</v>
      </c>
    </row>
    <row r="117" spans="1:19" x14ac:dyDescent="0.25">
      <c r="A117" s="5" t="s">
        <v>8</v>
      </c>
      <c r="B117" s="5" t="s">
        <v>241</v>
      </c>
      <c r="C117" s="5" t="s">
        <v>27</v>
      </c>
      <c r="D117" s="5" t="s">
        <v>385</v>
      </c>
      <c r="E117" s="5" t="s">
        <v>384</v>
      </c>
      <c r="F117" s="5" t="s">
        <v>30</v>
      </c>
      <c r="G117" s="5" t="s">
        <v>392</v>
      </c>
      <c r="H117" s="5" t="s">
        <v>40</v>
      </c>
      <c r="I117" s="5" t="s">
        <v>251</v>
      </c>
      <c r="J117" s="15">
        <v>1810</v>
      </c>
      <c r="K117" s="7">
        <v>26.5</v>
      </c>
      <c r="L117" s="7">
        <f t="shared" si="19"/>
        <v>68.301886792452834</v>
      </c>
      <c r="M117" s="5" t="s">
        <v>9</v>
      </c>
      <c r="N117" s="5">
        <v>4</v>
      </c>
      <c r="O117" s="6">
        <f t="shared" si="20"/>
        <v>5.2774483802064802</v>
      </c>
      <c r="P117" s="6">
        <f t="shared" si="21"/>
        <v>0.54885463154147374</v>
      </c>
      <c r="Q117" s="10">
        <f t="shared" si="22"/>
        <v>1.1434471490447374E-2</v>
      </c>
      <c r="R117" s="10">
        <f t="shared" si="23"/>
        <v>5.536242690304656E-2</v>
      </c>
      <c r="S117" s="10">
        <f t="shared" si="24"/>
        <v>6.6796898393493939E-2</v>
      </c>
    </row>
    <row r="118" spans="1:19" x14ac:dyDescent="0.25">
      <c r="A118" s="5" t="s">
        <v>8</v>
      </c>
      <c r="B118" s="5" t="s">
        <v>241</v>
      </c>
      <c r="C118" s="5" t="s">
        <v>27</v>
      </c>
      <c r="D118" s="5" t="s">
        <v>385</v>
      </c>
      <c r="E118" s="5" t="s">
        <v>384</v>
      </c>
      <c r="F118" s="5" t="s">
        <v>30</v>
      </c>
      <c r="G118" s="5" t="s">
        <v>392</v>
      </c>
      <c r="H118" s="5" t="s">
        <v>40</v>
      </c>
      <c r="I118" s="5" t="s">
        <v>261</v>
      </c>
      <c r="J118" s="15">
        <v>2450</v>
      </c>
      <c r="K118" s="7">
        <v>28</v>
      </c>
      <c r="L118" s="7">
        <f t="shared" si="19"/>
        <v>87.5</v>
      </c>
      <c r="M118" s="5" t="s">
        <v>9</v>
      </c>
      <c r="N118" s="5">
        <v>4</v>
      </c>
      <c r="O118" s="6">
        <f t="shared" si="20"/>
        <v>11.7236328125</v>
      </c>
      <c r="P118" s="6">
        <f t="shared" si="21"/>
        <v>1.2192578124999998</v>
      </c>
      <c r="Q118" s="10">
        <f t="shared" si="22"/>
        <v>2.5401204427083334E-2</v>
      </c>
      <c r="R118" s="10">
        <f t="shared" si="23"/>
        <v>0.10073810572305898</v>
      </c>
      <c r="S118" s="10">
        <f t="shared" si="24"/>
        <v>0.12613931015014232</v>
      </c>
    </row>
    <row r="119" spans="1:19" x14ac:dyDescent="0.25">
      <c r="A119" s="5" t="s">
        <v>8</v>
      </c>
      <c r="B119" s="5" t="s">
        <v>241</v>
      </c>
      <c r="C119" s="5" t="s">
        <v>27</v>
      </c>
      <c r="D119" s="5" t="s">
        <v>385</v>
      </c>
      <c r="E119" s="5" t="s">
        <v>384</v>
      </c>
      <c r="F119" s="5" t="s">
        <v>30</v>
      </c>
      <c r="G119" s="5" t="s">
        <v>392</v>
      </c>
      <c r="H119" s="5" t="s">
        <v>40</v>
      </c>
      <c r="I119" s="5" t="s">
        <v>243</v>
      </c>
      <c r="J119" s="15">
        <v>4550</v>
      </c>
      <c r="K119" s="7">
        <v>36</v>
      </c>
      <c r="L119" s="7">
        <f t="shared" si="19"/>
        <v>126.38888888888889</v>
      </c>
      <c r="M119" s="5" t="s">
        <v>9</v>
      </c>
      <c r="N119" s="5">
        <v>4</v>
      </c>
      <c r="O119" s="6">
        <f t="shared" si="20"/>
        <v>45.426492573302461</v>
      </c>
      <c r="P119" s="6">
        <f t="shared" si="21"/>
        <v>4.7243552276234562</v>
      </c>
      <c r="Q119" s="10">
        <f t="shared" si="22"/>
        <v>9.8424067242155341E-2</v>
      </c>
      <c r="R119" s="10">
        <f t="shared" si="23"/>
        <v>0.27821403095946923</v>
      </c>
      <c r="S119" s="10">
        <f t="shared" si="24"/>
        <v>0.37663809820162458</v>
      </c>
    </row>
    <row r="120" spans="1:19" x14ac:dyDescent="0.25">
      <c r="A120" s="5" t="s">
        <v>22</v>
      </c>
      <c r="B120" s="5" t="s">
        <v>63</v>
      </c>
      <c r="C120" s="5" t="s">
        <v>27</v>
      </c>
      <c r="D120" s="5" t="s">
        <v>385</v>
      </c>
      <c r="E120" s="5" t="s">
        <v>384</v>
      </c>
      <c r="F120" s="5" t="s">
        <v>30</v>
      </c>
      <c r="G120" s="5" t="s">
        <v>392</v>
      </c>
      <c r="H120" s="5" t="s">
        <v>40</v>
      </c>
      <c r="I120" s="5" t="s">
        <v>65</v>
      </c>
      <c r="J120" s="15">
        <v>2330</v>
      </c>
      <c r="K120" s="7">
        <v>27.5</v>
      </c>
      <c r="L120" s="7">
        <f t="shared" si="19"/>
        <v>84.727272727272734</v>
      </c>
      <c r="M120" s="5" t="s">
        <v>9</v>
      </c>
      <c r="N120" s="5">
        <v>4</v>
      </c>
      <c r="O120" s="6">
        <f t="shared" si="20"/>
        <v>10.453997520661158</v>
      </c>
      <c r="P120" s="6">
        <f t="shared" si="21"/>
        <v>1.0872157421487605</v>
      </c>
      <c r="Q120" s="10">
        <f t="shared" si="22"/>
        <v>2.2650327961432504E-2</v>
      </c>
      <c r="R120" s="10">
        <f t="shared" si="23"/>
        <v>9.2439783335974496E-2</v>
      </c>
      <c r="S120" s="10">
        <f t="shared" si="24"/>
        <v>0.115090111297407</v>
      </c>
    </row>
    <row r="121" spans="1:19" x14ac:dyDescent="0.25">
      <c r="A121" s="5" t="s">
        <v>22</v>
      </c>
      <c r="B121" s="5" t="s">
        <v>26</v>
      </c>
      <c r="C121" s="5" t="s">
        <v>27</v>
      </c>
      <c r="D121" s="5" t="s">
        <v>385</v>
      </c>
      <c r="E121" s="5" t="s">
        <v>384</v>
      </c>
      <c r="F121" s="5" t="s">
        <v>30</v>
      </c>
      <c r="G121" s="5" t="s">
        <v>392</v>
      </c>
      <c r="H121" s="5" t="s">
        <v>40</v>
      </c>
      <c r="I121" s="5" t="s">
        <v>42</v>
      </c>
      <c r="J121" s="15">
        <v>2100</v>
      </c>
      <c r="K121" s="7">
        <v>36</v>
      </c>
      <c r="L121" s="7">
        <f t="shared" si="19"/>
        <v>58.333333333333336</v>
      </c>
      <c r="M121" s="5" t="s">
        <v>9</v>
      </c>
      <c r="N121" s="5">
        <v>4</v>
      </c>
      <c r="O121" s="6">
        <f t="shared" si="20"/>
        <v>4.466145833333333</v>
      </c>
      <c r="P121" s="6">
        <f t="shared" si="21"/>
        <v>0.46447916666666667</v>
      </c>
      <c r="Q121" s="10">
        <f t="shared" si="22"/>
        <v>9.6766493055555538E-3</v>
      </c>
      <c r="R121" s="10">
        <f t="shared" si="23"/>
        <v>4.8848001391821147E-2</v>
      </c>
      <c r="S121" s="10">
        <f t="shared" si="24"/>
        <v>5.8524650697376703E-2</v>
      </c>
    </row>
    <row r="122" spans="1:19" x14ac:dyDescent="0.25">
      <c r="A122" s="5" t="s">
        <v>8</v>
      </c>
      <c r="B122" s="5" t="s">
        <v>241</v>
      </c>
      <c r="C122" s="5" t="s">
        <v>27</v>
      </c>
      <c r="D122" s="5" t="s">
        <v>385</v>
      </c>
      <c r="E122" s="5" t="s">
        <v>384</v>
      </c>
      <c r="F122" s="5" t="s">
        <v>30</v>
      </c>
      <c r="G122" s="5" t="s">
        <v>392</v>
      </c>
      <c r="H122" s="5" t="s">
        <v>40</v>
      </c>
      <c r="I122" s="5" t="s">
        <v>42</v>
      </c>
      <c r="J122" s="15">
        <v>2200</v>
      </c>
      <c r="K122" s="7">
        <v>36.5</v>
      </c>
      <c r="L122" s="7">
        <f t="shared" si="19"/>
        <v>60.273972602739725</v>
      </c>
      <c r="M122" s="5" t="s">
        <v>9</v>
      </c>
      <c r="N122" s="5">
        <v>4</v>
      </c>
      <c r="O122" s="6">
        <f t="shared" si="20"/>
        <v>4.995308688309251</v>
      </c>
      <c r="P122" s="6">
        <f t="shared" si="21"/>
        <v>0.51951210358416211</v>
      </c>
      <c r="Q122" s="10">
        <f t="shared" si="22"/>
        <v>1.0823168824670043E-2</v>
      </c>
      <c r="R122" s="10">
        <f t="shared" si="23"/>
        <v>5.3127437920794114E-2</v>
      </c>
      <c r="S122" s="10">
        <f t="shared" si="24"/>
        <v>6.3950606745464156E-2</v>
      </c>
    </row>
    <row r="123" spans="1:19" x14ac:dyDescent="0.25">
      <c r="A123" s="5" t="s">
        <v>8</v>
      </c>
      <c r="B123" s="5" t="s">
        <v>241</v>
      </c>
      <c r="C123" s="5" t="s">
        <v>27</v>
      </c>
      <c r="D123" s="5" t="s">
        <v>385</v>
      </c>
      <c r="E123" s="5" t="s">
        <v>384</v>
      </c>
      <c r="F123" s="5" t="s">
        <v>30</v>
      </c>
      <c r="G123" s="5" t="s">
        <v>392</v>
      </c>
      <c r="H123" s="5" t="s">
        <v>40</v>
      </c>
      <c r="I123" s="5" t="s">
        <v>259</v>
      </c>
      <c r="J123" s="15">
        <v>2340</v>
      </c>
      <c r="K123" s="7">
        <v>34.200000000000003</v>
      </c>
      <c r="L123" s="7">
        <f t="shared" si="19"/>
        <v>68.421052631578945</v>
      </c>
      <c r="M123" s="5" t="s">
        <v>9</v>
      </c>
      <c r="N123" s="5">
        <v>4</v>
      </c>
      <c r="O123" s="6">
        <f t="shared" si="20"/>
        <v>6.8466066481994456</v>
      </c>
      <c r="P123" s="6">
        <f t="shared" si="21"/>
        <v>0.71204709141274225</v>
      </c>
      <c r="Q123" s="10">
        <f t="shared" si="22"/>
        <v>1.4834314404432133E-2</v>
      </c>
      <c r="R123" s="10">
        <f t="shared" si="23"/>
        <v>6.7298232379061906E-2</v>
      </c>
      <c r="S123" s="10">
        <f t="shared" si="24"/>
        <v>8.2132546783494034E-2</v>
      </c>
    </row>
    <row r="124" spans="1:19" x14ac:dyDescent="0.25">
      <c r="A124" s="5" t="s">
        <v>8</v>
      </c>
      <c r="B124" s="5" t="s">
        <v>241</v>
      </c>
      <c r="C124" s="5" t="s">
        <v>27</v>
      </c>
      <c r="D124" s="5" t="s">
        <v>385</v>
      </c>
      <c r="E124" s="5" t="s">
        <v>384</v>
      </c>
      <c r="F124" s="5" t="s">
        <v>30</v>
      </c>
      <c r="G124" s="5" t="s">
        <v>392</v>
      </c>
      <c r="H124" s="5" t="s">
        <v>40</v>
      </c>
      <c r="I124" s="5" t="s">
        <v>50</v>
      </c>
      <c r="J124" s="15">
        <v>1915</v>
      </c>
      <c r="K124" s="7">
        <v>30</v>
      </c>
      <c r="L124" s="7">
        <f t="shared" si="19"/>
        <v>63.833333333333336</v>
      </c>
      <c r="M124" s="5" t="s">
        <v>9</v>
      </c>
      <c r="N124" s="5">
        <v>4</v>
      </c>
      <c r="O124" s="6">
        <f t="shared" si="20"/>
        <v>4.8768999131944453</v>
      </c>
      <c r="P124" s="6">
        <f t="shared" si="21"/>
        <v>0.50719759097222228</v>
      </c>
      <c r="Q124" s="10">
        <f t="shared" si="22"/>
        <v>1.0566616478587964E-2</v>
      </c>
      <c r="R124" s="10">
        <f t="shared" si="23"/>
        <v>5.2180111939267297E-2</v>
      </c>
      <c r="S124" s="10">
        <f t="shared" si="24"/>
        <v>6.2746728417855266E-2</v>
      </c>
    </row>
    <row r="125" spans="1:19" x14ac:dyDescent="0.25">
      <c r="A125" s="5" t="s">
        <v>8</v>
      </c>
      <c r="B125" s="5" t="s">
        <v>241</v>
      </c>
      <c r="C125" s="5" t="s">
        <v>27</v>
      </c>
      <c r="D125" s="5" t="s">
        <v>385</v>
      </c>
      <c r="E125" s="5" t="s">
        <v>384</v>
      </c>
      <c r="F125" s="5" t="s">
        <v>30</v>
      </c>
      <c r="G125" s="5" t="s">
        <v>392</v>
      </c>
      <c r="H125" s="5" t="s">
        <v>40</v>
      </c>
      <c r="I125" s="5" t="s">
        <v>262</v>
      </c>
      <c r="J125" s="15">
        <v>2100</v>
      </c>
      <c r="K125" s="7">
        <v>32</v>
      </c>
      <c r="L125" s="7">
        <f t="shared" si="19"/>
        <v>65.625</v>
      </c>
      <c r="M125" s="5" t="s">
        <v>9</v>
      </c>
      <c r="N125" s="5">
        <v>4</v>
      </c>
      <c r="O125" s="6">
        <f t="shared" si="20"/>
        <v>5.6524658203125</v>
      </c>
      <c r="P125" s="6">
        <f t="shared" si="21"/>
        <v>0.58785644531249992</v>
      </c>
      <c r="Q125" s="10">
        <f t="shared" si="22"/>
        <v>1.2247009277343748E-2</v>
      </c>
      <c r="R125" s="10">
        <f t="shared" si="23"/>
        <v>5.8287520740768706E-2</v>
      </c>
      <c r="S125" s="10">
        <f t="shared" si="24"/>
        <v>7.0534530018112454E-2</v>
      </c>
    </row>
    <row r="126" spans="1:19" x14ac:dyDescent="0.25">
      <c r="A126" s="5" t="s">
        <v>22</v>
      </c>
      <c r="B126" s="5" t="s">
        <v>26</v>
      </c>
      <c r="C126" s="5" t="s">
        <v>27</v>
      </c>
      <c r="D126" s="5" t="s">
        <v>385</v>
      </c>
      <c r="E126" s="5" t="s">
        <v>384</v>
      </c>
      <c r="F126" s="5" t="s">
        <v>30</v>
      </c>
      <c r="G126" s="5" t="s">
        <v>392</v>
      </c>
      <c r="H126" s="5" t="s">
        <v>40</v>
      </c>
      <c r="I126" s="5" t="s">
        <v>43</v>
      </c>
      <c r="J126" s="15">
        <v>2200</v>
      </c>
      <c r="K126" s="7">
        <v>36</v>
      </c>
      <c r="L126" s="7">
        <f t="shared" si="19"/>
        <v>61.111111111111114</v>
      </c>
      <c r="M126" s="5" t="s">
        <v>9</v>
      </c>
      <c r="N126" s="5">
        <v>4</v>
      </c>
      <c r="O126" s="6">
        <f t="shared" si="20"/>
        <v>5.1350308641975309</v>
      </c>
      <c r="P126" s="6">
        <f t="shared" si="21"/>
        <v>0.53404320987654319</v>
      </c>
      <c r="Q126" s="10">
        <f t="shared" si="22"/>
        <v>1.1125900205761317E-2</v>
      </c>
      <c r="R126" s="10">
        <f t="shared" si="23"/>
        <v>5.4238093824659765E-2</v>
      </c>
      <c r="S126" s="10">
        <f t="shared" si="24"/>
        <v>6.5363994030421077E-2</v>
      </c>
    </row>
    <row r="127" spans="1:19" x14ac:dyDescent="0.25">
      <c r="A127" s="5" t="s">
        <v>8</v>
      </c>
      <c r="B127" s="5" t="s">
        <v>241</v>
      </c>
      <c r="C127" s="5" t="s">
        <v>27</v>
      </c>
      <c r="D127" s="5" t="s">
        <v>385</v>
      </c>
      <c r="E127" s="5" t="s">
        <v>384</v>
      </c>
      <c r="F127" s="5" t="s">
        <v>30</v>
      </c>
      <c r="G127" s="5" t="s">
        <v>392</v>
      </c>
      <c r="H127" s="5" t="s">
        <v>40</v>
      </c>
      <c r="I127" s="5" t="s">
        <v>43</v>
      </c>
      <c r="J127" s="15">
        <v>2200</v>
      </c>
      <c r="K127" s="7">
        <v>33</v>
      </c>
      <c r="L127" s="7">
        <f t="shared" si="19"/>
        <v>66.666666666666671</v>
      </c>
      <c r="M127" s="5" t="s">
        <v>9</v>
      </c>
      <c r="N127" s="5">
        <v>4</v>
      </c>
      <c r="O127" s="6">
        <f t="shared" si="20"/>
        <v>6.1111111111111125</v>
      </c>
      <c r="P127" s="6">
        <f t="shared" si="21"/>
        <v>0.63555555555555565</v>
      </c>
      <c r="Q127" s="10">
        <f t="shared" si="22"/>
        <v>1.3240740740740742E-2</v>
      </c>
      <c r="R127" s="10">
        <f t="shared" si="23"/>
        <v>6.1799827002558427E-2</v>
      </c>
      <c r="S127" s="10">
        <f t="shared" si="24"/>
        <v>7.5040567743299175E-2</v>
      </c>
    </row>
    <row r="128" spans="1:19" x14ac:dyDescent="0.25">
      <c r="A128" s="5" t="s">
        <v>8</v>
      </c>
      <c r="B128" s="5" t="s">
        <v>241</v>
      </c>
      <c r="C128" s="5" t="s">
        <v>27</v>
      </c>
      <c r="D128" s="5" t="s">
        <v>385</v>
      </c>
      <c r="E128" s="5" t="s">
        <v>384</v>
      </c>
      <c r="F128" s="5" t="s">
        <v>30</v>
      </c>
      <c r="G128" s="5" t="s">
        <v>392</v>
      </c>
      <c r="H128" s="5" t="s">
        <v>40</v>
      </c>
      <c r="I128" s="5" t="s">
        <v>263</v>
      </c>
      <c r="J128" s="15">
        <v>2340</v>
      </c>
      <c r="K128" s="7">
        <v>42.5</v>
      </c>
      <c r="L128" s="7">
        <f t="shared" si="19"/>
        <v>55.058823529411768</v>
      </c>
      <c r="M128" s="5" t="s">
        <v>9</v>
      </c>
      <c r="N128" s="5">
        <v>4</v>
      </c>
      <c r="O128" s="6">
        <f t="shared" si="20"/>
        <v>4.4335307958477514</v>
      </c>
      <c r="P128" s="6">
        <f t="shared" si="21"/>
        <v>0.46108720276816617</v>
      </c>
      <c r="Q128" s="10">
        <f t="shared" si="22"/>
        <v>9.6059833910034607E-3</v>
      </c>
      <c r="R128" s="10">
        <f t="shared" si="23"/>
        <v>4.8580213759297074E-2</v>
      </c>
      <c r="S128" s="10">
        <f t="shared" si="24"/>
        <v>5.8186197150300531E-2</v>
      </c>
    </row>
    <row r="129" spans="1:19" x14ac:dyDescent="0.25">
      <c r="A129" s="5" t="s">
        <v>22</v>
      </c>
      <c r="B129" s="5" t="s">
        <v>26</v>
      </c>
      <c r="C129" s="5" t="s">
        <v>27</v>
      </c>
      <c r="D129" s="5" t="s">
        <v>385</v>
      </c>
      <c r="E129" s="5" t="s">
        <v>384</v>
      </c>
      <c r="F129" s="5" t="s">
        <v>30</v>
      </c>
      <c r="G129" s="5" t="s">
        <v>392</v>
      </c>
      <c r="H129" s="5" t="s">
        <v>40</v>
      </c>
      <c r="I129" s="5" t="s">
        <v>44</v>
      </c>
      <c r="J129" s="15">
        <v>3100</v>
      </c>
      <c r="K129" s="7">
        <v>40</v>
      </c>
      <c r="L129" s="7">
        <f t="shared" si="19"/>
        <v>77.5</v>
      </c>
      <c r="M129" s="5" t="s">
        <v>9</v>
      </c>
      <c r="N129" s="5">
        <v>4</v>
      </c>
      <c r="O129" s="6">
        <f t="shared" si="20"/>
        <v>11.637109375</v>
      </c>
      <c r="P129" s="6">
        <f t="shared" si="21"/>
        <v>1.2102593749999999</v>
      </c>
      <c r="Q129" s="10">
        <f t="shared" si="22"/>
        <v>2.5213736979166665E-2</v>
      </c>
      <c r="R129" s="10">
        <f t="shared" si="23"/>
        <v>0.10017998480100093</v>
      </c>
      <c r="S129" s="10">
        <f t="shared" si="24"/>
        <v>0.12539372178016761</v>
      </c>
    </row>
    <row r="130" spans="1:19" x14ac:dyDescent="0.25">
      <c r="A130" s="5" t="s">
        <v>8</v>
      </c>
      <c r="B130" s="5" t="s">
        <v>241</v>
      </c>
      <c r="C130" s="5" t="s">
        <v>27</v>
      </c>
      <c r="D130" s="5" t="s">
        <v>385</v>
      </c>
      <c r="E130" s="5" t="s">
        <v>384</v>
      </c>
      <c r="F130" s="5" t="s">
        <v>30</v>
      </c>
      <c r="G130" s="5" t="s">
        <v>392</v>
      </c>
      <c r="H130" s="5" t="s">
        <v>40</v>
      </c>
      <c r="I130" s="5" t="s">
        <v>44</v>
      </c>
      <c r="J130" s="15">
        <v>3100</v>
      </c>
      <c r="K130" s="7">
        <v>42.5</v>
      </c>
      <c r="L130" s="7">
        <f t="shared" si="19"/>
        <v>72.941176470588232</v>
      </c>
      <c r="M130" s="5" t="s">
        <v>9</v>
      </c>
      <c r="N130" s="5">
        <v>4</v>
      </c>
      <c r="O130" s="6">
        <f t="shared" si="20"/>
        <v>10.308304498269894</v>
      </c>
      <c r="P130" s="6">
        <f t="shared" si="21"/>
        <v>1.072063667820069</v>
      </c>
      <c r="Q130" s="10">
        <f t="shared" si="22"/>
        <v>2.2334659746251439E-2</v>
      </c>
      <c r="R130" s="10">
        <f t="shared" si="23"/>
        <v>9.1471869100578224E-2</v>
      </c>
      <c r="S130" s="10">
        <f t="shared" si="24"/>
        <v>0.11380652884682967</v>
      </c>
    </row>
    <row r="131" spans="1:19" x14ac:dyDescent="0.25">
      <c r="A131" s="5" t="s">
        <v>8</v>
      </c>
      <c r="B131" s="5" t="s">
        <v>241</v>
      </c>
      <c r="C131" s="5" t="s">
        <v>27</v>
      </c>
      <c r="D131" s="5" t="s">
        <v>385</v>
      </c>
      <c r="E131" s="5" t="s">
        <v>384</v>
      </c>
      <c r="F131" s="5" t="s">
        <v>30</v>
      </c>
      <c r="G131" s="5" t="s">
        <v>392</v>
      </c>
      <c r="H131" s="5" t="s">
        <v>40</v>
      </c>
      <c r="I131" s="5" t="s">
        <v>247</v>
      </c>
      <c r="J131" s="15">
        <v>2470</v>
      </c>
      <c r="K131" s="7">
        <v>33.5</v>
      </c>
      <c r="L131" s="7">
        <f t="shared" si="19"/>
        <v>73.731343283582092</v>
      </c>
      <c r="M131" s="5" t="s">
        <v>9</v>
      </c>
      <c r="N131" s="5">
        <v>4</v>
      </c>
      <c r="O131" s="6">
        <f t="shared" si="20"/>
        <v>8.3923050790822025</v>
      </c>
      <c r="P131" s="6">
        <f t="shared" si="21"/>
        <v>0.87279972822454899</v>
      </c>
      <c r="Q131" s="10">
        <f t="shared" si="22"/>
        <v>1.8183327671344771E-2</v>
      </c>
      <c r="R131" s="10">
        <f t="shared" si="23"/>
        <v>7.8398557442714095E-2</v>
      </c>
      <c r="S131" s="10">
        <f t="shared" si="24"/>
        <v>9.6581885114058866E-2</v>
      </c>
    </row>
    <row r="132" spans="1:19" x14ac:dyDescent="0.25">
      <c r="A132" s="5" t="s">
        <v>8</v>
      </c>
      <c r="B132" s="5" t="s">
        <v>241</v>
      </c>
      <c r="C132" s="5" t="s">
        <v>27</v>
      </c>
      <c r="D132" s="5" t="s">
        <v>385</v>
      </c>
      <c r="E132" s="5" t="s">
        <v>384</v>
      </c>
      <c r="F132" s="5" t="s">
        <v>30</v>
      </c>
      <c r="G132" s="5" t="s">
        <v>392</v>
      </c>
      <c r="H132" s="5" t="s">
        <v>40</v>
      </c>
      <c r="I132" s="5" t="s">
        <v>245</v>
      </c>
      <c r="J132" s="15">
        <v>1200</v>
      </c>
      <c r="K132" s="7">
        <v>18</v>
      </c>
      <c r="L132" s="7">
        <f t="shared" ref="L132:L154" si="25">J132/K132</f>
        <v>66.666666666666671</v>
      </c>
      <c r="M132" s="5" t="s">
        <v>9</v>
      </c>
      <c r="N132" s="5">
        <v>4</v>
      </c>
      <c r="O132" s="6">
        <f t="shared" ref="O132:O154" si="26">(J132*L132^2)/(1.6*10^6)</f>
        <v>3.3333333333333339</v>
      </c>
      <c r="P132" s="6">
        <f t="shared" ref="P132:P154" si="27">(0.104*J132*L132^2)/(1.6*10^6)</f>
        <v>0.34666666666666673</v>
      </c>
      <c r="Q132" s="10">
        <f t="shared" ref="Q132:Q154" si="28">(0.104*O132)/(12*N132)</f>
        <v>7.2222222222222236E-3</v>
      </c>
      <c r="R132" s="10">
        <f t="shared" ref="R132:R154" si="29">0.0159*O132^0.75</f>
        <v>3.9224388638091127E-2</v>
      </c>
      <c r="S132" s="10">
        <f t="shared" ref="S132:S154" si="30">Q132+R132</f>
        <v>4.6446610860313348E-2</v>
      </c>
    </row>
    <row r="133" spans="1:19" x14ac:dyDescent="0.25">
      <c r="A133" s="5" t="s">
        <v>22</v>
      </c>
      <c r="B133" s="5" t="s">
        <v>63</v>
      </c>
      <c r="C133" s="5" t="s">
        <v>27</v>
      </c>
      <c r="D133" s="5" t="s">
        <v>385</v>
      </c>
      <c r="E133" s="5" t="s">
        <v>384</v>
      </c>
      <c r="F133" s="5" t="s">
        <v>45</v>
      </c>
      <c r="G133" s="5" t="s">
        <v>390</v>
      </c>
      <c r="H133" s="5" t="s">
        <v>79</v>
      </c>
      <c r="I133" s="5" t="s">
        <v>80</v>
      </c>
      <c r="J133" s="15">
        <v>1225</v>
      </c>
      <c r="K133" s="7">
        <v>45</v>
      </c>
      <c r="L133" s="7">
        <f t="shared" si="25"/>
        <v>27.222222222222221</v>
      </c>
      <c r="M133" s="5" t="s">
        <v>9</v>
      </c>
      <c r="N133" s="5">
        <v>4</v>
      </c>
      <c r="O133" s="6">
        <f t="shared" si="26"/>
        <v>0.5673659336419753</v>
      </c>
      <c r="P133" s="6">
        <f t="shared" si="27"/>
        <v>5.900605709876542E-2</v>
      </c>
      <c r="Q133" s="10">
        <f t="shared" si="28"/>
        <v>1.2292928562242797E-3</v>
      </c>
      <c r="R133" s="10">
        <f t="shared" si="29"/>
        <v>1.0394283700610837E-2</v>
      </c>
      <c r="S133" s="10">
        <f t="shared" si="30"/>
        <v>1.1623576556835116E-2</v>
      </c>
    </row>
    <row r="134" spans="1:19" x14ac:dyDescent="0.25">
      <c r="A134" s="5" t="s">
        <v>22</v>
      </c>
      <c r="B134" s="5" t="s">
        <v>63</v>
      </c>
      <c r="C134" s="5" t="s">
        <v>27</v>
      </c>
      <c r="D134" s="5" t="s">
        <v>385</v>
      </c>
      <c r="E134" s="5" t="s">
        <v>384</v>
      </c>
      <c r="F134" s="5" t="s">
        <v>45</v>
      </c>
      <c r="G134" s="5" t="s">
        <v>390</v>
      </c>
      <c r="H134" s="5" t="s">
        <v>75</v>
      </c>
      <c r="I134" s="5" t="s">
        <v>76</v>
      </c>
      <c r="J134" s="15">
        <v>1450</v>
      </c>
      <c r="K134" s="7">
        <v>48.5</v>
      </c>
      <c r="L134" s="7">
        <f t="shared" si="25"/>
        <v>29.896907216494846</v>
      </c>
      <c r="M134" s="5" t="s">
        <v>9</v>
      </c>
      <c r="N134" s="5">
        <v>4</v>
      </c>
      <c r="O134" s="6">
        <f t="shared" si="26"/>
        <v>0.81002896163247951</v>
      </c>
      <c r="P134" s="6">
        <f t="shared" si="27"/>
        <v>8.4243012009777865E-2</v>
      </c>
      <c r="Q134" s="10">
        <f t="shared" si="28"/>
        <v>1.7550627502037055E-3</v>
      </c>
      <c r="R134" s="10">
        <f t="shared" si="29"/>
        <v>1.3576022042751284E-2</v>
      </c>
      <c r="S134" s="10">
        <f t="shared" si="30"/>
        <v>1.5331084792954988E-2</v>
      </c>
    </row>
    <row r="135" spans="1:19" x14ac:dyDescent="0.25">
      <c r="A135" s="5" t="s">
        <v>8</v>
      </c>
      <c r="B135" s="5" t="s">
        <v>206</v>
      </c>
      <c r="C135" s="5" t="s">
        <v>27</v>
      </c>
      <c r="D135" s="5" t="s">
        <v>385</v>
      </c>
      <c r="E135" s="5" t="s">
        <v>384</v>
      </c>
      <c r="F135" s="5" t="s">
        <v>45</v>
      </c>
      <c r="G135" s="5" t="s">
        <v>390</v>
      </c>
      <c r="H135" s="5" t="s">
        <v>46</v>
      </c>
      <c r="I135" s="5" t="s">
        <v>207</v>
      </c>
      <c r="J135" s="15">
        <v>1100</v>
      </c>
      <c r="K135" s="7">
        <v>32</v>
      </c>
      <c r="L135" s="7">
        <f t="shared" si="25"/>
        <v>34.375</v>
      </c>
      <c r="M135" s="5" t="s">
        <v>9</v>
      </c>
      <c r="N135" s="5">
        <v>4</v>
      </c>
      <c r="O135" s="6">
        <f t="shared" si="26"/>
        <v>0.8123779296875</v>
      </c>
      <c r="P135" s="6">
        <f t="shared" si="27"/>
        <v>8.4487304687500001E-2</v>
      </c>
      <c r="Q135" s="10">
        <f t="shared" si="28"/>
        <v>1.7601521809895834E-3</v>
      </c>
      <c r="R135" s="10">
        <f t="shared" si="29"/>
        <v>1.3605537743536752E-2</v>
      </c>
      <c r="S135" s="10">
        <f t="shared" si="30"/>
        <v>1.5365689924526336E-2</v>
      </c>
    </row>
    <row r="136" spans="1:19" x14ac:dyDescent="0.25">
      <c r="A136" s="5" t="s">
        <v>8</v>
      </c>
      <c r="B136" s="5" t="s">
        <v>209</v>
      </c>
      <c r="C136" s="5" t="s">
        <v>27</v>
      </c>
      <c r="D136" s="5" t="s">
        <v>385</v>
      </c>
      <c r="E136" s="5" t="s">
        <v>384</v>
      </c>
      <c r="F136" s="5" t="s">
        <v>45</v>
      </c>
      <c r="G136" s="5" t="s">
        <v>390</v>
      </c>
      <c r="H136" s="5" t="s">
        <v>46</v>
      </c>
      <c r="I136" s="5" t="s">
        <v>207</v>
      </c>
      <c r="J136" s="15">
        <v>1580</v>
      </c>
      <c r="K136" s="7">
        <v>52.7</v>
      </c>
      <c r="L136" s="7">
        <f t="shared" si="25"/>
        <v>29.981024667931688</v>
      </c>
      <c r="M136" s="5" t="s">
        <v>9</v>
      </c>
      <c r="N136" s="5">
        <v>4</v>
      </c>
      <c r="O136" s="6">
        <f t="shared" si="26"/>
        <v>0.88762606713738934</v>
      </c>
      <c r="P136" s="6">
        <f t="shared" si="27"/>
        <v>9.231311098228849E-2</v>
      </c>
      <c r="Q136" s="10">
        <f t="shared" si="28"/>
        <v>1.9231898121310103E-3</v>
      </c>
      <c r="R136" s="10">
        <f t="shared" si="29"/>
        <v>1.4540175890565775E-2</v>
      </c>
      <c r="S136" s="10">
        <f t="shared" si="30"/>
        <v>1.6463365702696783E-2</v>
      </c>
    </row>
    <row r="137" spans="1:19" x14ac:dyDescent="0.25">
      <c r="A137" s="5" t="s">
        <v>22</v>
      </c>
      <c r="B137" s="5" t="s">
        <v>26</v>
      </c>
      <c r="C137" s="5" t="s">
        <v>27</v>
      </c>
      <c r="D137" s="5" t="s">
        <v>385</v>
      </c>
      <c r="E137" s="5" t="s">
        <v>384</v>
      </c>
      <c r="F137" s="5" t="s">
        <v>45</v>
      </c>
      <c r="G137" s="5" t="s">
        <v>390</v>
      </c>
      <c r="H137" s="5" t="s">
        <v>46</v>
      </c>
      <c r="I137" s="5" t="s">
        <v>16</v>
      </c>
      <c r="J137" s="15">
        <v>1350</v>
      </c>
      <c r="K137" s="7">
        <v>35</v>
      </c>
      <c r="L137" s="7">
        <f t="shared" si="25"/>
        <v>38.571428571428569</v>
      </c>
      <c r="M137" s="5" t="s">
        <v>9</v>
      </c>
      <c r="N137" s="5">
        <v>4</v>
      </c>
      <c r="O137" s="6">
        <f t="shared" si="26"/>
        <v>1.2552933673469386</v>
      </c>
      <c r="P137" s="6">
        <f t="shared" si="27"/>
        <v>0.13055051020408162</v>
      </c>
      <c r="Q137" s="10">
        <f t="shared" si="28"/>
        <v>2.719802295918367E-3</v>
      </c>
      <c r="R137" s="10">
        <f t="shared" si="29"/>
        <v>1.8856281365180333E-2</v>
      </c>
      <c r="S137" s="10">
        <f t="shared" si="30"/>
        <v>2.1576083661098699E-2</v>
      </c>
    </row>
    <row r="138" spans="1:19" x14ac:dyDescent="0.25">
      <c r="A138" s="5" t="s">
        <v>22</v>
      </c>
      <c r="B138" s="5" t="s">
        <v>26</v>
      </c>
      <c r="C138" s="5" t="s">
        <v>27</v>
      </c>
      <c r="D138" s="5" t="s">
        <v>385</v>
      </c>
      <c r="E138" s="5" t="s">
        <v>384</v>
      </c>
      <c r="F138" s="5" t="s">
        <v>45</v>
      </c>
      <c r="G138" s="5" t="s">
        <v>390</v>
      </c>
      <c r="H138" s="5" t="s">
        <v>46</v>
      </c>
      <c r="I138" s="5" t="s">
        <v>47</v>
      </c>
      <c r="J138" s="15">
        <v>1150</v>
      </c>
      <c r="K138" s="7">
        <v>30</v>
      </c>
      <c r="L138" s="7">
        <f t="shared" si="25"/>
        <v>38.333333333333336</v>
      </c>
      <c r="M138" s="5" t="s">
        <v>9</v>
      </c>
      <c r="N138" s="5">
        <v>4</v>
      </c>
      <c r="O138" s="6">
        <f t="shared" si="26"/>
        <v>1.0561631944444445</v>
      </c>
      <c r="P138" s="6">
        <f t="shared" si="27"/>
        <v>0.10984097222222222</v>
      </c>
      <c r="Q138" s="10">
        <f t="shared" si="28"/>
        <v>2.288353587962963E-3</v>
      </c>
      <c r="R138" s="10">
        <f t="shared" si="29"/>
        <v>1.6565150885101746E-2</v>
      </c>
      <c r="S138" s="10">
        <f t="shared" si="30"/>
        <v>1.8853504473064709E-2</v>
      </c>
    </row>
    <row r="139" spans="1:19" x14ac:dyDescent="0.25">
      <c r="A139" s="5" t="s">
        <v>8</v>
      </c>
      <c r="B139" s="5" t="s">
        <v>202</v>
      </c>
      <c r="C139" s="5" t="s">
        <v>27</v>
      </c>
      <c r="D139" s="5" t="s">
        <v>385</v>
      </c>
      <c r="E139" s="5" t="s">
        <v>384</v>
      </c>
      <c r="F139" s="5" t="s">
        <v>45</v>
      </c>
      <c r="G139" s="5" t="s">
        <v>390</v>
      </c>
      <c r="H139" s="5" t="s">
        <v>46</v>
      </c>
      <c r="I139" s="5" t="s">
        <v>203</v>
      </c>
      <c r="J139" s="15">
        <v>1220</v>
      </c>
      <c r="K139" s="7">
        <v>29.6</v>
      </c>
      <c r="L139" s="7">
        <f t="shared" si="25"/>
        <v>41.216216216216218</v>
      </c>
      <c r="M139" s="5" t="s">
        <v>9</v>
      </c>
      <c r="N139" s="5">
        <v>4</v>
      </c>
      <c r="O139" s="6">
        <f t="shared" si="26"/>
        <v>1.2953170653761872</v>
      </c>
      <c r="P139" s="6">
        <f t="shared" si="27"/>
        <v>0.13471297479912345</v>
      </c>
      <c r="Q139" s="10">
        <f t="shared" si="28"/>
        <v>2.8065203083150717E-3</v>
      </c>
      <c r="R139" s="10">
        <f t="shared" si="29"/>
        <v>1.930541712752341E-2</v>
      </c>
      <c r="S139" s="10">
        <f t="shared" si="30"/>
        <v>2.2111937435838482E-2</v>
      </c>
    </row>
    <row r="140" spans="1:19" x14ac:dyDescent="0.25">
      <c r="A140" s="5" t="s">
        <v>8</v>
      </c>
      <c r="B140" s="5" t="s">
        <v>204</v>
      </c>
      <c r="C140" s="5" t="s">
        <v>27</v>
      </c>
      <c r="D140" s="5" t="s">
        <v>385</v>
      </c>
      <c r="E140" s="5" t="s">
        <v>384</v>
      </c>
      <c r="F140" s="5" t="s">
        <v>45</v>
      </c>
      <c r="G140" s="5" t="s">
        <v>390</v>
      </c>
      <c r="H140" s="5" t="s">
        <v>46</v>
      </c>
      <c r="I140" s="5" t="s">
        <v>203</v>
      </c>
      <c r="J140" s="15">
        <v>850</v>
      </c>
      <c r="K140" s="7">
        <v>32</v>
      </c>
      <c r="L140" s="7">
        <f t="shared" si="25"/>
        <v>26.5625</v>
      </c>
      <c r="M140" s="5" t="s">
        <v>9</v>
      </c>
      <c r="N140" s="5">
        <v>4</v>
      </c>
      <c r="O140" s="6">
        <f t="shared" si="26"/>
        <v>0.3748321533203125</v>
      </c>
      <c r="P140" s="6">
        <f t="shared" si="27"/>
        <v>3.8982543945312496E-2</v>
      </c>
      <c r="Q140" s="10">
        <f t="shared" si="28"/>
        <v>8.1213633219401034E-4</v>
      </c>
      <c r="R140" s="10">
        <f t="shared" si="29"/>
        <v>7.6168385941915153E-3</v>
      </c>
      <c r="S140" s="10">
        <f t="shared" si="30"/>
        <v>8.4289749263855261E-3</v>
      </c>
    </row>
    <row r="141" spans="1:19" x14ac:dyDescent="0.25">
      <c r="A141" s="5" t="s">
        <v>8</v>
      </c>
      <c r="B141" s="5" t="s">
        <v>201</v>
      </c>
      <c r="C141" s="5" t="s">
        <v>27</v>
      </c>
      <c r="D141" s="5" t="s">
        <v>385</v>
      </c>
      <c r="E141" s="5" t="s">
        <v>384</v>
      </c>
      <c r="F141" s="5" t="s">
        <v>45</v>
      </c>
      <c r="G141" s="5" t="s">
        <v>390</v>
      </c>
      <c r="H141" s="5" t="s">
        <v>46</v>
      </c>
      <c r="I141" s="5" t="s">
        <v>203</v>
      </c>
      <c r="J141" s="15">
        <v>965</v>
      </c>
      <c r="K141" s="7">
        <v>26.5</v>
      </c>
      <c r="L141" s="7">
        <f t="shared" si="25"/>
        <v>36.415094339622641</v>
      </c>
      <c r="M141" s="5" t="s">
        <v>9</v>
      </c>
      <c r="N141" s="5">
        <v>4</v>
      </c>
      <c r="O141" s="6">
        <f t="shared" si="26"/>
        <v>0.79977939213243143</v>
      </c>
      <c r="P141" s="6">
        <f t="shared" si="27"/>
        <v>8.3177056781772868E-2</v>
      </c>
      <c r="Q141" s="10">
        <f t="shared" si="28"/>
        <v>1.732855349620268E-3</v>
      </c>
      <c r="R141" s="10">
        <f t="shared" si="29"/>
        <v>1.3446980696864171E-2</v>
      </c>
      <c r="S141" s="10">
        <f t="shared" si="30"/>
        <v>1.517983604648444E-2</v>
      </c>
    </row>
    <row r="142" spans="1:19" x14ac:dyDescent="0.25">
      <c r="A142" s="5" t="s">
        <v>22</v>
      </c>
      <c r="B142" s="5" t="s">
        <v>26</v>
      </c>
      <c r="C142" s="5" t="s">
        <v>27</v>
      </c>
      <c r="D142" s="5" t="s">
        <v>385</v>
      </c>
      <c r="E142" s="5" t="s">
        <v>384</v>
      </c>
      <c r="F142" s="5" t="s">
        <v>45</v>
      </c>
      <c r="G142" s="5" t="s">
        <v>390</v>
      </c>
      <c r="H142" s="5" t="s">
        <v>46</v>
      </c>
      <c r="I142" s="5" t="s">
        <v>11</v>
      </c>
      <c r="J142" s="15">
        <v>1450</v>
      </c>
      <c r="K142" s="7">
        <v>29</v>
      </c>
      <c r="L142" s="7">
        <f t="shared" si="25"/>
        <v>50</v>
      </c>
      <c r="M142" s="5" t="s">
        <v>9</v>
      </c>
      <c r="N142" s="5">
        <v>4</v>
      </c>
      <c r="O142" s="6">
        <f t="shared" si="26"/>
        <v>2.265625</v>
      </c>
      <c r="P142" s="6">
        <f t="shared" si="27"/>
        <v>0.23562499999999997</v>
      </c>
      <c r="Q142" s="10">
        <f t="shared" si="28"/>
        <v>4.9088541666666664E-3</v>
      </c>
      <c r="R142" s="10">
        <f t="shared" si="29"/>
        <v>2.9362169777582138E-2</v>
      </c>
      <c r="S142" s="10">
        <f t="shared" si="30"/>
        <v>3.4271023944248802E-2</v>
      </c>
    </row>
    <row r="143" spans="1:19" x14ac:dyDescent="0.25">
      <c r="A143" s="5" t="s">
        <v>8</v>
      </c>
      <c r="B143" s="5" t="s">
        <v>339</v>
      </c>
      <c r="C143" s="5" t="s">
        <v>27</v>
      </c>
      <c r="D143" s="5" t="s">
        <v>385</v>
      </c>
      <c r="E143" s="5" t="s">
        <v>384</v>
      </c>
      <c r="F143" s="5" t="s">
        <v>45</v>
      </c>
      <c r="G143" s="5" t="s">
        <v>390</v>
      </c>
      <c r="H143" s="5" t="s">
        <v>46</v>
      </c>
      <c r="I143" s="5" t="s">
        <v>216</v>
      </c>
      <c r="J143" s="15">
        <v>801</v>
      </c>
      <c r="K143" s="7">
        <v>28.6</v>
      </c>
      <c r="L143" s="7">
        <f t="shared" si="25"/>
        <v>28.006993006993007</v>
      </c>
      <c r="M143" s="5" t="s">
        <v>9</v>
      </c>
      <c r="N143" s="5">
        <v>4</v>
      </c>
      <c r="O143" s="6">
        <f t="shared" si="26"/>
        <v>0.39268607343268619</v>
      </c>
      <c r="P143" s="6">
        <f t="shared" si="27"/>
        <v>4.0839351636999366E-2</v>
      </c>
      <c r="Q143" s="10">
        <f t="shared" si="28"/>
        <v>8.5081982577081994E-4</v>
      </c>
      <c r="R143" s="10">
        <f t="shared" si="29"/>
        <v>7.8873524666107624E-3</v>
      </c>
      <c r="S143" s="10">
        <f t="shared" si="30"/>
        <v>8.7381722923815831E-3</v>
      </c>
    </row>
    <row r="144" spans="1:19" x14ac:dyDescent="0.25">
      <c r="A144" s="5" t="s">
        <v>22</v>
      </c>
      <c r="B144" s="5" t="s">
        <v>63</v>
      </c>
      <c r="C144" s="5" t="s">
        <v>27</v>
      </c>
      <c r="D144" s="5" t="s">
        <v>385</v>
      </c>
      <c r="E144" s="5" t="s">
        <v>384</v>
      </c>
      <c r="F144" s="5" t="s">
        <v>45</v>
      </c>
      <c r="G144" s="5" t="s">
        <v>390</v>
      </c>
      <c r="H144" s="5" t="s">
        <v>46</v>
      </c>
      <c r="I144" s="5" t="s">
        <v>152</v>
      </c>
      <c r="J144" s="15">
        <v>1900</v>
      </c>
      <c r="K144" s="7">
        <v>49.5</v>
      </c>
      <c r="L144" s="7">
        <f t="shared" si="25"/>
        <v>38.383838383838381</v>
      </c>
      <c r="M144" s="5" t="s">
        <v>9</v>
      </c>
      <c r="N144" s="5">
        <v>4</v>
      </c>
      <c r="O144" s="6">
        <f t="shared" si="26"/>
        <v>1.7495663707784919</v>
      </c>
      <c r="P144" s="6">
        <f t="shared" si="27"/>
        <v>0.18195490256096314</v>
      </c>
      <c r="Q144" s="10">
        <f t="shared" si="28"/>
        <v>3.7907271366867321E-3</v>
      </c>
      <c r="R144" s="10">
        <f t="shared" si="29"/>
        <v>2.4187720476462712E-2</v>
      </c>
      <c r="S144" s="10">
        <f t="shared" si="30"/>
        <v>2.7978447613149444E-2</v>
      </c>
    </row>
    <row r="145" spans="1:19" x14ac:dyDescent="0.25">
      <c r="A145" s="5" t="s">
        <v>8</v>
      </c>
      <c r="B145" s="5" t="s">
        <v>375</v>
      </c>
      <c r="C145" s="5" t="s">
        <v>27</v>
      </c>
      <c r="D145" s="5" t="s">
        <v>385</v>
      </c>
      <c r="E145" s="5" t="s">
        <v>384</v>
      </c>
      <c r="F145" s="5" t="s">
        <v>45</v>
      </c>
      <c r="G145" s="5" t="s">
        <v>390</v>
      </c>
      <c r="H145" s="5" t="s">
        <v>46</v>
      </c>
      <c r="I145" s="5" t="s">
        <v>152</v>
      </c>
      <c r="J145" s="15">
        <v>1900</v>
      </c>
      <c r="K145" s="7">
        <v>50</v>
      </c>
      <c r="L145" s="7">
        <f t="shared" si="25"/>
        <v>38</v>
      </c>
      <c r="M145" s="5" t="s">
        <v>9</v>
      </c>
      <c r="N145" s="5">
        <v>4</v>
      </c>
      <c r="O145" s="6">
        <f t="shared" si="26"/>
        <v>1.71475</v>
      </c>
      <c r="P145" s="6">
        <f t="shared" si="27"/>
        <v>0.17833399999999996</v>
      </c>
      <c r="Q145" s="10">
        <f t="shared" si="28"/>
        <v>3.7152916666666667E-3</v>
      </c>
      <c r="R145" s="10">
        <f t="shared" si="29"/>
        <v>2.3825813226263679E-2</v>
      </c>
      <c r="S145" s="10">
        <f t="shared" si="30"/>
        <v>2.7541104892930345E-2</v>
      </c>
    </row>
    <row r="146" spans="1:19" x14ac:dyDescent="0.25">
      <c r="A146" s="5" t="s">
        <v>22</v>
      </c>
      <c r="B146" s="5" t="s">
        <v>26</v>
      </c>
      <c r="C146" s="5" t="s">
        <v>27</v>
      </c>
      <c r="D146" s="5" t="s">
        <v>385</v>
      </c>
      <c r="E146" s="5" t="s">
        <v>384</v>
      </c>
      <c r="F146" s="5" t="s">
        <v>45</v>
      </c>
      <c r="G146" s="5" t="s">
        <v>390</v>
      </c>
      <c r="H146" s="5" t="s">
        <v>46</v>
      </c>
      <c r="I146" s="5" t="s">
        <v>48</v>
      </c>
      <c r="J146" s="15">
        <v>1150</v>
      </c>
      <c r="K146" s="7">
        <v>34</v>
      </c>
      <c r="L146" s="7">
        <f t="shared" si="25"/>
        <v>33.823529411764703</v>
      </c>
      <c r="M146" s="5" t="s">
        <v>9</v>
      </c>
      <c r="N146" s="5">
        <v>4</v>
      </c>
      <c r="O146" s="6">
        <f t="shared" si="26"/>
        <v>0.8222723832179929</v>
      </c>
      <c r="P146" s="6">
        <f t="shared" si="27"/>
        <v>8.5516327854671254E-2</v>
      </c>
      <c r="Q146" s="10">
        <f t="shared" si="28"/>
        <v>1.7815901636389845E-3</v>
      </c>
      <c r="R146" s="10">
        <f t="shared" si="29"/>
        <v>1.3729632180540055E-2</v>
      </c>
      <c r="S146" s="10">
        <f t="shared" si="30"/>
        <v>1.5511222344179039E-2</v>
      </c>
    </row>
    <row r="147" spans="1:19" x14ac:dyDescent="0.25">
      <c r="A147" s="5" t="s">
        <v>22</v>
      </c>
      <c r="B147" s="5" t="s">
        <v>26</v>
      </c>
      <c r="C147" s="5" t="s">
        <v>27</v>
      </c>
      <c r="D147" s="5" t="s">
        <v>385</v>
      </c>
      <c r="E147" s="5" t="s">
        <v>384</v>
      </c>
      <c r="F147" s="5" t="s">
        <v>45</v>
      </c>
      <c r="G147" s="5" t="s">
        <v>390</v>
      </c>
      <c r="H147" s="5" t="s">
        <v>46</v>
      </c>
      <c r="I147" s="5" t="s">
        <v>49</v>
      </c>
      <c r="J147" s="15">
        <v>1400</v>
      </c>
      <c r="K147" s="7">
        <v>37.5</v>
      </c>
      <c r="L147" s="7">
        <f t="shared" si="25"/>
        <v>37.333333333333336</v>
      </c>
      <c r="M147" s="5" t="s">
        <v>9</v>
      </c>
      <c r="N147" s="5">
        <v>4</v>
      </c>
      <c r="O147" s="6">
        <f t="shared" si="26"/>
        <v>1.2195555555555557</v>
      </c>
      <c r="P147" s="6">
        <f t="shared" si="27"/>
        <v>0.1268337777777778</v>
      </c>
      <c r="Q147" s="10">
        <f t="shared" si="28"/>
        <v>2.6423703703703709E-3</v>
      </c>
      <c r="R147" s="10">
        <f t="shared" si="29"/>
        <v>1.8452206917572135E-2</v>
      </c>
      <c r="S147" s="10">
        <f t="shared" si="30"/>
        <v>2.1094577287942506E-2</v>
      </c>
    </row>
    <row r="148" spans="1:19" x14ac:dyDescent="0.25">
      <c r="A148" s="5" t="s">
        <v>22</v>
      </c>
      <c r="B148" s="5" t="s">
        <v>26</v>
      </c>
      <c r="C148" s="5" t="s">
        <v>27</v>
      </c>
      <c r="D148" s="5" t="s">
        <v>385</v>
      </c>
      <c r="E148" s="5" t="s">
        <v>384</v>
      </c>
      <c r="F148" s="5" t="s">
        <v>45</v>
      </c>
      <c r="G148" s="5" t="s">
        <v>390</v>
      </c>
      <c r="H148" s="5" t="s">
        <v>46</v>
      </c>
      <c r="I148" s="5" t="s">
        <v>50</v>
      </c>
      <c r="J148" s="15">
        <v>1650</v>
      </c>
      <c r="K148" s="7">
        <v>30</v>
      </c>
      <c r="L148" s="7">
        <f t="shared" si="25"/>
        <v>55</v>
      </c>
      <c r="M148" s="5" t="s">
        <v>9</v>
      </c>
      <c r="N148" s="5">
        <v>4</v>
      </c>
      <c r="O148" s="6">
        <f t="shared" si="26"/>
        <v>3.1195312500000001</v>
      </c>
      <c r="P148" s="6">
        <f t="shared" si="27"/>
        <v>0.32443125</v>
      </c>
      <c r="Q148" s="10">
        <f t="shared" si="28"/>
        <v>6.7589843749999998E-3</v>
      </c>
      <c r="R148" s="10">
        <f t="shared" si="29"/>
        <v>3.7321933071527903E-2</v>
      </c>
      <c r="S148" s="10">
        <f t="shared" si="30"/>
        <v>4.4080917446527902E-2</v>
      </c>
    </row>
    <row r="149" spans="1:19" x14ac:dyDescent="0.25">
      <c r="A149" s="5" t="s">
        <v>8</v>
      </c>
      <c r="B149" s="5" t="s">
        <v>233</v>
      </c>
      <c r="C149" s="5" t="s">
        <v>27</v>
      </c>
      <c r="D149" s="5" t="s">
        <v>385</v>
      </c>
      <c r="E149" s="5" t="s">
        <v>384</v>
      </c>
      <c r="F149" s="5" t="s">
        <v>45</v>
      </c>
      <c r="G149" s="5" t="s">
        <v>390</v>
      </c>
      <c r="H149" s="5" t="s">
        <v>46</v>
      </c>
      <c r="I149" s="5" t="s">
        <v>234</v>
      </c>
      <c r="J149" s="15">
        <v>1350</v>
      </c>
      <c r="K149" s="7">
        <v>40</v>
      </c>
      <c r="L149" s="7">
        <f t="shared" si="25"/>
        <v>33.75</v>
      </c>
      <c r="M149" s="5" t="s">
        <v>9</v>
      </c>
      <c r="N149" s="5">
        <v>4</v>
      </c>
      <c r="O149" s="6">
        <f t="shared" si="26"/>
        <v>0.96108398437499998</v>
      </c>
      <c r="P149" s="6">
        <f t="shared" si="27"/>
        <v>9.9952734375000005E-2</v>
      </c>
      <c r="Q149" s="10">
        <f t="shared" si="28"/>
        <v>2.0823486328124998E-3</v>
      </c>
      <c r="R149" s="10">
        <f t="shared" si="29"/>
        <v>1.5433631599993865E-2</v>
      </c>
      <c r="S149" s="10">
        <f t="shared" si="30"/>
        <v>1.7515980232806365E-2</v>
      </c>
    </row>
    <row r="150" spans="1:19" x14ac:dyDescent="0.25">
      <c r="A150" s="5" t="s">
        <v>22</v>
      </c>
      <c r="B150" s="5" t="s">
        <v>26</v>
      </c>
      <c r="C150" s="5" t="s">
        <v>27</v>
      </c>
      <c r="D150" s="5" t="s">
        <v>385</v>
      </c>
      <c r="E150" s="5" t="s">
        <v>384</v>
      </c>
      <c r="F150" s="5" t="s">
        <v>45</v>
      </c>
      <c r="G150" s="5" t="s">
        <v>390</v>
      </c>
      <c r="H150" s="5" t="s">
        <v>46</v>
      </c>
      <c r="I150" s="5" t="s">
        <v>51</v>
      </c>
      <c r="J150" s="15">
        <v>1400</v>
      </c>
      <c r="K150" s="7">
        <v>40</v>
      </c>
      <c r="L150" s="7">
        <f t="shared" si="25"/>
        <v>35</v>
      </c>
      <c r="M150" s="5" t="s">
        <v>9</v>
      </c>
      <c r="N150" s="5">
        <v>4</v>
      </c>
      <c r="O150" s="6">
        <f t="shared" si="26"/>
        <v>1.0718749999999999</v>
      </c>
      <c r="P150" s="6">
        <f t="shared" si="27"/>
        <v>0.111475</v>
      </c>
      <c r="Q150" s="10">
        <f t="shared" si="28"/>
        <v>2.322395833333333E-3</v>
      </c>
      <c r="R150" s="10">
        <f t="shared" si="29"/>
        <v>1.6749630490436755E-2</v>
      </c>
      <c r="S150" s="10">
        <f t="shared" si="30"/>
        <v>1.9072026323770089E-2</v>
      </c>
    </row>
    <row r="151" spans="1:19" x14ac:dyDescent="0.25">
      <c r="A151" s="5" t="s">
        <v>8</v>
      </c>
      <c r="B151" s="5" t="s">
        <v>192</v>
      </c>
      <c r="C151" s="5" t="s">
        <v>27</v>
      </c>
      <c r="D151" s="5" t="s">
        <v>385</v>
      </c>
      <c r="E151" s="5" t="s">
        <v>384</v>
      </c>
      <c r="F151" s="5" t="s">
        <v>45</v>
      </c>
      <c r="G151" s="5" t="s">
        <v>390</v>
      </c>
      <c r="H151" s="5" t="s">
        <v>46</v>
      </c>
      <c r="I151" s="5" t="s">
        <v>213</v>
      </c>
      <c r="J151" s="15">
        <v>960</v>
      </c>
      <c r="K151" s="7">
        <v>25.9</v>
      </c>
      <c r="L151" s="7">
        <f t="shared" si="25"/>
        <v>37.06563706563707</v>
      </c>
      <c r="M151" s="5" t="s">
        <v>9</v>
      </c>
      <c r="N151" s="5">
        <v>4</v>
      </c>
      <c r="O151" s="6">
        <f t="shared" si="26"/>
        <v>0.82431687064891723</v>
      </c>
      <c r="P151" s="6">
        <f t="shared" si="27"/>
        <v>8.5728954547487371E-2</v>
      </c>
      <c r="Q151" s="10">
        <f t="shared" si="28"/>
        <v>1.7860198864059873E-3</v>
      </c>
      <c r="R151" s="10">
        <f t="shared" si="29"/>
        <v>1.3755227116500256E-2</v>
      </c>
      <c r="S151" s="10">
        <f t="shared" si="30"/>
        <v>1.5541247002906242E-2</v>
      </c>
    </row>
    <row r="152" spans="1:19" x14ac:dyDescent="0.25">
      <c r="A152" s="5" t="s">
        <v>22</v>
      </c>
      <c r="B152" s="5" t="s">
        <v>63</v>
      </c>
      <c r="C152" s="5" t="s">
        <v>27</v>
      </c>
      <c r="D152" s="5" t="s">
        <v>385</v>
      </c>
      <c r="E152" s="5" t="s">
        <v>384</v>
      </c>
      <c r="F152" s="5" t="s">
        <v>45</v>
      </c>
      <c r="G152" s="5" t="s">
        <v>390</v>
      </c>
      <c r="H152" s="5" t="s">
        <v>46</v>
      </c>
      <c r="I152" s="5" t="s">
        <v>153</v>
      </c>
      <c r="J152" s="15">
        <v>1620</v>
      </c>
      <c r="K152" s="7">
        <v>41</v>
      </c>
      <c r="L152" s="7">
        <f t="shared" si="25"/>
        <v>39.512195121951223</v>
      </c>
      <c r="M152" s="5" t="s">
        <v>9</v>
      </c>
      <c r="N152" s="5">
        <v>4</v>
      </c>
      <c r="O152" s="6">
        <f t="shared" si="26"/>
        <v>1.5807287328970852</v>
      </c>
      <c r="P152" s="6">
        <f t="shared" si="27"/>
        <v>0.16439578822129686</v>
      </c>
      <c r="Q152" s="10">
        <f t="shared" si="28"/>
        <v>3.424912254610351E-3</v>
      </c>
      <c r="R152" s="10">
        <f t="shared" si="29"/>
        <v>2.241507183266496E-2</v>
      </c>
      <c r="S152" s="10">
        <f t="shared" si="30"/>
        <v>2.5839984087275312E-2</v>
      </c>
    </row>
    <row r="153" spans="1:19" x14ac:dyDescent="0.25">
      <c r="A153" s="5" t="s">
        <v>8</v>
      </c>
      <c r="B153" s="5" t="s">
        <v>375</v>
      </c>
      <c r="C153" s="5" t="s">
        <v>27</v>
      </c>
      <c r="D153" s="5" t="s">
        <v>385</v>
      </c>
      <c r="E153" s="5" t="s">
        <v>384</v>
      </c>
      <c r="F153" s="5" t="s">
        <v>45</v>
      </c>
      <c r="G153" s="5" t="s">
        <v>390</v>
      </c>
      <c r="H153" s="5" t="s">
        <v>46</v>
      </c>
      <c r="I153" s="5" t="s">
        <v>153</v>
      </c>
      <c r="J153" s="15">
        <v>1570</v>
      </c>
      <c r="K153" s="7">
        <v>41.7</v>
      </c>
      <c r="L153" s="7">
        <f t="shared" si="25"/>
        <v>37.649880095923258</v>
      </c>
      <c r="M153" s="5" t="s">
        <v>9</v>
      </c>
      <c r="N153" s="5">
        <v>4</v>
      </c>
      <c r="O153" s="6">
        <f t="shared" si="26"/>
        <v>1.3909350936516971</v>
      </c>
      <c r="P153" s="6">
        <f t="shared" si="27"/>
        <v>0.14465724973977651</v>
      </c>
      <c r="Q153" s="10">
        <f t="shared" si="28"/>
        <v>3.01369270291201E-3</v>
      </c>
      <c r="R153" s="10">
        <f t="shared" si="29"/>
        <v>2.0364665116242991E-2</v>
      </c>
      <c r="S153" s="10">
        <f t="shared" si="30"/>
        <v>2.3378357819155003E-2</v>
      </c>
    </row>
    <row r="154" spans="1:19" x14ac:dyDescent="0.25">
      <c r="A154" s="5" t="s">
        <v>22</v>
      </c>
      <c r="B154" s="5" t="s">
        <v>63</v>
      </c>
      <c r="C154" s="5" t="s">
        <v>27</v>
      </c>
      <c r="D154" s="5" t="s">
        <v>385</v>
      </c>
      <c r="E154" s="5" t="s">
        <v>384</v>
      </c>
      <c r="F154" s="5" t="s">
        <v>45</v>
      </c>
      <c r="G154" s="5" t="s">
        <v>390</v>
      </c>
      <c r="H154" s="5" t="s">
        <v>74</v>
      </c>
      <c r="I154" s="5" t="s">
        <v>24</v>
      </c>
      <c r="J154" s="15">
        <v>1200</v>
      </c>
      <c r="K154" s="7">
        <v>33</v>
      </c>
      <c r="L154" s="7">
        <f t="shared" si="25"/>
        <v>36.363636363636367</v>
      </c>
      <c r="M154" s="5" t="s">
        <v>9</v>
      </c>
      <c r="N154" s="5">
        <v>4</v>
      </c>
      <c r="O154" s="6">
        <f t="shared" si="26"/>
        <v>0.99173553719008278</v>
      </c>
      <c r="P154" s="6">
        <f t="shared" si="27"/>
        <v>0.10314049586776862</v>
      </c>
      <c r="Q154" s="10">
        <f t="shared" si="28"/>
        <v>2.1487603305785125E-3</v>
      </c>
      <c r="R154" s="10">
        <f t="shared" si="29"/>
        <v>1.5801344117068697E-2</v>
      </c>
      <c r="S154" s="10">
        <f t="shared" si="30"/>
        <v>1.7950104447647209E-2</v>
      </c>
    </row>
    <row r="155" spans="1:19" x14ac:dyDescent="0.25">
      <c r="J155" s="16">
        <f t="shared" ref="J155:S155" si="31">AVERAGE(J6:J154)</f>
        <v>2290.6778523489934</v>
      </c>
      <c r="K155" s="12">
        <f t="shared" si="31"/>
        <v>34.187919463087255</v>
      </c>
      <c r="L155" s="12">
        <f t="shared" si="31"/>
        <v>68.443651315698659</v>
      </c>
      <c r="M155" s="11" t="e">
        <f t="shared" si="31"/>
        <v>#DIV/0!</v>
      </c>
      <c r="N155" s="11">
        <f t="shared" si="31"/>
        <v>4</v>
      </c>
      <c r="O155" s="13">
        <f t="shared" si="31"/>
        <v>10.929448999156381</v>
      </c>
      <c r="P155" s="13">
        <f t="shared" si="31"/>
        <v>1.1366626959122634</v>
      </c>
      <c r="Q155" s="14">
        <f t="shared" si="31"/>
        <v>2.3680472831505487E-2</v>
      </c>
      <c r="R155" s="14">
        <f t="shared" si="31"/>
        <v>8.2682152056151093E-2</v>
      </c>
      <c r="S155" s="14">
        <f t="shared" si="31"/>
        <v>0.10636262488765655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0"/>
  <sheetViews>
    <sheetView topLeftCell="G1" workbookViewId="0">
      <pane ySplit="1" topLeftCell="A176" activePane="bottomLeft" state="frozen"/>
      <selection pane="bottomLeft" activeCell="G186" sqref="A186:XFD186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905</v>
      </c>
      <c r="K2" s="7">
        <v>17.5</v>
      </c>
      <c r="L2" s="7">
        <f t="shared" ref="L2:L12" si="0">J2/K2</f>
        <v>51.714285714285715</v>
      </c>
      <c r="M2" s="5" t="s">
        <v>10</v>
      </c>
      <c r="N2" s="5">
        <v>4</v>
      </c>
      <c r="O2" s="6">
        <f t="shared" ref="O2:O12" si="1">(J2*L2^2)/(1.6*10^6)</f>
        <v>1.5126890306122449</v>
      </c>
      <c r="P2" s="6">
        <f t="shared" ref="P2:P12" si="2">(0.104*J2*L2^2)/(1.6*10^6)</f>
        <v>0.15731965918367344</v>
      </c>
      <c r="Q2" s="10">
        <f t="shared" ref="Q2:Q12" si="3">(0.104*O2)/(12*N2)</f>
        <v>3.2774928996598639E-3</v>
      </c>
      <c r="R2" s="10">
        <f t="shared" ref="R2:R12" si="4">0.0159*O2^0.75</f>
        <v>2.16874937766043E-2</v>
      </c>
      <c r="S2" s="10">
        <f t="shared" ref="S2:S12" si="5">Q2+R2</f>
        <v>2.4964986676264164E-2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1000</v>
      </c>
      <c r="K3" s="7">
        <v>18</v>
      </c>
      <c r="L3" s="7">
        <f t="shared" si="0"/>
        <v>55.555555555555557</v>
      </c>
      <c r="M3" s="5" t="s">
        <v>10</v>
      </c>
      <c r="N3" s="5">
        <v>4</v>
      </c>
      <c r="O3" s="6">
        <f t="shared" si="1"/>
        <v>1.9290123456790123</v>
      </c>
      <c r="P3" s="6">
        <f t="shared" si="2"/>
        <v>0.20061728395061729</v>
      </c>
      <c r="Q3" s="10">
        <f t="shared" si="3"/>
        <v>4.1795267489711926E-3</v>
      </c>
      <c r="R3" s="10">
        <f t="shared" si="4"/>
        <v>2.602545791867154E-2</v>
      </c>
      <c r="S3" s="10">
        <f t="shared" si="5"/>
        <v>3.0204984667642733E-2</v>
      </c>
    </row>
    <row r="4" spans="1:19" x14ac:dyDescent="0.25">
      <c r="A4" s="5" t="s">
        <v>8</v>
      </c>
      <c r="B4" s="5" t="s">
        <v>322</v>
      </c>
      <c r="C4" s="5" t="s">
        <v>27</v>
      </c>
      <c r="D4" s="5" t="s">
        <v>389</v>
      </c>
      <c r="E4" s="5" t="s">
        <v>388</v>
      </c>
      <c r="F4" s="5" t="s">
        <v>135</v>
      </c>
      <c r="G4" s="5" t="s">
        <v>407</v>
      </c>
      <c r="H4" s="5" t="s">
        <v>29</v>
      </c>
      <c r="I4" s="5" t="s">
        <v>13</v>
      </c>
      <c r="J4" s="15">
        <v>1100</v>
      </c>
      <c r="K4" s="7">
        <v>34</v>
      </c>
      <c r="L4" s="7">
        <f t="shared" si="0"/>
        <v>32.352941176470587</v>
      </c>
      <c r="M4" s="5" t="s">
        <v>10</v>
      </c>
      <c r="N4" s="5">
        <v>4</v>
      </c>
      <c r="O4" s="6">
        <f t="shared" si="1"/>
        <v>0.71961505190311426</v>
      </c>
      <c r="P4" s="6">
        <f t="shared" si="2"/>
        <v>7.4839965397923869E-2</v>
      </c>
      <c r="Q4" s="10">
        <f t="shared" si="3"/>
        <v>1.559165945790081E-3</v>
      </c>
      <c r="R4" s="10">
        <f t="shared" si="4"/>
        <v>1.2422880378669576E-2</v>
      </c>
      <c r="S4" s="10">
        <f t="shared" si="5"/>
        <v>1.3982046324459657E-2</v>
      </c>
    </row>
    <row r="5" spans="1:19" x14ac:dyDescent="0.25">
      <c r="A5" s="5" t="s">
        <v>22</v>
      </c>
      <c r="B5" s="5" t="s">
        <v>63</v>
      </c>
      <c r="C5" s="5" t="s">
        <v>27</v>
      </c>
      <c r="D5" s="5" t="s">
        <v>389</v>
      </c>
      <c r="E5" s="5" t="s">
        <v>388</v>
      </c>
      <c r="F5" s="5" t="s">
        <v>28</v>
      </c>
      <c r="G5" s="5" t="s">
        <v>398</v>
      </c>
      <c r="H5" s="5" t="s">
        <v>133</v>
      </c>
      <c r="I5" s="5" t="s">
        <v>134</v>
      </c>
      <c r="J5" s="15">
        <v>1075</v>
      </c>
      <c r="K5" s="7">
        <v>42</v>
      </c>
      <c r="L5" s="7">
        <f t="shared" si="0"/>
        <v>25.595238095238095</v>
      </c>
      <c r="M5" s="5" t="s">
        <v>10</v>
      </c>
      <c r="N5" s="5">
        <v>4</v>
      </c>
      <c r="O5" s="6">
        <f t="shared" si="1"/>
        <v>0.44015620571145125</v>
      </c>
      <c r="P5" s="6">
        <f t="shared" si="2"/>
        <v>4.577624539399093E-2</v>
      </c>
      <c r="Q5" s="10">
        <f t="shared" si="3"/>
        <v>9.5367177904147771E-4</v>
      </c>
      <c r="R5" s="10">
        <f t="shared" si="4"/>
        <v>8.5921578355539034E-3</v>
      </c>
      <c r="S5" s="10">
        <f t="shared" si="5"/>
        <v>9.5458296145953803E-3</v>
      </c>
    </row>
    <row r="6" spans="1:19" x14ac:dyDescent="0.25">
      <c r="A6" s="5" t="s">
        <v>22</v>
      </c>
      <c r="B6" s="5" t="s">
        <v>63</v>
      </c>
      <c r="C6" s="5" t="s">
        <v>27</v>
      </c>
      <c r="D6" s="5" t="s">
        <v>389</v>
      </c>
      <c r="E6" s="5" t="s">
        <v>388</v>
      </c>
      <c r="F6" s="5" t="s">
        <v>28</v>
      </c>
      <c r="G6" s="5" t="s">
        <v>398</v>
      </c>
      <c r="H6" s="5" t="s">
        <v>133</v>
      </c>
      <c r="I6" s="5" t="s">
        <v>25</v>
      </c>
      <c r="J6" s="15">
        <v>2100</v>
      </c>
      <c r="K6" s="7">
        <v>49</v>
      </c>
      <c r="L6" s="7">
        <f t="shared" si="0"/>
        <v>42.857142857142854</v>
      </c>
      <c r="M6" s="5" t="s">
        <v>10</v>
      </c>
      <c r="N6" s="5">
        <v>4</v>
      </c>
      <c r="O6" s="6">
        <f t="shared" si="1"/>
        <v>2.4107142857142856</v>
      </c>
      <c r="P6" s="6">
        <f t="shared" si="2"/>
        <v>0.25071428571428567</v>
      </c>
      <c r="Q6" s="10">
        <f t="shared" si="3"/>
        <v>5.223214285714285E-3</v>
      </c>
      <c r="R6" s="10">
        <f t="shared" si="4"/>
        <v>3.0761423617006903E-2</v>
      </c>
      <c r="S6" s="10">
        <f t="shared" si="5"/>
        <v>3.5984637902721189E-2</v>
      </c>
    </row>
    <row r="7" spans="1:19" x14ac:dyDescent="0.25">
      <c r="A7" s="5" t="s">
        <v>22</v>
      </c>
      <c r="B7" s="5" t="s">
        <v>63</v>
      </c>
      <c r="C7" s="5" t="s">
        <v>27</v>
      </c>
      <c r="D7" s="5" t="s">
        <v>389</v>
      </c>
      <c r="E7" s="5" t="s">
        <v>396</v>
      </c>
      <c r="F7" s="5" t="s">
        <v>136</v>
      </c>
      <c r="G7" s="5" t="s">
        <v>399</v>
      </c>
      <c r="H7" s="5" t="s">
        <v>137</v>
      </c>
      <c r="I7" s="5" t="s">
        <v>138</v>
      </c>
      <c r="J7" s="15">
        <v>1110</v>
      </c>
      <c r="K7" s="7">
        <v>29</v>
      </c>
      <c r="L7" s="7">
        <f t="shared" si="0"/>
        <v>38.275862068965516</v>
      </c>
      <c r="M7" s="5" t="s">
        <v>10</v>
      </c>
      <c r="N7" s="5">
        <v>4</v>
      </c>
      <c r="O7" s="6">
        <f t="shared" si="1"/>
        <v>1.0163726218787157</v>
      </c>
      <c r="P7" s="6">
        <f t="shared" si="2"/>
        <v>0.10570275267538644</v>
      </c>
      <c r="Q7" s="10">
        <f t="shared" si="3"/>
        <v>2.202140680737217E-3</v>
      </c>
      <c r="R7" s="10">
        <f t="shared" si="4"/>
        <v>1.609484663594286E-2</v>
      </c>
      <c r="S7" s="10">
        <f t="shared" si="5"/>
        <v>1.8296987316680079E-2</v>
      </c>
    </row>
    <row r="8" spans="1:19" x14ac:dyDescent="0.25">
      <c r="A8" s="5" t="s">
        <v>22</v>
      </c>
      <c r="B8" s="5" t="s">
        <v>63</v>
      </c>
      <c r="C8" s="5" t="s">
        <v>27</v>
      </c>
      <c r="D8" s="5" t="s">
        <v>389</v>
      </c>
      <c r="E8" s="5" t="s">
        <v>396</v>
      </c>
      <c r="F8" s="5" t="s">
        <v>136</v>
      </c>
      <c r="G8" s="5" t="s">
        <v>399</v>
      </c>
      <c r="H8" s="5" t="s">
        <v>139</v>
      </c>
      <c r="I8" s="5" t="s">
        <v>17</v>
      </c>
      <c r="J8" s="15">
        <v>935</v>
      </c>
      <c r="K8" s="7">
        <v>26</v>
      </c>
      <c r="L8" s="7">
        <f t="shared" si="0"/>
        <v>35.96153846153846</v>
      </c>
      <c r="M8" s="5" t="s">
        <v>10</v>
      </c>
      <c r="N8" s="5">
        <v>4</v>
      </c>
      <c r="O8" s="6">
        <f t="shared" si="1"/>
        <v>0.75573259522928993</v>
      </c>
      <c r="P8" s="6">
        <f t="shared" si="2"/>
        <v>7.8596189903846134E-2</v>
      </c>
      <c r="Q8" s="10">
        <f t="shared" si="3"/>
        <v>1.6374206229967947E-3</v>
      </c>
      <c r="R8" s="10">
        <f t="shared" si="4"/>
        <v>1.2887635362542798E-2</v>
      </c>
      <c r="S8" s="10">
        <f t="shared" si="5"/>
        <v>1.4525055985539593E-2</v>
      </c>
    </row>
    <row r="9" spans="1:19" x14ac:dyDescent="0.25">
      <c r="A9" s="5" t="s">
        <v>8</v>
      </c>
      <c r="B9" s="5" t="s">
        <v>224</v>
      </c>
      <c r="C9" s="5" t="s">
        <v>27</v>
      </c>
      <c r="D9" s="5" t="s">
        <v>389</v>
      </c>
      <c r="E9" s="5" t="s">
        <v>396</v>
      </c>
      <c r="F9" s="5" t="s">
        <v>136</v>
      </c>
      <c r="G9" s="5" t="s">
        <v>399</v>
      </c>
      <c r="H9" s="5" t="s">
        <v>139</v>
      </c>
      <c r="I9" s="5" t="s">
        <v>17</v>
      </c>
      <c r="J9" s="15">
        <v>800</v>
      </c>
      <c r="K9" s="7">
        <v>25.3</v>
      </c>
      <c r="L9" s="7">
        <f t="shared" si="0"/>
        <v>31.620553359683793</v>
      </c>
      <c r="M9" s="5" t="s">
        <v>10</v>
      </c>
      <c r="N9" s="5">
        <v>4</v>
      </c>
      <c r="O9" s="6">
        <f t="shared" si="1"/>
        <v>0.49992969738630499</v>
      </c>
      <c r="P9" s="6">
        <f t="shared" si="2"/>
        <v>5.1992688528175721E-2</v>
      </c>
      <c r="Q9" s="10">
        <f t="shared" si="3"/>
        <v>1.0831810110036608E-3</v>
      </c>
      <c r="R9" s="10">
        <f t="shared" si="4"/>
        <v>9.4531995646547125E-3</v>
      </c>
      <c r="S9" s="10">
        <f t="shared" si="5"/>
        <v>1.0536380575658373E-2</v>
      </c>
    </row>
    <row r="10" spans="1:19" x14ac:dyDescent="0.25">
      <c r="A10" s="5" t="s">
        <v>22</v>
      </c>
      <c r="B10" s="5" t="s">
        <v>63</v>
      </c>
      <c r="C10" s="5" t="s">
        <v>27</v>
      </c>
      <c r="D10" s="5" t="s">
        <v>389</v>
      </c>
      <c r="E10" s="5" t="s">
        <v>396</v>
      </c>
      <c r="F10" s="5" t="s">
        <v>136</v>
      </c>
      <c r="G10" s="5" t="s">
        <v>399</v>
      </c>
      <c r="H10" s="5" t="s">
        <v>139</v>
      </c>
      <c r="I10" s="5" t="s">
        <v>140</v>
      </c>
      <c r="J10" s="15">
        <v>940</v>
      </c>
      <c r="K10" s="7">
        <v>26.5</v>
      </c>
      <c r="L10" s="7">
        <f t="shared" si="0"/>
        <v>35.471698113207545</v>
      </c>
      <c r="M10" s="5" t="s">
        <v>10</v>
      </c>
      <c r="N10" s="5">
        <v>4</v>
      </c>
      <c r="O10" s="6">
        <f t="shared" si="1"/>
        <v>0.73921680313278748</v>
      </c>
      <c r="P10" s="6">
        <f t="shared" si="2"/>
        <v>7.6878547525809887E-2</v>
      </c>
      <c r="Q10" s="10">
        <f t="shared" si="3"/>
        <v>1.6016364067877062E-3</v>
      </c>
      <c r="R10" s="10">
        <f t="shared" si="4"/>
        <v>1.2675818060723713E-2</v>
      </c>
      <c r="S10" s="10">
        <f t="shared" si="5"/>
        <v>1.4277454467511419E-2</v>
      </c>
    </row>
    <row r="11" spans="1:19" x14ac:dyDescent="0.25">
      <c r="A11" s="5" t="s">
        <v>8</v>
      </c>
      <c r="B11" s="5" t="s">
        <v>224</v>
      </c>
      <c r="C11" s="5" t="s">
        <v>27</v>
      </c>
      <c r="D11" s="5" t="s">
        <v>389</v>
      </c>
      <c r="E11" s="5" t="s">
        <v>396</v>
      </c>
      <c r="F11" s="5" t="s">
        <v>136</v>
      </c>
      <c r="G11" s="5" t="s">
        <v>399</v>
      </c>
      <c r="H11" s="5" t="s">
        <v>139</v>
      </c>
      <c r="I11" s="5" t="s">
        <v>140</v>
      </c>
      <c r="J11" s="15">
        <v>970</v>
      </c>
      <c r="K11" s="7">
        <v>26.7</v>
      </c>
      <c r="L11" s="7">
        <f t="shared" si="0"/>
        <v>36.329588014981276</v>
      </c>
      <c r="M11" s="5" t="s">
        <v>10</v>
      </c>
      <c r="N11" s="5">
        <v>4</v>
      </c>
      <c r="O11" s="6">
        <f t="shared" si="1"/>
        <v>0.80015237273632689</v>
      </c>
      <c r="P11" s="6">
        <f t="shared" si="2"/>
        <v>8.3215846764577994E-2</v>
      </c>
      <c r="Q11" s="10">
        <f t="shared" si="3"/>
        <v>1.7336634742620416E-3</v>
      </c>
      <c r="R11" s="10">
        <f t="shared" si="4"/>
        <v>1.3451683716266281E-2</v>
      </c>
      <c r="S11" s="10">
        <f t="shared" si="5"/>
        <v>1.5185347190528322E-2</v>
      </c>
    </row>
    <row r="12" spans="1:19" x14ac:dyDescent="0.25">
      <c r="A12" s="5" t="s">
        <v>8</v>
      </c>
      <c r="B12" s="5" t="s">
        <v>224</v>
      </c>
      <c r="C12" s="5" t="s">
        <v>27</v>
      </c>
      <c r="D12" s="5" t="s">
        <v>389</v>
      </c>
      <c r="E12" s="5" t="s">
        <v>396</v>
      </c>
      <c r="F12" s="5" t="s">
        <v>136</v>
      </c>
      <c r="G12" s="5" t="s">
        <v>399</v>
      </c>
      <c r="H12" s="5" t="s">
        <v>139</v>
      </c>
      <c r="I12" s="5" t="s">
        <v>225</v>
      </c>
      <c r="J12" s="15">
        <v>820</v>
      </c>
      <c r="K12" s="7">
        <v>19.8</v>
      </c>
      <c r="L12" s="7">
        <f t="shared" si="0"/>
        <v>41.414141414141412</v>
      </c>
      <c r="M12" s="5" t="s">
        <v>10</v>
      </c>
      <c r="N12" s="5">
        <v>4</v>
      </c>
      <c r="O12" s="6">
        <f t="shared" si="1"/>
        <v>0.87900469339863263</v>
      </c>
      <c r="P12" s="6">
        <f t="shared" si="2"/>
        <v>9.1416488113457803E-2</v>
      </c>
      <c r="Q12" s="10">
        <f t="shared" si="3"/>
        <v>1.9045101690303705E-3</v>
      </c>
      <c r="R12" s="10">
        <f t="shared" si="4"/>
        <v>1.4434126921592894E-2</v>
      </c>
      <c r="S12" s="10">
        <f t="shared" si="5"/>
        <v>1.6338637090623265E-2</v>
      </c>
    </row>
    <row r="13" spans="1:19" x14ac:dyDescent="0.25">
      <c r="J13" s="16">
        <f>AVERAGE(J2:J12)</f>
        <v>1068.6363636363637</v>
      </c>
      <c r="K13" s="12">
        <f t="shared" ref="K13:S13" si="6">AVERAGE(K2:K12)</f>
        <v>28.527272727272727</v>
      </c>
      <c r="L13" s="12">
        <f t="shared" si="6"/>
        <v>38.831685893746439</v>
      </c>
      <c r="M13" s="11" t="e">
        <f t="shared" si="6"/>
        <v>#DIV/0!</v>
      </c>
      <c r="N13" s="11">
        <f t="shared" si="6"/>
        <v>4</v>
      </c>
      <c r="O13" s="13">
        <f t="shared" si="6"/>
        <v>1.063872336671106</v>
      </c>
      <c r="P13" s="13">
        <f t="shared" si="6"/>
        <v>0.11064272301379502</v>
      </c>
      <c r="Q13" s="14">
        <f t="shared" si="6"/>
        <v>2.3050567294540633E-3</v>
      </c>
      <c r="R13" s="14">
        <f t="shared" si="6"/>
        <v>1.6226065798929955E-2</v>
      </c>
      <c r="S13" s="14">
        <f t="shared" si="6"/>
        <v>1.8531122528384018E-2</v>
      </c>
    </row>
    <row r="14" spans="1:19" x14ac:dyDescent="0.25">
      <c r="A14" s="5" t="s">
        <v>8</v>
      </c>
      <c r="B14" s="5" t="s">
        <v>277</v>
      </c>
      <c r="C14" s="5" t="s">
        <v>27</v>
      </c>
      <c r="D14" s="5" t="s">
        <v>385</v>
      </c>
      <c r="E14" s="5" t="s">
        <v>387</v>
      </c>
      <c r="F14" s="5" t="s">
        <v>52</v>
      </c>
      <c r="G14" s="5" t="s">
        <v>386</v>
      </c>
      <c r="H14" s="5" t="s">
        <v>58</v>
      </c>
      <c r="I14" s="5" t="s">
        <v>278</v>
      </c>
      <c r="J14" s="15">
        <v>1640</v>
      </c>
      <c r="K14" s="7">
        <v>30.3</v>
      </c>
      <c r="L14" s="7">
        <f t="shared" ref="L14:L76" si="7">J14/K14</f>
        <v>54.125412541254121</v>
      </c>
      <c r="M14" s="5" t="s">
        <v>10</v>
      </c>
      <c r="N14" s="5">
        <v>4</v>
      </c>
      <c r="O14" s="6">
        <f t="shared" ref="O14:O76" si="8">(J14*L14^2)/(1.6*10^6)</f>
        <v>3.0027992898299734</v>
      </c>
      <c r="P14" s="6">
        <f t="shared" ref="P14:P76" si="9">(0.104*J14*L14^2)/(1.6*10^6)</f>
        <v>0.31229112614231719</v>
      </c>
      <c r="Q14" s="10">
        <f t="shared" ref="Q14:Q76" si="10">(0.104*O14)/(12*N14)</f>
        <v>6.5060651279649417E-3</v>
      </c>
      <c r="R14" s="10">
        <f t="shared" ref="R14:R76" si="11">0.0159*O14^0.75</f>
        <v>3.6269523726956437E-2</v>
      </c>
      <c r="S14" s="10">
        <f t="shared" ref="S14:S76" si="12">Q14+R14</f>
        <v>4.277558885492138E-2</v>
      </c>
    </row>
    <row r="15" spans="1:19" x14ac:dyDescent="0.25">
      <c r="A15" s="5" t="s">
        <v>8</v>
      </c>
      <c r="B15" s="5" t="s">
        <v>291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278</v>
      </c>
      <c r="J15" s="15">
        <v>1650</v>
      </c>
      <c r="K15" s="7">
        <v>31</v>
      </c>
      <c r="L15" s="7">
        <f t="shared" si="7"/>
        <v>53.225806451612904</v>
      </c>
      <c r="M15" s="5" t="s">
        <v>10</v>
      </c>
      <c r="N15" s="5">
        <v>4</v>
      </c>
      <c r="O15" s="6">
        <f t="shared" si="8"/>
        <v>2.9215172996878254</v>
      </c>
      <c r="P15" s="6">
        <f t="shared" si="9"/>
        <v>0.30383779916753384</v>
      </c>
      <c r="Q15" s="10">
        <f t="shared" si="10"/>
        <v>6.3299541493236217E-3</v>
      </c>
      <c r="R15" s="10">
        <f t="shared" si="11"/>
        <v>3.5530676056027069E-2</v>
      </c>
      <c r="S15" s="10">
        <f t="shared" si="12"/>
        <v>4.1860630205350691E-2</v>
      </c>
    </row>
    <row r="16" spans="1:19" x14ac:dyDescent="0.25">
      <c r="A16" s="5" t="s">
        <v>8</v>
      </c>
      <c r="B16" s="5" t="s">
        <v>291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257</v>
      </c>
      <c r="J16" s="15">
        <v>3850</v>
      </c>
      <c r="K16" s="7">
        <v>49</v>
      </c>
      <c r="L16" s="7">
        <f t="shared" si="7"/>
        <v>78.571428571428569</v>
      </c>
      <c r="M16" s="5" t="s">
        <v>10</v>
      </c>
      <c r="N16" s="5">
        <v>4</v>
      </c>
      <c r="O16" s="6">
        <f t="shared" si="8"/>
        <v>14.854910714285714</v>
      </c>
      <c r="P16" s="6">
        <f t="shared" si="9"/>
        <v>1.5449107142857141</v>
      </c>
      <c r="Q16" s="10">
        <f t="shared" si="10"/>
        <v>3.2185639880952376E-2</v>
      </c>
      <c r="R16" s="10">
        <f t="shared" si="11"/>
        <v>0.12030942708411221</v>
      </c>
      <c r="S16" s="10">
        <f t="shared" si="12"/>
        <v>0.1524950669650646</v>
      </c>
    </row>
    <row r="17" spans="1:19" x14ac:dyDescent="0.25">
      <c r="A17" s="5" t="s">
        <v>8</v>
      </c>
      <c r="B17" s="5" t="s">
        <v>291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292</v>
      </c>
      <c r="J17" s="15">
        <v>2300</v>
      </c>
      <c r="K17" s="7">
        <v>32.5</v>
      </c>
      <c r="L17" s="7">
        <f t="shared" si="7"/>
        <v>70.769230769230774</v>
      </c>
      <c r="M17" s="5" t="s">
        <v>10</v>
      </c>
      <c r="N17" s="5">
        <v>4</v>
      </c>
      <c r="O17" s="6">
        <f t="shared" si="8"/>
        <v>7.1994082840236695</v>
      </c>
      <c r="P17" s="6">
        <f t="shared" si="9"/>
        <v>0.74873846153846157</v>
      </c>
      <c r="Q17" s="10">
        <f t="shared" si="10"/>
        <v>1.5598717948717949E-2</v>
      </c>
      <c r="R17" s="10">
        <f t="shared" si="11"/>
        <v>6.9882708172427616E-2</v>
      </c>
      <c r="S17" s="10">
        <f t="shared" si="12"/>
        <v>8.5481426121145565E-2</v>
      </c>
    </row>
    <row r="18" spans="1:19" x14ac:dyDescent="0.25">
      <c r="A18" s="5" t="s">
        <v>8</v>
      </c>
      <c r="B18" s="5" t="s">
        <v>319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320</v>
      </c>
      <c r="J18" s="15">
        <v>2815</v>
      </c>
      <c r="K18" s="7">
        <v>31.3</v>
      </c>
      <c r="L18" s="7">
        <f t="shared" si="7"/>
        <v>89.936102236421718</v>
      </c>
      <c r="M18" s="5" t="s">
        <v>10</v>
      </c>
      <c r="N18" s="5">
        <v>4</v>
      </c>
      <c r="O18" s="6">
        <f t="shared" si="8"/>
        <v>14.23070906039155</v>
      </c>
      <c r="P18" s="6">
        <f t="shared" si="9"/>
        <v>1.4799937422807212</v>
      </c>
      <c r="Q18" s="10">
        <f t="shared" si="10"/>
        <v>3.0833202964181693E-2</v>
      </c>
      <c r="R18" s="10">
        <f t="shared" si="11"/>
        <v>0.11649761361336987</v>
      </c>
      <c r="S18" s="10">
        <f t="shared" si="12"/>
        <v>0.14733081657755157</v>
      </c>
    </row>
    <row r="19" spans="1:19" x14ac:dyDescent="0.25">
      <c r="A19" s="5" t="s">
        <v>22</v>
      </c>
      <c r="B19" s="5" t="s">
        <v>26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59</v>
      </c>
      <c r="J19" s="15">
        <v>1800</v>
      </c>
      <c r="K19" s="7">
        <v>32</v>
      </c>
      <c r="L19" s="7">
        <f t="shared" si="7"/>
        <v>56.25</v>
      </c>
      <c r="M19" s="5" t="s">
        <v>10</v>
      </c>
      <c r="N19" s="5">
        <v>4</v>
      </c>
      <c r="O19" s="6">
        <f t="shared" si="8"/>
        <v>3.5595703125</v>
      </c>
      <c r="P19" s="6">
        <f t="shared" si="9"/>
        <v>0.37019531249999998</v>
      </c>
      <c r="Q19" s="10">
        <f t="shared" si="10"/>
        <v>7.71240234375E-3</v>
      </c>
      <c r="R19" s="10">
        <f t="shared" si="11"/>
        <v>4.1204562411128992E-2</v>
      </c>
      <c r="S19" s="10">
        <f t="shared" si="12"/>
        <v>4.8916964754878993E-2</v>
      </c>
    </row>
    <row r="20" spans="1:19" x14ac:dyDescent="0.25">
      <c r="A20" s="5" t="s">
        <v>8</v>
      </c>
      <c r="B20" s="5" t="s">
        <v>291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59</v>
      </c>
      <c r="J20" s="15">
        <v>1800</v>
      </c>
      <c r="K20" s="7">
        <v>32</v>
      </c>
      <c r="L20" s="7">
        <f t="shared" si="7"/>
        <v>56.25</v>
      </c>
      <c r="M20" s="5" t="s">
        <v>10</v>
      </c>
      <c r="N20" s="5">
        <v>4</v>
      </c>
      <c r="O20" s="6">
        <f t="shared" si="8"/>
        <v>3.5595703125</v>
      </c>
      <c r="P20" s="6">
        <f t="shared" si="9"/>
        <v>0.37019531249999998</v>
      </c>
      <c r="Q20" s="10">
        <f t="shared" si="10"/>
        <v>7.71240234375E-3</v>
      </c>
      <c r="R20" s="10">
        <f t="shared" si="11"/>
        <v>4.1204562411128992E-2</v>
      </c>
      <c r="S20" s="10">
        <f t="shared" si="12"/>
        <v>4.8916964754878993E-2</v>
      </c>
    </row>
    <row r="21" spans="1:19" x14ac:dyDescent="0.25">
      <c r="A21" s="5" t="s">
        <v>8</v>
      </c>
      <c r="B21" s="5" t="s">
        <v>291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59</v>
      </c>
      <c r="J21" s="15">
        <v>1700</v>
      </c>
      <c r="K21" s="7">
        <v>28</v>
      </c>
      <c r="L21" s="7">
        <f t="shared" si="7"/>
        <v>60.714285714285715</v>
      </c>
      <c r="M21" s="5" t="s">
        <v>10</v>
      </c>
      <c r="N21" s="5">
        <v>4</v>
      </c>
      <c r="O21" s="6">
        <f t="shared" si="8"/>
        <v>3.9166135204081631</v>
      </c>
      <c r="P21" s="6">
        <f t="shared" si="9"/>
        <v>0.40732780612244895</v>
      </c>
      <c r="Q21" s="10">
        <f t="shared" si="10"/>
        <v>8.4859959608843526E-3</v>
      </c>
      <c r="R21" s="10">
        <f t="shared" si="11"/>
        <v>4.4267007423098879E-2</v>
      </c>
      <c r="S21" s="10">
        <f t="shared" si="12"/>
        <v>5.2753003383983234E-2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59</v>
      </c>
      <c r="J22" s="15">
        <v>1750</v>
      </c>
      <c r="K22" s="7">
        <v>22</v>
      </c>
      <c r="L22" s="7">
        <f t="shared" si="7"/>
        <v>79.545454545454547</v>
      </c>
      <c r="M22" s="5" t="s">
        <v>10</v>
      </c>
      <c r="N22" s="5">
        <v>4</v>
      </c>
      <c r="O22" s="6">
        <f t="shared" si="8"/>
        <v>6.9206805268595044</v>
      </c>
      <c r="P22" s="6">
        <f t="shared" si="9"/>
        <v>0.71975077479338845</v>
      </c>
      <c r="Q22" s="10">
        <f t="shared" si="10"/>
        <v>1.4994807808195593E-2</v>
      </c>
      <c r="R22" s="10">
        <f t="shared" si="11"/>
        <v>6.7843575117162297E-2</v>
      </c>
      <c r="S22" s="10">
        <f t="shared" si="12"/>
        <v>8.283838292535789E-2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59</v>
      </c>
      <c r="J23" s="15">
        <v>1850</v>
      </c>
      <c r="K23" s="7">
        <v>29.5</v>
      </c>
      <c r="L23" s="7">
        <f t="shared" si="7"/>
        <v>62.711864406779661</v>
      </c>
      <c r="M23" s="5" t="s">
        <v>10</v>
      </c>
      <c r="N23" s="5">
        <v>4</v>
      </c>
      <c r="O23" s="6">
        <f t="shared" si="8"/>
        <v>4.5472744900890554</v>
      </c>
      <c r="P23" s="6">
        <f t="shared" si="9"/>
        <v>0.47291654696926166</v>
      </c>
      <c r="Q23" s="10">
        <f t="shared" si="10"/>
        <v>9.8524280618596197E-3</v>
      </c>
      <c r="R23" s="10">
        <f t="shared" si="11"/>
        <v>4.9512003714677087E-2</v>
      </c>
      <c r="S23" s="10">
        <f t="shared" si="12"/>
        <v>5.9364431776536705E-2</v>
      </c>
    </row>
    <row r="24" spans="1:19" x14ac:dyDescent="0.25">
      <c r="A24" s="5" t="s">
        <v>8</v>
      </c>
      <c r="B24" s="5" t="s">
        <v>319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59</v>
      </c>
      <c r="J24" s="15">
        <v>1870</v>
      </c>
      <c r="K24" s="7">
        <v>29.2</v>
      </c>
      <c r="L24" s="7">
        <f t="shared" si="7"/>
        <v>64.041095890410958</v>
      </c>
      <c r="M24" s="5" t="s">
        <v>10</v>
      </c>
      <c r="N24" s="5">
        <v>4</v>
      </c>
      <c r="O24" s="6">
        <f t="shared" si="8"/>
        <v>4.7933499190748732</v>
      </c>
      <c r="P24" s="6">
        <f t="shared" si="9"/>
        <v>0.49850839158378674</v>
      </c>
      <c r="Q24" s="10">
        <f t="shared" si="10"/>
        <v>1.0385591491328892E-2</v>
      </c>
      <c r="R24" s="10">
        <f t="shared" si="11"/>
        <v>5.1508212041113E-2</v>
      </c>
      <c r="S24" s="10">
        <f t="shared" si="12"/>
        <v>6.1893803532441893E-2</v>
      </c>
    </row>
    <row r="25" spans="1:19" x14ac:dyDescent="0.25">
      <c r="A25" s="5" t="s">
        <v>8</v>
      </c>
      <c r="B25" s="5" t="s">
        <v>291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293</v>
      </c>
      <c r="J25" s="15">
        <v>2500</v>
      </c>
      <c r="K25" s="7">
        <v>32.5</v>
      </c>
      <c r="L25" s="7">
        <f t="shared" si="7"/>
        <v>76.92307692307692</v>
      </c>
      <c r="M25" s="5" t="s">
        <v>10</v>
      </c>
      <c r="N25" s="5">
        <v>4</v>
      </c>
      <c r="O25" s="6">
        <f t="shared" si="8"/>
        <v>9.2455621301775128</v>
      </c>
      <c r="P25" s="6">
        <f t="shared" si="9"/>
        <v>0.96153846153846145</v>
      </c>
      <c r="Q25" s="10">
        <f t="shared" si="10"/>
        <v>2.0032051282051277E-2</v>
      </c>
      <c r="R25" s="10">
        <f t="shared" si="11"/>
        <v>8.4303793099258367E-2</v>
      </c>
      <c r="S25" s="10">
        <f t="shared" si="12"/>
        <v>0.10433584438130965</v>
      </c>
    </row>
    <row r="26" spans="1:19" x14ac:dyDescent="0.25">
      <c r="A26" s="5" t="s">
        <v>8</v>
      </c>
      <c r="B26" s="5" t="s">
        <v>311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293</v>
      </c>
      <c r="J26" s="15">
        <v>2700</v>
      </c>
      <c r="K26" s="7">
        <v>34</v>
      </c>
      <c r="L26" s="7">
        <f t="shared" si="7"/>
        <v>79.411764705882348</v>
      </c>
      <c r="M26" s="5" t="s">
        <v>10</v>
      </c>
      <c r="N26" s="5">
        <v>4</v>
      </c>
      <c r="O26" s="6">
        <f t="shared" si="8"/>
        <v>10.641760380622838</v>
      </c>
      <c r="P26" s="6">
        <f t="shared" si="9"/>
        <v>1.106743079584775</v>
      </c>
      <c r="Q26" s="10">
        <f t="shared" si="10"/>
        <v>2.3057147491349479E-2</v>
      </c>
      <c r="R26" s="10">
        <f t="shared" si="11"/>
        <v>9.3682232382394676E-2</v>
      </c>
      <c r="S26" s="10">
        <f t="shared" si="12"/>
        <v>0.11673937987374415</v>
      </c>
    </row>
    <row r="27" spans="1:19" x14ac:dyDescent="0.25">
      <c r="A27" s="5" t="s">
        <v>8</v>
      </c>
      <c r="B27" s="5" t="s">
        <v>291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58</v>
      </c>
      <c r="I27" s="5" t="s">
        <v>294</v>
      </c>
      <c r="J27" s="15">
        <v>1800</v>
      </c>
      <c r="K27" s="7">
        <v>30</v>
      </c>
      <c r="L27" s="7">
        <f t="shared" si="7"/>
        <v>60</v>
      </c>
      <c r="M27" s="5" t="s">
        <v>10</v>
      </c>
      <c r="N27" s="5">
        <v>4</v>
      </c>
      <c r="O27" s="6">
        <f t="shared" si="8"/>
        <v>4.05</v>
      </c>
      <c r="P27" s="6">
        <f t="shared" si="9"/>
        <v>0.42120000000000002</v>
      </c>
      <c r="Q27" s="10">
        <f t="shared" si="10"/>
        <v>8.7749999999999998E-3</v>
      </c>
      <c r="R27" s="10">
        <f t="shared" si="11"/>
        <v>4.5392948339503428E-2</v>
      </c>
      <c r="S27" s="10">
        <f t="shared" si="12"/>
        <v>5.4167948339503426E-2</v>
      </c>
    </row>
    <row r="28" spans="1:19" x14ac:dyDescent="0.25">
      <c r="A28" s="5" t="s">
        <v>8</v>
      </c>
      <c r="B28" s="5" t="s">
        <v>299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58</v>
      </c>
      <c r="I28" s="5" t="s">
        <v>294</v>
      </c>
      <c r="J28" s="15">
        <v>1973</v>
      </c>
      <c r="K28" s="7">
        <v>28.4</v>
      </c>
      <c r="L28" s="7">
        <f t="shared" si="7"/>
        <v>69.471830985915503</v>
      </c>
      <c r="M28" s="5" t="s">
        <v>10</v>
      </c>
      <c r="N28" s="5">
        <v>4</v>
      </c>
      <c r="O28" s="6">
        <f t="shared" si="8"/>
        <v>5.9514747174729736</v>
      </c>
      <c r="P28" s="6">
        <f t="shared" si="9"/>
        <v>0.61895337061718914</v>
      </c>
      <c r="Q28" s="10">
        <f t="shared" si="10"/>
        <v>1.2894861887858109E-2</v>
      </c>
      <c r="R28" s="10">
        <f t="shared" si="11"/>
        <v>6.0585063731535917E-2</v>
      </c>
      <c r="S28" s="10">
        <f t="shared" si="12"/>
        <v>7.3479925619394024E-2</v>
      </c>
    </row>
    <row r="29" spans="1:19" x14ac:dyDescent="0.25">
      <c r="A29" s="5" t="s">
        <v>8</v>
      </c>
      <c r="B29" s="5" t="s">
        <v>291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58</v>
      </c>
      <c r="I29" s="5" t="s">
        <v>295</v>
      </c>
      <c r="J29" s="15">
        <v>2000</v>
      </c>
      <c r="K29" s="7">
        <v>27</v>
      </c>
      <c r="L29" s="7">
        <f t="shared" si="7"/>
        <v>74.074074074074076</v>
      </c>
      <c r="M29" s="5" t="s">
        <v>10</v>
      </c>
      <c r="N29" s="5">
        <v>4</v>
      </c>
      <c r="O29" s="6">
        <f t="shared" si="8"/>
        <v>6.8587105624142675</v>
      </c>
      <c r="P29" s="6">
        <f t="shared" si="9"/>
        <v>0.71330589849108383</v>
      </c>
      <c r="Q29" s="10">
        <f t="shared" si="10"/>
        <v>1.486053955189758E-2</v>
      </c>
      <c r="R29" s="10">
        <f t="shared" si="11"/>
        <v>6.7387443596961277E-2</v>
      </c>
      <c r="S29" s="10">
        <f t="shared" si="12"/>
        <v>8.2247983148858853E-2</v>
      </c>
    </row>
    <row r="30" spans="1:19" x14ac:dyDescent="0.25">
      <c r="A30" s="5" t="s">
        <v>22</v>
      </c>
      <c r="B30" s="5" t="s">
        <v>26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58</v>
      </c>
      <c r="I30" s="5" t="s">
        <v>60</v>
      </c>
      <c r="J30" s="15">
        <v>2600</v>
      </c>
      <c r="K30" s="7">
        <v>34</v>
      </c>
      <c r="L30" s="7">
        <f t="shared" si="7"/>
        <v>76.470588235294116</v>
      </c>
      <c r="M30" s="5" t="s">
        <v>10</v>
      </c>
      <c r="N30" s="5">
        <v>4</v>
      </c>
      <c r="O30" s="6">
        <f t="shared" si="8"/>
        <v>9.5025951557093435</v>
      </c>
      <c r="P30" s="6">
        <f t="shared" si="9"/>
        <v>0.98826989619377159</v>
      </c>
      <c r="Q30" s="10">
        <f t="shared" si="10"/>
        <v>2.0588956170703578E-2</v>
      </c>
      <c r="R30" s="10">
        <f t="shared" si="11"/>
        <v>8.6055532182463049E-2</v>
      </c>
      <c r="S30" s="10">
        <f t="shared" si="12"/>
        <v>0.10664448835316663</v>
      </c>
    </row>
    <row r="31" spans="1:19" x14ac:dyDescent="0.25">
      <c r="A31" s="5" t="s">
        <v>8</v>
      </c>
      <c r="B31" s="5" t="s">
        <v>291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58</v>
      </c>
      <c r="I31" s="5" t="s">
        <v>60</v>
      </c>
      <c r="J31" s="15">
        <v>2050</v>
      </c>
      <c r="K31" s="7">
        <v>29</v>
      </c>
      <c r="L31" s="7">
        <f t="shared" si="7"/>
        <v>70.689655172413794</v>
      </c>
      <c r="M31" s="5" t="s">
        <v>10</v>
      </c>
      <c r="N31" s="5">
        <v>4</v>
      </c>
      <c r="O31" s="6">
        <f t="shared" si="8"/>
        <v>6.4024412901307972</v>
      </c>
      <c r="P31" s="6">
        <f t="shared" si="9"/>
        <v>0.66585389417360286</v>
      </c>
      <c r="Q31" s="10">
        <f t="shared" si="10"/>
        <v>1.3871956128616726E-2</v>
      </c>
      <c r="R31" s="10">
        <f t="shared" si="11"/>
        <v>6.3996515472610566E-2</v>
      </c>
      <c r="S31" s="10">
        <f t="shared" si="12"/>
        <v>7.7868471601227285E-2</v>
      </c>
    </row>
    <row r="32" spans="1:19" x14ac:dyDescent="0.25">
      <c r="A32" s="5" t="s">
        <v>8</v>
      </c>
      <c r="B32" s="5" t="s">
        <v>291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58</v>
      </c>
      <c r="I32" s="5" t="s">
        <v>60</v>
      </c>
      <c r="J32" s="15">
        <v>2600</v>
      </c>
      <c r="K32" s="7">
        <v>34</v>
      </c>
      <c r="L32" s="7">
        <f t="shared" si="7"/>
        <v>76.470588235294116</v>
      </c>
      <c r="M32" s="5" t="s">
        <v>10</v>
      </c>
      <c r="N32" s="5">
        <v>4</v>
      </c>
      <c r="O32" s="6">
        <f t="shared" si="8"/>
        <v>9.5025951557093435</v>
      </c>
      <c r="P32" s="6">
        <f t="shared" si="9"/>
        <v>0.98826989619377159</v>
      </c>
      <c r="Q32" s="10">
        <f t="shared" si="10"/>
        <v>2.0588956170703578E-2</v>
      </c>
      <c r="R32" s="10">
        <f t="shared" si="11"/>
        <v>8.6055532182463049E-2</v>
      </c>
      <c r="S32" s="10">
        <f t="shared" si="12"/>
        <v>0.10664448835316663</v>
      </c>
    </row>
    <row r="33" spans="1:19" x14ac:dyDescent="0.25">
      <c r="A33" s="5" t="s">
        <v>22</v>
      </c>
      <c r="B33" s="5" t="s">
        <v>26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386</v>
      </c>
      <c r="H33" s="5" t="s">
        <v>58</v>
      </c>
      <c r="I33" s="5" t="s">
        <v>61</v>
      </c>
      <c r="J33" s="15">
        <v>3100</v>
      </c>
      <c r="K33" s="7">
        <v>32.5</v>
      </c>
      <c r="L33" s="7">
        <f t="shared" si="7"/>
        <v>95.384615384615387</v>
      </c>
      <c r="M33" s="5" t="s">
        <v>10</v>
      </c>
      <c r="N33" s="5">
        <v>4</v>
      </c>
      <c r="O33" s="6">
        <f t="shared" si="8"/>
        <v>17.627810650887572</v>
      </c>
      <c r="P33" s="6">
        <f t="shared" si="9"/>
        <v>1.8332923076923076</v>
      </c>
      <c r="Q33" s="10">
        <f t="shared" si="10"/>
        <v>3.8193589743589738E-2</v>
      </c>
      <c r="R33" s="10">
        <f t="shared" si="11"/>
        <v>0.13678734086635241</v>
      </c>
      <c r="S33" s="10">
        <f t="shared" si="12"/>
        <v>0.17498093060994216</v>
      </c>
    </row>
    <row r="34" spans="1:19" x14ac:dyDescent="0.25">
      <c r="A34" s="5" t="s">
        <v>8</v>
      </c>
      <c r="B34" s="5" t="s">
        <v>291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386</v>
      </c>
      <c r="H34" s="5" t="s">
        <v>58</v>
      </c>
      <c r="I34" s="5" t="s">
        <v>61</v>
      </c>
      <c r="J34" s="15">
        <v>2800</v>
      </c>
      <c r="K34" s="7">
        <v>40</v>
      </c>
      <c r="L34" s="7">
        <f t="shared" si="7"/>
        <v>70</v>
      </c>
      <c r="M34" s="5" t="s">
        <v>10</v>
      </c>
      <c r="N34" s="5">
        <v>4</v>
      </c>
      <c r="O34" s="6">
        <f t="shared" si="8"/>
        <v>8.5749999999999993</v>
      </c>
      <c r="P34" s="6">
        <f t="shared" si="9"/>
        <v>0.89180000000000004</v>
      </c>
      <c r="Q34" s="10">
        <f t="shared" si="10"/>
        <v>1.8579166666666664E-2</v>
      </c>
      <c r="R34" s="10">
        <f t="shared" si="11"/>
        <v>7.9675119011575646E-2</v>
      </c>
      <c r="S34" s="10">
        <f t="shared" si="12"/>
        <v>9.8254285678242306E-2</v>
      </c>
    </row>
    <row r="35" spans="1:19" x14ac:dyDescent="0.25">
      <c r="A35" s="5" t="s">
        <v>8</v>
      </c>
      <c r="B35" s="5" t="s">
        <v>291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386</v>
      </c>
      <c r="H35" s="5" t="s">
        <v>58</v>
      </c>
      <c r="I35" s="5" t="s">
        <v>61</v>
      </c>
      <c r="J35" s="15">
        <v>2450</v>
      </c>
      <c r="K35" s="7">
        <v>29.1</v>
      </c>
      <c r="L35" s="7">
        <f t="shared" si="7"/>
        <v>84.192439862542955</v>
      </c>
      <c r="M35" s="5" t="s">
        <v>10</v>
      </c>
      <c r="N35" s="5">
        <v>4</v>
      </c>
      <c r="O35" s="6">
        <f t="shared" si="8"/>
        <v>10.854061861574614</v>
      </c>
      <c r="P35" s="6">
        <f t="shared" si="9"/>
        <v>1.1288224336037598</v>
      </c>
      <c r="Q35" s="10">
        <f t="shared" si="10"/>
        <v>2.3517134033411661E-2</v>
      </c>
      <c r="R35" s="10">
        <f t="shared" si="11"/>
        <v>9.508047521319099E-2</v>
      </c>
      <c r="S35" s="10">
        <f t="shared" si="12"/>
        <v>0.11859760924660265</v>
      </c>
    </row>
    <row r="36" spans="1:19" x14ac:dyDescent="0.25">
      <c r="A36" s="5" t="s">
        <v>8</v>
      </c>
      <c r="B36" s="5" t="s">
        <v>291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386</v>
      </c>
      <c r="H36" s="5" t="s">
        <v>58</v>
      </c>
      <c r="I36" s="5" t="s">
        <v>61</v>
      </c>
      <c r="J36" s="15">
        <v>3200</v>
      </c>
      <c r="K36" s="7">
        <v>33.5</v>
      </c>
      <c r="L36" s="7">
        <f t="shared" si="7"/>
        <v>95.522388059701498</v>
      </c>
      <c r="M36" s="5" t="s">
        <v>10</v>
      </c>
      <c r="N36" s="5">
        <v>4</v>
      </c>
      <c r="O36" s="6">
        <f t="shared" si="8"/>
        <v>18.249053241256405</v>
      </c>
      <c r="P36" s="6">
        <f t="shared" si="9"/>
        <v>1.8979015370906662</v>
      </c>
      <c r="Q36" s="10">
        <f t="shared" si="10"/>
        <v>3.9539615356055539E-2</v>
      </c>
      <c r="R36" s="10">
        <f t="shared" si="11"/>
        <v>0.14038715662039813</v>
      </c>
      <c r="S36" s="10">
        <f t="shared" si="12"/>
        <v>0.17992677197645368</v>
      </c>
    </row>
    <row r="37" spans="1:19" x14ac:dyDescent="0.25">
      <c r="A37" s="5" t="s">
        <v>8</v>
      </c>
      <c r="B37" s="5" t="s">
        <v>291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386</v>
      </c>
      <c r="H37" s="5" t="s">
        <v>58</v>
      </c>
      <c r="I37" s="5" t="s">
        <v>61</v>
      </c>
      <c r="J37" s="15">
        <v>2550</v>
      </c>
      <c r="K37" s="7">
        <v>31</v>
      </c>
      <c r="L37" s="7">
        <f t="shared" si="7"/>
        <v>82.258064516129039</v>
      </c>
      <c r="M37" s="5" t="s">
        <v>10</v>
      </c>
      <c r="N37" s="5">
        <v>4</v>
      </c>
      <c r="O37" s="6">
        <f t="shared" si="8"/>
        <v>10.783932752341313</v>
      </c>
      <c r="P37" s="6">
        <f t="shared" si="9"/>
        <v>1.1215290062434964</v>
      </c>
      <c r="Q37" s="10">
        <f t="shared" si="10"/>
        <v>2.336518763007284E-2</v>
      </c>
      <c r="R37" s="10">
        <f t="shared" si="11"/>
        <v>9.4619359210078843E-2</v>
      </c>
      <c r="S37" s="10">
        <f t="shared" si="12"/>
        <v>0.11798454684015168</v>
      </c>
    </row>
    <row r="38" spans="1:19" x14ac:dyDescent="0.25">
      <c r="A38" s="5" t="s">
        <v>8</v>
      </c>
      <c r="B38" s="5" t="s">
        <v>291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386</v>
      </c>
      <c r="H38" s="5" t="s">
        <v>58</v>
      </c>
      <c r="I38" s="5" t="s">
        <v>61</v>
      </c>
      <c r="J38" s="15">
        <v>2700</v>
      </c>
      <c r="K38" s="7">
        <v>29</v>
      </c>
      <c r="L38" s="7">
        <f t="shared" si="7"/>
        <v>93.103448275862064</v>
      </c>
      <c r="M38" s="5" t="s">
        <v>10</v>
      </c>
      <c r="N38" s="5">
        <v>4</v>
      </c>
      <c r="O38" s="6">
        <f t="shared" si="8"/>
        <v>14.627675386444706</v>
      </c>
      <c r="P38" s="6">
        <f t="shared" si="9"/>
        <v>1.5212782401902496</v>
      </c>
      <c r="Q38" s="10">
        <f t="shared" si="10"/>
        <v>3.1693296670630193E-2</v>
      </c>
      <c r="R38" s="10">
        <f t="shared" si="11"/>
        <v>0.11892649234015015</v>
      </c>
      <c r="S38" s="10">
        <f t="shared" si="12"/>
        <v>0.15061978901078035</v>
      </c>
    </row>
    <row r="39" spans="1:19" x14ac:dyDescent="0.25">
      <c r="A39" s="5" t="s">
        <v>8</v>
      </c>
      <c r="B39" s="5" t="s">
        <v>291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386</v>
      </c>
      <c r="H39" s="5" t="s">
        <v>58</v>
      </c>
      <c r="I39" s="5" t="s">
        <v>61</v>
      </c>
      <c r="J39" s="15">
        <v>2900</v>
      </c>
      <c r="K39" s="7">
        <v>29.5</v>
      </c>
      <c r="L39" s="7">
        <f t="shared" si="7"/>
        <v>98.305084745762713</v>
      </c>
      <c r="M39" s="5" t="s">
        <v>10</v>
      </c>
      <c r="N39" s="5">
        <v>4</v>
      </c>
      <c r="O39" s="6">
        <f t="shared" si="8"/>
        <v>17.515800057454758</v>
      </c>
      <c r="P39" s="6">
        <f t="shared" si="9"/>
        <v>1.8216432059752945</v>
      </c>
      <c r="Q39" s="10">
        <f t="shared" si="10"/>
        <v>3.7950900124485307E-2</v>
      </c>
      <c r="R39" s="10">
        <f t="shared" si="11"/>
        <v>0.13613494136615276</v>
      </c>
      <c r="S39" s="10">
        <f t="shared" si="12"/>
        <v>0.17408584149063805</v>
      </c>
    </row>
    <row r="40" spans="1:19" x14ac:dyDescent="0.25">
      <c r="A40" s="5" t="s">
        <v>8</v>
      </c>
      <c r="B40" s="5" t="s">
        <v>291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386</v>
      </c>
      <c r="H40" s="5" t="s">
        <v>58</v>
      </c>
      <c r="I40" s="5" t="s">
        <v>61</v>
      </c>
      <c r="J40" s="15">
        <v>3100</v>
      </c>
      <c r="K40" s="7">
        <v>32.5</v>
      </c>
      <c r="L40" s="7">
        <f t="shared" si="7"/>
        <v>95.384615384615387</v>
      </c>
      <c r="M40" s="5" t="s">
        <v>10</v>
      </c>
      <c r="N40" s="5">
        <v>4</v>
      </c>
      <c r="O40" s="6">
        <f t="shared" si="8"/>
        <v>17.627810650887572</v>
      </c>
      <c r="P40" s="6">
        <f t="shared" si="9"/>
        <v>1.8332923076923076</v>
      </c>
      <c r="Q40" s="10">
        <f t="shared" si="10"/>
        <v>3.8193589743589738E-2</v>
      </c>
      <c r="R40" s="10">
        <f t="shared" si="11"/>
        <v>0.13678734086635241</v>
      </c>
      <c r="S40" s="10">
        <f t="shared" si="12"/>
        <v>0.17498093060994216</v>
      </c>
    </row>
    <row r="41" spans="1:19" x14ac:dyDescent="0.25">
      <c r="A41" s="5" t="s">
        <v>8</v>
      </c>
      <c r="B41" s="5" t="s">
        <v>291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386</v>
      </c>
      <c r="H41" s="5" t="s">
        <v>58</v>
      </c>
      <c r="I41" s="5" t="s">
        <v>61</v>
      </c>
      <c r="J41" s="15">
        <v>2500</v>
      </c>
      <c r="K41" s="7">
        <v>34.5</v>
      </c>
      <c r="L41" s="7">
        <f t="shared" si="7"/>
        <v>72.463768115942031</v>
      </c>
      <c r="M41" s="5" t="s">
        <v>10</v>
      </c>
      <c r="N41" s="5">
        <v>4</v>
      </c>
      <c r="O41" s="6">
        <f t="shared" si="8"/>
        <v>8.2046838899390888</v>
      </c>
      <c r="P41" s="6">
        <f t="shared" si="9"/>
        <v>0.8532871245536654</v>
      </c>
      <c r="Q41" s="10">
        <f t="shared" si="10"/>
        <v>1.7776815094868025E-2</v>
      </c>
      <c r="R41" s="10">
        <f t="shared" si="11"/>
        <v>7.708032093428592E-2</v>
      </c>
      <c r="S41" s="10">
        <f t="shared" si="12"/>
        <v>9.4857136029153938E-2</v>
      </c>
    </row>
    <row r="42" spans="1:19" x14ac:dyDescent="0.25">
      <c r="A42" s="5" t="s">
        <v>8</v>
      </c>
      <c r="B42" s="5" t="s">
        <v>319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386</v>
      </c>
      <c r="H42" s="5" t="s">
        <v>58</v>
      </c>
      <c r="I42" s="5" t="s">
        <v>61</v>
      </c>
      <c r="J42" s="15">
        <v>2626</v>
      </c>
      <c r="K42" s="7">
        <v>31.5</v>
      </c>
      <c r="L42" s="7">
        <f t="shared" si="7"/>
        <v>83.365079365079367</v>
      </c>
      <c r="M42" s="5" t="s">
        <v>10</v>
      </c>
      <c r="N42" s="5">
        <v>4</v>
      </c>
      <c r="O42" s="6">
        <f t="shared" si="8"/>
        <v>11.406254960947342</v>
      </c>
      <c r="P42" s="6">
        <f t="shared" si="9"/>
        <v>1.1862505159385235</v>
      </c>
      <c r="Q42" s="10">
        <f t="shared" si="10"/>
        <v>2.4713552415385906E-2</v>
      </c>
      <c r="R42" s="10">
        <f t="shared" si="11"/>
        <v>9.8685746486399897E-2</v>
      </c>
      <c r="S42" s="10">
        <f t="shared" si="12"/>
        <v>0.1233992989017858</v>
      </c>
    </row>
    <row r="43" spans="1:19" x14ac:dyDescent="0.25">
      <c r="A43" s="5" t="s">
        <v>22</v>
      </c>
      <c r="B43" s="5" t="s">
        <v>63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386</v>
      </c>
      <c r="H43" s="5" t="s">
        <v>97</v>
      </c>
      <c r="I43" s="5" t="s">
        <v>61</v>
      </c>
      <c r="J43" s="15">
        <v>3200</v>
      </c>
      <c r="K43" s="7">
        <v>33.5</v>
      </c>
      <c r="L43" s="7">
        <f t="shared" si="7"/>
        <v>95.522388059701498</v>
      </c>
      <c r="M43" s="5" t="s">
        <v>10</v>
      </c>
      <c r="N43" s="5">
        <v>4</v>
      </c>
      <c r="O43" s="6">
        <f t="shared" si="8"/>
        <v>18.249053241256405</v>
      </c>
      <c r="P43" s="6">
        <f t="shared" si="9"/>
        <v>1.8979015370906662</v>
      </c>
      <c r="Q43" s="10">
        <f t="shared" si="10"/>
        <v>3.9539615356055539E-2</v>
      </c>
      <c r="R43" s="10">
        <f t="shared" si="11"/>
        <v>0.14038715662039813</v>
      </c>
      <c r="S43" s="10">
        <f t="shared" si="12"/>
        <v>0.17992677197645368</v>
      </c>
    </row>
    <row r="44" spans="1:19" x14ac:dyDescent="0.25">
      <c r="A44" s="5" t="s">
        <v>8</v>
      </c>
      <c r="B44" s="5" t="s">
        <v>287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386</v>
      </c>
      <c r="H44" s="5" t="s">
        <v>102</v>
      </c>
      <c r="I44" s="5" t="s">
        <v>218</v>
      </c>
      <c r="J44" s="15">
        <v>2600</v>
      </c>
      <c r="K44" s="7">
        <v>37.1</v>
      </c>
      <c r="L44" s="7">
        <f t="shared" si="7"/>
        <v>70.080862533692724</v>
      </c>
      <c r="M44" s="5" t="s">
        <v>10</v>
      </c>
      <c r="N44" s="5">
        <v>4</v>
      </c>
      <c r="O44" s="6">
        <f t="shared" si="8"/>
        <v>7.9809068518827972</v>
      </c>
      <c r="P44" s="6">
        <f t="shared" si="9"/>
        <v>0.83001431259581082</v>
      </c>
      <c r="Q44" s="10">
        <f t="shared" si="10"/>
        <v>1.729196484574606E-2</v>
      </c>
      <c r="R44" s="10">
        <f t="shared" si="11"/>
        <v>7.5498149303652243E-2</v>
      </c>
      <c r="S44" s="10">
        <f t="shared" si="12"/>
        <v>9.2790114149398306E-2</v>
      </c>
    </row>
    <row r="45" spans="1:19" x14ac:dyDescent="0.25">
      <c r="A45" s="5" t="s">
        <v>22</v>
      </c>
      <c r="B45" s="5" t="s">
        <v>63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386</v>
      </c>
      <c r="H45" s="5" t="s">
        <v>102</v>
      </c>
      <c r="I45" s="5" t="s">
        <v>73</v>
      </c>
      <c r="J45" s="15">
        <v>2190</v>
      </c>
      <c r="K45" s="7">
        <v>26.5</v>
      </c>
      <c r="L45" s="7">
        <f t="shared" si="7"/>
        <v>82.64150943396227</v>
      </c>
      <c r="M45" s="5" t="s">
        <v>10</v>
      </c>
      <c r="N45" s="5">
        <v>4</v>
      </c>
      <c r="O45" s="6">
        <f t="shared" si="8"/>
        <v>9.34804111783553</v>
      </c>
      <c r="P45" s="6">
        <f t="shared" si="9"/>
        <v>0.97219627625489502</v>
      </c>
      <c r="Q45" s="10">
        <f t="shared" si="10"/>
        <v>2.0254089088643647E-2</v>
      </c>
      <c r="R45" s="10">
        <f t="shared" si="11"/>
        <v>8.5003652032378002E-2</v>
      </c>
      <c r="S45" s="10">
        <f t="shared" si="12"/>
        <v>0.10525774112102165</v>
      </c>
    </row>
    <row r="46" spans="1:19" x14ac:dyDescent="0.25">
      <c r="A46" s="5" t="s">
        <v>8</v>
      </c>
      <c r="B46" s="5" t="s">
        <v>287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386</v>
      </c>
      <c r="H46" s="5" t="s">
        <v>102</v>
      </c>
      <c r="I46" s="5" t="s">
        <v>288</v>
      </c>
      <c r="J46" s="15">
        <v>2300</v>
      </c>
      <c r="K46" s="7">
        <v>33.700000000000003</v>
      </c>
      <c r="L46" s="7">
        <f t="shared" si="7"/>
        <v>68.249258160237389</v>
      </c>
      <c r="M46" s="5" t="s">
        <v>10</v>
      </c>
      <c r="N46" s="5">
        <v>4</v>
      </c>
      <c r="O46" s="6">
        <f t="shared" si="8"/>
        <v>6.6958192816701745</v>
      </c>
      <c r="P46" s="6">
        <f t="shared" si="9"/>
        <v>0.69636520529369805</v>
      </c>
      <c r="Q46" s="10">
        <f t="shared" si="10"/>
        <v>1.4507608443618711E-2</v>
      </c>
      <c r="R46" s="10">
        <f t="shared" si="11"/>
        <v>6.6183528454387561E-2</v>
      </c>
      <c r="S46" s="10">
        <f t="shared" si="12"/>
        <v>8.0691136898006277E-2</v>
      </c>
    </row>
    <row r="47" spans="1:19" x14ac:dyDescent="0.25">
      <c r="A47" s="5" t="s">
        <v>22</v>
      </c>
      <c r="B47" s="5" t="s">
        <v>63</v>
      </c>
      <c r="C47" s="5" t="s">
        <v>27</v>
      </c>
      <c r="D47" s="5" t="s">
        <v>385</v>
      </c>
      <c r="E47" s="5" t="s">
        <v>387</v>
      </c>
      <c r="F47" s="5" t="s">
        <v>52</v>
      </c>
      <c r="G47" s="5" t="s">
        <v>386</v>
      </c>
      <c r="H47" s="5" t="s">
        <v>98</v>
      </c>
      <c r="I47" s="5" t="s">
        <v>99</v>
      </c>
      <c r="J47" s="15">
        <v>2450</v>
      </c>
      <c r="K47" s="7">
        <v>31</v>
      </c>
      <c r="L47" s="7">
        <f t="shared" si="7"/>
        <v>79.032258064516128</v>
      </c>
      <c r="M47" s="5" t="s">
        <v>10</v>
      </c>
      <c r="N47" s="5">
        <v>4</v>
      </c>
      <c r="O47" s="6">
        <f t="shared" si="8"/>
        <v>9.5643372788761702</v>
      </c>
      <c r="P47" s="6">
        <f t="shared" si="9"/>
        <v>0.99469107700312165</v>
      </c>
      <c r="Q47" s="10">
        <f t="shared" si="10"/>
        <v>2.0722730770898368E-2</v>
      </c>
      <c r="R47" s="10">
        <f t="shared" si="11"/>
        <v>8.6474545162582434E-2</v>
      </c>
      <c r="S47" s="10">
        <f t="shared" si="12"/>
        <v>0.1071972759334808</v>
      </c>
    </row>
    <row r="48" spans="1:19" x14ac:dyDescent="0.25">
      <c r="A48" s="5" t="s">
        <v>8</v>
      </c>
      <c r="B48" s="5" t="s">
        <v>319</v>
      </c>
      <c r="C48" s="5" t="s">
        <v>27</v>
      </c>
      <c r="D48" s="5" t="s">
        <v>385</v>
      </c>
      <c r="E48" s="5" t="s">
        <v>387</v>
      </c>
      <c r="F48" s="5" t="s">
        <v>52</v>
      </c>
      <c r="G48" s="5" t="s">
        <v>386</v>
      </c>
      <c r="H48" s="5" t="s">
        <v>98</v>
      </c>
      <c r="I48" s="5" t="s">
        <v>99</v>
      </c>
      <c r="J48" s="15">
        <v>2431</v>
      </c>
      <c r="K48" s="7">
        <v>31</v>
      </c>
      <c r="L48" s="7">
        <f t="shared" si="7"/>
        <v>78.41935483870968</v>
      </c>
      <c r="M48" s="5" t="s">
        <v>10</v>
      </c>
      <c r="N48" s="5">
        <v>4</v>
      </c>
      <c r="O48" s="6">
        <f t="shared" si="8"/>
        <v>9.3435412272372531</v>
      </c>
      <c r="P48" s="6">
        <f t="shared" si="9"/>
        <v>0.97172828763267438</v>
      </c>
      <c r="Q48" s="10">
        <f t="shared" si="10"/>
        <v>2.0244339325680715E-2</v>
      </c>
      <c r="R48" s="10">
        <f t="shared" si="11"/>
        <v>8.497296136544169E-2</v>
      </c>
      <c r="S48" s="10">
        <f t="shared" si="12"/>
        <v>0.10521730069112241</v>
      </c>
    </row>
    <row r="49" spans="1:19" x14ac:dyDescent="0.25">
      <c r="A49" s="5" t="s">
        <v>8</v>
      </c>
      <c r="B49" s="5" t="s">
        <v>319</v>
      </c>
      <c r="C49" s="5" t="s">
        <v>27</v>
      </c>
      <c r="D49" s="5" t="s">
        <v>385</v>
      </c>
      <c r="E49" s="5" t="s">
        <v>387</v>
      </c>
      <c r="F49" s="5" t="s">
        <v>52</v>
      </c>
      <c r="G49" s="5" t="s">
        <v>386</v>
      </c>
      <c r="H49" s="5" t="s">
        <v>98</v>
      </c>
      <c r="I49" s="5" t="s">
        <v>321</v>
      </c>
      <c r="J49" s="15">
        <v>2650</v>
      </c>
      <c r="K49" s="7">
        <v>28</v>
      </c>
      <c r="L49" s="7">
        <f t="shared" si="7"/>
        <v>94.642857142857139</v>
      </c>
      <c r="M49" s="5" t="s">
        <v>10</v>
      </c>
      <c r="N49" s="5">
        <v>4</v>
      </c>
      <c r="O49" s="6">
        <f t="shared" si="8"/>
        <v>14.835479113520405</v>
      </c>
      <c r="P49" s="6">
        <f t="shared" si="9"/>
        <v>1.5428898278061218</v>
      </c>
      <c r="Q49" s="10">
        <f t="shared" si="10"/>
        <v>3.2143538079294209E-2</v>
      </c>
      <c r="R49" s="10">
        <f t="shared" si="11"/>
        <v>0.12019137585847466</v>
      </c>
      <c r="S49" s="10">
        <f t="shared" si="12"/>
        <v>0.15233491393776888</v>
      </c>
    </row>
    <row r="50" spans="1:19" x14ac:dyDescent="0.25">
      <c r="A50" s="5" t="s">
        <v>22</v>
      </c>
      <c r="B50" s="5" t="s">
        <v>63</v>
      </c>
      <c r="C50" s="5" t="s">
        <v>27</v>
      </c>
      <c r="D50" s="5" t="s">
        <v>385</v>
      </c>
      <c r="E50" s="5" t="s">
        <v>387</v>
      </c>
      <c r="F50" s="5" t="s">
        <v>52</v>
      </c>
      <c r="G50" s="5" t="s">
        <v>386</v>
      </c>
      <c r="H50" s="5" t="s">
        <v>100</v>
      </c>
      <c r="I50" s="5" t="s">
        <v>101</v>
      </c>
      <c r="J50" s="15">
        <v>2700</v>
      </c>
      <c r="K50" s="7">
        <v>41</v>
      </c>
      <c r="L50" s="7">
        <f t="shared" si="7"/>
        <v>65.853658536585371</v>
      </c>
      <c r="M50" s="5" t="s">
        <v>10</v>
      </c>
      <c r="N50" s="5">
        <v>4</v>
      </c>
      <c r="O50" s="6">
        <f t="shared" si="8"/>
        <v>7.3181885782272476</v>
      </c>
      <c r="P50" s="6">
        <f t="shared" si="9"/>
        <v>0.76109161213563381</v>
      </c>
      <c r="Q50" s="10">
        <f t="shared" si="10"/>
        <v>1.5856075252825702E-2</v>
      </c>
      <c r="R50" s="10">
        <f t="shared" si="11"/>
        <v>7.0745663102872419E-2</v>
      </c>
      <c r="S50" s="10">
        <f t="shared" si="12"/>
        <v>8.6601738355698121E-2</v>
      </c>
    </row>
    <row r="51" spans="1:19" x14ac:dyDescent="0.25">
      <c r="A51" s="5" t="s">
        <v>22</v>
      </c>
      <c r="B51" s="5" t="s">
        <v>63</v>
      </c>
      <c r="C51" s="5" t="s">
        <v>27</v>
      </c>
      <c r="D51" s="5" t="s">
        <v>385</v>
      </c>
      <c r="E51" s="5" t="s">
        <v>387</v>
      </c>
      <c r="F51" s="5" t="s">
        <v>52</v>
      </c>
      <c r="G51" s="5" t="s">
        <v>394</v>
      </c>
      <c r="H51" s="5" t="s">
        <v>104</v>
      </c>
      <c r="I51" s="5" t="s">
        <v>105</v>
      </c>
      <c r="J51" s="15">
        <v>1050</v>
      </c>
      <c r="K51" s="7">
        <v>35</v>
      </c>
      <c r="L51" s="7">
        <f t="shared" si="7"/>
        <v>30</v>
      </c>
      <c r="M51" s="5" t="s">
        <v>10</v>
      </c>
      <c r="N51" s="5">
        <v>4</v>
      </c>
      <c r="O51" s="6">
        <f t="shared" si="8"/>
        <v>0.59062499999999996</v>
      </c>
      <c r="P51" s="6">
        <f t="shared" si="9"/>
        <v>6.1424999999999993E-2</v>
      </c>
      <c r="Q51" s="10">
        <f t="shared" si="10"/>
        <v>1.2796874999999998E-3</v>
      </c>
      <c r="R51" s="10">
        <f t="shared" si="11"/>
        <v>1.0712257254840325E-2</v>
      </c>
      <c r="S51" s="10">
        <f t="shared" si="12"/>
        <v>1.1991944754840325E-2</v>
      </c>
    </row>
    <row r="52" spans="1:19" x14ac:dyDescent="0.25">
      <c r="A52" s="5" t="s">
        <v>8</v>
      </c>
      <c r="B52" s="5" t="s">
        <v>161</v>
      </c>
      <c r="C52" s="5" t="s">
        <v>27</v>
      </c>
      <c r="D52" s="5" t="s">
        <v>385</v>
      </c>
      <c r="E52" s="5" t="s">
        <v>387</v>
      </c>
      <c r="F52" s="5" t="s">
        <v>52</v>
      </c>
      <c r="G52" s="5" t="s">
        <v>394</v>
      </c>
      <c r="H52" s="5" t="s">
        <v>104</v>
      </c>
      <c r="I52" s="5" t="s">
        <v>105</v>
      </c>
      <c r="J52" s="15">
        <v>920</v>
      </c>
      <c r="K52" s="7">
        <v>27</v>
      </c>
      <c r="L52" s="7">
        <f t="shared" si="7"/>
        <v>34.074074074074076</v>
      </c>
      <c r="M52" s="5" t="s">
        <v>10</v>
      </c>
      <c r="N52" s="5">
        <v>4</v>
      </c>
      <c r="O52" s="6">
        <f t="shared" si="8"/>
        <v>0.66759945130315512</v>
      </c>
      <c r="P52" s="6">
        <f t="shared" si="9"/>
        <v>6.9430342935528119E-2</v>
      </c>
      <c r="Q52" s="10">
        <f t="shared" si="10"/>
        <v>1.4464654778235028E-3</v>
      </c>
      <c r="R52" s="10">
        <f t="shared" si="11"/>
        <v>1.1743136325585789E-2</v>
      </c>
      <c r="S52" s="10">
        <f t="shared" si="12"/>
        <v>1.3189601803409291E-2</v>
      </c>
    </row>
    <row r="53" spans="1:19" x14ac:dyDescent="0.25">
      <c r="A53" s="5" t="s">
        <v>22</v>
      </c>
      <c r="B53" s="5" t="s">
        <v>63</v>
      </c>
      <c r="C53" s="5" t="s">
        <v>27</v>
      </c>
      <c r="D53" s="5" t="s">
        <v>385</v>
      </c>
      <c r="E53" s="5" t="s">
        <v>387</v>
      </c>
      <c r="F53" s="5" t="s">
        <v>52</v>
      </c>
      <c r="G53" s="5" t="s">
        <v>394</v>
      </c>
      <c r="H53" s="5" t="s">
        <v>110</v>
      </c>
      <c r="I53" s="5" t="s">
        <v>111</v>
      </c>
      <c r="J53" s="15">
        <v>3420</v>
      </c>
      <c r="K53" s="7">
        <v>39.5</v>
      </c>
      <c r="L53" s="7">
        <f t="shared" si="7"/>
        <v>86.582278481012665</v>
      </c>
      <c r="M53" s="5" t="s">
        <v>10</v>
      </c>
      <c r="N53" s="5">
        <v>4</v>
      </c>
      <c r="O53" s="6">
        <f t="shared" si="8"/>
        <v>16.023749399134758</v>
      </c>
      <c r="P53" s="6">
        <f t="shared" si="9"/>
        <v>1.6664699375100145</v>
      </c>
      <c r="Q53" s="10">
        <f t="shared" si="10"/>
        <v>3.4718123698125304E-2</v>
      </c>
      <c r="R53" s="10">
        <f t="shared" si="11"/>
        <v>0.1273415795347296</v>
      </c>
      <c r="S53" s="10">
        <f t="shared" si="12"/>
        <v>0.1620597032328549</v>
      </c>
    </row>
    <row r="54" spans="1:19" x14ac:dyDescent="0.25">
      <c r="A54" s="5" t="s">
        <v>8</v>
      </c>
      <c r="B54" s="5" t="s">
        <v>161</v>
      </c>
      <c r="C54" s="5" t="s">
        <v>27</v>
      </c>
      <c r="D54" s="5" t="s">
        <v>385</v>
      </c>
      <c r="E54" s="5" t="s">
        <v>387</v>
      </c>
      <c r="F54" s="5" t="s">
        <v>52</v>
      </c>
      <c r="G54" s="5" t="s">
        <v>394</v>
      </c>
      <c r="H54" s="5" t="s">
        <v>110</v>
      </c>
      <c r="I54" s="5" t="s">
        <v>162</v>
      </c>
      <c r="J54" s="15">
        <v>2300</v>
      </c>
      <c r="K54" s="7">
        <v>44</v>
      </c>
      <c r="L54" s="7">
        <f t="shared" si="7"/>
        <v>52.272727272727273</v>
      </c>
      <c r="M54" s="5" t="s">
        <v>10</v>
      </c>
      <c r="N54" s="5">
        <v>4</v>
      </c>
      <c r="O54" s="6">
        <f t="shared" si="8"/>
        <v>3.9278796487603307</v>
      </c>
      <c r="P54" s="6">
        <f t="shared" si="9"/>
        <v>0.4084994834710744</v>
      </c>
      <c r="Q54" s="10">
        <f t="shared" si="10"/>
        <v>8.5104059056473839E-3</v>
      </c>
      <c r="R54" s="10">
        <f t="shared" si="11"/>
        <v>4.4362473572488702E-2</v>
      </c>
      <c r="S54" s="10">
        <f t="shared" si="12"/>
        <v>5.2872879478136084E-2</v>
      </c>
    </row>
    <row r="55" spans="1:19" x14ac:dyDescent="0.25">
      <c r="A55" s="5" t="s">
        <v>8</v>
      </c>
      <c r="B55" s="5" t="s">
        <v>161</v>
      </c>
      <c r="C55" s="5" t="s">
        <v>27</v>
      </c>
      <c r="D55" s="5" t="s">
        <v>385</v>
      </c>
      <c r="E55" s="5" t="s">
        <v>387</v>
      </c>
      <c r="F55" s="5" t="s">
        <v>52</v>
      </c>
      <c r="G55" s="5" t="s">
        <v>394</v>
      </c>
      <c r="H55" s="5" t="s">
        <v>110</v>
      </c>
      <c r="I55" s="5" t="s">
        <v>162</v>
      </c>
      <c r="J55" s="15">
        <v>2630</v>
      </c>
      <c r="K55" s="7">
        <v>45</v>
      </c>
      <c r="L55" s="7">
        <f t="shared" si="7"/>
        <v>58.444444444444443</v>
      </c>
      <c r="M55" s="5" t="s">
        <v>10</v>
      </c>
      <c r="N55" s="5">
        <v>4</v>
      </c>
      <c r="O55" s="6">
        <f t="shared" si="8"/>
        <v>5.6146441358024681</v>
      </c>
      <c r="P55" s="6">
        <f t="shared" si="9"/>
        <v>0.58392299012345672</v>
      </c>
      <c r="Q55" s="10">
        <f t="shared" si="10"/>
        <v>1.2165062294238679E-2</v>
      </c>
      <c r="R55" s="10">
        <f t="shared" si="11"/>
        <v>5.799476604086666E-2</v>
      </c>
      <c r="S55" s="10">
        <f t="shared" si="12"/>
        <v>7.015982833510534E-2</v>
      </c>
    </row>
    <row r="56" spans="1:19" x14ac:dyDescent="0.25">
      <c r="A56" s="5" t="s">
        <v>22</v>
      </c>
      <c r="B56" s="5" t="s">
        <v>63</v>
      </c>
      <c r="C56" s="5" t="s">
        <v>27</v>
      </c>
      <c r="D56" s="5" t="s">
        <v>385</v>
      </c>
      <c r="E56" s="5" t="s">
        <v>387</v>
      </c>
      <c r="F56" s="5" t="s">
        <v>52</v>
      </c>
      <c r="G56" s="5" t="s">
        <v>394</v>
      </c>
      <c r="H56" s="5" t="s">
        <v>56</v>
      </c>
      <c r="I56" s="5" t="s">
        <v>148</v>
      </c>
      <c r="J56" s="15">
        <v>2950</v>
      </c>
      <c r="K56" s="7">
        <v>29.5</v>
      </c>
      <c r="L56" s="7">
        <f t="shared" si="7"/>
        <v>100</v>
      </c>
      <c r="M56" s="5" t="s">
        <v>10</v>
      </c>
      <c r="N56" s="5">
        <v>4</v>
      </c>
      <c r="O56" s="6">
        <f t="shared" si="8"/>
        <v>18.4375</v>
      </c>
      <c r="P56" s="6">
        <f t="shared" si="9"/>
        <v>1.9175</v>
      </c>
      <c r="Q56" s="10">
        <f t="shared" si="10"/>
        <v>3.9947916666666666E-2</v>
      </c>
      <c r="R56" s="10">
        <f t="shared" si="11"/>
        <v>0.14147302810302484</v>
      </c>
      <c r="S56" s="10">
        <f t="shared" si="12"/>
        <v>0.18142094476969151</v>
      </c>
    </row>
    <row r="57" spans="1:19" x14ac:dyDescent="0.25">
      <c r="A57" s="5" t="s">
        <v>22</v>
      </c>
      <c r="B57" s="5" t="s">
        <v>63</v>
      </c>
      <c r="C57" s="5" t="s">
        <v>27</v>
      </c>
      <c r="D57" s="5" t="s">
        <v>385</v>
      </c>
      <c r="E57" s="5" t="s">
        <v>387</v>
      </c>
      <c r="F57" s="5" t="s">
        <v>52</v>
      </c>
      <c r="G57" s="5" t="s">
        <v>394</v>
      </c>
      <c r="H57" s="5" t="s">
        <v>56</v>
      </c>
      <c r="I57" s="5" t="s">
        <v>149</v>
      </c>
      <c r="J57" s="15">
        <v>2150</v>
      </c>
      <c r="K57" s="7">
        <v>39</v>
      </c>
      <c r="L57" s="7">
        <f t="shared" si="7"/>
        <v>55.128205128205131</v>
      </c>
      <c r="M57" s="5" t="s">
        <v>10</v>
      </c>
      <c r="N57" s="5">
        <v>4</v>
      </c>
      <c r="O57" s="6">
        <f t="shared" si="8"/>
        <v>4.083816157133465</v>
      </c>
      <c r="P57" s="6">
        <f t="shared" si="9"/>
        <v>0.42471688034188038</v>
      </c>
      <c r="Q57" s="10">
        <f t="shared" si="10"/>
        <v>8.84826834045584E-3</v>
      </c>
      <c r="R57" s="10">
        <f t="shared" si="11"/>
        <v>4.5676914730833268E-2</v>
      </c>
      <c r="S57" s="10">
        <f t="shared" si="12"/>
        <v>5.4525183071289104E-2</v>
      </c>
    </row>
    <row r="58" spans="1:19" x14ac:dyDescent="0.25">
      <c r="A58" s="5" t="s">
        <v>22</v>
      </c>
      <c r="B58" s="5" t="s">
        <v>63</v>
      </c>
      <c r="C58" s="5" t="s">
        <v>27</v>
      </c>
      <c r="D58" s="5" t="s">
        <v>385</v>
      </c>
      <c r="E58" s="5" t="s">
        <v>387</v>
      </c>
      <c r="F58" s="5" t="s">
        <v>52</v>
      </c>
      <c r="G58" s="5" t="s">
        <v>394</v>
      </c>
      <c r="H58" s="5" t="s">
        <v>56</v>
      </c>
      <c r="I58" s="5" t="s">
        <v>103</v>
      </c>
      <c r="J58" s="15">
        <v>1650</v>
      </c>
      <c r="K58" s="7">
        <v>30.5</v>
      </c>
      <c r="L58" s="7">
        <f t="shared" si="7"/>
        <v>54.098360655737707</v>
      </c>
      <c r="M58" s="5" t="s">
        <v>10</v>
      </c>
      <c r="N58" s="5">
        <v>4</v>
      </c>
      <c r="O58" s="6">
        <f t="shared" si="8"/>
        <v>3.0180898951894655</v>
      </c>
      <c r="P58" s="6">
        <f t="shared" si="9"/>
        <v>0.31388134909970439</v>
      </c>
      <c r="Q58" s="10">
        <f t="shared" si="10"/>
        <v>6.5391947729105081E-3</v>
      </c>
      <c r="R58" s="10">
        <f t="shared" si="11"/>
        <v>3.6407952239914915E-2</v>
      </c>
      <c r="S58" s="10">
        <f t="shared" si="12"/>
        <v>4.2947147012825426E-2</v>
      </c>
    </row>
    <row r="59" spans="1:19" x14ac:dyDescent="0.25">
      <c r="A59" s="5" t="s">
        <v>8</v>
      </c>
      <c r="B59" s="5" t="s">
        <v>329</v>
      </c>
      <c r="C59" s="5" t="s">
        <v>27</v>
      </c>
      <c r="D59" s="5" t="s">
        <v>385</v>
      </c>
      <c r="E59" s="5" t="s">
        <v>387</v>
      </c>
      <c r="F59" s="5" t="s">
        <v>52</v>
      </c>
      <c r="G59" s="5" t="s">
        <v>394</v>
      </c>
      <c r="H59" s="5" t="s">
        <v>56</v>
      </c>
      <c r="I59" s="5" t="s">
        <v>103</v>
      </c>
      <c r="J59" s="15">
        <v>1260</v>
      </c>
      <c r="K59" s="7">
        <v>34</v>
      </c>
      <c r="L59" s="7">
        <f t="shared" si="7"/>
        <v>37.058823529411768</v>
      </c>
      <c r="M59" s="5" t="s">
        <v>10</v>
      </c>
      <c r="N59" s="5">
        <v>4</v>
      </c>
      <c r="O59" s="6">
        <f t="shared" si="8"/>
        <v>1.0815181660899655</v>
      </c>
      <c r="P59" s="6">
        <f t="shared" si="9"/>
        <v>0.11247788927335642</v>
      </c>
      <c r="Q59" s="10">
        <f t="shared" si="10"/>
        <v>2.3432893598615916E-3</v>
      </c>
      <c r="R59" s="10">
        <f t="shared" si="11"/>
        <v>1.6862520407650464E-2</v>
      </c>
      <c r="S59" s="10">
        <f t="shared" si="12"/>
        <v>1.9205809767512055E-2</v>
      </c>
    </row>
    <row r="60" spans="1:19" x14ac:dyDescent="0.25">
      <c r="A60" s="5" t="s">
        <v>8</v>
      </c>
      <c r="B60" s="5" t="s">
        <v>296</v>
      </c>
      <c r="C60" s="5" t="s">
        <v>27</v>
      </c>
      <c r="D60" s="5" t="s">
        <v>385</v>
      </c>
      <c r="E60" s="5" t="s">
        <v>387</v>
      </c>
      <c r="F60" s="5" t="s">
        <v>52</v>
      </c>
      <c r="G60" s="5" t="s">
        <v>394</v>
      </c>
      <c r="H60" s="5" t="s">
        <v>56</v>
      </c>
      <c r="I60" s="5" t="s">
        <v>298</v>
      </c>
      <c r="J60" s="15">
        <v>1540</v>
      </c>
      <c r="K60" s="7">
        <v>22</v>
      </c>
      <c r="L60" s="7">
        <f t="shared" si="7"/>
        <v>70</v>
      </c>
      <c r="M60" s="5" t="s">
        <v>10</v>
      </c>
      <c r="N60" s="5">
        <v>4</v>
      </c>
      <c r="O60" s="6">
        <f t="shared" si="8"/>
        <v>4.7162499999999996</v>
      </c>
      <c r="P60" s="6">
        <f t="shared" si="9"/>
        <v>0.49048999999999998</v>
      </c>
      <c r="Q60" s="10">
        <f t="shared" si="10"/>
        <v>1.0218541666666666E-2</v>
      </c>
      <c r="R60" s="10">
        <f t="shared" si="11"/>
        <v>5.0885581049188403E-2</v>
      </c>
      <c r="S60" s="10">
        <f t="shared" si="12"/>
        <v>6.1104122715855066E-2</v>
      </c>
    </row>
    <row r="61" spans="1:19" x14ac:dyDescent="0.25">
      <c r="A61" s="5" t="s">
        <v>8</v>
      </c>
      <c r="B61" s="5" t="s">
        <v>231</v>
      </c>
      <c r="C61" s="5" t="s">
        <v>27</v>
      </c>
      <c r="D61" s="5" t="s">
        <v>385</v>
      </c>
      <c r="E61" s="5" t="s">
        <v>387</v>
      </c>
      <c r="F61" s="5" t="s">
        <v>52</v>
      </c>
      <c r="G61" s="5" t="s">
        <v>394</v>
      </c>
      <c r="H61" s="5" t="s">
        <v>56</v>
      </c>
      <c r="I61" s="5" t="s">
        <v>218</v>
      </c>
      <c r="J61" s="15">
        <v>1510</v>
      </c>
      <c r="K61" s="7">
        <v>26</v>
      </c>
      <c r="L61" s="7">
        <f t="shared" si="7"/>
        <v>58.07692307692308</v>
      </c>
      <c r="M61" s="5" t="s">
        <v>10</v>
      </c>
      <c r="N61" s="5">
        <v>4</v>
      </c>
      <c r="O61" s="6">
        <f t="shared" si="8"/>
        <v>3.183201738165681</v>
      </c>
      <c r="P61" s="6">
        <f t="shared" si="9"/>
        <v>0.33105298076923079</v>
      </c>
      <c r="Q61" s="10">
        <f t="shared" si="10"/>
        <v>6.8969370993589747E-3</v>
      </c>
      <c r="R61" s="10">
        <f t="shared" si="11"/>
        <v>3.7891800910019258E-2</v>
      </c>
      <c r="S61" s="10">
        <f t="shared" si="12"/>
        <v>4.4788738009378229E-2</v>
      </c>
    </row>
    <row r="62" spans="1:19" x14ac:dyDescent="0.25">
      <c r="A62" s="5" t="s">
        <v>8</v>
      </c>
      <c r="B62" s="5" t="s">
        <v>165</v>
      </c>
      <c r="C62" s="5" t="s">
        <v>27</v>
      </c>
      <c r="D62" s="5" t="s">
        <v>385</v>
      </c>
      <c r="E62" s="5" t="s">
        <v>387</v>
      </c>
      <c r="F62" s="5" t="s">
        <v>52</v>
      </c>
      <c r="G62" s="5" t="s">
        <v>394</v>
      </c>
      <c r="H62" s="5" t="s">
        <v>56</v>
      </c>
      <c r="I62" s="5" t="s">
        <v>169</v>
      </c>
      <c r="J62" s="15">
        <v>2160</v>
      </c>
      <c r="K62" s="7">
        <v>31</v>
      </c>
      <c r="L62" s="7">
        <f t="shared" si="7"/>
        <v>69.677419354838705</v>
      </c>
      <c r="M62" s="5" t="s">
        <v>10</v>
      </c>
      <c r="N62" s="5">
        <v>4</v>
      </c>
      <c r="O62" s="6">
        <f t="shared" si="8"/>
        <v>6.5541727367325695</v>
      </c>
      <c r="P62" s="6">
        <f t="shared" si="9"/>
        <v>0.68163396462018722</v>
      </c>
      <c r="Q62" s="10">
        <f t="shared" si="10"/>
        <v>1.42007075962539E-2</v>
      </c>
      <c r="R62" s="10">
        <f t="shared" si="11"/>
        <v>6.5130668631830216E-2</v>
      </c>
      <c r="S62" s="10">
        <f t="shared" si="12"/>
        <v>7.9331376228084116E-2</v>
      </c>
    </row>
    <row r="63" spans="1:19" x14ac:dyDescent="0.25">
      <c r="A63" s="5" t="s">
        <v>8</v>
      </c>
      <c r="B63" s="5" t="s">
        <v>161</v>
      </c>
      <c r="C63" s="5" t="s">
        <v>27</v>
      </c>
      <c r="D63" s="5" t="s">
        <v>385</v>
      </c>
      <c r="E63" s="5" t="s">
        <v>387</v>
      </c>
      <c r="F63" s="5" t="s">
        <v>52</v>
      </c>
      <c r="G63" s="5" t="s">
        <v>394</v>
      </c>
      <c r="H63" s="5" t="s">
        <v>56</v>
      </c>
      <c r="I63" s="5" t="s">
        <v>164</v>
      </c>
      <c r="J63" s="15">
        <v>2010</v>
      </c>
      <c r="K63" s="7">
        <v>25</v>
      </c>
      <c r="L63" s="7">
        <f t="shared" si="7"/>
        <v>80.400000000000006</v>
      </c>
      <c r="M63" s="5" t="s">
        <v>10</v>
      </c>
      <c r="N63" s="5">
        <v>4</v>
      </c>
      <c r="O63" s="6">
        <f t="shared" si="8"/>
        <v>8.1206010000000006</v>
      </c>
      <c r="P63" s="6">
        <f t="shared" si="9"/>
        <v>0.84454250400000008</v>
      </c>
      <c r="Q63" s="10">
        <f t="shared" si="10"/>
        <v>1.7594635500000001E-2</v>
      </c>
      <c r="R63" s="10">
        <f t="shared" si="11"/>
        <v>7.6487110304618008E-2</v>
      </c>
      <c r="S63" s="10">
        <f t="shared" si="12"/>
        <v>9.4081745804618006E-2</v>
      </c>
    </row>
    <row r="64" spans="1:19" x14ac:dyDescent="0.25">
      <c r="A64" s="5" t="s">
        <v>22</v>
      </c>
      <c r="B64" s="5" t="s">
        <v>63</v>
      </c>
      <c r="C64" s="5" t="s">
        <v>27</v>
      </c>
      <c r="D64" s="5" t="s">
        <v>385</v>
      </c>
      <c r="E64" s="5" t="s">
        <v>387</v>
      </c>
      <c r="F64" s="5" t="s">
        <v>52</v>
      </c>
      <c r="G64" s="5" t="s">
        <v>394</v>
      </c>
      <c r="H64" s="5" t="s">
        <v>56</v>
      </c>
      <c r="I64" s="5" t="s">
        <v>150</v>
      </c>
      <c r="J64" s="15">
        <v>1795</v>
      </c>
      <c r="K64" s="7">
        <v>26</v>
      </c>
      <c r="L64" s="7">
        <f t="shared" si="7"/>
        <v>69.038461538461533</v>
      </c>
      <c r="M64" s="5" t="s">
        <v>10</v>
      </c>
      <c r="N64" s="5">
        <v>4</v>
      </c>
      <c r="O64" s="6">
        <f t="shared" si="8"/>
        <v>5.3472031018860937</v>
      </c>
      <c r="P64" s="6">
        <f t="shared" si="9"/>
        <v>0.55610912259615364</v>
      </c>
      <c r="Q64" s="10">
        <f t="shared" si="10"/>
        <v>1.1585606720753204E-2</v>
      </c>
      <c r="R64" s="10">
        <f t="shared" si="11"/>
        <v>5.5910340147592871E-2</v>
      </c>
      <c r="S64" s="10">
        <f t="shared" si="12"/>
        <v>6.7495946868346077E-2</v>
      </c>
    </row>
    <row r="65" spans="1:19" x14ac:dyDescent="0.25">
      <c r="A65" s="5" t="s">
        <v>22</v>
      </c>
      <c r="B65" s="5" t="s">
        <v>26</v>
      </c>
      <c r="C65" s="5" t="s">
        <v>27</v>
      </c>
      <c r="D65" s="5" t="s">
        <v>385</v>
      </c>
      <c r="E65" s="5" t="s">
        <v>387</v>
      </c>
      <c r="F65" s="5" t="s">
        <v>52</v>
      </c>
      <c r="G65" s="5" t="s">
        <v>394</v>
      </c>
      <c r="H65" s="5" t="s">
        <v>56</v>
      </c>
      <c r="I65" s="5" t="s">
        <v>57</v>
      </c>
      <c r="J65" s="15">
        <v>1800</v>
      </c>
      <c r="K65" s="7">
        <v>31</v>
      </c>
      <c r="L65" s="7">
        <f t="shared" si="7"/>
        <v>58.064516129032256</v>
      </c>
      <c r="M65" s="5" t="s">
        <v>10</v>
      </c>
      <c r="N65" s="5">
        <v>4</v>
      </c>
      <c r="O65" s="6">
        <f t="shared" si="8"/>
        <v>3.7929240374609781</v>
      </c>
      <c r="P65" s="6">
        <f t="shared" si="9"/>
        <v>0.39446409989594167</v>
      </c>
      <c r="Q65" s="10">
        <f t="shared" si="10"/>
        <v>8.2180020811654531E-3</v>
      </c>
      <c r="R65" s="10">
        <f t="shared" si="11"/>
        <v>4.3214324927592522E-2</v>
      </c>
      <c r="S65" s="10">
        <f t="shared" si="12"/>
        <v>5.1432327008757973E-2</v>
      </c>
    </row>
    <row r="66" spans="1:19" x14ac:dyDescent="0.25">
      <c r="A66" s="5" t="s">
        <v>8</v>
      </c>
      <c r="B66" s="5" t="s">
        <v>187</v>
      </c>
      <c r="C66" s="5" t="s">
        <v>27</v>
      </c>
      <c r="D66" s="5" t="s">
        <v>385</v>
      </c>
      <c r="E66" s="5" t="s">
        <v>387</v>
      </c>
      <c r="F66" s="5" t="s">
        <v>52</v>
      </c>
      <c r="G66" s="5" t="s">
        <v>394</v>
      </c>
      <c r="H66" s="5" t="s">
        <v>56</v>
      </c>
      <c r="I66" s="5" t="s">
        <v>57</v>
      </c>
      <c r="J66" s="15">
        <v>2110</v>
      </c>
      <c r="K66" s="7">
        <v>31.7</v>
      </c>
      <c r="L66" s="7">
        <f t="shared" si="7"/>
        <v>66.561514195583598</v>
      </c>
      <c r="M66" s="5" t="s">
        <v>10</v>
      </c>
      <c r="N66" s="5">
        <v>4</v>
      </c>
      <c r="O66" s="6">
        <f t="shared" si="8"/>
        <v>5.842636383086707</v>
      </c>
      <c r="P66" s="6">
        <f t="shared" si="9"/>
        <v>0.60763418384101753</v>
      </c>
      <c r="Q66" s="10">
        <f t="shared" si="10"/>
        <v>1.2659045496687865E-2</v>
      </c>
      <c r="R66" s="10">
        <f t="shared" si="11"/>
        <v>5.9752181885174414E-2</v>
      </c>
      <c r="S66" s="10">
        <f t="shared" si="12"/>
        <v>7.2411227381862286E-2</v>
      </c>
    </row>
    <row r="67" spans="1:19" x14ac:dyDescent="0.25">
      <c r="A67" s="5" t="s">
        <v>8</v>
      </c>
      <c r="B67" s="5" t="s">
        <v>187</v>
      </c>
      <c r="C67" s="5" t="s">
        <v>27</v>
      </c>
      <c r="D67" s="5" t="s">
        <v>385</v>
      </c>
      <c r="E67" s="5" t="s">
        <v>387</v>
      </c>
      <c r="F67" s="5" t="s">
        <v>52</v>
      </c>
      <c r="G67" s="5" t="s">
        <v>394</v>
      </c>
      <c r="H67" s="5" t="s">
        <v>56</v>
      </c>
      <c r="I67" s="5" t="s">
        <v>57</v>
      </c>
      <c r="J67" s="15">
        <v>2090</v>
      </c>
      <c r="K67" s="7">
        <v>30</v>
      </c>
      <c r="L67" s="7">
        <f t="shared" si="7"/>
        <v>69.666666666666671</v>
      </c>
      <c r="M67" s="5" t="s">
        <v>10</v>
      </c>
      <c r="N67" s="5">
        <v>4</v>
      </c>
      <c r="O67" s="6">
        <f t="shared" si="8"/>
        <v>6.3398118055555566</v>
      </c>
      <c r="P67" s="6">
        <f t="shared" si="9"/>
        <v>0.65934042777777779</v>
      </c>
      <c r="Q67" s="10">
        <f t="shared" si="10"/>
        <v>1.3736258912037039E-2</v>
      </c>
      <c r="R67" s="10">
        <f t="shared" si="11"/>
        <v>6.3526422548826608E-2</v>
      </c>
      <c r="S67" s="10">
        <f t="shared" si="12"/>
        <v>7.7262681460863653E-2</v>
      </c>
    </row>
    <row r="68" spans="1:19" x14ac:dyDescent="0.25">
      <c r="A68" s="5" t="s">
        <v>8</v>
      </c>
      <c r="B68" s="5" t="s">
        <v>187</v>
      </c>
      <c r="C68" s="5" t="s">
        <v>27</v>
      </c>
      <c r="D68" s="5" t="s">
        <v>385</v>
      </c>
      <c r="E68" s="5" t="s">
        <v>387</v>
      </c>
      <c r="F68" s="5" t="s">
        <v>52</v>
      </c>
      <c r="G68" s="5" t="s">
        <v>394</v>
      </c>
      <c r="H68" s="5" t="s">
        <v>56</v>
      </c>
      <c r="I68" s="5" t="s">
        <v>57</v>
      </c>
      <c r="J68" s="15">
        <v>1980</v>
      </c>
      <c r="K68" s="7">
        <v>30.4</v>
      </c>
      <c r="L68" s="7">
        <f t="shared" si="7"/>
        <v>65.131578947368425</v>
      </c>
      <c r="M68" s="5" t="s">
        <v>10</v>
      </c>
      <c r="N68" s="5">
        <v>4</v>
      </c>
      <c r="O68" s="6">
        <f t="shared" si="8"/>
        <v>5.2496266880193909</v>
      </c>
      <c r="P68" s="6">
        <f t="shared" si="9"/>
        <v>0.54596117555401669</v>
      </c>
      <c r="Q68" s="10">
        <f t="shared" si="10"/>
        <v>1.1374191157375346E-2</v>
      </c>
      <c r="R68" s="10">
        <f t="shared" si="11"/>
        <v>5.5143387293808285E-2</v>
      </c>
      <c r="S68" s="10">
        <f t="shared" si="12"/>
        <v>6.6517578451183626E-2</v>
      </c>
    </row>
    <row r="69" spans="1:19" x14ac:dyDescent="0.25">
      <c r="A69" s="5" t="s">
        <v>8</v>
      </c>
      <c r="B69" s="5" t="s">
        <v>187</v>
      </c>
      <c r="C69" s="5" t="s">
        <v>27</v>
      </c>
      <c r="D69" s="5" t="s">
        <v>385</v>
      </c>
      <c r="E69" s="5" t="s">
        <v>387</v>
      </c>
      <c r="F69" s="5" t="s">
        <v>52</v>
      </c>
      <c r="G69" s="5" t="s">
        <v>394</v>
      </c>
      <c r="H69" s="5" t="s">
        <v>56</v>
      </c>
      <c r="I69" s="5" t="s">
        <v>57</v>
      </c>
      <c r="J69" s="15">
        <v>1980</v>
      </c>
      <c r="K69" s="7">
        <v>31.2</v>
      </c>
      <c r="L69" s="7">
        <f t="shared" si="7"/>
        <v>63.46153846153846</v>
      </c>
      <c r="M69" s="5" t="s">
        <v>10</v>
      </c>
      <c r="N69" s="5">
        <v>4</v>
      </c>
      <c r="O69" s="6">
        <f t="shared" si="8"/>
        <v>4.9838664940828403</v>
      </c>
      <c r="P69" s="6">
        <f t="shared" si="9"/>
        <v>0.51832211538461537</v>
      </c>
      <c r="Q69" s="10">
        <f t="shared" si="10"/>
        <v>1.0798377403846154E-2</v>
      </c>
      <c r="R69" s="10">
        <f t="shared" si="11"/>
        <v>5.3036141958594116E-2</v>
      </c>
      <c r="S69" s="10">
        <f t="shared" si="12"/>
        <v>6.3834519362440265E-2</v>
      </c>
    </row>
    <row r="70" spans="1:19" x14ac:dyDescent="0.25">
      <c r="A70" s="5" t="s">
        <v>8</v>
      </c>
      <c r="B70" s="5" t="s">
        <v>187</v>
      </c>
      <c r="C70" s="5" t="s">
        <v>27</v>
      </c>
      <c r="D70" s="5" t="s">
        <v>385</v>
      </c>
      <c r="E70" s="5" t="s">
        <v>387</v>
      </c>
      <c r="F70" s="5" t="s">
        <v>52</v>
      </c>
      <c r="G70" s="5" t="s">
        <v>394</v>
      </c>
      <c r="H70" s="5" t="s">
        <v>56</v>
      </c>
      <c r="I70" s="5" t="s">
        <v>57</v>
      </c>
      <c r="J70" s="15">
        <v>2200</v>
      </c>
      <c r="K70" s="7">
        <v>29</v>
      </c>
      <c r="L70" s="7">
        <f t="shared" si="7"/>
        <v>75.862068965517238</v>
      </c>
      <c r="M70" s="5" t="s">
        <v>10</v>
      </c>
      <c r="N70" s="5">
        <v>4</v>
      </c>
      <c r="O70" s="6">
        <f t="shared" si="8"/>
        <v>7.9131985731272296</v>
      </c>
      <c r="P70" s="6">
        <f t="shared" si="9"/>
        <v>0.82297265160523181</v>
      </c>
      <c r="Q70" s="10">
        <f t="shared" si="10"/>
        <v>1.7145263575108996E-2</v>
      </c>
      <c r="R70" s="10">
        <f t="shared" si="11"/>
        <v>7.501725564715013E-2</v>
      </c>
      <c r="S70" s="10">
        <f t="shared" si="12"/>
        <v>9.2162519222259126E-2</v>
      </c>
    </row>
    <row r="71" spans="1:19" x14ac:dyDescent="0.25">
      <c r="A71" s="5" t="s">
        <v>8</v>
      </c>
      <c r="B71" s="5" t="s">
        <v>187</v>
      </c>
      <c r="C71" s="5" t="s">
        <v>27</v>
      </c>
      <c r="D71" s="5" t="s">
        <v>385</v>
      </c>
      <c r="E71" s="5" t="s">
        <v>387</v>
      </c>
      <c r="F71" s="5" t="s">
        <v>52</v>
      </c>
      <c r="G71" s="5" t="s">
        <v>394</v>
      </c>
      <c r="H71" s="5" t="s">
        <v>56</v>
      </c>
      <c r="I71" s="5" t="s">
        <v>57</v>
      </c>
      <c r="J71" s="15">
        <v>2175</v>
      </c>
      <c r="K71" s="7">
        <v>31.3</v>
      </c>
      <c r="L71" s="7">
        <f t="shared" si="7"/>
        <v>69.488817891373799</v>
      </c>
      <c r="M71" s="5" t="s">
        <v>10</v>
      </c>
      <c r="N71" s="5">
        <v>4</v>
      </c>
      <c r="O71" s="6">
        <f t="shared" si="8"/>
        <v>6.5640083693566336</v>
      </c>
      <c r="P71" s="6">
        <f t="shared" si="9"/>
        <v>0.68265687041308976</v>
      </c>
      <c r="Q71" s="10">
        <f t="shared" si="10"/>
        <v>1.4222018133606039E-2</v>
      </c>
      <c r="R71" s="10">
        <f t="shared" si="11"/>
        <v>6.5203959487576693E-2</v>
      </c>
      <c r="S71" s="10">
        <f t="shared" si="12"/>
        <v>7.9425977621182725E-2</v>
      </c>
    </row>
    <row r="72" spans="1:19" x14ac:dyDescent="0.25">
      <c r="A72" s="5" t="s">
        <v>8</v>
      </c>
      <c r="B72" s="5" t="s">
        <v>291</v>
      </c>
      <c r="C72" s="5" t="s">
        <v>27</v>
      </c>
      <c r="D72" s="5" t="s">
        <v>385</v>
      </c>
      <c r="E72" s="5" t="s">
        <v>387</v>
      </c>
      <c r="F72" s="5" t="s">
        <v>52</v>
      </c>
      <c r="G72" s="5" t="s">
        <v>394</v>
      </c>
      <c r="H72" s="5" t="s">
        <v>56</v>
      </c>
      <c r="I72" s="5" t="s">
        <v>57</v>
      </c>
      <c r="J72" s="15">
        <v>1742</v>
      </c>
      <c r="K72" s="7">
        <v>24.9</v>
      </c>
      <c r="L72" s="7">
        <f t="shared" si="7"/>
        <v>69.959839357429729</v>
      </c>
      <c r="M72" s="5" t="s">
        <v>10</v>
      </c>
      <c r="N72" s="5">
        <v>4</v>
      </c>
      <c r="O72" s="6">
        <f t="shared" si="8"/>
        <v>5.3287552700762904</v>
      </c>
      <c r="P72" s="6">
        <f t="shared" si="9"/>
        <v>0.55419054808793411</v>
      </c>
      <c r="Q72" s="10">
        <f t="shared" si="10"/>
        <v>1.154563641849863E-2</v>
      </c>
      <c r="R72" s="10">
        <f t="shared" si="11"/>
        <v>5.5765609812803228E-2</v>
      </c>
      <c r="S72" s="10">
        <f t="shared" si="12"/>
        <v>6.7311246231301858E-2</v>
      </c>
    </row>
    <row r="73" spans="1:19" x14ac:dyDescent="0.25">
      <c r="A73" s="5" t="s">
        <v>8</v>
      </c>
      <c r="B73" s="5" t="s">
        <v>329</v>
      </c>
      <c r="C73" s="5" t="s">
        <v>27</v>
      </c>
      <c r="D73" s="5" t="s">
        <v>385</v>
      </c>
      <c r="E73" s="5" t="s">
        <v>387</v>
      </c>
      <c r="F73" s="5" t="s">
        <v>52</v>
      </c>
      <c r="G73" s="5" t="s">
        <v>394</v>
      </c>
      <c r="H73" s="5" t="s">
        <v>56</v>
      </c>
      <c r="I73" s="5" t="s">
        <v>94</v>
      </c>
      <c r="J73" s="15">
        <v>3680</v>
      </c>
      <c r="K73" s="7">
        <v>35.5</v>
      </c>
      <c r="L73" s="7">
        <f t="shared" si="7"/>
        <v>103.66197183098592</v>
      </c>
      <c r="M73" s="5" t="s">
        <v>10</v>
      </c>
      <c r="N73" s="5">
        <v>4</v>
      </c>
      <c r="O73" s="6">
        <f t="shared" si="8"/>
        <v>24.715350128942671</v>
      </c>
      <c r="P73" s="6">
        <f t="shared" si="9"/>
        <v>2.5703964134100374</v>
      </c>
      <c r="Q73" s="10">
        <f t="shared" si="10"/>
        <v>5.3549925279375778E-2</v>
      </c>
      <c r="R73" s="10">
        <f t="shared" si="11"/>
        <v>0.17624718927922817</v>
      </c>
      <c r="S73" s="10">
        <f t="shared" si="12"/>
        <v>0.22979711455860394</v>
      </c>
    </row>
    <row r="74" spans="1:19" x14ac:dyDescent="0.25">
      <c r="A74" s="5" t="s">
        <v>22</v>
      </c>
      <c r="B74" s="5" t="s">
        <v>63</v>
      </c>
      <c r="C74" s="5" t="s">
        <v>27</v>
      </c>
      <c r="D74" s="5" t="s">
        <v>385</v>
      </c>
      <c r="E74" s="5" t="s">
        <v>387</v>
      </c>
      <c r="F74" s="5" t="s">
        <v>52</v>
      </c>
      <c r="G74" s="5" t="s">
        <v>394</v>
      </c>
      <c r="H74" s="5" t="s">
        <v>56</v>
      </c>
      <c r="I74" s="5" t="s">
        <v>151</v>
      </c>
      <c r="J74" s="15">
        <v>3150</v>
      </c>
      <c r="K74" s="7">
        <v>32.5</v>
      </c>
      <c r="L74" s="7">
        <f t="shared" si="7"/>
        <v>96.92307692307692</v>
      </c>
      <c r="M74" s="5" t="s">
        <v>10</v>
      </c>
      <c r="N74" s="5">
        <v>4</v>
      </c>
      <c r="O74" s="6">
        <f t="shared" si="8"/>
        <v>18.494600591715976</v>
      </c>
      <c r="P74" s="6">
        <f t="shared" si="9"/>
        <v>1.9234384615384612</v>
      </c>
      <c r="Q74" s="10">
        <f t="shared" si="10"/>
        <v>4.0071634615384613E-2</v>
      </c>
      <c r="R74" s="10">
        <f t="shared" si="11"/>
        <v>0.14180150554274765</v>
      </c>
      <c r="S74" s="10">
        <f t="shared" si="12"/>
        <v>0.18187314015813227</v>
      </c>
    </row>
    <row r="75" spans="1:19" x14ac:dyDescent="0.25">
      <c r="A75" s="5" t="s">
        <v>8</v>
      </c>
      <c r="B75" s="5" t="s">
        <v>217</v>
      </c>
      <c r="C75" s="5" t="s">
        <v>27</v>
      </c>
      <c r="D75" s="5" t="s">
        <v>385</v>
      </c>
      <c r="E75" s="5" t="s">
        <v>387</v>
      </c>
      <c r="F75" s="5" t="s">
        <v>52</v>
      </c>
      <c r="G75" s="5" t="s">
        <v>394</v>
      </c>
      <c r="H75" s="5" t="s">
        <v>56</v>
      </c>
      <c r="I75" s="5" t="s">
        <v>151</v>
      </c>
      <c r="J75" s="15">
        <v>3100</v>
      </c>
      <c r="K75" s="7">
        <v>34.1</v>
      </c>
      <c r="L75" s="7">
        <f t="shared" si="7"/>
        <v>90.909090909090907</v>
      </c>
      <c r="M75" s="5" t="s">
        <v>10</v>
      </c>
      <c r="N75" s="5">
        <v>4</v>
      </c>
      <c r="O75" s="6">
        <f t="shared" si="8"/>
        <v>16.012396694214875</v>
      </c>
      <c r="P75" s="6">
        <f t="shared" si="9"/>
        <v>1.6652892561983468</v>
      </c>
      <c r="Q75" s="10">
        <f t="shared" si="10"/>
        <v>3.4693526170798898E-2</v>
      </c>
      <c r="R75" s="10">
        <f t="shared" si="11"/>
        <v>0.12727390813293155</v>
      </c>
      <c r="S75" s="10">
        <f t="shared" si="12"/>
        <v>0.16196743430373045</v>
      </c>
    </row>
    <row r="76" spans="1:19" x14ac:dyDescent="0.25">
      <c r="A76" s="5" t="s">
        <v>22</v>
      </c>
      <c r="B76" s="5" t="s">
        <v>63</v>
      </c>
      <c r="C76" s="5" t="s">
        <v>27</v>
      </c>
      <c r="D76" s="5" t="s">
        <v>385</v>
      </c>
      <c r="E76" s="5" t="s">
        <v>387</v>
      </c>
      <c r="F76" s="5" t="s">
        <v>52</v>
      </c>
      <c r="G76" s="5" t="s">
        <v>394</v>
      </c>
      <c r="H76" s="5" t="s">
        <v>106</v>
      </c>
      <c r="I76" s="5" t="s">
        <v>107</v>
      </c>
      <c r="J76" s="15">
        <v>1025</v>
      </c>
      <c r="K76" s="7">
        <v>23.5</v>
      </c>
      <c r="L76" s="7">
        <f t="shared" si="7"/>
        <v>43.617021276595743</v>
      </c>
      <c r="M76" s="5" t="s">
        <v>10</v>
      </c>
      <c r="N76" s="5">
        <v>4</v>
      </c>
      <c r="O76" s="6">
        <f t="shared" si="8"/>
        <v>1.2187535366681754</v>
      </c>
      <c r="P76" s="6">
        <f t="shared" si="9"/>
        <v>0.12675036781349025</v>
      </c>
      <c r="Q76" s="10">
        <f t="shared" si="10"/>
        <v>2.640632662781047E-3</v>
      </c>
      <c r="R76" s="10">
        <f t="shared" si="11"/>
        <v>1.8443105096462079E-2</v>
      </c>
      <c r="S76" s="10">
        <f t="shared" si="12"/>
        <v>2.1083737759243125E-2</v>
      </c>
    </row>
    <row r="77" spans="1:19" x14ac:dyDescent="0.25">
      <c r="A77" s="5" t="s">
        <v>8</v>
      </c>
      <c r="B77" s="5" t="s">
        <v>154</v>
      </c>
      <c r="C77" s="5" t="s">
        <v>27</v>
      </c>
      <c r="D77" s="5" t="s">
        <v>385</v>
      </c>
      <c r="E77" s="5" t="s">
        <v>387</v>
      </c>
      <c r="F77" s="5" t="s">
        <v>52</v>
      </c>
      <c r="G77" s="5" t="s">
        <v>394</v>
      </c>
      <c r="H77" s="5" t="s">
        <v>108</v>
      </c>
      <c r="I77" s="5" t="s">
        <v>155</v>
      </c>
      <c r="J77" s="15">
        <v>1570</v>
      </c>
      <c r="K77" s="7">
        <v>32.5</v>
      </c>
      <c r="L77" s="7">
        <f t="shared" ref="L77:L140" si="13">J77/K77</f>
        <v>48.307692307692307</v>
      </c>
      <c r="M77" s="5" t="s">
        <v>10</v>
      </c>
      <c r="N77" s="5">
        <v>4</v>
      </c>
      <c r="O77" s="6">
        <f t="shared" ref="O77:O140" si="14">(J77*L77^2)/(1.6*10^6)</f>
        <v>2.2898775147928991</v>
      </c>
      <c r="P77" s="6">
        <f t="shared" ref="P77:P140" si="15">(0.104*J77*L77^2)/(1.6*10^6)</f>
        <v>0.2381472615384615</v>
      </c>
      <c r="Q77" s="10">
        <f t="shared" ref="Q77:Q140" si="16">(0.104*O77)/(12*N77)</f>
        <v>4.9614012820512815E-3</v>
      </c>
      <c r="R77" s="10">
        <f t="shared" ref="R77:R140" si="17">0.0159*O77^0.75</f>
        <v>2.9597587543075777E-2</v>
      </c>
      <c r="S77" s="10">
        <f t="shared" ref="S77:S140" si="18">Q77+R77</f>
        <v>3.4558988825127056E-2</v>
      </c>
    </row>
    <row r="78" spans="1:19" x14ac:dyDescent="0.25">
      <c r="A78" s="5" t="s">
        <v>22</v>
      </c>
      <c r="B78" s="5" t="s">
        <v>63</v>
      </c>
      <c r="C78" s="5" t="s">
        <v>27</v>
      </c>
      <c r="D78" s="5" t="s">
        <v>385</v>
      </c>
      <c r="E78" s="5" t="s">
        <v>387</v>
      </c>
      <c r="F78" s="5" t="s">
        <v>112</v>
      </c>
      <c r="G78" s="5" t="s">
        <v>395</v>
      </c>
      <c r="H78" s="5" t="s">
        <v>131</v>
      </c>
      <c r="I78" s="5" t="s">
        <v>132</v>
      </c>
      <c r="J78" s="15">
        <v>1175</v>
      </c>
      <c r="K78" s="7">
        <v>40</v>
      </c>
      <c r="L78" s="7">
        <f t="shared" si="13"/>
        <v>29.375</v>
      </c>
      <c r="M78" s="5" t="s">
        <v>10</v>
      </c>
      <c r="N78" s="5">
        <v>4</v>
      </c>
      <c r="O78" s="6">
        <f t="shared" si="14"/>
        <v>0.63368530273437496</v>
      </c>
      <c r="P78" s="6">
        <f t="shared" si="15"/>
        <v>6.5903271484374998E-2</v>
      </c>
      <c r="Q78" s="10">
        <f t="shared" si="16"/>
        <v>1.3729848225911459E-3</v>
      </c>
      <c r="R78" s="10">
        <f t="shared" si="17"/>
        <v>1.1292818553521496E-2</v>
      </c>
      <c r="S78" s="10">
        <f t="shared" si="18"/>
        <v>1.2665803376112641E-2</v>
      </c>
    </row>
    <row r="79" spans="1:19" x14ac:dyDescent="0.25">
      <c r="A79" s="5" t="s">
        <v>22</v>
      </c>
      <c r="B79" s="5" t="s">
        <v>63</v>
      </c>
      <c r="C79" s="5" t="s">
        <v>27</v>
      </c>
      <c r="D79" s="5" t="s">
        <v>385</v>
      </c>
      <c r="E79" s="5" t="s">
        <v>387</v>
      </c>
      <c r="F79" s="5" t="s">
        <v>112</v>
      </c>
      <c r="G79" s="5" t="s">
        <v>395</v>
      </c>
      <c r="H79" s="5" t="s">
        <v>129</v>
      </c>
      <c r="I79" s="5" t="s">
        <v>130</v>
      </c>
      <c r="J79" s="15">
        <v>2750</v>
      </c>
      <c r="K79" s="7">
        <v>41.5</v>
      </c>
      <c r="L79" s="7">
        <f t="shared" si="13"/>
        <v>66.265060240963862</v>
      </c>
      <c r="M79" s="5" t="s">
        <v>10</v>
      </c>
      <c r="N79" s="5">
        <v>4</v>
      </c>
      <c r="O79" s="6">
        <f t="shared" si="14"/>
        <v>7.5471312962694164</v>
      </c>
      <c r="P79" s="6">
        <f t="shared" si="15"/>
        <v>0.78490165481201923</v>
      </c>
      <c r="Q79" s="10">
        <f t="shared" si="16"/>
        <v>1.6352117808583734E-2</v>
      </c>
      <c r="R79" s="10">
        <f t="shared" si="17"/>
        <v>7.2399164332052277E-2</v>
      </c>
      <c r="S79" s="10">
        <f t="shared" si="18"/>
        <v>8.8751282140636018E-2</v>
      </c>
    </row>
    <row r="80" spans="1:19" x14ac:dyDescent="0.25">
      <c r="A80" s="5" t="s">
        <v>22</v>
      </c>
      <c r="B80" s="5" t="s">
        <v>63</v>
      </c>
      <c r="C80" s="5" t="s">
        <v>27</v>
      </c>
      <c r="D80" s="5" t="s">
        <v>385</v>
      </c>
      <c r="E80" s="5" t="s">
        <v>387</v>
      </c>
      <c r="F80" s="5" t="s">
        <v>112</v>
      </c>
      <c r="G80" s="5" t="s">
        <v>395</v>
      </c>
      <c r="H80" s="5" t="s">
        <v>123</v>
      </c>
      <c r="I80" s="5" t="s">
        <v>124</v>
      </c>
      <c r="J80" s="15">
        <v>1900</v>
      </c>
      <c r="K80" s="7">
        <v>31</v>
      </c>
      <c r="L80" s="7">
        <f t="shared" si="13"/>
        <v>61.29032258064516</v>
      </c>
      <c r="M80" s="5" t="s">
        <v>10</v>
      </c>
      <c r="N80" s="5">
        <v>4</v>
      </c>
      <c r="O80" s="6">
        <f t="shared" si="14"/>
        <v>4.4608480749219561</v>
      </c>
      <c r="P80" s="6">
        <f t="shared" si="15"/>
        <v>0.46392819979188343</v>
      </c>
      <c r="Q80" s="10">
        <f t="shared" si="16"/>
        <v>9.6651708289975709E-3</v>
      </c>
      <c r="R80" s="10">
        <f t="shared" si="17"/>
        <v>4.8804537187392021E-2</v>
      </c>
      <c r="S80" s="10">
        <f t="shared" si="18"/>
        <v>5.8469708016389593E-2</v>
      </c>
    </row>
    <row r="81" spans="1:19" x14ac:dyDescent="0.25">
      <c r="A81" s="5" t="s">
        <v>22</v>
      </c>
      <c r="B81" s="5" t="s">
        <v>63</v>
      </c>
      <c r="C81" s="5" t="s">
        <v>27</v>
      </c>
      <c r="D81" s="5" t="s">
        <v>385</v>
      </c>
      <c r="E81" s="5" t="s">
        <v>387</v>
      </c>
      <c r="F81" s="5" t="s">
        <v>112</v>
      </c>
      <c r="G81" s="5" t="s">
        <v>395</v>
      </c>
      <c r="H81" s="5" t="s">
        <v>127</v>
      </c>
      <c r="I81" s="5" t="s">
        <v>128</v>
      </c>
      <c r="J81" s="15">
        <v>2730</v>
      </c>
      <c r="K81" s="7">
        <v>35.5</v>
      </c>
      <c r="L81" s="7">
        <f t="shared" si="13"/>
        <v>76.901408450704224</v>
      </c>
      <c r="M81" s="5" t="s">
        <v>10</v>
      </c>
      <c r="N81" s="5">
        <v>4</v>
      </c>
      <c r="O81" s="6">
        <f t="shared" si="14"/>
        <v>10.09046667327911</v>
      </c>
      <c r="P81" s="6">
        <f t="shared" si="15"/>
        <v>1.0494085340210273</v>
      </c>
      <c r="Q81" s="10">
        <f t="shared" si="16"/>
        <v>2.1862677792104736E-2</v>
      </c>
      <c r="R81" s="10">
        <f t="shared" si="17"/>
        <v>9.0018249545225748E-2</v>
      </c>
      <c r="S81" s="10">
        <f t="shared" si="18"/>
        <v>0.11188092733733049</v>
      </c>
    </row>
    <row r="82" spans="1:19" x14ac:dyDescent="0.25">
      <c r="A82" s="5" t="s">
        <v>8</v>
      </c>
      <c r="B82" s="5" t="s">
        <v>333</v>
      </c>
      <c r="C82" s="5" t="s">
        <v>27</v>
      </c>
      <c r="D82" s="5" t="s">
        <v>385</v>
      </c>
      <c r="E82" s="5" t="s">
        <v>387</v>
      </c>
      <c r="F82" s="5" t="s">
        <v>112</v>
      </c>
      <c r="G82" s="5" t="s">
        <v>395</v>
      </c>
      <c r="H82" s="5" t="s">
        <v>127</v>
      </c>
      <c r="I82" s="5" t="s">
        <v>335</v>
      </c>
      <c r="J82" s="15">
        <v>2210</v>
      </c>
      <c r="K82" s="7">
        <v>28.6</v>
      </c>
      <c r="L82" s="7">
        <f t="shared" si="13"/>
        <v>77.272727272727266</v>
      </c>
      <c r="M82" s="5" t="s">
        <v>10</v>
      </c>
      <c r="N82" s="5">
        <v>4</v>
      </c>
      <c r="O82" s="6">
        <f t="shared" si="14"/>
        <v>8.2475464876033033</v>
      </c>
      <c r="P82" s="6">
        <f t="shared" si="15"/>
        <v>0.85774483471074359</v>
      </c>
      <c r="Q82" s="10">
        <f t="shared" si="16"/>
        <v>1.7869684056473822E-2</v>
      </c>
      <c r="R82" s="10">
        <f t="shared" si="17"/>
        <v>7.7382134205359915E-2</v>
      </c>
      <c r="S82" s="10">
        <f t="shared" si="18"/>
        <v>9.5251818261833737E-2</v>
      </c>
    </row>
    <row r="83" spans="1:19" x14ac:dyDescent="0.25">
      <c r="A83" s="5" t="s">
        <v>8</v>
      </c>
      <c r="B83" s="5" t="s">
        <v>239</v>
      </c>
      <c r="C83" s="5" t="s">
        <v>27</v>
      </c>
      <c r="D83" s="5" t="s">
        <v>385</v>
      </c>
      <c r="E83" s="5" t="s">
        <v>387</v>
      </c>
      <c r="F83" s="5" t="s">
        <v>112</v>
      </c>
      <c r="G83" s="5" t="s">
        <v>395</v>
      </c>
      <c r="H83" s="5" t="s">
        <v>127</v>
      </c>
      <c r="I83" s="5" t="s">
        <v>240</v>
      </c>
      <c r="J83" s="15">
        <v>2800</v>
      </c>
      <c r="K83" s="7">
        <v>34.299999999999997</v>
      </c>
      <c r="L83" s="7">
        <f t="shared" si="13"/>
        <v>81.632653061224502</v>
      </c>
      <c r="M83" s="5" t="s">
        <v>10</v>
      </c>
      <c r="N83" s="5">
        <v>4</v>
      </c>
      <c r="O83" s="6">
        <f t="shared" si="14"/>
        <v>11.661807580174932</v>
      </c>
      <c r="P83" s="6">
        <f t="shared" si="15"/>
        <v>1.2128279883381927</v>
      </c>
      <c r="Q83" s="10">
        <f t="shared" si="16"/>
        <v>2.5267249757045685E-2</v>
      </c>
      <c r="R83" s="10">
        <f t="shared" si="17"/>
        <v>0.10033940647782641</v>
      </c>
      <c r="S83" s="10">
        <f t="shared" si="18"/>
        <v>0.1256066562348721</v>
      </c>
    </row>
    <row r="84" spans="1:19" x14ac:dyDescent="0.25">
      <c r="A84" s="5" t="s">
        <v>8</v>
      </c>
      <c r="B84" s="5" t="s">
        <v>333</v>
      </c>
      <c r="C84" s="5" t="s">
        <v>27</v>
      </c>
      <c r="D84" s="5" t="s">
        <v>385</v>
      </c>
      <c r="E84" s="5" t="s">
        <v>387</v>
      </c>
      <c r="F84" s="5" t="s">
        <v>112</v>
      </c>
      <c r="G84" s="5" t="s">
        <v>395</v>
      </c>
      <c r="H84" s="5" t="s">
        <v>127</v>
      </c>
      <c r="I84" s="5" t="s">
        <v>240</v>
      </c>
      <c r="J84" s="15">
        <v>2630</v>
      </c>
      <c r="K84" s="7">
        <v>31.3</v>
      </c>
      <c r="L84" s="7">
        <f t="shared" si="13"/>
        <v>84.025559105431313</v>
      </c>
      <c r="M84" s="5" t="s">
        <v>10</v>
      </c>
      <c r="N84" s="5">
        <v>4</v>
      </c>
      <c r="O84" s="6">
        <f t="shared" si="14"/>
        <v>11.60535922077392</v>
      </c>
      <c r="P84" s="6">
        <f t="shared" si="15"/>
        <v>1.2069573589604874</v>
      </c>
      <c r="Q84" s="10">
        <f t="shared" si="16"/>
        <v>2.5144944978343492E-2</v>
      </c>
      <c r="R84" s="10">
        <f t="shared" si="17"/>
        <v>9.9974919960367822E-2</v>
      </c>
      <c r="S84" s="10">
        <f t="shared" si="18"/>
        <v>0.1251198649387113</v>
      </c>
    </row>
    <row r="85" spans="1:19" x14ac:dyDescent="0.25">
      <c r="A85" s="5" t="s">
        <v>8</v>
      </c>
      <c r="B85" s="5" t="s">
        <v>281</v>
      </c>
      <c r="C85" s="5" t="s">
        <v>27</v>
      </c>
      <c r="D85" s="5" t="s">
        <v>385</v>
      </c>
      <c r="E85" s="5" t="s">
        <v>387</v>
      </c>
      <c r="F85" s="5" t="s">
        <v>112</v>
      </c>
      <c r="G85" s="5" t="s">
        <v>395</v>
      </c>
      <c r="H85" s="5" t="s">
        <v>127</v>
      </c>
      <c r="I85" s="5" t="s">
        <v>283</v>
      </c>
      <c r="J85" s="15">
        <v>2700</v>
      </c>
      <c r="K85" s="7">
        <v>35.5</v>
      </c>
      <c r="L85" s="7">
        <f t="shared" si="13"/>
        <v>76.056338028169009</v>
      </c>
      <c r="M85" s="5" t="s">
        <v>10</v>
      </c>
      <c r="N85" s="5">
        <v>4</v>
      </c>
      <c r="O85" s="6">
        <f t="shared" si="14"/>
        <v>9.761456060305493</v>
      </c>
      <c r="P85" s="6">
        <f t="shared" si="15"/>
        <v>1.0151914302717713</v>
      </c>
      <c r="Q85" s="10">
        <f t="shared" si="16"/>
        <v>2.1149821463995234E-2</v>
      </c>
      <c r="R85" s="10">
        <f t="shared" si="17"/>
        <v>8.7807796146606665E-2</v>
      </c>
      <c r="S85" s="10">
        <f t="shared" si="18"/>
        <v>0.1089576176106019</v>
      </c>
    </row>
    <row r="86" spans="1:19" x14ac:dyDescent="0.25">
      <c r="A86" s="5" t="s">
        <v>8</v>
      </c>
      <c r="B86" s="5" t="s">
        <v>333</v>
      </c>
      <c r="C86" s="5" t="s">
        <v>27</v>
      </c>
      <c r="D86" s="5" t="s">
        <v>385</v>
      </c>
      <c r="E86" s="5" t="s">
        <v>387</v>
      </c>
      <c r="F86" s="5" t="s">
        <v>112</v>
      </c>
      <c r="G86" s="5" t="s">
        <v>395</v>
      </c>
      <c r="H86" s="5" t="s">
        <v>127</v>
      </c>
      <c r="I86" s="5" t="s">
        <v>334</v>
      </c>
      <c r="J86" s="15">
        <v>2470</v>
      </c>
      <c r="K86" s="7">
        <v>32.4</v>
      </c>
      <c r="L86" s="7">
        <f t="shared" si="13"/>
        <v>76.23456790123457</v>
      </c>
      <c r="M86" s="5" t="s">
        <v>10</v>
      </c>
      <c r="N86" s="5">
        <v>4</v>
      </c>
      <c r="O86" s="6">
        <f t="shared" si="14"/>
        <v>8.9718262983920134</v>
      </c>
      <c r="P86" s="6">
        <f t="shared" si="15"/>
        <v>0.93306993503276947</v>
      </c>
      <c r="Q86" s="10">
        <f t="shared" si="16"/>
        <v>1.9438956979849362E-2</v>
      </c>
      <c r="R86" s="10">
        <f t="shared" si="17"/>
        <v>8.2424774346458729E-2</v>
      </c>
      <c r="S86" s="10">
        <f t="shared" si="18"/>
        <v>0.10186373132630809</v>
      </c>
    </row>
    <row r="87" spans="1:19" x14ac:dyDescent="0.25">
      <c r="A87" s="5" t="s">
        <v>8</v>
      </c>
      <c r="B87" s="5" t="s">
        <v>156</v>
      </c>
      <c r="C87" s="5" t="s">
        <v>27</v>
      </c>
      <c r="D87" s="5" t="s">
        <v>385</v>
      </c>
      <c r="E87" s="5" t="s">
        <v>387</v>
      </c>
      <c r="F87" s="5" t="s">
        <v>112</v>
      </c>
      <c r="G87" s="5" t="s">
        <v>395</v>
      </c>
      <c r="H87" s="5" t="s">
        <v>127</v>
      </c>
      <c r="I87" s="5" t="s">
        <v>160</v>
      </c>
      <c r="J87" s="15">
        <v>2119</v>
      </c>
      <c r="K87" s="7">
        <v>36</v>
      </c>
      <c r="L87" s="7">
        <f t="shared" si="13"/>
        <v>58.861111111111114</v>
      </c>
      <c r="M87" s="5" t="s">
        <v>10</v>
      </c>
      <c r="N87" s="5">
        <v>4</v>
      </c>
      <c r="O87" s="6">
        <f t="shared" si="14"/>
        <v>4.5884698876350312</v>
      </c>
      <c r="P87" s="6">
        <f t="shared" si="15"/>
        <v>0.47720086831404318</v>
      </c>
      <c r="Q87" s="10">
        <f t="shared" si="16"/>
        <v>9.9416847565425674E-3</v>
      </c>
      <c r="R87" s="10">
        <f t="shared" si="17"/>
        <v>4.9848034494641785E-2</v>
      </c>
      <c r="S87" s="10">
        <f t="shared" si="18"/>
        <v>5.9789719251184356E-2</v>
      </c>
    </row>
    <row r="88" spans="1:19" x14ac:dyDescent="0.25">
      <c r="A88" s="5" t="s">
        <v>22</v>
      </c>
      <c r="B88" s="5" t="s">
        <v>63</v>
      </c>
      <c r="C88" s="5" t="s">
        <v>27</v>
      </c>
      <c r="D88" s="5" t="s">
        <v>385</v>
      </c>
      <c r="E88" s="5" t="s">
        <v>387</v>
      </c>
      <c r="F88" s="5" t="s">
        <v>112</v>
      </c>
      <c r="G88" s="5" t="s">
        <v>395</v>
      </c>
      <c r="H88" s="5" t="s">
        <v>125</v>
      </c>
      <c r="I88" s="5" t="s">
        <v>126</v>
      </c>
      <c r="J88" s="15">
        <v>1150</v>
      </c>
      <c r="K88" s="7">
        <v>22.5</v>
      </c>
      <c r="L88" s="7">
        <f t="shared" si="13"/>
        <v>51.111111111111114</v>
      </c>
      <c r="M88" s="5" t="s">
        <v>10</v>
      </c>
      <c r="N88" s="5">
        <v>4</v>
      </c>
      <c r="O88" s="6">
        <f t="shared" si="14"/>
        <v>1.8776234567901235</v>
      </c>
      <c r="P88" s="6">
        <f t="shared" si="15"/>
        <v>0.19527283950617286</v>
      </c>
      <c r="Q88" s="10">
        <f t="shared" si="16"/>
        <v>4.0681841563786009E-3</v>
      </c>
      <c r="R88" s="10">
        <f t="shared" si="17"/>
        <v>2.5503718193814025E-2</v>
      </c>
      <c r="S88" s="10">
        <f t="shared" si="18"/>
        <v>2.9571902350192626E-2</v>
      </c>
    </row>
    <row r="89" spans="1:19" x14ac:dyDescent="0.25">
      <c r="A89" s="5" t="s">
        <v>22</v>
      </c>
      <c r="B89" s="5" t="s">
        <v>63</v>
      </c>
      <c r="C89" s="5" t="s">
        <v>27</v>
      </c>
      <c r="D89" s="5" t="s">
        <v>385</v>
      </c>
      <c r="E89" s="5" t="s">
        <v>387</v>
      </c>
      <c r="F89" s="5" t="s">
        <v>112</v>
      </c>
      <c r="G89" s="5" t="s">
        <v>391</v>
      </c>
      <c r="H89" s="5" t="s">
        <v>117</v>
      </c>
      <c r="I89" s="5" t="s">
        <v>118</v>
      </c>
      <c r="J89" s="15">
        <v>570</v>
      </c>
      <c r="K89" s="7">
        <v>20</v>
      </c>
      <c r="L89" s="7">
        <f t="shared" si="13"/>
        <v>28.5</v>
      </c>
      <c r="M89" s="5" t="s">
        <v>10</v>
      </c>
      <c r="N89" s="5">
        <v>4</v>
      </c>
      <c r="O89" s="6">
        <f t="shared" si="14"/>
        <v>0.28936406250000002</v>
      </c>
      <c r="P89" s="6">
        <f t="shared" si="15"/>
        <v>3.0093862499999995E-2</v>
      </c>
      <c r="Q89" s="10">
        <f t="shared" si="16"/>
        <v>6.2695546875000008E-4</v>
      </c>
      <c r="R89" s="10">
        <f t="shared" si="17"/>
        <v>6.2730762879062542E-3</v>
      </c>
      <c r="S89" s="10">
        <f t="shared" si="18"/>
        <v>6.9000317566562542E-3</v>
      </c>
    </row>
    <row r="90" spans="1:19" x14ac:dyDescent="0.25">
      <c r="A90" s="5" t="s">
        <v>22</v>
      </c>
      <c r="B90" s="5" t="s">
        <v>63</v>
      </c>
      <c r="C90" s="5" t="s">
        <v>27</v>
      </c>
      <c r="D90" s="5" t="s">
        <v>385</v>
      </c>
      <c r="E90" s="5" t="s">
        <v>387</v>
      </c>
      <c r="F90" s="5" t="s">
        <v>112</v>
      </c>
      <c r="G90" s="5" t="s">
        <v>391</v>
      </c>
      <c r="H90" s="5" t="s">
        <v>122</v>
      </c>
      <c r="I90" s="5" t="s">
        <v>19</v>
      </c>
      <c r="J90" s="15">
        <v>1200</v>
      </c>
      <c r="K90" s="7">
        <v>42</v>
      </c>
      <c r="L90" s="7">
        <f t="shared" si="13"/>
        <v>28.571428571428573</v>
      </c>
      <c r="M90" s="5" t="s">
        <v>10</v>
      </c>
      <c r="N90" s="5">
        <v>4</v>
      </c>
      <c r="O90" s="6">
        <f t="shared" si="14"/>
        <v>0.61224489795918369</v>
      </c>
      <c r="P90" s="6">
        <f t="shared" si="15"/>
        <v>6.3673469387755102E-2</v>
      </c>
      <c r="Q90" s="10">
        <f t="shared" si="16"/>
        <v>1.326530612244898E-3</v>
      </c>
      <c r="R90" s="10">
        <f t="shared" si="17"/>
        <v>1.1005024287086839E-2</v>
      </c>
      <c r="S90" s="10">
        <f t="shared" si="18"/>
        <v>1.2331554899331737E-2</v>
      </c>
    </row>
    <row r="91" spans="1:19" x14ac:dyDescent="0.25">
      <c r="A91" s="5" t="s">
        <v>22</v>
      </c>
      <c r="B91" s="5" t="s">
        <v>63</v>
      </c>
      <c r="C91" s="5" t="s">
        <v>27</v>
      </c>
      <c r="D91" s="5" t="s">
        <v>385</v>
      </c>
      <c r="E91" s="5" t="s">
        <v>387</v>
      </c>
      <c r="F91" s="5" t="s">
        <v>112</v>
      </c>
      <c r="G91" s="5" t="s">
        <v>391</v>
      </c>
      <c r="H91" s="5" t="s">
        <v>53</v>
      </c>
      <c r="I91" s="5" t="s">
        <v>143</v>
      </c>
      <c r="J91" s="15">
        <v>2360</v>
      </c>
      <c r="K91" s="7">
        <v>39.5</v>
      </c>
      <c r="L91" s="7">
        <f t="shared" si="13"/>
        <v>59.746835443037973</v>
      </c>
      <c r="M91" s="5" t="s">
        <v>10</v>
      </c>
      <c r="N91" s="5">
        <v>4</v>
      </c>
      <c r="O91" s="6">
        <f t="shared" si="14"/>
        <v>5.2652844095497517</v>
      </c>
      <c r="P91" s="6">
        <f t="shared" si="15"/>
        <v>0.54758957859317414</v>
      </c>
      <c r="Q91" s="10">
        <f t="shared" si="16"/>
        <v>1.1408116220691128E-2</v>
      </c>
      <c r="R91" s="10">
        <f t="shared" si="17"/>
        <v>5.5266695818139089E-2</v>
      </c>
      <c r="S91" s="10">
        <f t="shared" si="18"/>
        <v>6.6674812038830217E-2</v>
      </c>
    </row>
    <row r="92" spans="1:19" x14ac:dyDescent="0.25">
      <c r="A92" s="5" t="s">
        <v>8</v>
      </c>
      <c r="B92" s="5" t="s">
        <v>363</v>
      </c>
      <c r="C92" s="5" t="s">
        <v>27</v>
      </c>
      <c r="D92" s="5" t="s">
        <v>385</v>
      </c>
      <c r="E92" s="5" t="s">
        <v>387</v>
      </c>
      <c r="F92" s="5" t="s">
        <v>112</v>
      </c>
      <c r="G92" s="5" t="s">
        <v>391</v>
      </c>
      <c r="H92" s="5" t="s">
        <v>53</v>
      </c>
      <c r="I92" s="5" t="s">
        <v>167</v>
      </c>
      <c r="J92" s="15">
        <v>2300</v>
      </c>
      <c r="K92" s="7">
        <v>26.3</v>
      </c>
      <c r="L92" s="7">
        <f t="shared" si="13"/>
        <v>87.452471482889734</v>
      </c>
      <c r="M92" s="5" t="s">
        <v>10</v>
      </c>
      <c r="N92" s="5">
        <v>4</v>
      </c>
      <c r="O92" s="6">
        <f t="shared" si="14"/>
        <v>10.993906229669362</v>
      </c>
      <c r="P92" s="6">
        <f t="shared" si="15"/>
        <v>1.1433662478856135</v>
      </c>
      <c r="Q92" s="10">
        <f t="shared" si="16"/>
        <v>2.3820130164283613E-2</v>
      </c>
      <c r="R92" s="10">
        <f t="shared" si="17"/>
        <v>9.5997770223245141E-2</v>
      </c>
      <c r="S92" s="10">
        <f t="shared" si="18"/>
        <v>0.11981790038752875</v>
      </c>
    </row>
    <row r="93" spans="1:19" x14ac:dyDescent="0.25">
      <c r="A93" s="5" t="s">
        <v>8</v>
      </c>
      <c r="B93" s="5" t="s">
        <v>347</v>
      </c>
      <c r="C93" s="5" t="s">
        <v>27</v>
      </c>
      <c r="D93" s="5" t="s">
        <v>385</v>
      </c>
      <c r="E93" s="5" t="s">
        <v>387</v>
      </c>
      <c r="F93" s="5" t="s">
        <v>112</v>
      </c>
      <c r="G93" s="5" t="s">
        <v>391</v>
      </c>
      <c r="H93" s="5" t="s">
        <v>53</v>
      </c>
      <c r="I93" s="5" t="s">
        <v>348</v>
      </c>
      <c r="J93" s="15">
        <v>1750</v>
      </c>
      <c r="K93" s="7">
        <v>38</v>
      </c>
      <c r="L93" s="7">
        <f t="shared" si="13"/>
        <v>46.05263157894737</v>
      </c>
      <c r="M93" s="5" t="s">
        <v>10</v>
      </c>
      <c r="N93" s="5">
        <v>4</v>
      </c>
      <c r="O93" s="6">
        <f t="shared" si="14"/>
        <v>2.3196740824099722</v>
      </c>
      <c r="P93" s="6">
        <f t="shared" si="15"/>
        <v>0.24124610457063711</v>
      </c>
      <c r="Q93" s="10">
        <f t="shared" si="16"/>
        <v>5.0259605118882734E-3</v>
      </c>
      <c r="R93" s="10">
        <f t="shared" si="17"/>
        <v>2.988596970978951E-2</v>
      </c>
      <c r="S93" s="10">
        <f t="shared" si="18"/>
        <v>3.4911930221677781E-2</v>
      </c>
    </row>
    <row r="94" spans="1:19" x14ac:dyDescent="0.25">
      <c r="A94" s="5" t="s">
        <v>8</v>
      </c>
      <c r="B94" s="5" t="s">
        <v>347</v>
      </c>
      <c r="C94" s="5" t="s">
        <v>27</v>
      </c>
      <c r="D94" s="5" t="s">
        <v>385</v>
      </c>
      <c r="E94" s="5" t="s">
        <v>387</v>
      </c>
      <c r="F94" s="5" t="s">
        <v>112</v>
      </c>
      <c r="G94" s="5" t="s">
        <v>391</v>
      </c>
      <c r="H94" s="5" t="s">
        <v>53</v>
      </c>
      <c r="I94" s="5" t="s">
        <v>348</v>
      </c>
      <c r="J94" s="15">
        <v>1450</v>
      </c>
      <c r="K94" s="7">
        <v>30</v>
      </c>
      <c r="L94" s="7">
        <f t="shared" si="13"/>
        <v>48.333333333333336</v>
      </c>
      <c r="M94" s="5" t="s">
        <v>10</v>
      </c>
      <c r="N94" s="5">
        <v>4</v>
      </c>
      <c r="O94" s="6">
        <f t="shared" si="14"/>
        <v>2.1171006944444448</v>
      </c>
      <c r="P94" s="6">
        <f t="shared" si="15"/>
        <v>0.22017847222222223</v>
      </c>
      <c r="Q94" s="10">
        <f t="shared" si="16"/>
        <v>4.5870515046296306E-3</v>
      </c>
      <c r="R94" s="10">
        <f t="shared" si="17"/>
        <v>2.7906364358137148E-2</v>
      </c>
      <c r="S94" s="10">
        <f t="shared" si="18"/>
        <v>3.2493415862766779E-2</v>
      </c>
    </row>
    <row r="95" spans="1:19" x14ac:dyDescent="0.25">
      <c r="A95" s="5" t="s">
        <v>8</v>
      </c>
      <c r="B95" s="5" t="s">
        <v>350</v>
      </c>
      <c r="C95" s="5" t="s">
        <v>27</v>
      </c>
      <c r="D95" s="5" t="s">
        <v>385</v>
      </c>
      <c r="E95" s="5" t="s">
        <v>387</v>
      </c>
      <c r="F95" s="5" t="s">
        <v>112</v>
      </c>
      <c r="G95" s="5" t="s">
        <v>391</v>
      </c>
      <c r="H95" s="5" t="s">
        <v>53</v>
      </c>
      <c r="I95" s="5" t="s">
        <v>349</v>
      </c>
      <c r="J95" s="15">
        <v>2650</v>
      </c>
      <c r="K95" s="7">
        <v>40</v>
      </c>
      <c r="L95" s="7">
        <f t="shared" si="13"/>
        <v>66.25</v>
      </c>
      <c r="M95" s="5" t="s">
        <v>10</v>
      </c>
      <c r="N95" s="5">
        <v>4</v>
      </c>
      <c r="O95" s="6">
        <f t="shared" si="14"/>
        <v>7.2693847656250004</v>
      </c>
      <c r="P95" s="6">
        <f t="shared" si="15"/>
        <v>0.75601601562499987</v>
      </c>
      <c r="Q95" s="10">
        <f t="shared" si="16"/>
        <v>1.5750333658854167E-2</v>
      </c>
      <c r="R95" s="10">
        <f t="shared" si="17"/>
        <v>7.0391523800442932E-2</v>
      </c>
      <c r="S95" s="10">
        <f t="shared" si="18"/>
        <v>8.6141857459297103E-2</v>
      </c>
    </row>
    <row r="96" spans="1:19" x14ac:dyDescent="0.25">
      <c r="A96" s="5" t="s">
        <v>8</v>
      </c>
      <c r="B96" s="5" t="s">
        <v>347</v>
      </c>
      <c r="C96" s="5" t="s">
        <v>27</v>
      </c>
      <c r="D96" s="5" t="s">
        <v>385</v>
      </c>
      <c r="E96" s="5" t="s">
        <v>387</v>
      </c>
      <c r="F96" s="5" t="s">
        <v>112</v>
      </c>
      <c r="G96" s="5" t="s">
        <v>391</v>
      </c>
      <c r="H96" s="5" t="s">
        <v>53</v>
      </c>
      <c r="I96" s="5" t="s">
        <v>349</v>
      </c>
      <c r="J96" s="15">
        <v>2500</v>
      </c>
      <c r="K96" s="7">
        <v>33.700000000000003</v>
      </c>
      <c r="L96" s="7">
        <f t="shared" si="13"/>
        <v>74.183976261127597</v>
      </c>
      <c r="M96" s="5" t="s">
        <v>10</v>
      </c>
      <c r="N96" s="5">
        <v>4</v>
      </c>
      <c r="O96" s="6">
        <f t="shared" si="14"/>
        <v>8.5988473967367849</v>
      </c>
      <c r="P96" s="6">
        <f t="shared" si="15"/>
        <v>0.89428012926062572</v>
      </c>
      <c r="Q96" s="10">
        <f t="shared" si="16"/>
        <v>1.8630836026263035E-2</v>
      </c>
      <c r="R96" s="10">
        <f t="shared" si="17"/>
        <v>7.9841245929260979E-2</v>
      </c>
      <c r="S96" s="10">
        <f t="shared" si="18"/>
        <v>9.847208195552401E-2</v>
      </c>
    </row>
    <row r="97" spans="1:19" x14ac:dyDescent="0.25">
      <c r="A97" s="5" t="s">
        <v>22</v>
      </c>
      <c r="B97" s="5" t="s">
        <v>63</v>
      </c>
      <c r="C97" s="5" t="s">
        <v>27</v>
      </c>
      <c r="D97" s="5" t="s">
        <v>385</v>
      </c>
      <c r="E97" s="5" t="s">
        <v>387</v>
      </c>
      <c r="F97" s="5" t="s">
        <v>112</v>
      </c>
      <c r="G97" s="5" t="s">
        <v>391</v>
      </c>
      <c r="H97" s="5" t="s">
        <v>53</v>
      </c>
      <c r="I97" s="5" t="s">
        <v>144</v>
      </c>
      <c r="J97" s="15">
        <v>3050</v>
      </c>
      <c r="K97" s="7">
        <v>41</v>
      </c>
      <c r="L97" s="7">
        <f t="shared" si="13"/>
        <v>74.390243902439025</v>
      </c>
      <c r="M97" s="5" t="s">
        <v>10</v>
      </c>
      <c r="N97" s="5">
        <v>4</v>
      </c>
      <c r="O97" s="6">
        <f t="shared" si="14"/>
        <v>10.549012864366448</v>
      </c>
      <c r="P97" s="6">
        <f t="shared" si="15"/>
        <v>1.0970973378941107</v>
      </c>
      <c r="Q97" s="10">
        <f t="shared" si="16"/>
        <v>2.2856194539460636E-2</v>
      </c>
      <c r="R97" s="10">
        <f t="shared" si="17"/>
        <v>9.3069202129934317E-2</v>
      </c>
      <c r="S97" s="10">
        <f t="shared" si="18"/>
        <v>0.11592539666939496</v>
      </c>
    </row>
    <row r="98" spans="1:19" x14ac:dyDescent="0.25">
      <c r="A98" s="5" t="s">
        <v>8</v>
      </c>
      <c r="B98" s="5" t="s">
        <v>378</v>
      </c>
      <c r="C98" s="5" t="s">
        <v>27</v>
      </c>
      <c r="D98" s="5" t="s">
        <v>385</v>
      </c>
      <c r="E98" s="5" t="s">
        <v>387</v>
      </c>
      <c r="F98" s="5" t="s">
        <v>112</v>
      </c>
      <c r="G98" s="5" t="s">
        <v>391</v>
      </c>
      <c r="H98" s="5" t="s">
        <v>53</v>
      </c>
      <c r="I98" s="5" t="s">
        <v>144</v>
      </c>
      <c r="J98" s="15">
        <v>3100</v>
      </c>
      <c r="K98" s="7">
        <v>41</v>
      </c>
      <c r="L98" s="7">
        <f t="shared" si="13"/>
        <v>75.609756097560975</v>
      </c>
      <c r="M98" s="5" t="s">
        <v>10</v>
      </c>
      <c r="N98" s="5">
        <v>4</v>
      </c>
      <c r="O98" s="6">
        <f t="shared" si="14"/>
        <v>11.076368233194525</v>
      </c>
      <c r="P98" s="6">
        <f t="shared" si="15"/>
        <v>1.1519422962522305</v>
      </c>
      <c r="Q98" s="10">
        <f t="shared" si="16"/>
        <v>2.3998797838588135E-2</v>
      </c>
      <c r="R98" s="10">
        <f t="shared" si="17"/>
        <v>9.6537303394980123E-2</v>
      </c>
      <c r="S98" s="10">
        <f t="shared" si="18"/>
        <v>0.12053610123356825</v>
      </c>
    </row>
    <row r="99" spans="1:19" x14ac:dyDescent="0.25">
      <c r="A99" s="5" t="s">
        <v>8</v>
      </c>
      <c r="B99" s="5" t="s">
        <v>156</v>
      </c>
      <c r="C99" s="5" t="s">
        <v>27</v>
      </c>
      <c r="D99" s="5" t="s">
        <v>385</v>
      </c>
      <c r="E99" s="5" t="s">
        <v>387</v>
      </c>
      <c r="F99" s="5" t="s">
        <v>112</v>
      </c>
      <c r="G99" s="5" t="s">
        <v>391</v>
      </c>
      <c r="H99" s="5" t="s">
        <v>53</v>
      </c>
      <c r="I99" s="5" t="s">
        <v>157</v>
      </c>
      <c r="J99" s="15">
        <v>1152</v>
      </c>
      <c r="K99" s="7">
        <v>33</v>
      </c>
      <c r="L99" s="7">
        <f t="shared" si="13"/>
        <v>34.909090909090907</v>
      </c>
      <c r="M99" s="5" t="s">
        <v>10</v>
      </c>
      <c r="N99" s="5">
        <v>4</v>
      </c>
      <c r="O99" s="6">
        <f t="shared" si="14"/>
        <v>0.87742413223140481</v>
      </c>
      <c r="P99" s="6">
        <f t="shared" si="15"/>
        <v>9.1252109752066102E-2</v>
      </c>
      <c r="Q99" s="10">
        <f t="shared" si="16"/>
        <v>1.9010856198347105E-3</v>
      </c>
      <c r="R99" s="10">
        <f t="shared" si="17"/>
        <v>1.4414656759212731E-2</v>
      </c>
      <c r="S99" s="10">
        <f t="shared" si="18"/>
        <v>1.631574237904744E-2</v>
      </c>
    </row>
    <row r="100" spans="1:19" x14ac:dyDescent="0.25">
      <c r="A100" s="5" t="s">
        <v>22</v>
      </c>
      <c r="B100" s="5" t="s">
        <v>63</v>
      </c>
      <c r="C100" s="5" t="s">
        <v>27</v>
      </c>
      <c r="D100" s="5" t="s">
        <v>385</v>
      </c>
      <c r="E100" s="5" t="s">
        <v>387</v>
      </c>
      <c r="F100" s="5" t="s">
        <v>112</v>
      </c>
      <c r="G100" s="5" t="s">
        <v>391</v>
      </c>
      <c r="H100" s="5" t="s">
        <v>53</v>
      </c>
      <c r="I100" s="5" t="s">
        <v>146</v>
      </c>
      <c r="J100" s="15">
        <v>1550</v>
      </c>
      <c r="K100" s="7">
        <v>29</v>
      </c>
      <c r="L100" s="7">
        <f t="shared" si="13"/>
        <v>53.448275862068968</v>
      </c>
      <c r="M100" s="5" t="s">
        <v>10</v>
      </c>
      <c r="N100" s="5">
        <v>4</v>
      </c>
      <c r="O100" s="6">
        <f t="shared" si="14"/>
        <v>2.7674457491082052</v>
      </c>
      <c r="P100" s="6">
        <f t="shared" si="15"/>
        <v>0.28781435790725329</v>
      </c>
      <c r="Q100" s="10">
        <f t="shared" si="16"/>
        <v>5.9961324564011117E-3</v>
      </c>
      <c r="R100" s="10">
        <f t="shared" si="17"/>
        <v>3.4115870826390664E-2</v>
      </c>
      <c r="S100" s="10">
        <f t="shared" si="18"/>
        <v>4.0112003282791776E-2</v>
      </c>
    </row>
    <row r="101" spans="1:19" x14ac:dyDescent="0.25">
      <c r="A101" s="5" t="s">
        <v>22</v>
      </c>
      <c r="B101" s="5" t="s">
        <v>63</v>
      </c>
      <c r="C101" s="5" t="s">
        <v>27</v>
      </c>
      <c r="D101" s="5" t="s">
        <v>385</v>
      </c>
      <c r="E101" s="5" t="s">
        <v>387</v>
      </c>
      <c r="F101" s="5" t="s">
        <v>112</v>
      </c>
      <c r="G101" s="5" t="s">
        <v>391</v>
      </c>
      <c r="H101" s="5" t="s">
        <v>53</v>
      </c>
      <c r="I101" s="5" t="s">
        <v>113</v>
      </c>
      <c r="J101" s="15">
        <v>2900</v>
      </c>
      <c r="K101" s="7">
        <v>40</v>
      </c>
      <c r="L101" s="7">
        <f t="shared" si="13"/>
        <v>72.5</v>
      </c>
      <c r="M101" s="5" t="s">
        <v>10</v>
      </c>
      <c r="N101" s="5">
        <v>4</v>
      </c>
      <c r="O101" s="6">
        <f t="shared" si="14"/>
        <v>9.5269531250000004</v>
      </c>
      <c r="P101" s="6">
        <f t="shared" si="15"/>
        <v>0.9908031249999999</v>
      </c>
      <c r="Q101" s="10">
        <f t="shared" si="16"/>
        <v>2.0641731770833335E-2</v>
      </c>
      <c r="R101" s="10">
        <f t="shared" si="17"/>
        <v>8.6220918616187289E-2</v>
      </c>
      <c r="S101" s="10">
        <f t="shared" si="18"/>
        <v>0.10686265038702063</v>
      </c>
    </row>
    <row r="102" spans="1:19" x14ac:dyDescent="0.25">
      <c r="A102" s="5" t="s">
        <v>22</v>
      </c>
      <c r="B102" s="5" t="s">
        <v>63</v>
      </c>
      <c r="C102" s="5" t="s">
        <v>27</v>
      </c>
      <c r="D102" s="5" t="s">
        <v>385</v>
      </c>
      <c r="E102" s="5" t="s">
        <v>387</v>
      </c>
      <c r="F102" s="5" t="s">
        <v>112</v>
      </c>
      <c r="G102" s="5" t="s">
        <v>391</v>
      </c>
      <c r="H102" s="5" t="s">
        <v>53</v>
      </c>
      <c r="I102" s="5" t="s">
        <v>145</v>
      </c>
      <c r="J102" s="15">
        <v>2100</v>
      </c>
      <c r="K102" s="7">
        <v>38.5</v>
      </c>
      <c r="L102" s="7">
        <f t="shared" si="13"/>
        <v>54.545454545454547</v>
      </c>
      <c r="M102" s="5" t="s">
        <v>10</v>
      </c>
      <c r="N102" s="5">
        <v>4</v>
      </c>
      <c r="O102" s="6">
        <f t="shared" si="14"/>
        <v>3.9049586776859506</v>
      </c>
      <c r="P102" s="6">
        <f t="shared" si="15"/>
        <v>0.40611570247933887</v>
      </c>
      <c r="Q102" s="10">
        <f t="shared" si="16"/>
        <v>8.4607438016528931E-3</v>
      </c>
      <c r="R102" s="10">
        <f t="shared" si="17"/>
        <v>4.4168175137387092E-2</v>
      </c>
      <c r="S102" s="10">
        <f t="shared" si="18"/>
        <v>5.2628918939039981E-2</v>
      </c>
    </row>
    <row r="103" spans="1:19" x14ac:dyDescent="0.25">
      <c r="A103" s="5" t="s">
        <v>8</v>
      </c>
      <c r="B103" s="5" t="s">
        <v>281</v>
      </c>
      <c r="C103" s="5" t="s">
        <v>27</v>
      </c>
      <c r="D103" s="5" t="s">
        <v>385</v>
      </c>
      <c r="E103" s="5" t="s">
        <v>387</v>
      </c>
      <c r="F103" s="5" t="s">
        <v>112</v>
      </c>
      <c r="G103" s="5" t="s">
        <v>391</v>
      </c>
      <c r="H103" s="5" t="s">
        <v>53</v>
      </c>
      <c r="I103" s="5" t="s">
        <v>282</v>
      </c>
      <c r="J103" s="15">
        <v>1700</v>
      </c>
      <c r="K103" s="7">
        <v>37</v>
      </c>
      <c r="L103" s="7">
        <f t="shared" si="13"/>
        <v>45.945945945945944</v>
      </c>
      <c r="M103" s="5" t="s">
        <v>10</v>
      </c>
      <c r="N103" s="5">
        <v>4</v>
      </c>
      <c r="O103" s="6">
        <f t="shared" si="14"/>
        <v>2.2429693206720231</v>
      </c>
      <c r="P103" s="6">
        <f t="shared" si="15"/>
        <v>0.23326880934989039</v>
      </c>
      <c r="Q103" s="10">
        <f t="shared" si="16"/>
        <v>4.8597668614560495E-3</v>
      </c>
      <c r="R103" s="10">
        <f t="shared" si="17"/>
        <v>2.9141682641278973E-2</v>
      </c>
      <c r="S103" s="10">
        <f t="shared" si="18"/>
        <v>3.4001449502735023E-2</v>
      </c>
    </row>
    <row r="104" spans="1:19" x14ac:dyDescent="0.25">
      <c r="A104" s="5" t="s">
        <v>8</v>
      </c>
      <c r="B104" s="5" t="s">
        <v>322</v>
      </c>
      <c r="C104" s="5" t="s">
        <v>27</v>
      </c>
      <c r="D104" s="5" t="s">
        <v>385</v>
      </c>
      <c r="E104" s="5" t="s">
        <v>387</v>
      </c>
      <c r="F104" s="5" t="s">
        <v>112</v>
      </c>
      <c r="G104" s="5" t="s">
        <v>391</v>
      </c>
      <c r="H104" s="5" t="s">
        <v>53</v>
      </c>
      <c r="I104" s="5" t="s">
        <v>282</v>
      </c>
      <c r="J104" s="15">
        <v>2100</v>
      </c>
      <c r="K104" s="7">
        <v>29</v>
      </c>
      <c r="L104" s="7">
        <f t="shared" si="13"/>
        <v>72.41379310344827</v>
      </c>
      <c r="M104" s="5" t="s">
        <v>10</v>
      </c>
      <c r="N104" s="5">
        <v>4</v>
      </c>
      <c r="O104" s="6">
        <f t="shared" si="14"/>
        <v>6.8824316290130785</v>
      </c>
      <c r="P104" s="6">
        <f t="shared" si="15"/>
        <v>0.71577288941736017</v>
      </c>
      <c r="Q104" s="10">
        <f t="shared" si="16"/>
        <v>1.4911935196195004E-2</v>
      </c>
      <c r="R104" s="10">
        <f t="shared" si="17"/>
        <v>6.7562164336175956E-2</v>
      </c>
      <c r="S104" s="10">
        <f t="shared" si="18"/>
        <v>8.2474099532370962E-2</v>
      </c>
    </row>
    <row r="105" spans="1:19" x14ac:dyDescent="0.25">
      <c r="A105" s="5" t="s">
        <v>8</v>
      </c>
      <c r="B105" s="5" t="s">
        <v>303</v>
      </c>
      <c r="C105" s="5" t="s">
        <v>27</v>
      </c>
      <c r="D105" s="5" t="s">
        <v>385</v>
      </c>
      <c r="E105" s="5" t="s">
        <v>387</v>
      </c>
      <c r="F105" s="5" t="s">
        <v>112</v>
      </c>
      <c r="G105" s="5" t="s">
        <v>391</v>
      </c>
      <c r="H105" s="5" t="s">
        <v>53</v>
      </c>
      <c r="I105" s="5" t="s">
        <v>306</v>
      </c>
      <c r="J105" s="15">
        <v>925</v>
      </c>
      <c r="K105" s="7">
        <v>25</v>
      </c>
      <c r="L105" s="7">
        <f t="shared" si="13"/>
        <v>37</v>
      </c>
      <c r="M105" s="5" t="s">
        <v>10</v>
      </c>
      <c r="N105" s="5">
        <v>4</v>
      </c>
      <c r="O105" s="6">
        <f t="shared" si="14"/>
        <v>0.79145312499999998</v>
      </c>
      <c r="P105" s="6">
        <f t="shared" si="15"/>
        <v>8.2311124999999999E-2</v>
      </c>
      <c r="Q105" s="10">
        <f t="shared" si="16"/>
        <v>1.7148151041666666E-3</v>
      </c>
      <c r="R105" s="10">
        <f t="shared" si="17"/>
        <v>1.3341849057898118E-2</v>
      </c>
      <c r="S105" s="10">
        <f t="shared" si="18"/>
        <v>1.5056664162064784E-2</v>
      </c>
    </row>
    <row r="106" spans="1:19" x14ac:dyDescent="0.25">
      <c r="A106" s="5" t="s">
        <v>8</v>
      </c>
      <c r="B106" s="5" t="s">
        <v>303</v>
      </c>
      <c r="C106" s="5" t="s">
        <v>27</v>
      </c>
      <c r="D106" s="5" t="s">
        <v>385</v>
      </c>
      <c r="E106" s="5" t="s">
        <v>387</v>
      </c>
      <c r="F106" s="5" t="s">
        <v>112</v>
      </c>
      <c r="G106" s="5" t="s">
        <v>391</v>
      </c>
      <c r="H106" s="5" t="s">
        <v>53</v>
      </c>
      <c r="I106" s="5" t="s">
        <v>305</v>
      </c>
      <c r="J106" s="15">
        <v>3250</v>
      </c>
      <c r="K106" s="7">
        <v>35.5</v>
      </c>
      <c r="L106" s="7">
        <f t="shared" si="13"/>
        <v>91.549295774647888</v>
      </c>
      <c r="M106" s="5" t="s">
        <v>10</v>
      </c>
      <c r="N106" s="5">
        <v>4</v>
      </c>
      <c r="O106" s="6">
        <f t="shared" si="14"/>
        <v>17.024461912318984</v>
      </c>
      <c r="P106" s="6">
        <f t="shared" si="15"/>
        <v>1.7705440388811744</v>
      </c>
      <c r="Q106" s="10">
        <f t="shared" si="16"/>
        <v>3.6886334143357798E-2</v>
      </c>
      <c r="R106" s="10">
        <f t="shared" si="17"/>
        <v>0.13326072446206286</v>
      </c>
      <c r="S106" s="10">
        <f t="shared" si="18"/>
        <v>0.17014705860542065</v>
      </c>
    </row>
    <row r="107" spans="1:19" x14ac:dyDescent="0.25">
      <c r="A107" s="5" t="s">
        <v>8</v>
      </c>
      <c r="B107" s="5" t="s">
        <v>303</v>
      </c>
      <c r="C107" s="5" t="s">
        <v>27</v>
      </c>
      <c r="D107" s="5" t="s">
        <v>385</v>
      </c>
      <c r="E107" s="5" t="s">
        <v>387</v>
      </c>
      <c r="F107" s="5" t="s">
        <v>112</v>
      </c>
      <c r="G107" s="5" t="s">
        <v>391</v>
      </c>
      <c r="H107" s="5" t="s">
        <v>53</v>
      </c>
      <c r="I107" s="5" t="s">
        <v>305</v>
      </c>
      <c r="J107" s="15">
        <v>2660</v>
      </c>
      <c r="K107" s="7">
        <v>33.5</v>
      </c>
      <c r="L107" s="7">
        <f t="shared" si="13"/>
        <v>79.402985074626869</v>
      </c>
      <c r="M107" s="5" t="s">
        <v>10</v>
      </c>
      <c r="N107" s="5">
        <v>4</v>
      </c>
      <c r="O107" s="6">
        <f t="shared" si="14"/>
        <v>10.481786589440857</v>
      </c>
      <c r="P107" s="6">
        <f t="shared" si="15"/>
        <v>1.0901058053018491</v>
      </c>
      <c r="Q107" s="10">
        <f t="shared" si="16"/>
        <v>2.2710537610455189E-2</v>
      </c>
      <c r="R107" s="10">
        <f t="shared" si="17"/>
        <v>9.2624016415838617E-2</v>
      </c>
      <c r="S107" s="10">
        <f t="shared" si="18"/>
        <v>0.11533455402629381</v>
      </c>
    </row>
    <row r="108" spans="1:19" x14ac:dyDescent="0.25">
      <c r="A108" s="5" t="s">
        <v>8</v>
      </c>
      <c r="B108" s="5" t="s">
        <v>330</v>
      </c>
      <c r="C108" s="5" t="s">
        <v>27</v>
      </c>
      <c r="D108" s="5" t="s">
        <v>385</v>
      </c>
      <c r="E108" s="5" t="s">
        <v>387</v>
      </c>
      <c r="F108" s="5" t="s">
        <v>112</v>
      </c>
      <c r="G108" s="5" t="s">
        <v>391</v>
      </c>
      <c r="H108" s="5" t="s">
        <v>53</v>
      </c>
      <c r="I108" s="5" t="s">
        <v>331</v>
      </c>
      <c r="J108" s="15">
        <v>3000</v>
      </c>
      <c r="K108" s="7">
        <v>44</v>
      </c>
      <c r="L108" s="7">
        <f t="shared" si="13"/>
        <v>68.181818181818187</v>
      </c>
      <c r="M108" s="5" t="s">
        <v>10</v>
      </c>
      <c r="N108" s="5">
        <v>4</v>
      </c>
      <c r="O108" s="6">
        <f t="shared" si="14"/>
        <v>8.7164256198347125</v>
      </c>
      <c r="P108" s="6">
        <f t="shared" si="15"/>
        <v>0.90650826446281008</v>
      </c>
      <c r="Q108" s="10">
        <f t="shared" si="16"/>
        <v>1.8885588842975209E-2</v>
      </c>
      <c r="R108" s="10">
        <f t="shared" si="17"/>
        <v>8.0658649416804964E-2</v>
      </c>
      <c r="S108" s="10">
        <f t="shared" si="18"/>
        <v>9.9544238259780177E-2</v>
      </c>
    </row>
    <row r="109" spans="1:19" x14ac:dyDescent="0.25">
      <c r="A109" s="5" t="s">
        <v>8</v>
      </c>
      <c r="B109" s="5" t="s">
        <v>330</v>
      </c>
      <c r="C109" s="5" t="s">
        <v>27</v>
      </c>
      <c r="D109" s="5" t="s">
        <v>385</v>
      </c>
      <c r="E109" s="5" t="s">
        <v>387</v>
      </c>
      <c r="F109" s="5" t="s">
        <v>112</v>
      </c>
      <c r="G109" s="5" t="s">
        <v>391</v>
      </c>
      <c r="H109" s="5" t="s">
        <v>53</v>
      </c>
      <c r="I109" s="5" t="s">
        <v>331</v>
      </c>
      <c r="J109" s="15">
        <v>2950</v>
      </c>
      <c r="K109" s="7">
        <v>38</v>
      </c>
      <c r="L109" s="7">
        <f t="shared" si="13"/>
        <v>77.631578947368425</v>
      </c>
      <c r="M109" s="5" t="s">
        <v>10</v>
      </c>
      <c r="N109" s="5">
        <v>4</v>
      </c>
      <c r="O109" s="6">
        <f t="shared" si="14"/>
        <v>11.111658154432133</v>
      </c>
      <c r="P109" s="6">
        <f t="shared" si="15"/>
        <v>1.155612448060942</v>
      </c>
      <c r="Q109" s="10">
        <f t="shared" si="16"/>
        <v>2.4075259334602955E-2</v>
      </c>
      <c r="R109" s="10">
        <f t="shared" si="17"/>
        <v>9.6767891534095082E-2</v>
      </c>
      <c r="S109" s="10">
        <f t="shared" si="18"/>
        <v>0.12084315086869804</v>
      </c>
    </row>
    <row r="110" spans="1:19" x14ac:dyDescent="0.25">
      <c r="A110" s="5" t="s">
        <v>8</v>
      </c>
      <c r="B110" s="5" t="s">
        <v>228</v>
      </c>
      <c r="C110" s="5" t="s">
        <v>27</v>
      </c>
      <c r="D110" s="5" t="s">
        <v>385</v>
      </c>
      <c r="E110" s="5" t="s">
        <v>387</v>
      </c>
      <c r="F110" s="5" t="s">
        <v>112</v>
      </c>
      <c r="G110" s="5" t="s">
        <v>391</v>
      </c>
      <c r="H110" s="5" t="s">
        <v>53</v>
      </c>
      <c r="I110" s="5" t="s">
        <v>230</v>
      </c>
      <c r="J110" s="15">
        <v>2500</v>
      </c>
      <c r="K110" s="7">
        <v>37</v>
      </c>
      <c r="L110" s="7">
        <f t="shared" si="13"/>
        <v>67.567567567567565</v>
      </c>
      <c r="M110" s="5" t="s">
        <v>10</v>
      </c>
      <c r="N110" s="5">
        <v>4</v>
      </c>
      <c r="O110" s="6">
        <f t="shared" si="14"/>
        <v>7.1334002921840742</v>
      </c>
      <c r="P110" s="6">
        <f t="shared" si="15"/>
        <v>0.74187363038714382</v>
      </c>
      <c r="Q110" s="10">
        <f t="shared" si="16"/>
        <v>1.5455700633065493E-2</v>
      </c>
      <c r="R110" s="10">
        <f t="shared" si="17"/>
        <v>6.9401614038345646E-2</v>
      </c>
      <c r="S110" s="10">
        <f t="shared" si="18"/>
        <v>8.4857314671411138E-2</v>
      </c>
    </row>
    <row r="111" spans="1:19" x14ac:dyDescent="0.25">
      <c r="A111" s="5" t="s">
        <v>8</v>
      </c>
      <c r="B111" s="5" t="s">
        <v>322</v>
      </c>
      <c r="C111" s="5" t="s">
        <v>27</v>
      </c>
      <c r="D111" s="5" t="s">
        <v>385</v>
      </c>
      <c r="E111" s="5" t="s">
        <v>387</v>
      </c>
      <c r="F111" s="5" t="s">
        <v>112</v>
      </c>
      <c r="G111" s="5" t="s">
        <v>391</v>
      </c>
      <c r="H111" s="5" t="s">
        <v>53</v>
      </c>
      <c r="I111" s="5" t="s">
        <v>19</v>
      </c>
      <c r="J111" s="15">
        <v>1300</v>
      </c>
      <c r="K111" s="7">
        <v>37</v>
      </c>
      <c r="L111" s="7">
        <f t="shared" si="13"/>
        <v>35.135135135135137</v>
      </c>
      <c r="M111" s="5" t="s">
        <v>10</v>
      </c>
      <c r="N111" s="5">
        <v>4</v>
      </c>
      <c r="O111" s="6">
        <f t="shared" si="14"/>
        <v>1.0030131482834186</v>
      </c>
      <c r="P111" s="6">
        <f t="shared" si="15"/>
        <v>0.10431336742147553</v>
      </c>
      <c r="Q111" s="10">
        <f t="shared" si="16"/>
        <v>2.1731951546140734E-3</v>
      </c>
      <c r="R111" s="10">
        <f t="shared" si="17"/>
        <v>1.5935918276764362E-2</v>
      </c>
      <c r="S111" s="10">
        <f t="shared" si="18"/>
        <v>1.8109113431378436E-2</v>
      </c>
    </row>
    <row r="112" spans="1:19" x14ac:dyDescent="0.25">
      <c r="A112" s="5" t="s">
        <v>22</v>
      </c>
      <c r="B112" s="5" t="s">
        <v>26</v>
      </c>
      <c r="C112" s="5" t="s">
        <v>27</v>
      </c>
      <c r="D112" s="5" t="s">
        <v>385</v>
      </c>
      <c r="E112" s="5" t="s">
        <v>387</v>
      </c>
      <c r="F112" s="5" t="s">
        <v>112</v>
      </c>
      <c r="G112" s="5" t="s">
        <v>391</v>
      </c>
      <c r="H112" s="5" t="s">
        <v>53</v>
      </c>
      <c r="I112" s="5" t="s">
        <v>54</v>
      </c>
      <c r="J112" s="15">
        <v>4200</v>
      </c>
      <c r="K112" s="7">
        <v>38</v>
      </c>
      <c r="L112" s="7">
        <f t="shared" si="13"/>
        <v>110.52631578947368</v>
      </c>
      <c r="M112" s="5" t="s">
        <v>10</v>
      </c>
      <c r="N112" s="5">
        <v>4</v>
      </c>
      <c r="O112" s="6">
        <f t="shared" si="14"/>
        <v>32.067174515235457</v>
      </c>
      <c r="P112" s="6">
        <f t="shared" si="15"/>
        <v>3.3349861495844868</v>
      </c>
      <c r="Q112" s="10">
        <f t="shared" si="16"/>
        <v>6.9478878116343484E-2</v>
      </c>
      <c r="R112" s="10">
        <f t="shared" si="17"/>
        <v>0.21426076233960867</v>
      </c>
      <c r="S112" s="10">
        <f t="shared" si="18"/>
        <v>0.28373964045595212</v>
      </c>
    </row>
    <row r="113" spans="1:19" x14ac:dyDescent="0.25">
      <c r="A113" s="5" t="s">
        <v>8</v>
      </c>
      <c r="B113" s="5" t="s">
        <v>284</v>
      </c>
      <c r="C113" s="5" t="s">
        <v>27</v>
      </c>
      <c r="D113" s="5" t="s">
        <v>385</v>
      </c>
      <c r="E113" s="5" t="s">
        <v>387</v>
      </c>
      <c r="F113" s="5" t="s">
        <v>112</v>
      </c>
      <c r="G113" s="5" t="s">
        <v>391</v>
      </c>
      <c r="H113" s="5" t="s">
        <v>53</v>
      </c>
      <c r="I113" s="5" t="s">
        <v>285</v>
      </c>
      <c r="J113" s="15">
        <v>3400</v>
      </c>
      <c r="K113" s="7">
        <v>46.8</v>
      </c>
      <c r="L113" s="7">
        <f t="shared" si="13"/>
        <v>72.649572649572647</v>
      </c>
      <c r="M113" s="5" t="s">
        <v>10</v>
      </c>
      <c r="N113" s="5">
        <v>4</v>
      </c>
      <c r="O113" s="6">
        <f t="shared" si="14"/>
        <v>11.21566586310176</v>
      </c>
      <c r="P113" s="6">
        <f t="shared" si="15"/>
        <v>1.1664292497625828</v>
      </c>
      <c r="Q113" s="10">
        <f t="shared" si="16"/>
        <v>2.4300609370053811E-2</v>
      </c>
      <c r="R113" s="10">
        <f t="shared" si="17"/>
        <v>9.7446427289205384E-2</v>
      </c>
      <c r="S113" s="10">
        <f t="shared" si="18"/>
        <v>0.12174703665925919</v>
      </c>
    </row>
    <row r="114" spans="1:19" x14ac:dyDescent="0.25">
      <c r="A114" s="5" t="s">
        <v>8</v>
      </c>
      <c r="B114" s="5" t="s">
        <v>303</v>
      </c>
      <c r="C114" s="5" t="s">
        <v>27</v>
      </c>
      <c r="D114" s="5" t="s">
        <v>385</v>
      </c>
      <c r="E114" s="5" t="s">
        <v>387</v>
      </c>
      <c r="F114" s="5" t="s">
        <v>112</v>
      </c>
      <c r="G114" s="5" t="s">
        <v>391</v>
      </c>
      <c r="H114" s="5" t="s">
        <v>53</v>
      </c>
      <c r="I114" s="5" t="s">
        <v>304</v>
      </c>
      <c r="J114" s="15">
        <v>2510</v>
      </c>
      <c r="K114" s="7">
        <v>32.5</v>
      </c>
      <c r="L114" s="7">
        <f t="shared" si="13"/>
        <v>77.230769230769226</v>
      </c>
      <c r="M114" s="5" t="s">
        <v>10</v>
      </c>
      <c r="N114" s="5">
        <v>4</v>
      </c>
      <c r="O114" s="6">
        <f t="shared" si="14"/>
        <v>9.3569532544378688</v>
      </c>
      <c r="P114" s="6">
        <f t="shared" si="15"/>
        <v>0.9731231384615382</v>
      </c>
      <c r="Q114" s="10">
        <f t="shared" si="16"/>
        <v>2.0273398717948716E-2</v>
      </c>
      <c r="R114" s="10">
        <f t="shared" si="17"/>
        <v>8.5064424704301325E-2</v>
      </c>
      <c r="S114" s="10">
        <f t="shared" si="18"/>
        <v>0.10533782342225004</v>
      </c>
    </row>
    <row r="115" spans="1:19" x14ac:dyDescent="0.25">
      <c r="A115" s="5" t="s">
        <v>8</v>
      </c>
      <c r="B115" s="5" t="s">
        <v>165</v>
      </c>
      <c r="C115" s="5" t="s">
        <v>27</v>
      </c>
      <c r="D115" s="5" t="s">
        <v>385</v>
      </c>
      <c r="E115" s="5" t="s">
        <v>387</v>
      </c>
      <c r="F115" s="5" t="s">
        <v>112</v>
      </c>
      <c r="G115" s="5" t="s">
        <v>391</v>
      </c>
      <c r="H115" s="5" t="s">
        <v>53</v>
      </c>
      <c r="I115" s="5" t="s">
        <v>168</v>
      </c>
      <c r="J115" s="15">
        <v>1120</v>
      </c>
      <c r="K115" s="7">
        <v>23.5</v>
      </c>
      <c r="L115" s="7">
        <f t="shared" si="13"/>
        <v>47.659574468085104</v>
      </c>
      <c r="M115" s="5" t="s">
        <v>10</v>
      </c>
      <c r="N115" s="5">
        <v>4</v>
      </c>
      <c r="O115" s="6">
        <f t="shared" si="14"/>
        <v>1.5900045269352645</v>
      </c>
      <c r="P115" s="6">
        <f t="shared" si="15"/>
        <v>0.16536047080126751</v>
      </c>
      <c r="Q115" s="10">
        <f t="shared" si="16"/>
        <v>3.4450098083597396E-3</v>
      </c>
      <c r="R115" s="10">
        <f t="shared" si="17"/>
        <v>2.2513649207854137E-2</v>
      </c>
      <c r="S115" s="10">
        <f t="shared" si="18"/>
        <v>2.5958659016213876E-2</v>
      </c>
    </row>
    <row r="116" spans="1:19" x14ac:dyDescent="0.25">
      <c r="A116" s="5" t="s">
        <v>8</v>
      </c>
      <c r="B116" s="5" t="s">
        <v>217</v>
      </c>
      <c r="C116" s="5" t="s">
        <v>27</v>
      </c>
      <c r="D116" s="5" t="s">
        <v>385</v>
      </c>
      <c r="E116" s="5" t="s">
        <v>387</v>
      </c>
      <c r="F116" s="5" t="s">
        <v>112</v>
      </c>
      <c r="G116" s="5" t="s">
        <v>391</v>
      </c>
      <c r="H116" s="5" t="s">
        <v>53</v>
      </c>
      <c r="I116" s="5" t="s">
        <v>17</v>
      </c>
      <c r="J116" s="15">
        <v>2800</v>
      </c>
      <c r="K116" s="7">
        <v>33</v>
      </c>
      <c r="L116" s="7">
        <f t="shared" si="13"/>
        <v>84.848484848484844</v>
      </c>
      <c r="M116" s="5" t="s">
        <v>10</v>
      </c>
      <c r="N116" s="5">
        <v>4</v>
      </c>
      <c r="O116" s="6">
        <f t="shared" si="14"/>
        <v>12.598714416896232</v>
      </c>
      <c r="P116" s="6">
        <f t="shared" si="15"/>
        <v>1.3102662993572083</v>
      </c>
      <c r="Q116" s="10">
        <f t="shared" si="16"/>
        <v>2.7297214569941834E-2</v>
      </c>
      <c r="R116" s="10">
        <f t="shared" si="17"/>
        <v>0.10632656850166688</v>
      </c>
      <c r="S116" s="10">
        <f t="shared" si="18"/>
        <v>0.13362378307160871</v>
      </c>
    </row>
    <row r="117" spans="1:19" x14ac:dyDescent="0.25">
      <c r="A117" s="5" t="s">
        <v>22</v>
      </c>
      <c r="B117" s="5" t="s">
        <v>63</v>
      </c>
      <c r="C117" s="5" t="s">
        <v>27</v>
      </c>
      <c r="D117" s="5" t="s">
        <v>385</v>
      </c>
      <c r="E117" s="5" t="s">
        <v>387</v>
      </c>
      <c r="F117" s="5" t="s">
        <v>112</v>
      </c>
      <c r="G117" s="5" t="s">
        <v>391</v>
      </c>
      <c r="H117" s="5" t="s">
        <v>53</v>
      </c>
      <c r="I117" s="5" t="s">
        <v>147</v>
      </c>
      <c r="J117" s="15">
        <v>2150</v>
      </c>
      <c r="K117" s="7">
        <v>34.5</v>
      </c>
      <c r="L117" s="7">
        <f t="shared" si="13"/>
        <v>62.318840579710148</v>
      </c>
      <c r="M117" s="5" t="s">
        <v>10</v>
      </c>
      <c r="N117" s="5">
        <v>4</v>
      </c>
      <c r="O117" s="6">
        <f t="shared" si="14"/>
        <v>5.2186384162990977</v>
      </c>
      <c r="P117" s="6">
        <f t="shared" si="15"/>
        <v>0.54273839529510615</v>
      </c>
      <c r="Q117" s="10">
        <f t="shared" si="16"/>
        <v>1.1307049901981378E-2</v>
      </c>
      <c r="R117" s="10">
        <f t="shared" si="17"/>
        <v>5.489907531451893E-2</v>
      </c>
      <c r="S117" s="10">
        <f t="shared" si="18"/>
        <v>6.6206125216500308E-2</v>
      </c>
    </row>
    <row r="118" spans="1:19" x14ac:dyDescent="0.25">
      <c r="A118" s="5" t="s">
        <v>8</v>
      </c>
      <c r="B118" s="5" t="s">
        <v>228</v>
      </c>
      <c r="C118" s="5" t="s">
        <v>27</v>
      </c>
      <c r="D118" s="5" t="s">
        <v>385</v>
      </c>
      <c r="E118" s="5" t="s">
        <v>387</v>
      </c>
      <c r="F118" s="5" t="s">
        <v>112</v>
      </c>
      <c r="G118" s="5" t="s">
        <v>391</v>
      </c>
      <c r="H118" s="5" t="s">
        <v>53</v>
      </c>
      <c r="I118" s="5" t="s">
        <v>229</v>
      </c>
      <c r="J118" s="15">
        <v>2500</v>
      </c>
      <c r="K118" s="7">
        <v>35</v>
      </c>
      <c r="L118" s="7">
        <f t="shared" si="13"/>
        <v>71.428571428571431</v>
      </c>
      <c r="M118" s="5" t="s">
        <v>10</v>
      </c>
      <c r="N118" s="5">
        <v>4</v>
      </c>
      <c r="O118" s="6">
        <f t="shared" si="14"/>
        <v>7.9719387755102051</v>
      </c>
      <c r="P118" s="6">
        <f t="shared" si="15"/>
        <v>0.82908163265306123</v>
      </c>
      <c r="Q118" s="10">
        <f t="shared" si="16"/>
        <v>1.7272534013605446E-2</v>
      </c>
      <c r="R118" s="10">
        <f t="shared" si="17"/>
        <v>7.5434512896593864E-2</v>
      </c>
      <c r="S118" s="10">
        <f t="shared" si="18"/>
        <v>9.2707046910199306E-2</v>
      </c>
    </row>
    <row r="119" spans="1:19" x14ac:dyDescent="0.25">
      <c r="A119" s="5" t="s">
        <v>8</v>
      </c>
      <c r="B119" s="5" t="s">
        <v>322</v>
      </c>
      <c r="C119" s="5" t="s">
        <v>27</v>
      </c>
      <c r="D119" s="5" t="s">
        <v>385</v>
      </c>
      <c r="E119" s="5" t="s">
        <v>387</v>
      </c>
      <c r="F119" s="5" t="s">
        <v>112</v>
      </c>
      <c r="G119" s="5" t="s">
        <v>391</v>
      </c>
      <c r="H119" s="5" t="s">
        <v>53</v>
      </c>
      <c r="I119" s="5" t="s">
        <v>325</v>
      </c>
      <c r="J119" s="15">
        <v>1600</v>
      </c>
      <c r="K119" s="7">
        <v>40</v>
      </c>
      <c r="L119" s="7">
        <f t="shared" si="13"/>
        <v>40</v>
      </c>
      <c r="M119" s="5" t="s">
        <v>10</v>
      </c>
      <c r="N119" s="5">
        <v>4</v>
      </c>
      <c r="O119" s="6">
        <f t="shared" si="14"/>
        <v>1.6</v>
      </c>
      <c r="P119" s="6">
        <f t="shared" si="15"/>
        <v>0.16639999999999999</v>
      </c>
      <c r="Q119" s="10">
        <f t="shared" si="16"/>
        <v>3.4666666666666665E-3</v>
      </c>
      <c r="R119" s="10">
        <f t="shared" si="17"/>
        <v>2.26197140956951E-2</v>
      </c>
      <c r="S119" s="10">
        <f t="shared" si="18"/>
        <v>2.6086380762361767E-2</v>
      </c>
    </row>
    <row r="120" spans="1:19" x14ac:dyDescent="0.25">
      <c r="A120" s="5" t="s">
        <v>8</v>
      </c>
      <c r="B120" s="5" t="s">
        <v>347</v>
      </c>
      <c r="C120" s="5" t="s">
        <v>27</v>
      </c>
      <c r="D120" s="5" t="s">
        <v>385</v>
      </c>
      <c r="E120" s="5" t="s">
        <v>387</v>
      </c>
      <c r="F120" s="5" t="s">
        <v>112</v>
      </c>
      <c r="G120" s="5" t="s">
        <v>391</v>
      </c>
      <c r="H120" s="5" t="s">
        <v>53</v>
      </c>
      <c r="I120" s="5" t="s">
        <v>351</v>
      </c>
      <c r="J120" s="15">
        <v>1820</v>
      </c>
      <c r="K120" s="7">
        <v>20</v>
      </c>
      <c r="L120" s="7">
        <f t="shared" si="13"/>
        <v>91</v>
      </c>
      <c r="M120" s="5" t="s">
        <v>10</v>
      </c>
      <c r="N120" s="5">
        <v>4</v>
      </c>
      <c r="O120" s="6">
        <f t="shared" si="14"/>
        <v>9.4196375000000003</v>
      </c>
      <c r="P120" s="6">
        <f t="shared" si="15"/>
        <v>0.97964229999999997</v>
      </c>
      <c r="Q120" s="10">
        <f t="shared" si="16"/>
        <v>2.0409214583333331E-2</v>
      </c>
      <c r="R120" s="10">
        <f t="shared" si="17"/>
        <v>8.549146647460612E-2</v>
      </c>
      <c r="S120" s="10">
        <f t="shared" si="18"/>
        <v>0.10590068105793946</v>
      </c>
    </row>
    <row r="121" spans="1:19" x14ac:dyDescent="0.25">
      <c r="A121" s="5" t="s">
        <v>8</v>
      </c>
      <c r="B121" s="5" t="s">
        <v>347</v>
      </c>
      <c r="C121" s="5" t="s">
        <v>27</v>
      </c>
      <c r="D121" s="5" t="s">
        <v>385</v>
      </c>
      <c r="E121" s="5" t="s">
        <v>387</v>
      </c>
      <c r="F121" s="5" t="s">
        <v>112</v>
      </c>
      <c r="G121" s="5" t="s">
        <v>391</v>
      </c>
      <c r="H121" s="5" t="s">
        <v>53</v>
      </c>
      <c r="I121" s="5" t="s">
        <v>352</v>
      </c>
      <c r="J121" s="15">
        <v>825</v>
      </c>
      <c r="K121" s="7">
        <v>27.5</v>
      </c>
      <c r="L121" s="7">
        <f t="shared" si="13"/>
        <v>30</v>
      </c>
      <c r="M121" s="5" t="s">
        <v>10</v>
      </c>
      <c r="N121" s="5">
        <v>4</v>
      </c>
      <c r="O121" s="6">
        <f t="shared" si="14"/>
        <v>0.46406249999999999</v>
      </c>
      <c r="P121" s="6">
        <f t="shared" si="15"/>
        <v>4.82625E-2</v>
      </c>
      <c r="Q121" s="10">
        <f t="shared" si="16"/>
        <v>1.0054687500000001E-3</v>
      </c>
      <c r="R121" s="10">
        <f t="shared" si="17"/>
        <v>8.9398345389160392E-3</v>
      </c>
      <c r="S121" s="10">
        <f t="shared" si="18"/>
        <v>9.9453032889160395E-3</v>
      </c>
    </row>
    <row r="122" spans="1:19" x14ac:dyDescent="0.25">
      <c r="A122" s="5" t="s">
        <v>8</v>
      </c>
      <c r="B122" s="5" t="s">
        <v>353</v>
      </c>
      <c r="C122" s="5" t="s">
        <v>27</v>
      </c>
      <c r="D122" s="5" t="s">
        <v>385</v>
      </c>
      <c r="E122" s="5" t="s">
        <v>387</v>
      </c>
      <c r="F122" s="5" t="s">
        <v>112</v>
      </c>
      <c r="G122" s="5" t="s">
        <v>391</v>
      </c>
      <c r="H122" s="5" t="s">
        <v>53</v>
      </c>
      <c r="I122" s="5" t="s">
        <v>352</v>
      </c>
      <c r="J122" s="15">
        <v>765</v>
      </c>
      <c r="K122" s="7">
        <v>26</v>
      </c>
      <c r="L122" s="7">
        <f t="shared" si="13"/>
        <v>29.423076923076923</v>
      </c>
      <c r="M122" s="5" t="s">
        <v>10</v>
      </c>
      <c r="N122" s="5">
        <v>4</v>
      </c>
      <c r="O122" s="6">
        <f t="shared" si="14"/>
        <v>0.41392115846893496</v>
      </c>
      <c r="P122" s="6">
        <f t="shared" si="15"/>
        <v>4.3047800480769241E-2</v>
      </c>
      <c r="Q122" s="10">
        <f t="shared" si="16"/>
        <v>8.9682917668269238E-4</v>
      </c>
      <c r="R122" s="10">
        <f t="shared" si="17"/>
        <v>8.2051276983141543E-3</v>
      </c>
      <c r="S122" s="10">
        <f t="shared" si="18"/>
        <v>9.1019568749968471E-3</v>
      </c>
    </row>
    <row r="123" spans="1:19" x14ac:dyDescent="0.25">
      <c r="A123" s="5" t="s">
        <v>8</v>
      </c>
      <c r="B123" s="5" t="s">
        <v>353</v>
      </c>
      <c r="C123" s="5" t="s">
        <v>27</v>
      </c>
      <c r="D123" s="5" t="s">
        <v>385</v>
      </c>
      <c r="E123" s="5" t="s">
        <v>387</v>
      </c>
      <c r="F123" s="5" t="s">
        <v>112</v>
      </c>
      <c r="G123" s="5" t="s">
        <v>391</v>
      </c>
      <c r="H123" s="5" t="s">
        <v>53</v>
      </c>
      <c r="I123" s="5" t="s">
        <v>352</v>
      </c>
      <c r="J123" s="15">
        <v>930</v>
      </c>
      <c r="K123" s="7">
        <v>29.5</v>
      </c>
      <c r="L123" s="7">
        <f t="shared" si="13"/>
        <v>31.525423728813561</v>
      </c>
      <c r="M123" s="5" t="s">
        <v>10</v>
      </c>
      <c r="N123" s="5">
        <v>4</v>
      </c>
      <c r="O123" s="6">
        <f t="shared" si="14"/>
        <v>0.57767667336972139</v>
      </c>
      <c r="P123" s="6">
        <f t="shared" si="15"/>
        <v>6.0078374030451021E-2</v>
      </c>
      <c r="Q123" s="10">
        <f t="shared" si="16"/>
        <v>1.251632792301063E-3</v>
      </c>
      <c r="R123" s="10">
        <f t="shared" si="17"/>
        <v>1.0535635757711046E-2</v>
      </c>
      <c r="S123" s="10">
        <f t="shared" si="18"/>
        <v>1.1787268550012109E-2</v>
      </c>
    </row>
    <row r="124" spans="1:19" x14ac:dyDescent="0.25">
      <c r="A124" s="5" t="s">
        <v>8</v>
      </c>
      <c r="B124" s="5" t="s">
        <v>330</v>
      </c>
      <c r="C124" s="5" t="s">
        <v>27</v>
      </c>
      <c r="D124" s="5" t="s">
        <v>385</v>
      </c>
      <c r="E124" s="5" t="s">
        <v>387</v>
      </c>
      <c r="F124" s="5" t="s">
        <v>112</v>
      </c>
      <c r="G124" s="5" t="s">
        <v>391</v>
      </c>
      <c r="H124" s="5" t="s">
        <v>53</v>
      </c>
      <c r="I124" s="5" t="s">
        <v>332</v>
      </c>
      <c r="J124" s="15">
        <v>2000</v>
      </c>
      <c r="K124" s="7">
        <v>47</v>
      </c>
      <c r="L124" s="7">
        <f t="shared" si="13"/>
        <v>42.553191489361701</v>
      </c>
      <c r="M124" s="5" t="s">
        <v>10</v>
      </c>
      <c r="N124" s="5">
        <v>4</v>
      </c>
      <c r="O124" s="6">
        <f t="shared" si="14"/>
        <v>2.2634676324128562</v>
      </c>
      <c r="P124" s="6">
        <f t="shared" si="15"/>
        <v>0.23540063377093706</v>
      </c>
      <c r="Q124" s="10">
        <f t="shared" si="16"/>
        <v>4.9041798702278549E-3</v>
      </c>
      <c r="R124" s="10">
        <f t="shared" si="17"/>
        <v>2.9341197903551185E-2</v>
      </c>
      <c r="S124" s="10">
        <f t="shared" si="18"/>
        <v>3.4245377773779041E-2</v>
      </c>
    </row>
    <row r="125" spans="1:19" x14ac:dyDescent="0.25">
      <c r="A125" s="5" t="s">
        <v>22</v>
      </c>
      <c r="B125" s="5" t="s">
        <v>26</v>
      </c>
      <c r="C125" s="5" t="s">
        <v>27</v>
      </c>
      <c r="D125" s="5" t="s">
        <v>385</v>
      </c>
      <c r="E125" s="5" t="s">
        <v>387</v>
      </c>
      <c r="F125" s="5" t="s">
        <v>112</v>
      </c>
      <c r="G125" s="5" t="s">
        <v>391</v>
      </c>
      <c r="H125" s="5" t="s">
        <v>53</v>
      </c>
      <c r="I125" s="5" t="s">
        <v>55</v>
      </c>
      <c r="J125" s="15">
        <v>3650</v>
      </c>
      <c r="K125" s="7">
        <v>34</v>
      </c>
      <c r="L125" s="7">
        <f t="shared" si="13"/>
        <v>107.35294117647059</v>
      </c>
      <c r="M125" s="5" t="s">
        <v>10</v>
      </c>
      <c r="N125" s="5">
        <v>4</v>
      </c>
      <c r="O125" s="6">
        <f t="shared" si="14"/>
        <v>26.290616890138409</v>
      </c>
      <c r="P125" s="6">
        <f t="shared" si="15"/>
        <v>2.7342241565743945</v>
      </c>
      <c r="Q125" s="10">
        <f t="shared" si="16"/>
        <v>5.6963003261966551E-2</v>
      </c>
      <c r="R125" s="10">
        <f t="shared" si="17"/>
        <v>0.18460680533482346</v>
      </c>
      <c r="S125" s="10">
        <f t="shared" si="18"/>
        <v>0.24156980859679</v>
      </c>
    </row>
    <row r="126" spans="1:19" x14ac:dyDescent="0.25">
      <c r="A126" s="5" t="s">
        <v>8</v>
      </c>
      <c r="B126" s="5" t="s">
        <v>156</v>
      </c>
      <c r="C126" s="5" t="s">
        <v>27</v>
      </c>
      <c r="D126" s="5" t="s">
        <v>385</v>
      </c>
      <c r="E126" s="5" t="s">
        <v>387</v>
      </c>
      <c r="F126" s="5" t="s">
        <v>112</v>
      </c>
      <c r="G126" s="5" t="s">
        <v>391</v>
      </c>
      <c r="H126" s="5" t="s">
        <v>53</v>
      </c>
      <c r="I126" s="5" t="s">
        <v>158</v>
      </c>
      <c r="J126" s="15">
        <v>1125</v>
      </c>
      <c r="K126" s="7">
        <v>29</v>
      </c>
      <c r="L126" s="7">
        <f t="shared" si="13"/>
        <v>38.793103448275865</v>
      </c>
      <c r="M126" s="5" t="s">
        <v>10</v>
      </c>
      <c r="N126" s="5">
        <v>4</v>
      </c>
      <c r="O126" s="6">
        <f t="shared" si="14"/>
        <v>1.0581362403388823</v>
      </c>
      <c r="P126" s="6">
        <f t="shared" si="15"/>
        <v>0.11004616899524378</v>
      </c>
      <c r="Q126" s="10">
        <f t="shared" si="16"/>
        <v>2.2926285207342449E-3</v>
      </c>
      <c r="R126" s="10">
        <f t="shared" si="17"/>
        <v>1.6588354811020851E-2</v>
      </c>
      <c r="S126" s="10">
        <f t="shared" si="18"/>
        <v>1.8880983331755096E-2</v>
      </c>
    </row>
    <row r="127" spans="1:19" x14ac:dyDescent="0.25">
      <c r="A127" s="5" t="s">
        <v>8</v>
      </c>
      <c r="B127" s="5" t="s">
        <v>156</v>
      </c>
      <c r="C127" s="5" t="s">
        <v>27</v>
      </c>
      <c r="D127" s="5" t="s">
        <v>385</v>
      </c>
      <c r="E127" s="5" t="s">
        <v>387</v>
      </c>
      <c r="F127" s="5" t="s">
        <v>112</v>
      </c>
      <c r="G127" s="5" t="s">
        <v>391</v>
      </c>
      <c r="H127" s="5" t="s">
        <v>53</v>
      </c>
      <c r="I127" s="5" t="s">
        <v>158</v>
      </c>
      <c r="J127" s="15">
        <v>1140</v>
      </c>
      <c r="K127" s="7">
        <v>28.5</v>
      </c>
      <c r="L127" s="7">
        <f t="shared" si="13"/>
        <v>40</v>
      </c>
      <c r="M127" s="5" t="s">
        <v>10</v>
      </c>
      <c r="N127" s="5">
        <v>4</v>
      </c>
      <c r="O127" s="6">
        <f t="shared" si="14"/>
        <v>1.1399999999999999</v>
      </c>
      <c r="P127" s="6">
        <f t="shared" si="15"/>
        <v>0.11855999999999998</v>
      </c>
      <c r="Q127" s="10">
        <f t="shared" si="16"/>
        <v>2.4699999999999995E-3</v>
      </c>
      <c r="R127" s="10">
        <f t="shared" si="17"/>
        <v>1.7541864935922521E-2</v>
      </c>
      <c r="S127" s="10">
        <f t="shared" si="18"/>
        <v>2.0011864935922521E-2</v>
      </c>
    </row>
    <row r="128" spans="1:19" x14ac:dyDescent="0.25">
      <c r="A128" s="5" t="s">
        <v>8</v>
      </c>
      <c r="B128" s="5" t="s">
        <v>347</v>
      </c>
      <c r="C128" s="5" t="s">
        <v>27</v>
      </c>
      <c r="D128" s="5" t="s">
        <v>385</v>
      </c>
      <c r="E128" s="5" t="s">
        <v>387</v>
      </c>
      <c r="F128" s="5" t="s">
        <v>112</v>
      </c>
      <c r="G128" s="5" t="s">
        <v>391</v>
      </c>
      <c r="H128" s="5" t="s">
        <v>53</v>
      </c>
      <c r="I128" s="5" t="s">
        <v>158</v>
      </c>
      <c r="J128" s="15">
        <v>1250</v>
      </c>
      <c r="K128" s="7">
        <v>26.5</v>
      </c>
      <c r="L128" s="7">
        <f t="shared" si="13"/>
        <v>47.169811320754718</v>
      </c>
      <c r="M128" s="5" t="s">
        <v>10</v>
      </c>
      <c r="N128" s="5">
        <v>4</v>
      </c>
      <c r="O128" s="6">
        <f t="shared" si="14"/>
        <v>1.7382742969028124</v>
      </c>
      <c r="P128" s="6">
        <f t="shared" si="15"/>
        <v>0.18078052687789251</v>
      </c>
      <c r="Q128" s="10">
        <f t="shared" si="16"/>
        <v>3.7662609766227601E-3</v>
      </c>
      <c r="R128" s="10">
        <f t="shared" si="17"/>
        <v>2.4070541236937307E-2</v>
      </c>
      <c r="S128" s="10">
        <f t="shared" si="18"/>
        <v>2.7836802213560066E-2</v>
      </c>
    </row>
    <row r="129" spans="1:19" x14ac:dyDescent="0.25">
      <c r="A129" s="5" t="s">
        <v>8</v>
      </c>
      <c r="B129" s="5" t="s">
        <v>372</v>
      </c>
      <c r="C129" s="5" t="s">
        <v>27</v>
      </c>
      <c r="D129" s="5" t="s">
        <v>385</v>
      </c>
      <c r="E129" s="5" t="s">
        <v>387</v>
      </c>
      <c r="F129" s="5" t="s">
        <v>112</v>
      </c>
      <c r="G129" s="5" t="s">
        <v>391</v>
      </c>
      <c r="H129" s="5" t="s">
        <v>53</v>
      </c>
      <c r="I129" s="5" t="s">
        <v>374</v>
      </c>
      <c r="J129" s="15">
        <v>3590</v>
      </c>
      <c r="K129" s="7">
        <v>44</v>
      </c>
      <c r="L129" s="7">
        <f t="shared" si="13"/>
        <v>81.590909090909093</v>
      </c>
      <c r="M129" s="5" t="s">
        <v>10</v>
      </c>
      <c r="N129" s="5">
        <v>4</v>
      </c>
      <c r="O129" s="6">
        <f t="shared" si="14"/>
        <v>14.936815276342974</v>
      </c>
      <c r="P129" s="6">
        <f t="shared" si="15"/>
        <v>1.5534287887396692</v>
      </c>
      <c r="Q129" s="10">
        <f t="shared" si="16"/>
        <v>3.2363099765409777E-2</v>
      </c>
      <c r="R129" s="10">
        <f t="shared" si="17"/>
        <v>0.12080659172555661</v>
      </c>
      <c r="S129" s="10">
        <f t="shared" si="18"/>
        <v>0.15316969149096638</v>
      </c>
    </row>
    <row r="130" spans="1:19" x14ac:dyDescent="0.25">
      <c r="A130" s="5" t="s">
        <v>22</v>
      </c>
      <c r="B130" s="5" t="s">
        <v>63</v>
      </c>
      <c r="C130" s="5" t="s">
        <v>27</v>
      </c>
      <c r="D130" s="5" t="s">
        <v>385</v>
      </c>
      <c r="E130" s="5" t="s">
        <v>387</v>
      </c>
      <c r="F130" s="5" t="s">
        <v>112</v>
      </c>
      <c r="G130" s="5" t="s">
        <v>391</v>
      </c>
      <c r="H130" s="5" t="s">
        <v>53</v>
      </c>
      <c r="I130" s="5" t="s">
        <v>114</v>
      </c>
      <c r="J130" s="15">
        <v>1700</v>
      </c>
      <c r="K130" s="7">
        <v>37</v>
      </c>
      <c r="L130" s="7">
        <f t="shared" si="13"/>
        <v>45.945945945945944</v>
      </c>
      <c r="M130" s="5" t="s">
        <v>10</v>
      </c>
      <c r="N130" s="5">
        <v>4</v>
      </c>
      <c r="O130" s="6">
        <f t="shared" si="14"/>
        <v>2.2429693206720231</v>
      </c>
      <c r="P130" s="6">
        <f t="shared" si="15"/>
        <v>0.23326880934989039</v>
      </c>
      <c r="Q130" s="10">
        <f t="shared" si="16"/>
        <v>4.8597668614560495E-3</v>
      </c>
      <c r="R130" s="10">
        <f t="shared" si="17"/>
        <v>2.9141682641278973E-2</v>
      </c>
      <c r="S130" s="10">
        <f t="shared" si="18"/>
        <v>3.4001449502735023E-2</v>
      </c>
    </row>
    <row r="131" spans="1:19" x14ac:dyDescent="0.25">
      <c r="A131" s="5" t="s">
        <v>8</v>
      </c>
      <c r="B131" s="5" t="s">
        <v>322</v>
      </c>
      <c r="C131" s="5" t="s">
        <v>27</v>
      </c>
      <c r="D131" s="5" t="s">
        <v>385</v>
      </c>
      <c r="E131" s="5" t="s">
        <v>387</v>
      </c>
      <c r="F131" s="5" t="s">
        <v>112</v>
      </c>
      <c r="G131" s="5" t="s">
        <v>391</v>
      </c>
      <c r="H131" s="5" t="s">
        <v>53</v>
      </c>
      <c r="I131" s="5" t="s">
        <v>114</v>
      </c>
      <c r="J131" s="15">
        <v>1600</v>
      </c>
      <c r="K131" s="7">
        <v>39</v>
      </c>
      <c r="L131" s="7">
        <f t="shared" si="13"/>
        <v>41.025641025641029</v>
      </c>
      <c r="M131" s="5" t="s">
        <v>10</v>
      </c>
      <c r="N131" s="5">
        <v>4</v>
      </c>
      <c r="O131" s="6">
        <f t="shared" si="14"/>
        <v>1.6831032215647603</v>
      </c>
      <c r="P131" s="6">
        <f t="shared" si="15"/>
        <v>0.17504273504273507</v>
      </c>
      <c r="Q131" s="10">
        <f t="shared" si="16"/>
        <v>3.6467236467236474E-3</v>
      </c>
      <c r="R131" s="10">
        <f t="shared" si="17"/>
        <v>2.3495256345525899E-2</v>
      </c>
      <c r="S131" s="10">
        <f t="shared" si="18"/>
        <v>2.7141979992249547E-2</v>
      </c>
    </row>
    <row r="132" spans="1:19" x14ac:dyDescent="0.25">
      <c r="A132" s="5" t="s">
        <v>22</v>
      </c>
      <c r="B132" s="5" t="s">
        <v>63</v>
      </c>
      <c r="C132" s="5" t="s">
        <v>27</v>
      </c>
      <c r="D132" s="5" t="s">
        <v>385</v>
      </c>
      <c r="E132" s="5" t="s">
        <v>387</v>
      </c>
      <c r="F132" s="5" t="s">
        <v>112</v>
      </c>
      <c r="G132" s="5" t="s">
        <v>391</v>
      </c>
      <c r="H132" s="5" t="s">
        <v>115</v>
      </c>
      <c r="I132" s="5" t="s">
        <v>116</v>
      </c>
      <c r="J132" s="15">
        <v>665</v>
      </c>
      <c r="K132" s="7">
        <v>23</v>
      </c>
      <c r="L132" s="7">
        <f t="shared" si="13"/>
        <v>28.913043478260871</v>
      </c>
      <c r="M132" s="5" t="s">
        <v>10</v>
      </c>
      <c r="N132" s="5">
        <v>4</v>
      </c>
      <c r="O132" s="6">
        <f t="shared" si="14"/>
        <v>0.34744757206994337</v>
      </c>
      <c r="P132" s="6">
        <f t="shared" si="15"/>
        <v>3.6134547495274102E-2</v>
      </c>
      <c r="Q132" s="10">
        <f t="shared" si="16"/>
        <v>7.5280307281821058E-4</v>
      </c>
      <c r="R132" s="10">
        <f t="shared" si="17"/>
        <v>7.1955514895454976E-3</v>
      </c>
      <c r="S132" s="10">
        <f t="shared" si="18"/>
        <v>7.9483545623637089E-3</v>
      </c>
    </row>
    <row r="133" spans="1:19" x14ac:dyDescent="0.25">
      <c r="A133" s="5" t="s">
        <v>22</v>
      </c>
      <c r="B133" s="5" t="s">
        <v>63</v>
      </c>
      <c r="C133" s="5" t="s">
        <v>27</v>
      </c>
      <c r="D133" s="5" t="s">
        <v>385</v>
      </c>
      <c r="E133" s="5" t="s">
        <v>387</v>
      </c>
      <c r="F133" s="5" t="s">
        <v>112</v>
      </c>
      <c r="G133" s="5" t="s">
        <v>391</v>
      </c>
      <c r="H133" s="5" t="s">
        <v>119</v>
      </c>
      <c r="I133" s="5" t="s">
        <v>120</v>
      </c>
      <c r="J133" s="15">
        <v>1200</v>
      </c>
      <c r="K133" s="7">
        <v>26.5</v>
      </c>
      <c r="L133" s="7">
        <f t="shared" si="13"/>
        <v>45.283018867924525</v>
      </c>
      <c r="M133" s="5" t="s">
        <v>10</v>
      </c>
      <c r="N133" s="5">
        <v>4</v>
      </c>
      <c r="O133" s="6">
        <f t="shared" si="14"/>
        <v>1.5379138483446062</v>
      </c>
      <c r="P133" s="6">
        <f t="shared" si="15"/>
        <v>0.15994304022783903</v>
      </c>
      <c r="Q133" s="10">
        <f t="shared" si="16"/>
        <v>3.3321466714133132E-3</v>
      </c>
      <c r="R133" s="10">
        <f t="shared" si="17"/>
        <v>2.1958169341058133E-2</v>
      </c>
      <c r="S133" s="10">
        <f t="shared" si="18"/>
        <v>2.5290316012471448E-2</v>
      </c>
    </row>
    <row r="134" spans="1:19" x14ac:dyDescent="0.25">
      <c r="A134" s="5" t="s">
        <v>22</v>
      </c>
      <c r="B134" s="5" t="s">
        <v>63</v>
      </c>
      <c r="C134" s="5" t="s">
        <v>27</v>
      </c>
      <c r="D134" s="5" t="s">
        <v>385</v>
      </c>
      <c r="E134" s="5" t="s">
        <v>387</v>
      </c>
      <c r="F134" s="5" t="s">
        <v>112</v>
      </c>
      <c r="G134" s="5" t="s">
        <v>391</v>
      </c>
      <c r="H134" s="5" t="s">
        <v>237</v>
      </c>
      <c r="I134" s="5" t="s">
        <v>121</v>
      </c>
      <c r="J134" s="15">
        <v>1250</v>
      </c>
      <c r="K134" s="7">
        <v>25.5</v>
      </c>
      <c r="L134" s="7">
        <f t="shared" si="13"/>
        <v>49.019607843137258</v>
      </c>
      <c r="M134" s="5" t="s">
        <v>10</v>
      </c>
      <c r="N134" s="5">
        <v>4</v>
      </c>
      <c r="O134" s="6">
        <f t="shared" si="14"/>
        <v>1.8772827758554407</v>
      </c>
      <c r="P134" s="6">
        <f t="shared" si="15"/>
        <v>0.19523740868896583</v>
      </c>
      <c r="Q134" s="10">
        <f t="shared" si="16"/>
        <v>4.0674460143534548E-3</v>
      </c>
      <c r="R134" s="10">
        <f t="shared" si="17"/>
        <v>2.5500247518851233E-2</v>
      </c>
      <c r="S134" s="10">
        <f t="shared" si="18"/>
        <v>2.9567693533204688E-2</v>
      </c>
    </row>
    <row r="135" spans="1:19" x14ac:dyDescent="0.25">
      <c r="A135" s="5" t="s">
        <v>8</v>
      </c>
      <c r="B135" s="5" t="s">
        <v>236</v>
      </c>
      <c r="C135" s="5" t="s">
        <v>27</v>
      </c>
      <c r="D135" s="5" t="s">
        <v>385</v>
      </c>
      <c r="E135" s="5" t="s">
        <v>387</v>
      </c>
      <c r="F135" s="5" t="s">
        <v>112</v>
      </c>
      <c r="G135" s="5" t="s">
        <v>391</v>
      </c>
      <c r="H135" s="5" t="s">
        <v>237</v>
      </c>
      <c r="I135" s="5" t="s">
        <v>238</v>
      </c>
      <c r="J135" s="15">
        <v>2800</v>
      </c>
      <c r="K135" s="7">
        <v>33.6</v>
      </c>
      <c r="L135" s="7">
        <f t="shared" si="13"/>
        <v>83.333333333333329</v>
      </c>
      <c r="M135" s="5" t="s">
        <v>10</v>
      </c>
      <c r="N135" s="5">
        <v>4</v>
      </c>
      <c r="O135" s="6">
        <f t="shared" si="14"/>
        <v>12.152777777777775</v>
      </c>
      <c r="P135" s="6">
        <f t="shared" si="15"/>
        <v>1.2638888888888886</v>
      </c>
      <c r="Q135" s="10">
        <f t="shared" si="16"/>
        <v>2.6331018518518514E-2</v>
      </c>
      <c r="R135" s="10">
        <f t="shared" si="17"/>
        <v>0.10349128794647404</v>
      </c>
      <c r="S135" s="10">
        <f t="shared" si="18"/>
        <v>0.12982230646499254</v>
      </c>
    </row>
    <row r="136" spans="1:19" x14ac:dyDescent="0.25">
      <c r="A136" s="5" t="s">
        <v>8</v>
      </c>
      <c r="B136" s="5" t="s">
        <v>165</v>
      </c>
      <c r="C136" s="5" t="s">
        <v>27</v>
      </c>
      <c r="D136" s="5" t="s">
        <v>385</v>
      </c>
      <c r="E136" s="5" t="s">
        <v>384</v>
      </c>
      <c r="F136" s="5" t="s">
        <v>91</v>
      </c>
      <c r="G136" s="5" t="s">
        <v>393</v>
      </c>
      <c r="H136" s="5" t="s">
        <v>92</v>
      </c>
      <c r="I136" s="5" t="s">
        <v>167</v>
      </c>
      <c r="J136" s="15">
        <v>1770</v>
      </c>
      <c r="K136" s="7">
        <v>30</v>
      </c>
      <c r="L136" s="7">
        <f t="shared" si="13"/>
        <v>59</v>
      </c>
      <c r="M136" s="5" t="s">
        <v>10</v>
      </c>
      <c r="N136" s="5">
        <v>4</v>
      </c>
      <c r="O136" s="6">
        <f t="shared" si="14"/>
        <v>3.8508562500000001</v>
      </c>
      <c r="P136" s="6">
        <f t="shared" si="15"/>
        <v>0.40048905000000001</v>
      </c>
      <c r="Q136" s="10">
        <f t="shared" si="16"/>
        <v>8.3435218750000009E-3</v>
      </c>
      <c r="R136" s="10">
        <f t="shared" si="17"/>
        <v>4.3708419692553992E-2</v>
      </c>
      <c r="S136" s="10">
        <f t="shared" si="18"/>
        <v>5.2051941567553994E-2</v>
      </c>
    </row>
    <row r="137" spans="1:19" x14ac:dyDescent="0.25">
      <c r="A137" s="5" t="s">
        <v>8</v>
      </c>
      <c r="B137" s="5" t="s">
        <v>372</v>
      </c>
      <c r="C137" s="5" t="s">
        <v>27</v>
      </c>
      <c r="D137" s="5" t="s">
        <v>385</v>
      </c>
      <c r="E137" s="5" t="s">
        <v>384</v>
      </c>
      <c r="F137" s="5" t="s">
        <v>91</v>
      </c>
      <c r="G137" s="5" t="s">
        <v>393</v>
      </c>
      <c r="H137" s="5" t="s">
        <v>92</v>
      </c>
      <c r="I137" s="5" t="s">
        <v>373</v>
      </c>
      <c r="J137" s="15">
        <v>2600</v>
      </c>
      <c r="K137" s="7">
        <v>40.200000000000003</v>
      </c>
      <c r="L137" s="7">
        <f t="shared" si="13"/>
        <v>64.676616915422883</v>
      </c>
      <c r="M137" s="5" t="s">
        <v>10</v>
      </c>
      <c r="N137" s="5">
        <v>4</v>
      </c>
      <c r="O137" s="6">
        <f t="shared" si="14"/>
        <v>6.7974802603895936</v>
      </c>
      <c r="P137" s="6">
        <f t="shared" si="15"/>
        <v>0.7069379470805176</v>
      </c>
      <c r="Q137" s="10">
        <f t="shared" si="16"/>
        <v>1.4727873897510785E-2</v>
      </c>
      <c r="R137" s="10">
        <f t="shared" si="17"/>
        <v>6.6935743328339611E-2</v>
      </c>
      <c r="S137" s="10">
        <f t="shared" si="18"/>
        <v>8.1663617225850402E-2</v>
      </c>
    </row>
    <row r="138" spans="1:19" x14ac:dyDescent="0.25">
      <c r="A138" s="5" t="s">
        <v>22</v>
      </c>
      <c r="B138" s="5" t="s">
        <v>63</v>
      </c>
      <c r="C138" s="5" t="s">
        <v>27</v>
      </c>
      <c r="D138" s="5" t="s">
        <v>385</v>
      </c>
      <c r="E138" s="5" t="s">
        <v>384</v>
      </c>
      <c r="F138" s="5" t="s">
        <v>91</v>
      </c>
      <c r="G138" s="5" t="s">
        <v>393</v>
      </c>
      <c r="H138" s="5" t="s">
        <v>92</v>
      </c>
      <c r="I138" s="5" t="s">
        <v>19</v>
      </c>
      <c r="J138" s="15">
        <v>1530</v>
      </c>
      <c r="K138" s="7">
        <v>63</v>
      </c>
      <c r="L138" s="7">
        <f t="shared" si="13"/>
        <v>24.285714285714285</v>
      </c>
      <c r="M138" s="5" t="s">
        <v>10</v>
      </c>
      <c r="N138" s="5">
        <v>4</v>
      </c>
      <c r="O138" s="6">
        <f t="shared" si="14"/>
        <v>0.56399234693877542</v>
      </c>
      <c r="P138" s="6">
        <f t="shared" si="15"/>
        <v>5.8655204081632648E-2</v>
      </c>
      <c r="Q138" s="10">
        <f t="shared" si="16"/>
        <v>1.2219834183673467E-3</v>
      </c>
      <c r="R138" s="10">
        <f t="shared" si="17"/>
        <v>1.0347895457552336E-2</v>
      </c>
      <c r="S138" s="10">
        <f t="shared" si="18"/>
        <v>1.1569878875919683E-2</v>
      </c>
    </row>
    <row r="139" spans="1:19" x14ac:dyDescent="0.25">
      <c r="A139" s="5" t="s">
        <v>8</v>
      </c>
      <c r="B139" s="5" t="s">
        <v>313</v>
      </c>
      <c r="C139" s="5" t="s">
        <v>27</v>
      </c>
      <c r="D139" s="5" t="s">
        <v>385</v>
      </c>
      <c r="E139" s="5" t="s">
        <v>384</v>
      </c>
      <c r="F139" s="5" t="s">
        <v>91</v>
      </c>
      <c r="G139" s="5" t="s">
        <v>393</v>
      </c>
      <c r="H139" s="5" t="s">
        <v>92</v>
      </c>
      <c r="I139" s="5" t="s">
        <v>315</v>
      </c>
      <c r="J139" s="15">
        <v>1300</v>
      </c>
      <c r="K139" s="7">
        <v>27</v>
      </c>
      <c r="L139" s="7">
        <f t="shared" si="13"/>
        <v>48.148148148148145</v>
      </c>
      <c r="M139" s="5" t="s">
        <v>10</v>
      </c>
      <c r="N139" s="5">
        <v>4</v>
      </c>
      <c r="O139" s="6">
        <f t="shared" si="14"/>
        <v>1.8835733882030175</v>
      </c>
      <c r="P139" s="6">
        <f t="shared" si="15"/>
        <v>0.19589163237311383</v>
      </c>
      <c r="Q139" s="10">
        <f t="shared" si="16"/>
        <v>4.0810756744398711E-3</v>
      </c>
      <c r="R139" s="10">
        <f t="shared" si="17"/>
        <v>2.5564307556858588E-2</v>
      </c>
      <c r="S139" s="10">
        <f t="shared" si="18"/>
        <v>2.964538323129846E-2</v>
      </c>
    </row>
    <row r="140" spans="1:19" x14ac:dyDescent="0.25">
      <c r="A140" s="5" t="s">
        <v>22</v>
      </c>
      <c r="B140" s="5" t="s">
        <v>63</v>
      </c>
      <c r="C140" s="5" t="s">
        <v>27</v>
      </c>
      <c r="D140" s="5" t="s">
        <v>385</v>
      </c>
      <c r="E140" s="5" t="s">
        <v>384</v>
      </c>
      <c r="F140" s="5" t="s">
        <v>91</v>
      </c>
      <c r="G140" s="5" t="s">
        <v>393</v>
      </c>
      <c r="H140" s="5" t="s">
        <v>92</v>
      </c>
      <c r="I140" s="5" t="s">
        <v>20</v>
      </c>
      <c r="J140" s="15">
        <v>1400</v>
      </c>
      <c r="K140" s="7">
        <v>37</v>
      </c>
      <c r="L140" s="7">
        <f t="shared" si="13"/>
        <v>37.837837837837839</v>
      </c>
      <c r="M140" s="5" t="s">
        <v>10</v>
      </c>
      <c r="N140" s="5">
        <v>4</v>
      </c>
      <c r="O140" s="6">
        <f t="shared" si="14"/>
        <v>1.2527392257121988</v>
      </c>
      <c r="P140" s="6">
        <f t="shared" si="15"/>
        <v>0.13028487947406867</v>
      </c>
      <c r="Q140" s="10">
        <f t="shared" si="16"/>
        <v>2.7142683223764304E-3</v>
      </c>
      <c r="R140" s="10">
        <f t="shared" si="17"/>
        <v>1.8827498926201992E-2</v>
      </c>
      <c r="S140" s="10">
        <f t="shared" si="18"/>
        <v>2.1541767248578422E-2</v>
      </c>
    </row>
    <row r="141" spans="1:19" x14ac:dyDescent="0.25">
      <c r="A141" s="5" t="s">
        <v>8</v>
      </c>
      <c r="B141" s="5" t="s">
        <v>308</v>
      </c>
      <c r="C141" s="5" t="s">
        <v>27</v>
      </c>
      <c r="D141" s="5" t="s">
        <v>385</v>
      </c>
      <c r="E141" s="5" t="s">
        <v>384</v>
      </c>
      <c r="F141" s="5" t="s">
        <v>91</v>
      </c>
      <c r="G141" s="5" t="s">
        <v>393</v>
      </c>
      <c r="H141" s="5" t="s">
        <v>92</v>
      </c>
      <c r="I141" s="5" t="s">
        <v>309</v>
      </c>
      <c r="J141" s="15">
        <v>1055</v>
      </c>
      <c r="K141" s="7">
        <v>35.5</v>
      </c>
      <c r="L141" s="7">
        <f t="shared" ref="L141:L202" si="19">J141/K141</f>
        <v>29.718309859154928</v>
      </c>
      <c r="M141" s="5" t="s">
        <v>10</v>
      </c>
      <c r="N141" s="5">
        <v>4</v>
      </c>
      <c r="O141" s="6">
        <f t="shared" ref="O141:O202" si="20">(J141*L141^2)/(1.6*10^6)</f>
        <v>0.58234545477087873</v>
      </c>
      <c r="P141" s="6">
        <f t="shared" ref="P141:P202" si="21">(0.104*J141*L141^2)/(1.6*10^6)</f>
        <v>6.056392729617139E-2</v>
      </c>
      <c r="Q141" s="10">
        <f t="shared" ref="Q141:Q202" si="22">(0.104*O141)/(12*N141)</f>
        <v>1.2617484853369037E-3</v>
      </c>
      <c r="R141" s="10">
        <f t="shared" ref="R141:R202" si="23">0.0159*O141^0.75</f>
        <v>1.0599433193685417E-2</v>
      </c>
      <c r="S141" s="10">
        <f t="shared" ref="S141:S202" si="24">Q141+R141</f>
        <v>1.1861181679022321E-2</v>
      </c>
    </row>
    <row r="142" spans="1:19" x14ac:dyDescent="0.25">
      <c r="A142" s="5" t="s">
        <v>22</v>
      </c>
      <c r="B142" s="5" t="s">
        <v>63</v>
      </c>
      <c r="C142" s="5" t="s">
        <v>27</v>
      </c>
      <c r="D142" s="5" t="s">
        <v>385</v>
      </c>
      <c r="E142" s="5" t="s">
        <v>384</v>
      </c>
      <c r="F142" s="5" t="s">
        <v>91</v>
      </c>
      <c r="G142" s="5" t="s">
        <v>393</v>
      </c>
      <c r="H142" s="5" t="s">
        <v>93</v>
      </c>
      <c r="I142" s="5" t="s">
        <v>94</v>
      </c>
      <c r="J142" s="15">
        <v>3450</v>
      </c>
      <c r="K142" s="7">
        <v>33.5</v>
      </c>
      <c r="L142" s="7">
        <f t="shared" si="19"/>
        <v>102.98507462686567</v>
      </c>
      <c r="M142" s="5" t="s">
        <v>10</v>
      </c>
      <c r="N142" s="5">
        <v>4</v>
      </c>
      <c r="O142" s="6">
        <f t="shared" si="20"/>
        <v>22.869027066161731</v>
      </c>
      <c r="P142" s="6">
        <f t="shared" si="21"/>
        <v>2.3783788148808198</v>
      </c>
      <c r="Q142" s="10">
        <f t="shared" si="22"/>
        <v>4.9549558643350415E-2</v>
      </c>
      <c r="R142" s="10">
        <f t="shared" si="23"/>
        <v>0.16627727199027578</v>
      </c>
      <c r="S142" s="10">
        <f t="shared" si="24"/>
        <v>0.2158268306336262</v>
      </c>
    </row>
    <row r="143" spans="1:19" x14ac:dyDescent="0.25">
      <c r="A143" s="5" t="s">
        <v>8</v>
      </c>
      <c r="B143" s="5" t="s">
        <v>336</v>
      </c>
      <c r="C143" s="5" t="s">
        <v>27</v>
      </c>
      <c r="D143" s="5" t="s">
        <v>385</v>
      </c>
      <c r="E143" s="5" t="s">
        <v>384</v>
      </c>
      <c r="F143" s="5" t="s">
        <v>91</v>
      </c>
      <c r="G143" s="5" t="s">
        <v>393</v>
      </c>
      <c r="H143" s="5" t="s">
        <v>93</v>
      </c>
      <c r="I143" s="5" t="s">
        <v>94</v>
      </c>
      <c r="J143" s="15">
        <v>3150</v>
      </c>
      <c r="K143" s="7">
        <v>31</v>
      </c>
      <c r="L143" s="7">
        <f t="shared" si="19"/>
        <v>101.61290322580645</v>
      </c>
      <c r="M143" s="5" t="s">
        <v>10</v>
      </c>
      <c r="N143" s="5">
        <v>4</v>
      </c>
      <c r="O143" s="6">
        <f t="shared" si="20"/>
        <v>20.32770226326743</v>
      </c>
      <c r="P143" s="6">
        <f t="shared" si="21"/>
        <v>2.1140810353798125</v>
      </c>
      <c r="Q143" s="10">
        <f t="shared" si="22"/>
        <v>4.4043354903746092E-2</v>
      </c>
      <c r="R143" s="10">
        <f t="shared" si="23"/>
        <v>0.15221706459438031</v>
      </c>
      <c r="S143" s="10">
        <f t="shared" si="24"/>
        <v>0.19626041949812639</v>
      </c>
    </row>
    <row r="144" spans="1:19" x14ac:dyDescent="0.25">
      <c r="A144" s="5" t="s">
        <v>22</v>
      </c>
      <c r="B144" s="5" t="s">
        <v>63</v>
      </c>
      <c r="C144" s="5" t="s">
        <v>27</v>
      </c>
      <c r="D144" s="5" t="s">
        <v>385</v>
      </c>
      <c r="E144" s="5" t="s">
        <v>384</v>
      </c>
      <c r="F144" s="5" t="s">
        <v>91</v>
      </c>
      <c r="G144" s="5" t="s">
        <v>393</v>
      </c>
      <c r="H144" s="5" t="s">
        <v>95</v>
      </c>
      <c r="I144" s="5" t="s">
        <v>96</v>
      </c>
      <c r="J144" s="15">
        <v>2765</v>
      </c>
      <c r="K144" s="7">
        <v>41</v>
      </c>
      <c r="L144" s="7">
        <f t="shared" si="19"/>
        <v>67.439024390243901</v>
      </c>
      <c r="M144" s="5" t="s">
        <v>10</v>
      </c>
      <c r="N144" s="5">
        <v>4</v>
      </c>
      <c r="O144" s="6">
        <f t="shared" si="20"/>
        <v>7.8595505372546111</v>
      </c>
      <c r="P144" s="6">
        <f t="shared" si="21"/>
        <v>0.81739325587447953</v>
      </c>
      <c r="Q144" s="10">
        <f t="shared" si="22"/>
        <v>1.7029026164051657E-2</v>
      </c>
      <c r="R144" s="10">
        <f t="shared" si="23"/>
        <v>7.4635493270240674E-2</v>
      </c>
      <c r="S144" s="10">
        <f t="shared" si="24"/>
        <v>9.1664519434292324E-2</v>
      </c>
    </row>
    <row r="145" spans="1:19" x14ac:dyDescent="0.25">
      <c r="A145" s="5" t="s">
        <v>8</v>
      </c>
      <c r="B145" s="5" t="s">
        <v>165</v>
      </c>
      <c r="C145" s="5" t="s">
        <v>27</v>
      </c>
      <c r="D145" s="5" t="s">
        <v>385</v>
      </c>
      <c r="E145" s="5" t="s">
        <v>384</v>
      </c>
      <c r="F145" s="5" t="s">
        <v>30</v>
      </c>
      <c r="G145" s="5" t="s">
        <v>397</v>
      </c>
      <c r="H145" s="5" t="s">
        <v>36</v>
      </c>
      <c r="I145" s="5" t="s">
        <v>173</v>
      </c>
      <c r="J145" s="15">
        <v>3000</v>
      </c>
      <c r="K145" s="7">
        <v>18</v>
      </c>
      <c r="L145" s="7">
        <f t="shared" si="19"/>
        <v>166.66666666666666</v>
      </c>
      <c r="M145" s="5" t="s">
        <v>10</v>
      </c>
      <c r="N145" s="5">
        <v>4</v>
      </c>
      <c r="O145" s="6">
        <f t="shared" si="20"/>
        <v>52.083333333333329</v>
      </c>
      <c r="P145" s="6">
        <f t="shared" si="21"/>
        <v>5.4166666666666661</v>
      </c>
      <c r="Q145" s="10">
        <f t="shared" si="22"/>
        <v>0.11284722222222221</v>
      </c>
      <c r="R145" s="10">
        <f t="shared" si="23"/>
        <v>0.3082628595775706</v>
      </c>
      <c r="S145" s="10">
        <f t="shared" si="24"/>
        <v>0.42111008179979281</v>
      </c>
    </row>
    <row r="146" spans="1:19" x14ac:dyDescent="0.25">
      <c r="A146" s="5" t="s">
        <v>8</v>
      </c>
      <c r="B146" s="5" t="s">
        <v>165</v>
      </c>
      <c r="C146" s="5" t="s">
        <v>27</v>
      </c>
      <c r="D146" s="5" t="s">
        <v>385</v>
      </c>
      <c r="E146" s="5" t="s">
        <v>384</v>
      </c>
      <c r="F146" s="5" t="s">
        <v>30</v>
      </c>
      <c r="G146" s="5" t="s">
        <v>397</v>
      </c>
      <c r="H146" s="5" t="s">
        <v>36</v>
      </c>
      <c r="I146" s="5" t="s">
        <v>170</v>
      </c>
      <c r="J146" s="15">
        <v>2695</v>
      </c>
      <c r="K146" s="7">
        <v>40</v>
      </c>
      <c r="L146" s="7">
        <f t="shared" si="19"/>
        <v>67.375</v>
      </c>
      <c r="M146" s="5" t="s">
        <v>10</v>
      </c>
      <c r="N146" s="5">
        <v>4</v>
      </c>
      <c r="O146" s="6">
        <f t="shared" si="20"/>
        <v>7.6460360839843746</v>
      </c>
      <c r="P146" s="6">
        <f t="shared" si="21"/>
        <v>0.79518775273437492</v>
      </c>
      <c r="Q146" s="10">
        <f t="shared" si="22"/>
        <v>1.6566411515299476E-2</v>
      </c>
      <c r="R146" s="10">
        <f t="shared" si="23"/>
        <v>7.3109595619803347E-2</v>
      </c>
      <c r="S146" s="10">
        <f t="shared" si="24"/>
        <v>8.967600713510282E-2</v>
      </c>
    </row>
    <row r="147" spans="1:19" x14ac:dyDescent="0.25">
      <c r="A147" s="5" t="s">
        <v>8</v>
      </c>
      <c r="B147" s="5" t="s">
        <v>165</v>
      </c>
      <c r="C147" s="5" t="s">
        <v>27</v>
      </c>
      <c r="D147" s="5" t="s">
        <v>385</v>
      </c>
      <c r="E147" s="5" t="s">
        <v>384</v>
      </c>
      <c r="F147" s="5" t="s">
        <v>30</v>
      </c>
      <c r="G147" s="5" t="s">
        <v>397</v>
      </c>
      <c r="H147" s="5" t="s">
        <v>36</v>
      </c>
      <c r="I147" s="5" t="s">
        <v>174</v>
      </c>
      <c r="J147" s="15">
        <v>5350</v>
      </c>
      <c r="K147" s="7">
        <v>40</v>
      </c>
      <c r="L147" s="7">
        <f t="shared" si="19"/>
        <v>133.75</v>
      </c>
      <c r="M147" s="5" t="s">
        <v>10</v>
      </c>
      <c r="N147" s="5">
        <v>4</v>
      </c>
      <c r="O147" s="6">
        <f t="shared" si="20"/>
        <v>59.816552734375001</v>
      </c>
      <c r="P147" s="6">
        <f t="shared" si="21"/>
        <v>6.2209214843750003</v>
      </c>
      <c r="Q147" s="10">
        <f t="shared" si="22"/>
        <v>0.12960253092447918</v>
      </c>
      <c r="R147" s="10">
        <f t="shared" si="23"/>
        <v>0.34198980524747485</v>
      </c>
      <c r="S147" s="10">
        <f t="shared" si="24"/>
        <v>0.47159233617195406</v>
      </c>
    </row>
    <row r="148" spans="1:19" x14ac:dyDescent="0.25">
      <c r="A148" s="5" t="s">
        <v>22</v>
      </c>
      <c r="B148" s="5" t="s">
        <v>26</v>
      </c>
      <c r="C148" s="5" t="s">
        <v>27</v>
      </c>
      <c r="D148" s="5" t="s">
        <v>385</v>
      </c>
      <c r="E148" s="5" t="s">
        <v>384</v>
      </c>
      <c r="F148" s="5" t="s">
        <v>30</v>
      </c>
      <c r="G148" s="5" t="s">
        <v>397</v>
      </c>
      <c r="H148" s="5" t="s">
        <v>36</v>
      </c>
      <c r="I148" s="5" t="s">
        <v>18</v>
      </c>
      <c r="J148" s="15">
        <v>1750</v>
      </c>
      <c r="K148" s="7">
        <v>28</v>
      </c>
      <c r="L148" s="7">
        <f t="shared" si="19"/>
        <v>62.5</v>
      </c>
      <c r="M148" s="5" t="s">
        <v>10</v>
      </c>
      <c r="N148" s="5">
        <v>4</v>
      </c>
      <c r="O148" s="6">
        <f t="shared" si="20"/>
        <v>4.2724609375</v>
      </c>
      <c r="P148" s="6">
        <f t="shared" si="21"/>
        <v>0.4443359375</v>
      </c>
      <c r="Q148" s="10">
        <f t="shared" si="22"/>
        <v>9.2569986979166661E-3</v>
      </c>
      <c r="R148" s="10">
        <f t="shared" si="23"/>
        <v>4.7250422897927295E-2</v>
      </c>
      <c r="S148" s="10">
        <f t="shared" si="24"/>
        <v>5.650742159584396E-2</v>
      </c>
    </row>
    <row r="149" spans="1:19" x14ac:dyDescent="0.25">
      <c r="A149" s="5" t="s">
        <v>8</v>
      </c>
      <c r="B149" s="5" t="s">
        <v>165</v>
      </c>
      <c r="C149" s="5" t="s">
        <v>27</v>
      </c>
      <c r="D149" s="5" t="s">
        <v>385</v>
      </c>
      <c r="E149" s="5" t="s">
        <v>384</v>
      </c>
      <c r="F149" s="5" t="s">
        <v>30</v>
      </c>
      <c r="G149" s="5" t="s">
        <v>397</v>
      </c>
      <c r="H149" s="5" t="s">
        <v>36</v>
      </c>
      <c r="I149" s="5" t="s">
        <v>18</v>
      </c>
      <c r="J149" s="15">
        <v>1450</v>
      </c>
      <c r="K149" s="7">
        <v>28.5</v>
      </c>
      <c r="L149" s="7">
        <f t="shared" si="19"/>
        <v>50.877192982456137</v>
      </c>
      <c r="M149" s="5" t="s">
        <v>10</v>
      </c>
      <c r="N149" s="5">
        <v>4</v>
      </c>
      <c r="O149" s="6">
        <f t="shared" si="20"/>
        <v>2.3458179439827638</v>
      </c>
      <c r="P149" s="6">
        <f t="shared" si="21"/>
        <v>0.24396506617420743</v>
      </c>
      <c r="Q149" s="10">
        <f t="shared" si="22"/>
        <v>5.0826055452959885E-3</v>
      </c>
      <c r="R149" s="10">
        <f t="shared" si="23"/>
        <v>3.0138237596683604E-2</v>
      </c>
      <c r="S149" s="10">
        <f t="shared" si="24"/>
        <v>3.5220843141979589E-2</v>
      </c>
    </row>
    <row r="150" spans="1:19" x14ac:dyDescent="0.25">
      <c r="A150" s="5" t="s">
        <v>8</v>
      </c>
      <c r="B150" s="5" t="s">
        <v>281</v>
      </c>
      <c r="C150" s="5" t="s">
        <v>27</v>
      </c>
      <c r="D150" s="5" t="s">
        <v>385</v>
      </c>
      <c r="E150" s="5" t="s">
        <v>384</v>
      </c>
      <c r="F150" s="5" t="s">
        <v>30</v>
      </c>
      <c r="G150" s="5" t="s">
        <v>397</v>
      </c>
      <c r="H150" s="5" t="s">
        <v>36</v>
      </c>
      <c r="I150" s="5" t="s">
        <v>18</v>
      </c>
      <c r="J150" s="15">
        <v>1975</v>
      </c>
      <c r="K150" s="7">
        <v>33</v>
      </c>
      <c r="L150" s="7">
        <f t="shared" si="19"/>
        <v>59.848484848484851</v>
      </c>
      <c r="M150" s="5" t="s">
        <v>10</v>
      </c>
      <c r="N150" s="5">
        <v>4</v>
      </c>
      <c r="O150" s="6">
        <f t="shared" si="20"/>
        <v>4.4213351555325984</v>
      </c>
      <c r="P150" s="6">
        <f t="shared" si="21"/>
        <v>0.45981885617539026</v>
      </c>
      <c r="Q150" s="10">
        <f t="shared" si="22"/>
        <v>9.5795595036539619E-3</v>
      </c>
      <c r="R150" s="10">
        <f t="shared" si="23"/>
        <v>4.8479954373658471E-2</v>
      </c>
      <c r="S150" s="10">
        <f t="shared" si="24"/>
        <v>5.8059513877312431E-2</v>
      </c>
    </row>
    <row r="151" spans="1:19" x14ac:dyDescent="0.25">
      <c r="A151" s="5" t="s">
        <v>8</v>
      </c>
      <c r="B151" s="5" t="s">
        <v>291</v>
      </c>
      <c r="C151" s="5" t="s">
        <v>27</v>
      </c>
      <c r="D151" s="5" t="s">
        <v>385</v>
      </c>
      <c r="E151" s="5" t="s">
        <v>384</v>
      </c>
      <c r="F151" s="5" t="s">
        <v>30</v>
      </c>
      <c r="G151" s="5" t="s">
        <v>397</v>
      </c>
      <c r="H151" s="5" t="s">
        <v>36</v>
      </c>
      <c r="I151" s="5" t="s">
        <v>18</v>
      </c>
      <c r="J151" s="15">
        <v>1559</v>
      </c>
      <c r="K151" s="7">
        <v>24.4</v>
      </c>
      <c r="L151" s="7">
        <f t="shared" si="19"/>
        <v>63.893442622950822</v>
      </c>
      <c r="M151" s="5" t="s">
        <v>10</v>
      </c>
      <c r="N151" s="5">
        <v>4</v>
      </c>
      <c r="O151" s="6">
        <f t="shared" si="20"/>
        <v>3.977761227450618</v>
      </c>
      <c r="P151" s="6">
        <f t="shared" si="21"/>
        <v>0.4136871676548643</v>
      </c>
      <c r="Q151" s="10">
        <f t="shared" si="22"/>
        <v>8.6184826594763383E-3</v>
      </c>
      <c r="R151" s="10">
        <f t="shared" si="23"/>
        <v>4.4784337805949009E-2</v>
      </c>
      <c r="S151" s="10">
        <f t="shared" si="24"/>
        <v>5.3402820465425348E-2</v>
      </c>
    </row>
    <row r="152" spans="1:19" x14ac:dyDescent="0.25">
      <c r="A152" s="5" t="s">
        <v>8</v>
      </c>
      <c r="B152" s="5" t="s">
        <v>291</v>
      </c>
      <c r="C152" s="5" t="s">
        <v>27</v>
      </c>
      <c r="D152" s="5" t="s">
        <v>385</v>
      </c>
      <c r="E152" s="5" t="s">
        <v>384</v>
      </c>
      <c r="F152" s="5" t="s">
        <v>30</v>
      </c>
      <c r="G152" s="5" t="s">
        <v>397</v>
      </c>
      <c r="H152" s="5" t="s">
        <v>36</v>
      </c>
      <c r="I152" s="5" t="s">
        <v>18</v>
      </c>
      <c r="J152" s="15">
        <v>1600</v>
      </c>
      <c r="K152" s="7">
        <v>25.6</v>
      </c>
      <c r="L152" s="7">
        <f t="shared" si="19"/>
        <v>62.5</v>
      </c>
      <c r="M152" s="5" t="s">
        <v>10</v>
      </c>
      <c r="N152" s="5">
        <v>4</v>
      </c>
      <c r="O152" s="6">
        <f t="shared" si="20"/>
        <v>3.90625</v>
      </c>
      <c r="P152" s="6">
        <f t="shared" si="21"/>
        <v>0.40625</v>
      </c>
      <c r="Q152" s="10">
        <f t="shared" si="22"/>
        <v>8.4635416666666661E-3</v>
      </c>
      <c r="R152" s="10">
        <f t="shared" si="23"/>
        <v>4.4179129093154489E-2</v>
      </c>
      <c r="S152" s="10">
        <f t="shared" si="24"/>
        <v>5.2642670759821153E-2</v>
      </c>
    </row>
    <row r="153" spans="1:19" x14ac:dyDescent="0.25">
      <c r="A153" s="5" t="s">
        <v>8</v>
      </c>
      <c r="B153" s="5" t="s">
        <v>307</v>
      </c>
      <c r="C153" s="5" t="s">
        <v>27</v>
      </c>
      <c r="D153" s="5" t="s">
        <v>385</v>
      </c>
      <c r="E153" s="5" t="s">
        <v>384</v>
      </c>
      <c r="F153" s="5" t="s">
        <v>30</v>
      </c>
      <c r="G153" s="5" t="s">
        <v>397</v>
      </c>
      <c r="H153" s="5" t="s">
        <v>36</v>
      </c>
      <c r="I153" s="5" t="s">
        <v>18</v>
      </c>
      <c r="J153" s="15">
        <v>1450</v>
      </c>
      <c r="K153" s="7">
        <v>34.200000000000003</v>
      </c>
      <c r="L153" s="7">
        <f t="shared" si="19"/>
        <v>42.397660818713447</v>
      </c>
      <c r="M153" s="5" t="s">
        <v>10</v>
      </c>
      <c r="N153" s="5">
        <v>4</v>
      </c>
      <c r="O153" s="6">
        <f t="shared" si="20"/>
        <v>1.629040238876919</v>
      </c>
      <c r="P153" s="6">
        <f t="shared" si="21"/>
        <v>0.16942018484319957</v>
      </c>
      <c r="Q153" s="10">
        <f t="shared" si="22"/>
        <v>3.5295871842333242E-3</v>
      </c>
      <c r="R153" s="10">
        <f t="shared" si="23"/>
        <v>2.2926934132158183E-2</v>
      </c>
      <c r="S153" s="10">
        <f t="shared" si="24"/>
        <v>2.6456521316391507E-2</v>
      </c>
    </row>
    <row r="154" spans="1:19" x14ac:dyDescent="0.25">
      <c r="A154" s="5" t="s">
        <v>8</v>
      </c>
      <c r="B154" s="5" t="s">
        <v>165</v>
      </c>
      <c r="C154" s="5" t="s">
        <v>27</v>
      </c>
      <c r="D154" s="5" t="s">
        <v>385</v>
      </c>
      <c r="E154" s="5" t="s">
        <v>384</v>
      </c>
      <c r="F154" s="5" t="s">
        <v>30</v>
      </c>
      <c r="G154" s="5" t="s">
        <v>397</v>
      </c>
      <c r="H154" s="5" t="s">
        <v>36</v>
      </c>
      <c r="I154" s="5" t="s">
        <v>175</v>
      </c>
      <c r="J154" s="15">
        <v>1800</v>
      </c>
      <c r="K154" s="7">
        <v>25</v>
      </c>
      <c r="L154" s="7">
        <f t="shared" si="19"/>
        <v>72</v>
      </c>
      <c r="M154" s="5" t="s">
        <v>10</v>
      </c>
      <c r="N154" s="5">
        <v>4</v>
      </c>
      <c r="O154" s="6">
        <f t="shared" si="20"/>
        <v>5.8319999999999999</v>
      </c>
      <c r="P154" s="6">
        <f t="shared" si="21"/>
        <v>0.60652799999999996</v>
      </c>
      <c r="Q154" s="10">
        <f t="shared" si="22"/>
        <v>1.2636E-2</v>
      </c>
      <c r="R154" s="10">
        <f t="shared" si="23"/>
        <v>5.9670580217310476E-2</v>
      </c>
      <c r="S154" s="10">
        <f t="shared" si="24"/>
        <v>7.230658021731047E-2</v>
      </c>
    </row>
    <row r="155" spans="1:19" x14ac:dyDescent="0.25">
      <c r="A155" s="5" t="s">
        <v>8</v>
      </c>
      <c r="B155" s="5" t="s">
        <v>165</v>
      </c>
      <c r="C155" s="5" t="s">
        <v>27</v>
      </c>
      <c r="D155" s="5" t="s">
        <v>385</v>
      </c>
      <c r="E155" s="5" t="s">
        <v>384</v>
      </c>
      <c r="F155" s="5" t="s">
        <v>30</v>
      </c>
      <c r="G155" s="5" t="s">
        <v>397</v>
      </c>
      <c r="H155" s="5" t="s">
        <v>36</v>
      </c>
      <c r="I155" s="5" t="s">
        <v>176</v>
      </c>
      <c r="J155" s="15">
        <v>1750</v>
      </c>
      <c r="K155" s="7">
        <v>35.5</v>
      </c>
      <c r="L155" s="7">
        <f t="shared" si="19"/>
        <v>49.29577464788732</v>
      </c>
      <c r="M155" s="5" t="s">
        <v>10</v>
      </c>
      <c r="N155" s="5">
        <v>4</v>
      </c>
      <c r="O155" s="6">
        <f t="shared" si="20"/>
        <v>2.6578927792104734</v>
      </c>
      <c r="P155" s="6">
        <f t="shared" si="21"/>
        <v>0.27642084903788922</v>
      </c>
      <c r="Q155" s="10">
        <f t="shared" si="22"/>
        <v>5.7587676882893584E-3</v>
      </c>
      <c r="R155" s="10">
        <f t="shared" si="23"/>
        <v>3.3097883067103442E-2</v>
      </c>
      <c r="S155" s="10">
        <f t="shared" si="24"/>
        <v>3.8856650755392803E-2</v>
      </c>
    </row>
    <row r="156" spans="1:19" x14ac:dyDescent="0.25">
      <c r="A156" s="5" t="s">
        <v>8</v>
      </c>
      <c r="B156" s="5" t="s">
        <v>165</v>
      </c>
      <c r="C156" s="5" t="s">
        <v>27</v>
      </c>
      <c r="D156" s="5" t="s">
        <v>385</v>
      </c>
      <c r="E156" s="5" t="s">
        <v>384</v>
      </c>
      <c r="F156" s="5" t="s">
        <v>30</v>
      </c>
      <c r="G156" s="5" t="s">
        <v>397</v>
      </c>
      <c r="H156" s="5" t="s">
        <v>36</v>
      </c>
      <c r="I156" s="5" t="s">
        <v>177</v>
      </c>
      <c r="J156" s="15">
        <v>1060</v>
      </c>
      <c r="K156" s="7">
        <v>28</v>
      </c>
      <c r="L156" s="7">
        <f t="shared" si="19"/>
        <v>37.857142857142854</v>
      </c>
      <c r="M156" s="5" t="s">
        <v>10</v>
      </c>
      <c r="N156" s="5">
        <v>4</v>
      </c>
      <c r="O156" s="6">
        <f t="shared" si="20"/>
        <v>0.94947066326530594</v>
      </c>
      <c r="P156" s="6">
        <f t="shared" si="21"/>
        <v>9.874494897959181E-2</v>
      </c>
      <c r="Q156" s="10">
        <f t="shared" si="22"/>
        <v>2.0571864370748294E-3</v>
      </c>
      <c r="R156" s="10">
        <f t="shared" si="23"/>
        <v>1.5293549291277381E-2</v>
      </c>
      <c r="S156" s="10">
        <f t="shared" si="24"/>
        <v>1.7350735728352211E-2</v>
      </c>
    </row>
    <row r="157" spans="1:19" x14ac:dyDescent="0.25">
      <c r="A157" s="5" t="s">
        <v>8</v>
      </c>
      <c r="B157" s="5" t="s">
        <v>165</v>
      </c>
      <c r="C157" s="5" t="s">
        <v>27</v>
      </c>
      <c r="D157" s="5" t="s">
        <v>385</v>
      </c>
      <c r="E157" s="5" t="s">
        <v>384</v>
      </c>
      <c r="F157" s="5" t="s">
        <v>30</v>
      </c>
      <c r="G157" s="5" t="s">
        <v>397</v>
      </c>
      <c r="H157" s="5" t="s">
        <v>36</v>
      </c>
      <c r="I157" s="5" t="s">
        <v>178</v>
      </c>
      <c r="J157" s="15">
        <v>1700</v>
      </c>
      <c r="K157" s="7">
        <v>26.5</v>
      </c>
      <c r="L157" s="7">
        <f t="shared" si="19"/>
        <v>64.15094339622641</v>
      </c>
      <c r="M157" s="5" t="s">
        <v>10</v>
      </c>
      <c r="N157" s="5">
        <v>4</v>
      </c>
      <c r="O157" s="6">
        <f t="shared" si="20"/>
        <v>4.3725525097899602</v>
      </c>
      <c r="P157" s="6">
        <f t="shared" si="21"/>
        <v>0.45474546101815583</v>
      </c>
      <c r="Q157" s="10">
        <f t="shared" si="22"/>
        <v>9.4738637712115797E-3</v>
      </c>
      <c r="R157" s="10">
        <f t="shared" si="23"/>
        <v>4.8078222116359363E-2</v>
      </c>
      <c r="S157" s="10">
        <f t="shared" si="24"/>
        <v>5.7552085887570943E-2</v>
      </c>
    </row>
    <row r="158" spans="1:19" x14ac:dyDescent="0.25">
      <c r="A158" s="5" t="s">
        <v>8</v>
      </c>
      <c r="B158" s="5" t="s">
        <v>165</v>
      </c>
      <c r="C158" s="5" t="s">
        <v>27</v>
      </c>
      <c r="D158" s="5" t="s">
        <v>385</v>
      </c>
      <c r="E158" s="5" t="s">
        <v>384</v>
      </c>
      <c r="F158" s="5" t="s">
        <v>30</v>
      </c>
      <c r="G158" s="5" t="s">
        <v>397</v>
      </c>
      <c r="H158" s="5" t="s">
        <v>36</v>
      </c>
      <c r="I158" s="5" t="s">
        <v>179</v>
      </c>
      <c r="J158" s="15">
        <v>1200</v>
      </c>
      <c r="K158" s="7">
        <v>28</v>
      </c>
      <c r="L158" s="7">
        <f t="shared" si="19"/>
        <v>42.857142857142854</v>
      </c>
      <c r="M158" s="5" t="s">
        <v>10</v>
      </c>
      <c r="N158" s="5">
        <v>4</v>
      </c>
      <c r="O158" s="6">
        <f t="shared" si="20"/>
        <v>1.3775510204081631</v>
      </c>
      <c r="P158" s="6">
        <f t="shared" si="21"/>
        <v>0.14326530612244898</v>
      </c>
      <c r="Q158" s="10">
        <f t="shared" si="22"/>
        <v>2.9846938775510198E-3</v>
      </c>
      <c r="R158" s="10">
        <f t="shared" si="23"/>
        <v>2.0217520582724226E-2</v>
      </c>
      <c r="S158" s="10">
        <f t="shared" si="24"/>
        <v>2.3202214460275247E-2</v>
      </c>
    </row>
    <row r="159" spans="1:19" x14ac:dyDescent="0.25">
      <c r="A159" s="5" t="s">
        <v>8</v>
      </c>
      <c r="B159" s="5" t="s">
        <v>165</v>
      </c>
      <c r="C159" s="5" t="s">
        <v>27</v>
      </c>
      <c r="D159" s="5" t="s">
        <v>385</v>
      </c>
      <c r="E159" s="5" t="s">
        <v>384</v>
      </c>
      <c r="F159" s="5" t="s">
        <v>30</v>
      </c>
      <c r="G159" s="5" t="s">
        <v>397</v>
      </c>
      <c r="H159" s="5" t="s">
        <v>36</v>
      </c>
      <c r="I159" s="5" t="s">
        <v>180</v>
      </c>
      <c r="J159" s="15">
        <v>4150</v>
      </c>
      <c r="K159" s="7">
        <v>26.5</v>
      </c>
      <c r="L159" s="7">
        <f t="shared" si="19"/>
        <v>156.60377358490567</v>
      </c>
      <c r="M159" s="5" t="s">
        <v>10</v>
      </c>
      <c r="N159" s="5">
        <v>4</v>
      </c>
      <c r="O159" s="6">
        <f t="shared" si="20"/>
        <v>63.61104930580278</v>
      </c>
      <c r="P159" s="6">
        <f t="shared" si="21"/>
        <v>6.6155491278034892</v>
      </c>
      <c r="Q159" s="10">
        <f t="shared" si="22"/>
        <v>0.13782394016257268</v>
      </c>
      <c r="R159" s="10">
        <f t="shared" si="23"/>
        <v>0.35813481691991617</v>
      </c>
      <c r="S159" s="10">
        <f t="shared" si="24"/>
        <v>0.49595875708248882</v>
      </c>
    </row>
    <row r="160" spans="1:19" x14ac:dyDescent="0.25">
      <c r="A160" s="5" t="s">
        <v>8</v>
      </c>
      <c r="B160" s="5" t="s">
        <v>165</v>
      </c>
      <c r="C160" s="5" t="s">
        <v>27</v>
      </c>
      <c r="D160" s="5" t="s">
        <v>385</v>
      </c>
      <c r="E160" s="5" t="s">
        <v>384</v>
      </c>
      <c r="F160" s="5" t="s">
        <v>30</v>
      </c>
      <c r="G160" s="5" t="s">
        <v>397</v>
      </c>
      <c r="H160" s="5" t="s">
        <v>36</v>
      </c>
      <c r="I160" s="5" t="s">
        <v>172</v>
      </c>
      <c r="J160" s="15">
        <v>1615</v>
      </c>
      <c r="K160" s="7">
        <v>35</v>
      </c>
      <c r="L160" s="7">
        <f t="shared" si="19"/>
        <v>46.142857142857146</v>
      </c>
      <c r="M160" s="5" t="s">
        <v>10</v>
      </c>
      <c r="N160" s="5">
        <v>4</v>
      </c>
      <c r="O160" s="6">
        <f t="shared" si="20"/>
        <v>2.1491241709183679</v>
      </c>
      <c r="P160" s="6">
        <f t="shared" si="21"/>
        <v>0.22350891377551022</v>
      </c>
      <c r="Q160" s="10">
        <f t="shared" si="22"/>
        <v>4.6564357036564634E-3</v>
      </c>
      <c r="R160" s="10">
        <f t="shared" si="23"/>
        <v>2.8222355350425752E-2</v>
      </c>
      <c r="S160" s="10">
        <f t="shared" si="24"/>
        <v>3.2878791054082215E-2</v>
      </c>
    </row>
    <row r="161" spans="1:19" x14ac:dyDescent="0.25">
      <c r="A161" s="5" t="s">
        <v>8</v>
      </c>
      <c r="B161" s="5" t="s">
        <v>165</v>
      </c>
      <c r="C161" s="5" t="s">
        <v>27</v>
      </c>
      <c r="D161" s="5" t="s">
        <v>385</v>
      </c>
      <c r="E161" s="5" t="s">
        <v>384</v>
      </c>
      <c r="F161" s="5" t="s">
        <v>30</v>
      </c>
      <c r="G161" s="5" t="s">
        <v>397</v>
      </c>
      <c r="H161" s="5" t="s">
        <v>36</v>
      </c>
      <c r="I161" s="5" t="s">
        <v>172</v>
      </c>
      <c r="J161" s="15">
        <v>1600</v>
      </c>
      <c r="K161" s="7">
        <v>35</v>
      </c>
      <c r="L161" s="7">
        <f t="shared" si="19"/>
        <v>45.714285714285715</v>
      </c>
      <c r="M161" s="5" t="s">
        <v>10</v>
      </c>
      <c r="N161" s="5">
        <v>4</v>
      </c>
      <c r="O161" s="6">
        <f t="shared" si="20"/>
        <v>2.0897959183673471</v>
      </c>
      <c r="P161" s="6">
        <f t="shared" si="21"/>
        <v>0.21733877551020411</v>
      </c>
      <c r="Q161" s="10">
        <f t="shared" si="22"/>
        <v>4.5278911564625851E-3</v>
      </c>
      <c r="R161" s="10">
        <f t="shared" si="23"/>
        <v>2.7635990312774601E-2</v>
      </c>
      <c r="S161" s="10">
        <f t="shared" si="24"/>
        <v>3.2163881469237182E-2</v>
      </c>
    </row>
    <row r="162" spans="1:19" x14ac:dyDescent="0.25">
      <c r="A162" s="5" t="s">
        <v>8</v>
      </c>
      <c r="B162" s="5" t="s">
        <v>165</v>
      </c>
      <c r="C162" s="5" t="s">
        <v>27</v>
      </c>
      <c r="D162" s="5" t="s">
        <v>385</v>
      </c>
      <c r="E162" s="5" t="s">
        <v>384</v>
      </c>
      <c r="F162" s="5" t="s">
        <v>30</v>
      </c>
      <c r="G162" s="5" t="s">
        <v>397</v>
      </c>
      <c r="H162" s="5" t="s">
        <v>36</v>
      </c>
      <c r="I162" s="5" t="s">
        <v>71</v>
      </c>
      <c r="J162" s="15">
        <v>3100</v>
      </c>
      <c r="K162" s="7">
        <v>39.5</v>
      </c>
      <c r="L162" s="7">
        <f t="shared" si="19"/>
        <v>78.481012658227854</v>
      </c>
      <c r="M162" s="5" t="s">
        <v>10</v>
      </c>
      <c r="N162" s="5">
        <v>4</v>
      </c>
      <c r="O162" s="6">
        <f t="shared" si="20"/>
        <v>11.933584361480534</v>
      </c>
      <c r="P162" s="6">
        <f t="shared" si="21"/>
        <v>1.2410927735939754</v>
      </c>
      <c r="Q162" s="10">
        <f t="shared" si="22"/>
        <v>2.5856099449874489E-2</v>
      </c>
      <c r="R162" s="10">
        <f t="shared" si="23"/>
        <v>0.10208814323887225</v>
      </c>
      <c r="S162" s="10">
        <f t="shared" si="24"/>
        <v>0.12794424268874674</v>
      </c>
    </row>
    <row r="163" spans="1:19" x14ac:dyDescent="0.25">
      <c r="A163" s="5" t="s">
        <v>22</v>
      </c>
      <c r="B163" s="5" t="s">
        <v>26</v>
      </c>
      <c r="C163" s="5" t="s">
        <v>27</v>
      </c>
      <c r="D163" s="5" t="s">
        <v>385</v>
      </c>
      <c r="E163" s="5" t="s">
        <v>384</v>
      </c>
      <c r="F163" s="5" t="s">
        <v>30</v>
      </c>
      <c r="G163" s="5" t="s">
        <v>397</v>
      </c>
      <c r="H163" s="5" t="s">
        <v>36</v>
      </c>
      <c r="I163" s="5" t="s">
        <v>37</v>
      </c>
      <c r="J163" s="15">
        <v>3105</v>
      </c>
      <c r="K163" s="7">
        <v>37.5</v>
      </c>
      <c r="L163" s="7">
        <f t="shared" si="19"/>
        <v>82.8</v>
      </c>
      <c r="M163" s="5" t="s">
        <v>10</v>
      </c>
      <c r="N163" s="5">
        <v>4</v>
      </c>
      <c r="O163" s="6">
        <f t="shared" si="20"/>
        <v>13.3046145</v>
      </c>
      <c r="P163" s="6">
        <f t="shared" si="21"/>
        <v>1.3836799079999997</v>
      </c>
      <c r="Q163" s="10">
        <f t="shared" si="22"/>
        <v>2.8826664749999998E-2</v>
      </c>
      <c r="R163" s="10">
        <f t="shared" si="23"/>
        <v>0.11076405481821383</v>
      </c>
      <c r="S163" s="10">
        <f t="shared" si="24"/>
        <v>0.13959071956821384</v>
      </c>
    </row>
    <row r="164" spans="1:19" x14ac:dyDescent="0.25">
      <c r="A164" s="5" t="s">
        <v>8</v>
      </c>
      <c r="B164" s="5" t="s">
        <v>165</v>
      </c>
      <c r="C164" s="5" t="s">
        <v>27</v>
      </c>
      <c r="D164" s="5" t="s">
        <v>385</v>
      </c>
      <c r="E164" s="5" t="s">
        <v>384</v>
      </c>
      <c r="F164" s="5" t="s">
        <v>30</v>
      </c>
      <c r="G164" s="5" t="s">
        <v>397</v>
      </c>
      <c r="H164" s="5" t="s">
        <v>36</v>
      </c>
      <c r="I164" s="5" t="s">
        <v>37</v>
      </c>
      <c r="J164" s="15">
        <v>3050</v>
      </c>
      <c r="K164" s="7">
        <v>36.5</v>
      </c>
      <c r="L164" s="7">
        <f t="shared" si="19"/>
        <v>83.561643835616437</v>
      </c>
      <c r="M164" s="5" t="s">
        <v>10</v>
      </c>
      <c r="N164" s="5">
        <v>4</v>
      </c>
      <c r="O164" s="6">
        <f t="shared" si="20"/>
        <v>13.310482735972977</v>
      </c>
      <c r="P164" s="6">
        <f t="shared" si="21"/>
        <v>1.3842902045411896</v>
      </c>
      <c r="Q164" s="10">
        <f t="shared" si="22"/>
        <v>2.8839379261274781E-2</v>
      </c>
      <c r="R164" s="10">
        <f t="shared" si="23"/>
        <v>0.11080069363522363</v>
      </c>
      <c r="S164" s="10">
        <f t="shared" si="24"/>
        <v>0.13964007289649841</v>
      </c>
    </row>
    <row r="165" spans="1:19" x14ac:dyDescent="0.25">
      <c r="A165" s="5" t="s">
        <v>8</v>
      </c>
      <c r="B165" s="5" t="s">
        <v>165</v>
      </c>
      <c r="C165" s="5" t="s">
        <v>27</v>
      </c>
      <c r="D165" s="5" t="s">
        <v>385</v>
      </c>
      <c r="E165" s="5" t="s">
        <v>384</v>
      </c>
      <c r="F165" s="5" t="s">
        <v>30</v>
      </c>
      <c r="G165" s="5" t="s">
        <v>397</v>
      </c>
      <c r="H165" s="5" t="s">
        <v>36</v>
      </c>
      <c r="I165" s="5" t="s">
        <v>181</v>
      </c>
      <c r="J165" s="15">
        <v>1850</v>
      </c>
      <c r="K165" s="7">
        <v>28.5</v>
      </c>
      <c r="L165" s="7">
        <f t="shared" si="19"/>
        <v>64.912280701754383</v>
      </c>
      <c r="M165" s="5" t="s">
        <v>10</v>
      </c>
      <c r="N165" s="5">
        <v>4</v>
      </c>
      <c r="O165" s="6">
        <f t="shared" si="20"/>
        <v>4.8719798399507539</v>
      </c>
      <c r="P165" s="6">
        <f t="shared" si="21"/>
        <v>0.5066859033548784</v>
      </c>
      <c r="Q165" s="10">
        <f t="shared" si="22"/>
        <v>1.0555956319893299E-2</v>
      </c>
      <c r="R165" s="10">
        <f t="shared" si="23"/>
        <v>5.2140625426400966E-2</v>
      </c>
      <c r="S165" s="10">
        <f t="shared" si="24"/>
        <v>6.2696581746294264E-2</v>
      </c>
    </row>
    <row r="166" spans="1:19" x14ac:dyDescent="0.25">
      <c r="A166" s="5" t="s">
        <v>8</v>
      </c>
      <c r="B166" s="5" t="s">
        <v>165</v>
      </c>
      <c r="C166" s="5" t="s">
        <v>27</v>
      </c>
      <c r="D166" s="5" t="s">
        <v>385</v>
      </c>
      <c r="E166" s="5" t="s">
        <v>384</v>
      </c>
      <c r="F166" s="5" t="s">
        <v>30</v>
      </c>
      <c r="G166" s="5" t="s">
        <v>397</v>
      </c>
      <c r="H166" s="5" t="s">
        <v>36</v>
      </c>
      <c r="I166" s="5" t="s">
        <v>171</v>
      </c>
      <c r="J166" s="15">
        <v>1740</v>
      </c>
      <c r="K166" s="7">
        <v>26.5</v>
      </c>
      <c r="L166" s="7">
        <f t="shared" si="19"/>
        <v>65.660377358490564</v>
      </c>
      <c r="M166" s="5" t="s">
        <v>10</v>
      </c>
      <c r="N166" s="5">
        <v>4</v>
      </c>
      <c r="O166" s="6">
        <f t="shared" si="20"/>
        <v>4.6885226059095757</v>
      </c>
      <c r="P166" s="6">
        <f t="shared" si="21"/>
        <v>0.48760635101459576</v>
      </c>
      <c r="Q166" s="10">
        <f t="shared" si="22"/>
        <v>1.0158465646137415E-2</v>
      </c>
      <c r="R166" s="10">
        <f t="shared" si="23"/>
        <v>5.0661043972834809E-2</v>
      </c>
      <c r="S166" s="10">
        <f t="shared" si="24"/>
        <v>6.0819509618972221E-2</v>
      </c>
    </row>
    <row r="167" spans="1:19" x14ac:dyDescent="0.25">
      <c r="A167" s="5" t="s">
        <v>8</v>
      </c>
      <c r="B167" s="5" t="s">
        <v>226</v>
      </c>
      <c r="C167" s="5" t="s">
        <v>27</v>
      </c>
      <c r="D167" s="5" t="s">
        <v>385</v>
      </c>
      <c r="E167" s="5" t="s">
        <v>384</v>
      </c>
      <c r="F167" s="5" t="s">
        <v>30</v>
      </c>
      <c r="G167" s="5" t="s">
        <v>397</v>
      </c>
      <c r="H167" s="5" t="s">
        <v>36</v>
      </c>
      <c r="I167" s="5" t="s">
        <v>227</v>
      </c>
      <c r="J167" s="15">
        <v>1508</v>
      </c>
      <c r="K167" s="7">
        <v>28.4</v>
      </c>
      <c r="L167" s="7">
        <f t="shared" si="19"/>
        <v>53.098591549295776</v>
      </c>
      <c r="M167" s="5" t="s">
        <v>10</v>
      </c>
      <c r="N167" s="5">
        <v>4</v>
      </c>
      <c r="O167" s="6">
        <f t="shared" si="20"/>
        <v>2.6573414501091053</v>
      </c>
      <c r="P167" s="6">
        <f t="shared" si="21"/>
        <v>0.27636351081134697</v>
      </c>
      <c r="Q167" s="10">
        <f t="shared" si="22"/>
        <v>5.7575731419030607E-3</v>
      </c>
      <c r="R167" s="10">
        <f t="shared" si="23"/>
        <v>3.3092733790731882E-2</v>
      </c>
      <c r="S167" s="10">
        <f t="shared" si="24"/>
        <v>3.8850306932634943E-2</v>
      </c>
    </row>
    <row r="168" spans="1:19" x14ac:dyDescent="0.25">
      <c r="A168" s="5" t="s">
        <v>22</v>
      </c>
      <c r="B168" s="5" t="s">
        <v>26</v>
      </c>
      <c r="C168" s="5" t="s">
        <v>27</v>
      </c>
      <c r="D168" s="5" t="s">
        <v>385</v>
      </c>
      <c r="E168" s="5" t="s">
        <v>384</v>
      </c>
      <c r="F168" s="5" t="s">
        <v>30</v>
      </c>
      <c r="G168" s="5" t="s">
        <v>397</v>
      </c>
      <c r="H168" s="5" t="s">
        <v>36</v>
      </c>
      <c r="I168" s="5" t="s">
        <v>38</v>
      </c>
      <c r="J168" s="15">
        <v>1900</v>
      </c>
      <c r="K168" s="7">
        <v>37</v>
      </c>
      <c r="L168" s="7">
        <f t="shared" si="19"/>
        <v>51.351351351351354</v>
      </c>
      <c r="M168" s="5" t="s">
        <v>10</v>
      </c>
      <c r="N168" s="5">
        <v>4</v>
      </c>
      <c r="O168" s="6">
        <f t="shared" si="20"/>
        <v>3.1313915266617975</v>
      </c>
      <c r="P168" s="6">
        <f t="shared" si="21"/>
        <v>0.32566471877282693</v>
      </c>
      <c r="Q168" s="10">
        <f t="shared" si="22"/>
        <v>6.7846816411005614E-3</v>
      </c>
      <c r="R168" s="10">
        <f t="shared" si="23"/>
        <v>3.7428304441951506E-2</v>
      </c>
      <c r="S168" s="10">
        <f t="shared" si="24"/>
        <v>4.4212986083052068E-2</v>
      </c>
    </row>
    <row r="169" spans="1:19" x14ac:dyDescent="0.25">
      <c r="A169" s="5" t="s">
        <v>8</v>
      </c>
      <c r="B169" s="5" t="s">
        <v>165</v>
      </c>
      <c r="C169" s="5" t="s">
        <v>27</v>
      </c>
      <c r="D169" s="5" t="s">
        <v>385</v>
      </c>
      <c r="E169" s="5" t="s">
        <v>384</v>
      </c>
      <c r="F169" s="5" t="s">
        <v>30</v>
      </c>
      <c r="G169" s="5" t="s">
        <v>397</v>
      </c>
      <c r="H169" s="5" t="s">
        <v>36</v>
      </c>
      <c r="I169" s="5" t="s">
        <v>38</v>
      </c>
      <c r="J169" s="15">
        <v>1900</v>
      </c>
      <c r="K169" s="7">
        <v>37</v>
      </c>
      <c r="L169" s="7">
        <f t="shared" si="19"/>
        <v>51.351351351351354</v>
      </c>
      <c r="M169" s="5" t="s">
        <v>10</v>
      </c>
      <c r="N169" s="5">
        <v>4</v>
      </c>
      <c r="O169" s="6">
        <f t="shared" si="20"/>
        <v>3.1313915266617975</v>
      </c>
      <c r="P169" s="6">
        <f t="shared" si="21"/>
        <v>0.32566471877282693</v>
      </c>
      <c r="Q169" s="10">
        <f t="shared" si="22"/>
        <v>6.7846816411005614E-3</v>
      </c>
      <c r="R169" s="10">
        <f t="shared" si="23"/>
        <v>3.7428304441951506E-2</v>
      </c>
      <c r="S169" s="10">
        <f t="shared" si="24"/>
        <v>4.4212986083052068E-2</v>
      </c>
    </row>
    <row r="170" spans="1:19" x14ac:dyDescent="0.25">
      <c r="A170" s="5" t="s">
        <v>8</v>
      </c>
      <c r="B170" s="5" t="s">
        <v>291</v>
      </c>
      <c r="C170" s="5" t="s">
        <v>27</v>
      </c>
      <c r="D170" s="5" t="s">
        <v>385</v>
      </c>
      <c r="E170" s="5" t="s">
        <v>384</v>
      </c>
      <c r="F170" s="5" t="s">
        <v>30</v>
      </c>
      <c r="G170" s="5" t="s">
        <v>397</v>
      </c>
      <c r="H170" s="5" t="s">
        <v>36</v>
      </c>
      <c r="I170" s="5" t="s">
        <v>38</v>
      </c>
      <c r="J170" s="15">
        <v>1808</v>
      </c>
      <c r="K170" s="7">
        <v>27.3</v>
      </c>
      <c r="L170" s="7">
        <f t="shared" si="19"/>
        <v>66.227106227106219</v>
      </c>
      <c r="M170" s="5" t="s">
        <v>10</v>
      </c>
      <c r="N170" s="5">
        <v>4</v>
      </c>
      <c r="O170" s="6">
        <f t="shared" si="20"/>
        <v>4.9562134471145445</v>
      </c>
      <c r="P170" s="6">
        <f t="shared" si="21"/>
        <v>0.51544619849991258</v>
      </c>
      <c r="Q170" s="10">
        <f t="shared" si="22"/>
        <v>1.0738462468748178E-2</v>
      </c>
      <c r="R170" s="10">
        <f t="shared" si="23"/>
        <v>5.2815284747529848E-2</v>
      </c>
      <c r="S170" s="10">
        <f t="shared" si="24"/>
        <v>6.3553747216278031E-2</v>
      </c>
    </row>
    <row r="171" spans="1:19" x14ac:dyDescent="0.25">
      <c r="A171" s="5" t="s">
        <v>8</v>
      </c>
      <c r="B171" s="5" t="s">
        <v>291</v>
      </c>
      <c r="C171" s="5" t="s">
        <v>27</v>
      </c>
      <c r="D171" s="5" t="s">
        <v>385</v>
      </c>
      <c r="E171" s="5" t="s">
        <v>384</v>
      </c>
      <c r="F171" s="5" t="s">
        <v>30</v>
      </c>
      <c r="G171" s="5" t="s">
        <v>397</v>
      </c>
      <c r="H171" s="5" t="s">
        <v>36</v>
      </c>
      <c r="I171" s="5" t="s">
        <v>38</v>
      </c>
      <c r="J171" s="15">
        <v>1839</v>
      </c>
      <c r="K171" s="7">
        <v>33.299999999999997</v>
      </c>
      <c r="L171" s="7">
        <f t="shared" si="19"/>
        <v>55.22522522522523</v>
      </c>
      <c r="M171" s="5" t="s">
        <v>10</v>
      </c>
      <c r="N171" s="5">
        <v>4</v>
      </c>
      <c r="O171" s="6">
        <f t="shared" si="20"/>
        <v>3.5053931854151457</v>
      </c>
      <c r="P171" s="6">
        <f t="shared" si="21"/>
        <v>0.36456089128317515</v>
      </c>
      <c r="Q171" s="10">
        <f t="shared" si="22"/>
        <v>7.5950185683994823E-3</v>
      </c>
      <c r="R171" s="10">
        <f t="shared" si="23"/>
        <v>4.073330769697972E-2</v>
      </c>
      <c r="S171" s="10">
        <f t="shared" si="24"/>
        <v>4.8328326265379203E-2</v>
      </c>
    </row>
    <row r="172" spans="1:19" x14ac:dyDescent="0.25">
      <c r="A172" s="5" t="s">
        <v>8</v>
      </c>
      <c r="B172" s="5" t="s">
        <v>165</v>
      </c>
      <c r="C172" s="5" t="s">
        <v>27</v>
      </c>
      <c r="D172" s="5" t="s">
        <v>385</v>
      </c>
      <c r="E172" s="5" t="s">
        <v>384</v>
      </c>
      <c r="F172" s="5" t="s">
        <v>30</v>
      </c>
      <c r="G172" s="5" t="s">
        <v>397</v>
      </c>
      <c r="H172" s="5" t="s">
        <v>36</v>
      </c>
      <c r="I172" s="5" t="s">
        <v>182</v>
      </c>
      <c r="J172" s="15">
        <v>1650</v>
      </c>
      <c r="K172" s="7">
        <v>32.5</v>
      </c>
      <c r="L172" s="7">
        <f t="shared" si="19"/>
        <v>50.769230769230766</v>
      </c>
      <c r="M172" s="5" t="s">
        <v>10</v>
      </c>
      <c r="N172" s="5">
        <v>4</v>
      </c>
      <c r="O172" s="6">
        <f t="shared" si="20"/>
        <v>2.6580621301775147</v>
      </c>
      <c r="P172" s="6">
        <f t="shared" si="21"/>
        <v>0.27643846153846147</v>
      </c>
      <c r="Q172" s="10">
        <f t="shared" si="22"/>
        <v>5.7591346153846147E-3</v>
      </c>
      <c r="R172" s="10">
        <f t="shared" si="23"/>
        <v>3.3099464709308975E-2</v>
      </c>
      <c r="S172" s="10">
        <f t="shared" si="24"/>
        <v>3.8858599324693592E-2</v>
      </c>
    </row>
    <row r="173" spans="1:19" x14ac:dyDescent="0.25">
      <c r="A173" s="5" t="s">
        <v>8</v>
      </c>
      <c r="B173" s="5" t="s">
        <v>165</v>
      </c>
      <c r="C173" s="5" t="s">
        <v>27</v>
      </c>
      <c r="D173" s="5" t="s">
        <v>385</v>
      </c>
      <c r="E173" s="5" t="s">
        <v>384</v>
      </c>
      <c r="F173" s="5" t="s">
        <v>30</v>
      </c>
      <c r="G173" s="5" t="s">
        <v>397</v>
      </c>
      <c r="H173" s="5" t="s">
        <v>36</v>
      </c>
      <c r="I173" s="5" t="s">
        <v>183</v>
      </c>
      <c r="J173" s="15">
        <v>1550</v>
      </c>
      <c r="K173" s="7">
        <v>28.5</v>
      </c>
      <c r="L173" s="7">
        <f t="shared" si="19"/>
        <v>54.385964912280699</v>
      </c>
      <c r="M173" s="5" t="s">
        <v>10</v>
      </c>
      <c r="N173" s="5">
        <v>4</v>
      </c>
      <c r="O173" s="6">
        <f t="shared" si="20"/>
        <v>2.8654008925823327</v>
      </c>
      <c r="P173" s="6">
        <f t="shared" si="21"/>
        <v>0.29800169282856259</v>
      </c>
      <c r="Q173" s="10">
        <f t="shared" si="22"/>
        <v>6.2083686005950543E-3</v>
      </c>
      <c r="R173" s="10">
        <f t="shared" si="23"/>
        <v>3.5017583120459564E-2</v>
      </c>
      <c r="S173" s="10">
        <f t="shared" si="24"/>
        <v>4.1225951721054616E-2</v>
      </c>
    </row>
    <row r="174" spans="1:19" x14ac:dyDescent="0.25">
      <c r="A174" s="5" t="s">
        <v>8</v>
      </c>
      <c r="B174" s="5" t="s">
        <v>165</v>
      </c>
      <c r="C174" s="5" t="s">
        <v>27</v>
      </c>
      <c r="D174" s="5" t="s">
        <v>385</v>
      </c>
      <c r="E174" s="5" t="s">
        <v>384</v>
      </c>
      <c r="F174" s="5" t="s">
        <v>30</v>
      </c>
      <c r="G174" s="5" t="s">
        <v>397</v>
      </c>
      <c r="H174" s="5" t="s">
        <v>36</v>
      </c>
      <c r="I174" s="5" t="s">
        <v>184</v>
      </c>
      <c r="J174" s="15">
        <v>5700</v>
      </c>
      <c r="K174" s="7">
        <v>47</v>
      </c>
      <c r="L174" s="7">
        <f t="shared" si="19"/>
        <v>121.27659574468085</v>
      </c>
      <c r="M174" s="5" t="s">
        <v>10</v>
      </c>
      <c r="N174" s="5">
        <v>4</v>
      </c>
      <c r="O174" s="6">
        <f t="shared" si="20"/>
        <v>52.397295156179268</v>
      </c>
      <c r="P174" s="6">
        <f t="shared" si="21"/>
        <v>5.449318696242643</v>
      </c>
      <c r="Q174" s="10">
        <f t="shared" si="22"/>
        <v>0.11352747283838842</v>
      </c>
      <c r="R174" s="10">
        <f t="shared" si="23"/>
        <v>0.30965548394091436</v>
      </c>
      <c r="S174" s="10">
        <f t="shared" si="24"/>
        <v>0.42318295677930279</v>
      </c>
    </row>
    <row r="175" spans="1:19" x14ac:dyDescent="0.25">
      <c r="A175" s="5" t="s">
        <v>8</v>
      </c>
      <c r="B175" s="5" t="s">
        <v>165</v>
      </c>
      <c r="C175" s="5" t="s">
        <v>27</v>
      </c>
      <c r="D175" s="5" t="s">
        <v>385</v>
      </c>
      <c r="E175" s="5" t="s">
        <v>384</v>
      </c>
      <c r="F175" s="5" t="s">
        <v>30</v>
      </c>
      <c r="G175" s="5" t="s">
        <v>397</v>
      </c>
      <c r="H175" s="5" t="s">
        <v>36</v>
      </c>
      <c r="I175" s="5" t="s">
        <v>166</v>
      </c>
      <c r="J175" s="15">
        <v>1635</v>
      </c>
      <c r="K175" s="7">
        <v>33.5</v>
      </c>
      <c r="L175" s="7">
        <f t="shared" si="19"/>
        <v>48.805970149253731</v>
      </c>
      <c r="M175" s="5" t="s">
        <v>10</v>
      </c>
      <c r="N175" s="5">
        <v>4</v>
      </c>
      <c r="O175" s="6">
        <f t="shared" si="20"/>
        <v>2.434129469258187</v>
      </c>
      <c r="P175" s="6">
        <f t="shared" si="21"/>
        <v>0.25314946480285144</v>
      </c>
      <c r="Q175" s="10">
        <f t="shared" si="22"/>
        <v>5.2739471833927387E-3</v>
      </c>
      <c r="R175" s="10">
        <f t="shared" si="23"/>
        <v>3.098524111547564E-2</v>
      </c>
      <c r="S175" s="10">
        <f t="shared" si="24"/>
        <v>3.6259188298868379E-2</v>
      </c>
    </row>
    <row r="176" spans="1:19" x14ac:dyDescent="0.25">
      <c r="A176" s="5" t="s">
        <v>8</v>
      </c>
      <c r="B176" s="5" t="s">
        <v>165</v>
      </c>
      <c r="C176" s="5" t="s">
        <v>27</v>
      </c>
      <c r="D176" s="5" t="s">
        <v>385</v>
      </c>
      <c r="E176" s="5" t="s">
        <v>384</v>
      </c>
      <c r="F176" s="5" t="s">
        <v>30</v>
      </c>
      <c r="G176" s="5" t="s">
        <v>397</v>
      </c>
      <c r="H176" s="5" t="s">
        <v>36</v>
      </c>
      <c r="I176" s="5" t="s">
        <v>166</v>
      </c>
      <c r="J176" s="15">
        <v>1650</v>
      </c>
      <c r="K176" s="7">
        <v>33.5</v>
      </c>
      <c r="L176" s="7">
        <f t="shared" si="19"/>
        <v>49.253731343283583</v>
      </c>
      <c r="M176" s="5" t="s">
        <v>10</v>
      </c>
      <c r="N176" s="5">
        <v>4</v>
      </c>
      <c r="O176" s="6">
        <f t="shared" si="20"/>
        <v>2.5017403653374917</v>
      </c>
      <c r="P176" s="6">
        <f t="shared" si="21"/>
        <v>0.26018099799509914</v>
      </c>
      <c r="Q176" s="10">
        <f t="shared" si="22"/>
        <v>5.4204374582312318E-3</v>
      </c>
      <c r="R176" s="10">
        <f t="shared" si="23"/>
        <v>3.1628514967378327E-2</v>
      </c>
      <c r="S176" s="10">
        <f t="shared" si="24"/>
        <v>3.7048952425609558E-2</v>
      </c>
    </row>
    <row r="177" spans="1:19" x14ac:dyDescent="0.25">
      <c r="A177" s="5" t="s">
        <v>8</v>
      </c>
      <c r="B177" s="5" t="s">
        <v>165</v>
      </c>
      <c r="C177" s="5" t="s">
        <v>27</v>
      </c>
      <c r="D177" s="5" t="s">
        <v>385</v>
      </c>
      <c r="E177" s="5" t="s">
        <v>384</v>
      </c>
      <c r="F177" s="5" t="s">
        <v>30</v>
      </c>
      <c r="G177" s="5" t="s">
        <v>397</v>
      </c>
      <c r="H177" s="5" t="s">
        <v>36</v>
      </c>
      <c r="I177" s="5" t="s">
        <v>185</v>
      </c>
      <c r="J177" s="15">
        <v>3800</v>
      </c>
      <c r="K177" s="7">
        <v>17.5</v>
      </c>
      <c r="L177" s="7">
        <f t="shared" si="19"/>
        <v>217.14285714285714</v>
      </c>
      <c r="M177" s="5" t="s">
        <v>10</v>
      </c>
      <c r="N177" s="5">
        <v>4</v>
      </c>
      <c r="O177" s="6">
        <f t="shared" si="20"/>
        <v>111.98367346938774</v>
      </c>
      <c r="P177" s="6">
        <f t="shared" si="21"/>
        <v>11.646302040816325</v>
      </c>
      <c r="Q177" s="10">
        <f t="shared" si="22"/>
        <v>0.24263129251700677</v>
      </c>
      <c r="R177" s="10">
        <f t="shared" si="23"/>
        <v>0.54734752255253427</v>
      </c>
      <c r="S177" s="10">
        <f t="shared" si="24"/>
        <v>0.78997881506954104</v>
      </c>
    </row>
    <row r="178" spans="1:19" x14ac:dyDescent="0.25">
      <c r="A178" s="5" t="s">
        <v>22</v>
      </c>
      <c r="B178" s="5" t="s">
        <v>26</v>
      </c>
      <c r="C178" s="5" t="s">
        <v>27</v>
      </c>
      <c r="D178" s="5" t="s">
        <v>385</v>
      </c>
      <c r="E178" s="5" t="s">
        <v>384</v>
      </c>
      <c r="F178" s="5" t="s">
        <v>30</v>
      </c>
      <c r="G178" s="5" t="s">
        <v>397</v>
      </c>
      <c r="H178" s="5" t="s">
        <v>36</v>
      </c>
      <c r="I178" s="5" t="s">
        <v>39</v>
      </c>
      <c r="J178" s="15">
        <v>1900</v>
      </c>
      <c r="K178" s="7">
        <v>33</v>
      </c>
      <c r="L178" s="7">
        <f t="shared" si="19"/>
        <v>57.575757575757578</v>
      </c>
      <c r="M178" s="5" t="s">
        <v>10</v>
      </c>
      <c r="N178" s="5">
        <v>4</v>
      </c>
      <c r="O178" s="6">
        <f t="shared" si="20"/>
        <v>3.9365243342516072</v>
      </c>
      <c r="P178" s="6">
        <f t="shared" si="21"/>
        <v>0.40939853076216715</v>
      </c>
      <c r="Q178" s="10">
        <f t="shared" si="22"/>
        <v>8.5291360575451489E-3</v>
      </c>
      <c r="R178" s="10">
        <f t="shared" si="23"/>
        <v>4.443567990630154E-2</v>
      </c>
      <c r="S178" s="10">
        <f t="shared" si="24"/>
        <v>5.2964815963846688E-2</v>
      </c>
    </row>
    <row r="179" spans="1:19" x14ac:dyDescent="0.25">
      <c r="A179" s="5" t="s">
        <v>22</v>
      </c>
      <c r="B179" s="5" t="s">
        <v>63</v>
      </c>
      <c r="C179" s="5" t="s">
        <v>27</v>
      </c>
      <c r="D179" s="5" t="s">
        <v>385</v>
      </c>
      <c r="E179" s="5" t="s">
        <v>384</v>
      </c>
      <c r="F179" s="5" t="s">
        <v>30</v>
      </c>
      <c r="G179" s="5" t="s">
        <v>397</v>
      </c>
      <c r="H179" s="5" t="s">
        <v>36</v>
      </c>
      <c r="I179" s="5" t="s">
        <v>39</v>
      </c>
      <c r="J179" s="15">
        <v>1975</v>
      </c>
      <c r="K179" s="7">
        <v>33</v>
      </c>
      <c r="L179" s="7">
        <f t="shared" si="19"/>
        <v>59.848484848484851</v>
      </c>
      <c r="M179" s="5" t="s">
        <v>10</v>
      </c>
      <c r="N179" s="5">
        <v>4</v>
      </c>
      <c r="O179" s="6">
        <f t="shared" si="20"/>
        <v>4.4213351555325984</v>
      </c>
      <c r="P179" s="6">
        <f t="shared" si="21"/>
        <v>0.45981885617539026</v>
      </c>
      <c r="Q179" s="10">
        <f t="shared" si="22"/>
        <v>9.5795595036539619E-3</v>
      </c>
      <c r="R179" s="10">
        <f t="shared" si="23"/>
        <v>4.8479954373658471E-2</v>
      </c>
      <c r="S179" s="10">
        <f t="shared" si="24"/>
        <v>5.8059513877312431E-2</v>
      </c>
    </row>
    <row r="180" spans="1:19" x14ac:dyDescent="0.25">
      <c r="A180" s="5" t="s">
        <v>8</v>
      </c>
      <c r="B180" s="5" t="s">
        <v>165</v>
      </c>
      <c r="C180" s="5" t="s">
        <v>27</v>
      </c>
      <c r="D180" s="5" t="s">
        <v>385</v>
      </c>
      <c r="E180" s="5" t="s">
        <v>384</v>
      </c>
      <c r="F180" s="5" t="s">
        <v>30</v>
      </c>
      <c r="G180" s="5" t="s">
        <v>397</v>
      </c>
      <c r="H180" s="5" t="s">
        <v>36</v>
      </c>
      <c r="I180" s="5" t="s">
        <v>39</v>
      </c>
      <c r="J180" s="15">
        <v>1920</v>
      </c>
      <c r="K180" s="7">
        <v>31</v>
      </c>
      <c r="L180" s="7">
        <f t="shared" si="19"/>
        <v>61.935483870967744</v>
      </c>
      <c r="M180" s="5" t="s">
        <v>10</v>
      </c>
      <c r="N180" s="5">
        <v>4</v>
      </c>
      <c r="O180" s="6">
        <f t="shared" si="20"/>
        <v>4.6032049947970863</v>
      </c>
      <c r="P180" s="6">
        <f t="shared" si="21"/>
        <v>0.47873331945889697</v>
      </c>
      <c r="Q180" s="10">
        <f t="shared" si="22"/>
        <v>9.9736108220603529E-3</v>
      </c>
      <c r="R180" s="10">
        <f t="shared" si="23"/>
        <v>4.9968045363436797E-2</v>
      </c>
      <c r="S180" s="10">
        <f t="shared" si="24"/>
        <v>5.9941656185497148E-2</v>
      </c>
    </row>
    <row r="181" spans="1:19" x14ac:dyDescent="0.25">
      <c r="A181" s="5" t="s">
        <v>8</v>
      </c>
      <c r="B181" s="5" t="s">
        <v>165</v>
      </c>
      <c r="C181" s="5" t="s">
        <v>27</v>
      </c>
      <c r="D181" s="5" t="s">
        <v>385</v>
      </c>
      <c r="E181" s="5" t="s">
        <v>384</v>
      </c>
      <c r="F181" s="5" t="s">
        <v>30</v>
      </c>
      <c r="G181" s="5" t="s">
        <v>397</v>
      </c>
      <c r="H181" s="5" t="s">
        <v>36</v>
      </c>
      <c r="I181" s="5" t="s">
        <v>39</v>
      </c>
      <c r="J181" s="15">
        <v>1800</v>
      </c>
      <c r="K181" s="7">
        <v>33</v>
      </c>
      <c r="L181" s="7">
        <f t="shared" si="19"/>
        <v>54.545454545454547</v>
      </c>
      <c r="M181" s="5" t="s">
        <v>10</v>
      </c>
      <c r="N181" s="5">
        <v>4</v>
      </c>
      <c r="O181" s="6">
        <f t="shared" si="20"/>
        <v>3.3471074380165291</v>
      </c>
      <c r="P181" s="6">
        <f t="shared" si="21"/>
        <v>0.348099173553719</v>
      </c>
      <c r="Q181" s="10">
        <f t="shared" si="22"/>
        <v>7.2520661157024794E-3</v>
      </c>
      <c r="R181" s="10">
        <f t="shared" si="23"/>
        <v>3.9345889142976674E-2</v>
      </c>
      <c r="S181" s="10">
        <f t="shared" si="24"/>
        <v>4.6597955258679151E-2</v>
      </c>
    </row>
    <row r="182" spans="1:19" x14ac:dyDescent="0.25">
      <c r="A182" s="5" t="s">
        <v>8</v>
      </c>
      <c r="B182" s="5" t="s">
        <v>291</v>
      </c>
      <c r="C182" s="5" t="s">
        <v>27</v>
      </c>
      <c r="D182" s="5" t="s">
        <v>385</v>
      </c>
      <c r="E182" s="5" t="s">
        <v>384</v>
      </c>
      <c r="F182" s="5" t="s">
        <v>30</v>
      </c>
      <c r="G182" s="5" t="s">
        <v>397</v>
      </c>
      <c r="H182" s="5" t="s">
        <v>36</v>
      </c>
      <c r="I182" s="5" t="s">
        <v>39</v>
      </c>
      <c r="J182" s="15">
        <v>1752</v>
      </c>
      <c r="K182" s="7">
        <v>29.2</v>
      </c>
      <c r="L182" s="7">
        <f t="shared" si="19"/>
        <v>60</v>
      </c>
      <c r="M182" s="5" t="s">
        <v>10</v>
      </c>
      <c r="N182" s="5">
        <v>4</v>
      </c>
      <c r="O182" s="6">
        <f t="shared" si="20"/>
        <v>3.9420000000000002</v>
      </c>
      <c r="P182" s="6">
        <f t="shared" si="21"/>
        <v>0.40996800000000005</v>
      </c>
      <c r="Q182" s="10">
        <f t="shared" si="22"/>
        <v>8.541E-3</v>
      </c>
      <c r="R182" s="10">
        <f t="shared" si="23"/>
        <v>4.4482029038474258E-2</v>
      </c>
      <c r="S182" s="10">
        <f t="shared" si="24"/>
        <v>5.3023029038474258E-2</v>
      </c>
    </row>
    <row r="183" spans="1:19" x14ac:dyDescent="0.25">
      <c r="A183" s="5" t="s">
        <v>8</v>
      </c>
      <c r="B183" s="5" t="s">
        <v>291</v>
      </c>
      <c r="C183" s="5" t="s">
        <v>27</v>
      </c>
      <c r="D183" s="5" t="s">
        <v>385</v>
      </c>
      <c r="E183" s="5" t="s">
        <v>384</v>
      </c>
      <c r="F183" s="5" t="s">
        <v>30</v>
      </c>
      <c r="G183" s="5" t="s">
        <v>397</v>
      </c>
      <c r="H183" s="5" t="s">
        <v>36</v>
      </c>
      <c r="I183" s="5" t="s">
        <v>39</v>
      </c>
      <c r="J183" s="15">
        <v>1140</v>
      </c>
      <c r="K183" s="7">
        <v>27.3</v>
      </c>
      <c r="L183" s="7">
        <f t="shared" si="19"/>
        <v>41.758241758241759</v>
      </c>
      <c r="M183" s="5" t="s">
        <v>10</v>
      </c>
      <c r="N183" s="5">
        <v>4</v>
      </c>
      <c r="O183" s="6">
        <f t="shared" si="20"/>
        <v>1.2424224127520831</v>
      </c>
      <c r="P183" s="6">
        <f t="shared" si="21"/>
        <v>0.12921193092621663</v>
      </c>
      <c r="Q183" s="10">
        <f t="shared" si="22"/>
        <v>2.6919152276295133E-3</v>
      </c>
      <c r="R183" s="10">
        <f t="shared" si="23"/>
        <v>1.8711089765198051E-2</v>
      </c>
      <c r="S183" s="10">
        <f t="shared" si="24"/>
        <v>2.1403004992827563E-2</v>
      </c>
    </row>
    <row r="184" spans="1:19" x14ac:dyDescent="0.25">
      <c r="A184" s="5" t="s">
        <v>8</v>
      </c>
      <c r="B184" s="5" t="s">
        <v>311</v>
      </c>
      <c r="C184" s="5" t="s">
        <v>27</v>
      </c>
      <c r="D184" s="5" t="s">
        <v>385</v>
      </c>
      <c r="E184" s="5" t="s">
        <v>384</v>
      </c>
      <c r="F184" s="5" t="s">
        <v>30</v>
      </c>
      <c r="G184" s="5" t="s">
        <v>397</v>
      </c>
      <c r="H184" s="5" t="s">
        <v>36</v>
      </c>
      <c r="I184" s="5" t="s">
        <v>39</v>
      </c>
      <c r="J184" s="15">
        <v>1850</v>
      </c>
      <c r="K184" s="7">
        <v>37.5</v>
      </c>
      <c r="L184" s="7">
        <f t="shared" si="19"/>
        <v>49.333333333333336</v>
      </c>
      <c r="M184" s="5" t="s">
        <v>10</v>
      </c>
      <c r="N184" s="5">
        <v>4</v>
      </c>
      <c r="O184" s="6">
        <f t="shared" si="20"/>
        <v>2.8140555555555555</v>
      </c>
      <c r="P184" s="6">
        <f t="shared" si="21"/>
        <v>0.29266177777777774</v>
      </c>
      <c r="Q184" s="10">
        <f t="shared" si="22"/>
        <v>6.0971203703703699E-3</v>
      </c>
      <c r="R184" s="10">
        <f t="shared" si="23"/>
        <v>3.4545908997176758E-2</v>
      </c>
      <c r="S184" s="10">
        <f t="shared" si="24"/>
        <v>4.0643029367547129E-2</v>
      </c>
    </row>
    <row r="185" spans="1:19" x14ac:dyDescent="0.25">
      <c r="A185" s="5" t="s">
        <v>8</v>
      </c>
      <c r="B185" s="5" t="s">
        <v>165</v>
      </c>
      <c r="C185" s="5" t="s">
        <v>27</v>
      </c>
      <c r="D185" s="5" t="s">
        <v>385</v>
      </c>
      <c r="E185" s="5" t="s">
        <v>384</v>
      </c>
      <c r="F185" s="5" t="s">
        <v>30</v>
      </c>
      <c r="G185" s="5" t="s">
        <v>397</v>
      </c>
      <c r="H185" s="5" t="s">
        <v>36</v>
      </c>
      <c r="I185" s="5" t="s">
        <v>186</v>
      </c>
      <c r="J185" s="15">
        <v>1150</v>
      </c>
      <c r="K185" s="7">
        <v>27.5</v>
      </c>
      <c r="L185" s="7">
        <f t="shared" si="19"/>
        <v>41.81818181818182</v>
      </c>
      <c r="M185" s="5" t="s">
        <v>10</v>
      </c>
      <c r="N185" s="5">
        <v>4</v>
      </c>
      <c r="O185" s="6">
        <f t="shared" si="20"/>
        <v>1.2569214876033059</v>
      </c>
      <c r="P185" s="6">
        <f t="shared" si="21"/>
        <v>0.1307198347107438</v>
      </c>
      <c r="Q185" s="10">
        <f t="shared" si="22"/>
        <v>2.7233298898071624E-3</v>
      </c>
      <c r="R185" s="10">
        <f t="shared" si="23"/>
        <v>1.8874620894311772E-2</v>
      </c>
      <c r="S185" s="10">
        <f t="shared" si="24"/>
        <v>2.1597950784118934E-2</v>
      </c>
    </row>
    <row r="186" spans="1:19" x14ac:dyDescent="0.25">
      <c r="A186" s="5" t="s">
        <v>22</v>
      </c>
      <c r="B186" s="5" t="s">
        <v>63</v>
      </c>
      <c r="C186" s="5" t="s">
        <v>27</v>
      </c>
      <c r="D186" s="5" t="s">
        <v>385</v>
      </c>
      <c r="E186" s="5" t="s">
        <v>384</v>
      </c>
      <c r="F186" s="5" t="s">
        <v>30</v>
      </c>
      <c r="G186" s="5" t="s">
        <v>397</v>
      </c>
      <c r="H186" s="5" t="s">
        <v>64</v>
      </c>
      <c r="I186" s="5" t="s">
        <v>12</v>
      </c>
      <c r="J186" s="15">
        <v>3750</v>
      </c>
      <c r="K186" s="7">
        <v>42</v>
      </c>
      <c r="L186" s="7">
        <f t="shared" si="19"/>
        <v>89.285714285714292</v>
      </c>
      <c r="M186" s="5" t="s">
        <v>10</v>
      </c>
      <c r="N186" s="5">
        <v>4</v>
      </c>
      <c r="O186" s="6">
        <f t="shared" si="20"/>
        <v>18.684231505102044</v>
      </c>
      <c r="P186" s="6">
        <f t="shared" si="21"/>
        <v>1.9431600765306125</v>
      </c>
      <c r="Q186" s="10">
        <f t="shared" si="22"/>
        <v>4.0482501594387758E-2</v>
      </c>
      <c r="R186" s="10">
        <f t="shared" si="23"/>
        <v>0.14289056521434054</v>
      </c>
      <c r="S186" s="10">
        <f t="shared" si="24"/>
        <v>0.18337306680872831</v>
      </c>
    </row>
    <row r="187" spans="1:19" x14ac:dyDescent="0.25">
      <c r="A187" s="5" t="s">
        <v>22</v>
      </c>
      <c r="B187" s="5" t="s">
        <v>26</v>
      </c>
      <c r="C187" s="5" t="s">
        <v>27</v>
      </c>
      <c r="D187" s="5" t="s">
        <v>385</v>
      </c>
      <c r="E187" s="5" t="s">
        <v>384</v>
      </c>
      <c r="F187" s="5" t="s">
        <v>30</v>
      </c>
      <c r="G187" s="5" t="s">
        <v>392</v>
      </c>
      <c r="H187" s="5" t="s">
        <v>31</v>
      </c>
      <c r="I187" s="5" t="s">
        <v>32</v>
      </c>
      <c r="J187" s="15">
        <v>1150</v>
      </c>
      <c r="K187" s="7">
        <v>21.5</v>
      </c>
      <c r="L187" s="7">
        <f t="shared" si="19"/>
        <v>53.488372093023258</v>
      </c>
      <c r="M187" s="5" t="s">
        <v>10</v>
      </c>
      <c r="N187" s="5">
        <v>4</v>
      </c>
      <c r="O187" s="6">
        <f t="shared" si="20"/>
        <v>2.0563480259599789</v>
      </c>
      <c r="P187" s="6">
        <f t="shared" si="21"/>
        <v>0.21386019469983777</v>
      </c>
      <c r="Q187" s="10">
        <f t="shared" si="22"/>
        <v>4.4554207229132873E-3</v>
      </c>
      <c r="R187" s="10">
        <f t="shared" si="23"/>
        <v>2.7303579591746802E-2</v>
      </c>
      <c r="S187" s="10">
        <f t="shared" si="24"/>
        <v>3.1759000314660092E-2</v>
      </c>
    </row>
    <row r="188" spans="1:19" x14ac:dyDescent="0.25">
      <c r="A188" s="5" t="s">
        <v>8</v>
      </c>
      <c r="B188" s="5" t="s">
        <v>217</v>
      </c>
      <c r="C188" s="5" t="s">
        <v>27</v>
      </c>
      <c r="D188" s="5" t="s">
        <v>385</v>
      </c>
      <c r="E188" s="5" t="s">
        <v>384</v>
      </c>
      <c r="F188" s="5" t="s">
        <v>30</v>
      </c>
      <c r="G188" s="5" t="s">
        <v>392</v>
      </c>
      <c r="H188" s="5" t="s">
        <v>31</v>
      </c>
      <c r="I188" s="5" t="s">
        <v>218</v>
      </c>
      <c r="J188" s="15">
        <v>1200</v>
      </c>
      <c r="K188" s="7">
        <v>28</v>
      </c>
      <c r="L188" s="7">
        <f t="shared" si="19"/>
        <v>42.857142857142854</v>
      </c>
      <c r="M188" s="5" t="s">
        <v>10</v>
      </c>
      <c r="N188" s="5">
        <v>4</v>
      </c>
      <c r="O188" s="6">
        <f t="shared" si="20"/>
        <v>1.3775510204081631</v>
      </c>
      <c r="P188" s="6">
        <f t="shared" si="21"/>
        <v>0.14326530612244898</v>
      </c>
      <c r="Q188" s="10">
        <f t="shared" si="22"/>
        <v>2.9846938775510198E-3</v>
      </c>
      <c r="R188" s="10">
        <f t="shared" si="23"/>
        <v>2.0217520582724226E-2</v>
      </c>
      <c r="S188" s="10">
        <f t="shared" si="24"/>
        <v>2.3202214460275247E-2</v>
      </c>
    </row>
    <row r="189" spans="1:19" x14ac:dyDescent="0.25">
      <c r="A189" s="5" t="s">
        <v>22</v>
      </c>
      <c r="B189" s="5" t="s">
        <v>26</v>
      </c>
      <c r="C189" s="5" t="s">
        <v>27</v>
      </c>
      <c r="D189" s="5" t="s">
        <v>385</v>
      </c>
      <c r="E189" s="5" t="s">
        <v>384</v>
      </c>
      <c r="F189" s="5" t="s">
        <v>30</v>
      </c>
      <c r="G189" s="5" t="s">
        <v>392</v>
      </c>
      <c r="H189" s="5" t="s">
        <v>31</v>
      </c>
      <c r="I189" s="5" t="s">
        <v>33</v>
      </c>
      <c r="J189" s="15">
        <v>1200</v>
      </c>
      <c r="K189" s="7">
        <v>25</v>
      </c>
      <c r="L189" s="7">
        <f t="shared" si="19"/>
        <v>48</v>
      </c>
      <c r="M189" s="5" t="s">
        <v>10</v>
      </c>
      <c r="N189" s="5">
        <v>4</v>
      </c>
      <c r="O189" s="6">
        <f t="shared" si="20"/>
        <v>1.728</v>
      </c>
      <c r="P189" s="6">
        <f t="shared" si="21"/>
        <v>0.17971200000000001</v>
      </c>
      <c r="Q189" s="10">
        <f t="shared" si="22"/>
        <v>3.7439999999999995E-3</v>
      </c>
      <c r="R189" s="10">
        <f t="shared" si="23"/>
        <v>2.3963758151521651E-2</v>
      </c>
      <c r="S189" s="10">
        <f t="shared" si="24"/>
        <v>2.7707758151521652E-2</v>
      </c>
    </row>
    <row r="190" spans="1:19" x14ac:dyDescent="0.25">
      <c r="A190" s="5" t="s">
        <v>22</v>
      </c>
      <c r="B190" s="5" t="s">
        <v>63</v>
      </c>
      <c r="C190" s="5" t="s">
        <v>27</v>
      </c>
      <c r="D190" s="5" t="s">
        <v>385</v>
      </c>
      <c r="E190" s="5" t="s">
        <v>384</v>
      </c>
      <c r="F190" s="5" t="s">
        <v>30</v>
      </c>
      <c r="G190" s="5" t="s">
        <v>392</v>
      </c>
      <c r="H190" s="5" t="s">
        <v>31</v>
      </c>
      <c r="I190" s="5" t="s">
        <v>33</v>
      </c>
      <c r="J190" s="15">
        <v>1050</v>
      </c>
      <c r="K190" s="7">
        <v>23</v>
      </c>
      <c r="L190" s="7">
        <f t="shared" si="19"/>
        <v>45.652173913043477</v>
      </c>
      <c r="M190" s="5" t="s">
        <v>10</v>
      </c>
      <c r="N190" s="5">
        <v>4</v>
      </c>
      <c r="O190" s="6">
        <f t="shared" si="20"/>
        <v>1.3677043950850662</v>
      </c>
      <c r="P190" s="6">
        <f t="shared" si="21"/>
        <v>0.14224125708884686</v>
      </c>
      <c r="Q190" s="10">
        <f t="shared" si="22"/>
        <v>2.9633595226843099E-3</v>
      </c>
      <c r="R190" s="10">
        <f t="shared" si="23"/>
        <v>2.0109038528318947E-2</v>
      </c>
      <c r="S190" s="10">
        <f t="shared" si="24"/>
        <v>2.3072398051003258E-2</v>
      </c>
    </row>
    <row r="191" spans="1:19" x14ac:dyDescent="0.25">
      <c r="A191" s="5" t="s">
        <v>8</v>
      </c>
      <c r="B191" s="5" t="s">
        <v>287</v>
      </c>
      <c r="C191" s="5" t="s">
        <v>27</v>
      </c>
      <c r="D191" s="5" t="s">
        <v>385</v>
      </c>
      <c r="E191" s="5" t="s">
        <v>384</v>
      </c>
      <c r="F191" s="5" t="s">
        <v>30</v>
      </c>
      <c r="G191" s="5" t="s">
        <v>392</v>
      </c>
      <c r="H191" s="5" t="s">
        <v>31</v>
      </c>
      <c r="I191" s="5" t="s">
        <v>33</v>
      </c>
      <c r="J191" s="15">
        <v>1000</v>
      </c>
      <c r="K191" s="7">
        <v>24.4</v>
      </c>
      <c r="L191" s="7">
        <f t="shared" si="19"/>
        <v>40.983606557377051</v>
      </c>
      <c r="M191" s="5" t="s">
        <v>10</v>
      </c>
      <c r="N191" s="5">
        <v>4</v>
      </c>
      <c r="O191" s="6">
        <f t="shared" si="20"/>
        <v>1.0497850040311745</v>
      </c>
      <c r="P191" s="6">
        <f t="shared" si="21"/>
        <v>0.10917764041924215</v>
      </c>
      <c r="Q191" s="10">
        <f t="shared" si="22"/>
        <v>2.2745341754008778E-3</v>
      </c>
      <c r="R191" s="10">
        <f t="shared" si="23"/>
        <v>1.6490066149903643E-2</v>
      </c>
      <c r="S191" s="10">
        <f t="shared" si="24"/>
        <v>1.8764600325304519E-2</v>
      </c>
    </row>
    <row r="192" spans="1:19" x14ac:dyDescent="0.25">
      <c r="A192" s="5" t="s">
        <v>8</v>
      </c>
      <c r="B192" s="5" t="s">
        <v>291</v>
      </c>
      <c r="C192" s="5" t="s">
        <v>27</v>
      </c>
      <c r="D192" s="5" t="s">
        <v>385</v>
      </c>
      <c r="E192" s="5" t="s">
        <v>384</v>
      </c>
      <c r="F192" s="5" t="s">
        <v>30</v>
      </c>
      <c r="G192" s="5" t="s">
        <v>392</v>
      </c>
      <c r="H192" s="5" t="s">
        <v>31</v>
      </c>
      <c r="I192" s="5" t="s">
        <v>33</v>
      </c>
      <c r="J192" s="15">
        <v>1171</v>
      </c>
      <c r="K192" s="7">
        <v>23.8</v>
      </c>
      <c r="L192" s="7">
        <f t="shared" si="19"/>
        <v>49.201680672268907</v>
      </c>
      <c r="M192" s="5" t="s">
        <v>10</v>
      </c>
      <c r="N192" s="5">
        <v>4</v>
      </c>
      <c r="O192" s="6">
        <f t="shared" si="20"/>
        <v>1.7717269382017513</v>
      </c>
      <c r="P192" s="6">
        <f t="shared" si="21"/>
        <v>0.18425960157298213</v>
      </c>
      <c r="Q192" s="10">
        <f t="shared" si="22"/>
        <v>3.8387416994371277E-3</v>
      </c>
      <c r="R192" s="10">
        <f t="shared" si="23"/>
        <v>2.4417135633988743E-2</v>
      </c>
      <c r="S192" s="10">
        <f t="shared" si="24"/>
        <v>2.8255877333425869E-2</v>
      </c>
    </row>
    <row r="193" spans="1:19" x14ac:dyDescent="0.25">
      <c r="A193" s="5" t="s">
        <v>8</v>
      </c>
      <c r="B193" s="5" t="s">
        <v>291</v>
      </c>
      <c r="C193" s="5" t="s">
        <v>27</v>
      </c>
      <c r="D193" s="5" t="s">
        <v>385</v>
      </c>
      <c r="E193" s="5" t="s">
        <v>384</v>
      </c>
      <c r="F193" s="5" t="s">
        <v>30</v>
      </c>
      <c r="G193" s="5" t="s">
        <v>392</v>
      </c>
      <c r="H193" s="5" t="s">
        <v>31</v>
      </c>
      <c r="I193" s="5" t="s">
        <v>33</v>
      </c>
      <c r="J193" s="15">
        <v>1121</v>
      </c>
      <c r="K193" s="7">
        <v>23.2</v>
      </c>
      <c r="L193" s="7">
        <f t="shared" si="19"/>
        <v>48.318965517241381</v>
      </c>
      <c r="M193" s="5" t="s">
        <v>10</v>
      </c>
      <c r="N193" s="5">
        <v>4</v>
      </c>
      <c r="O193" s="6">
        <f t="shared" si="20"/>
        <v>1.6357649015773632</v>
      </c>
      <c r="P193" s="6">
        <f t="shared" si="21"/>
        <v>0.17011954976404578</v>
      </c>
      <c r="Q193" s="10">
        <f t="shared" si="22"/>
        <v>3.5441572867509533E-3</v>
      </c>
      <c r="R193" s="10">
        <f t="shared" si="23"/>
        <v>2.2997879194034985E-2</v>
      </c>
      <c r="S193" s="10">
        <f t="shared" si="24"/>
        <v>2.6542036480785937E-2</v>
      </c>
    </row>
    <row r="194" spans="1:19" x14ac:dyDescent="0.25">
      <c r="A194" s="5" t="s">
        <v>8</v>
      </c>
      <c r="B194" s="5" t="s">
        <v>307</v>
      </c>
      <c r="C194" s="5" t="s">
        <v>27</v>
      </c>
      <c r="D194" s="5" t="s">
        <v>385</v>
      </c>
      <c r="E194" s="5" t="s">
        <v>384</v>
      </c>
      <c r="F194" s="5" t="s">
        <v>30</v>
      </c>
      <c r="G194" s="5" t="s">
        <v>392</v>
      </c>
      <c r="H194" s="5" t="s">
        <v>31</v>
      </c>
      <c r="I194" s="5" t="s">
        <v>33</v>
      </c>
      <c r="J194" s="15">
        <v>1150</v>
      </c>
      <c r="K194" s="7">
        <v>29.5</v>
      </c>
      <c r="L194" s="7">
        <f t="shared" si="19"/>
        <v>38.983050847457626</v>
      </c>
      <c r="M194" s="5" t="s">
        <v>10</v>
      </c>
      <c r="N194" s="5">
        <v>4</v>
      </c>
      <c r="O194" s="6">
        <f t="shared" si="20"/>
        <v>1.0922687446136168</v>
      </c>
      <c r="P194" s="6">
        <f t="shared" si="21"/>
        <v>0.11359594943981614</v>
      </c>
      <c r="Q194" s="10">
        <f t="shared" si="22"/>
        <v>2.3665822799961698E-3</v>
      </c>
      <c r="R194" s="10">
        <f t="shared" si="23"/>
        <v>1.6988078304717071E-2</v>
      </c>
      <c r="S194" s="10">
        <f t="shared" si="24"/>
        <v>1.9354660584713242E-2</v>
      </c>
    </row>
    <row r="195" spans="1:19" x14ac:dyDescent="0.25">
      <c r="A195" s="5" t="s">
        <v>8</v>
      </c>
      <c r="B195" s="5" t="s">
        <v>311</v>
      </c>
      <c r="C195" s="5" t="s">
        <v>27</v>
      </c>
      <c r="D195" s="5" t="s">
        <v>385</v>
      </c>
      <c r="E195" s="5" t="s">
        <v>384</v>
      </c>
      <c r="F195" s="5" t="s">
        <v>30</v>
      </c>
      <c r="G195" s="5" t="s">
        <v>392</v>
      </c>
      <c r="H195" s="5" t="s">
        <v>31</v>
      </c>
      <c r="I195" s="5" t="s">
        <v>33</v>
      </c>
      <c r="J195" s="15">
        <v>1100</v>
      </c>
      <c r="K195" s="7">
        <v>28</v>
      </c>
      <c r="L195" s="7">
        <f t="shared" si="19"/>
        <v>39.285714285714285</v>
      </c>
      <c r="M195" s="5" t="s">
        <v>10</v>
      </c>
      <c r="N195" s="5">
        <v>4</v>
      </c>
      <c r="O195" s="6">
        <f t="shared" si="20"/>
        <v>1.061065051020408</v>
      </c>
      <c r="P195" s="6">
        <f t="shared" si="21"/>
        <v>0.11035076530612244</v>
      </c>
      <c r="Q195" s="10">
        <f t="shared" si="22"/>
        <v>2.2989742772108841E-3</v>
      </c>
      <c r="R195" s="10">
        <f t="shared" si="23"/>
        <v>1.6622779036452554E-2</v>
      </c>
      <c r="S195" s="10">
        <f t="shared" si="24"/>
        <v>1.8921753313663438E-2</v>
      </c>
    </row>
    <row r="196" spans="1:19" x14ac:dyDescent="0.25">
      <c r="A196" s="5" t="s">
        <v>8</v>
      </c>
      <c r="B196" s="5" t="s">
        <v>339</v>
      </c>
      <c r="C196" s="5" t="s">
        <v>27</v>
      </c>
      <c r="D196" s="5" t="s">
        <v>385</v>
      </c>
      <c r="E196" s="5" t="s">
        <v>384</v>
      </c>
      <c r="F196" s="5" t="s">
        <v>30</v>
      </c>
      <c r="G196" s="5" t="s">
        <v>392</v>
      </c>
      <c r="H196" s="5" t="s">
        <v>31</v>
      </c>
      <c r="I196" s="5" t="s">
        <v>33</v>
      </c>
      <c r="J196" s="15">
        <v>1080</v>
      </c>
      <c r="K196" s="7">
        <v>19.5</v>
      </c>
      <c r="L196" s="7">
        <f t="shared" si="19"/>
        <v>55.384615384615387</v>
      </c>
      <c r="M196" s="5" t="s">
        <v>10</v>
      </c>
      <c r="N196" s="5">
        <v>4</v>
      </c>
      <c r="O196" s="6">
        <f t="shared" si="20"/>
        <v>2.0705325443786986</v>
      </c>
      <c r="P196" s="6">
        <f t="shared" si="21"/>
        <v>0.21533538461538462</v>
      </c>
      <c r="Q196" s="10">
        <f t="shared" si="22"/>
        <v>4.4861538461538472E-3</v>
      </c>
      <c r="R196" s="10">
        <f t="shared" si="23"/>
        <v>2.744471151966631E-2</v>
      </c>
      <c r="S196" s="10">
        <f t="shared" si="24"/>
        <v>3.1930865365820155E-2</v>
      </c>
    </row>
    <row r="197" spans="1:19" x14ac:dyDescent="0.25">
      <c r="A197" s="5" t="s">
        <v>22</v>
      </c>
      <c r="B197" s="5" t="s">
        <v>63</v>
      </c>
      <c r="C197" s="5" t="s">
        <v>27</v>
      </c>
      <c r="D197" s="5" t="s">
        <v>385</v>
      </c>
      <c r="E197" s="5" t="s">
        <v>384</v>
      </c>
      <c r="F197" s="5" t="s">
        <v>30</v>
      </c>
      <c r="G197" s="5" t="s">
        <v>392</v>
      </c>
      <c r="H197" s="5" t="s">
        <v>31</v>
      </c>
      <c r="I197" s="5" t="s">
        <v>141</v>
      </c>
      <c r="J197" s="15">
        <v>3255</v>
      </c>
      <c r="K197" s="7">
        <v>31</v>
      </c>
      <c r="L197" s="7">
        <f t="shared" si="19"/>
        <v>105</v>
      </c>
      <c r="M197" s="5" t="s">
        <v>10</v>
      </c>
      <c r="N197" s="5">
        <v>4</v>
      </c>
      <c r="O197" s="6">
        <f t="shared" si="20"/>
        <v>22.428984374999999</v>
      </c>
      <c r="P197" s="6">
        <f t="shared" si="21"/>
        <v>2.3326143749999999</v>
      </c>
      <c r="Q197" s="10">
        <f t="shared" si="22"/>
        <v>4.8596132812499998E-2</v>
      </c>
      <c r="R197" s="10">
        <f t="shared" si="23"/>
        <v>0.16387184018502851</v>
      </c>
      <c r="S197" s="10">
        <f t="shared" si="24"/>
        <v>0.21246797299752851</v>
      </c>
    </row>
    <row r="198" spans="1:19" x14ac:dyDescent="0.25">
      <c r="A198" s="5" t="s">
        <v>8</v>
      </c>
      <c r="B198" s="5" t="s">
        <v>284</v>
      </c>
      <c r="C198" s="5" t="s">
        <v>27</v>
      </c>
      <c r="D198" s="5" t="s">
        <v>385</v>
      </c>
      <c r="E198" s="5" t="s">
        <v>384</v>
      </c>
      <c r="F198" s="5" t="s">
        <v>30</v>
      </c>
      <c r="G198" s="5" t="s">
        <v>392</v>
      </c>
      <c r="H198" s="5" t="s">
        <v>31</v>
      </c>
      <c r="I198" s="5" t="s">
        <v>286</v>
      </c>
      <c r="J198" s="15">
        <v>1800</v>
      </c>
      <c r="K198" s="7">
        <v>33.6</v>
      </c>
      <c r="L198" s="7">
        <f t="shared" si="19"/>
        <v>53.571428571428569</v>
      </c>
      <c r="M198" s="5" t="s">
        <v>10</v>
      </c>
      <c r="N198" s="5">
        <v>4</v>
      </c>
      <c r="O198" s="6">
        <f t="shared" si="20"/>
        <v>3.2286352040816326</v>
      </c>
      <c r="P198" s="6">
        <f t="shared" si="21"/>
        <v>0.33577806122448972</v>
      </c>
      <c r="Q198" s="10">
        <f t="shared" si="22"/>
        <v>6.9953762755102034E-3</v>
      </c>
      <c r="R198" s="10">
        <f t="shared" si="23"/>
        <v>3.8296700440793495E-2</v>
      </c>
      <c r="S198" s="10">
        <f t="shared" si="24"/>
        <v>4.5292076716303697E-2</v>
      </c>
    </row>
    <row r="199" spans="1:19" x14ac:dyDescent="0.25">
      <c r="A199" s="5" t="s">
        <v>8</v>
      </c>
      <c r="B199" s="5" t="s">
        <v>308</v>
      </c>
      <c r="C199" s="5" t="s">
        <v>27</v>
      </c>
      <c r="D199" s="5" t="s">
        <v>385</v>
      </c>
      <c r="E199" s="5" t="s">
        <v>384</v>
      </c>
      <c r="F199" s="5" t="s">
        <v>30</v>
      </c>
      <c r="G199" s="5" t="s">
        <v>392</v>
      </c>
      <c r="H199" s="5" t="s">
        <v>31</v>
      </c>
      <c r="I199" s="5" t="s">
        <v>286</v>
      </c>
      <c r="J199" s="15">
        <v>1749</v>
      </c>
      <c r="K199" s="7">
        <v>23</v>
      </c>
      <c r="L199" s="7">
        <f t="shared" si="19"/>
        <v>76.043478260869563</v>
      </c>
      <c r="M199" s="5" t="s">
        <v>10</v>
      </c>
      <c r="N199" s="5">
        <v>4</v>
      </c>
      <c r="O199" s="6">
        <f t="shared" si="20"/>
        <v>6.3211161968336489</v>
      </c>
      <c r="P199" s="6">
        <f t="shared" si="21"/>
        <v>0.65739608447069942</v>
      </c>
      <c r="Q199" s="10">
        <f t="shared" si="22"/>
        <v>1.3695751759806238E-2</v>
      </c>
      <c r="R199" s="10">
        <f t="shared" si="23"/>
        <v>6.3385869858994706E-2</v>
      </c>
      <c r="S199" s="10">
        <f t="shared" si="24"/>
        <v>7.7081621618800944E-2</v>
      </c>
    </row>
    <row r="200" spans="1:19" x14ac:dyDescent="0.25">
      <c r="A200" s="5" t="s">
        <v>8</v>
      </c>
      <c r="B200" s="5" t="s">
        <v>316</v>
      </c>
      <c r="C200" s="5" t="s">
        <v>27</v>
      </c>
      <c r="D200" s="5" t="s">
        <v>385</v>
      </c>
      <c r="E200" s="5" t="s">
        <v>384</v>
      </c>
      <c r="F200" s="5" t="s">
        <v>30</v>
      </c>
      <c r="G200" s="5" t="s">
        <v>392</v>
      </c>
      <c r="H200" s="5" t="s">
        <v>34</v>
      </c>
      <c r="I200" s="5" t="s">
        <v>317</v>
      </c>
      <c r="J200" s="15">
        <v>1190</v>
      </c>
      <c r="K200" s="7">
        <v>18</v>
      </c>
      <c r="L200" s="7">
        <f t="shared" si="19"/>
        <v>66.111111111111114</v>
      </c>
      <c r="M200" s="5" t="s">
        <v>10</v>
      </c>
      <c r="N200" s="5">
        <v>4</v>
      </c>
      <c r="O200" s="6">
        <f t="shared" si="20"/>
        <v>3.2506925154320987</v>
      </c>
      <c r="P200" s="6">
        <f t="shared" si="21"/>
        <v>0.33807202160493827</v>
      </c>
      <c r="Q200" s="10">
        <f t="shared" si="22"/>
        <v>7.0431671167695475E-3</v>
      </c>
      <c r="R200" s="10">
        <f t="shared" si="23"/>
        <v>3.8492759193587217E-2</v>
      </c>
      <c r="S200" s="10">
        <f t="shared" si="24"/>
        <v>4.5535926310356765E-2</v>
      </c>
    </row>
    <row r="201" spans="1:19" x14ac:dyDescent="0.25">
      <c r="A201" s="5" t="s">
        <v>8</v>
      </c>
      <c r="B201" s="5" t="s">
        <v>370</v>
      </c>
      <c r="C201" s="5" t="s">
        <v>27</v>
      </c>
      <c r="D201" s="5" t="s">
        <v>385</v>
      </c>
      <c r="E201" s="5" t="s">
        <v>384</v>
      </c>
      <c r="F201" s="5" t="s">
        <v>30</v>
      </c>
      <c r="G201" s="5" t="s">
        <v>392</v>
      </c>
      <c r="H201" s="5" t="s">
        <v>34</v>
      </c>
      <c r="I201" s="5" t="s">
        <v>371</v>
      </c>
      <c r="J201" s="15">
        <v>823</v>
      </c>
      <c r="K201" s="7">
        <v>21.3</v>
      </c>
      <c r="L201" s="7">
        <f t="shared" si="19"/>
        <v>38.63849765258216</v>
      </c>
      <c r="M201" s="5" t="s">
        <v>10</v>
      </c>
      <c r="N201" s="5">
        <v>4</v>
      </c>
      <c r="O201" s="6">
        <f t="shared" si="20"/>
        <v>0.76792766949899716</v>
      </c>
      <c r="P201" s="6">
        <f t="shared" si="21"/>
        <v>7.9864477627895697E-2</v>
      </c>
      <c r="Q201" s="10">
        <f t="shared" si="22"/>
        <v>1.6638432839144936E-3</v>
      </c>
      <c r="R201" s="10">
        <f t="shared" si="23"/>
        <v>1.3043296338772574E-2</v>
      </c>
      <c r="S201" s="10">
        <f t="shared" si="24"/>
        <v>1.4707139622687068E-2</v>
      </c>
    </row>
    <row r="202" spans="1:19" x14ac:dyDescent="0.25">
      <c r="A202" s="5" t="s">
        <v>8</v>
      </c>
      <c r="B202" s="5" t="s">
        <v>370</v>
      </c>
      <c r="C202" s="5" t="s">
        <v>27</v>
      </c>
      <c r="D202" s="5" t="s">
        <v>385</v>
      </c>
      <c r="E202" s="5" t="s">
        <v>384</v>
      </c>
      <c r="F202" s="5" t="s">
        <v>30</v>
      </c>
      <c r="G202" s="5" t="s">
        <v>392</v>
      </c>
      <c r="H202" s="5" t="s">
        <v>34</v>
      </c>
      <c r="I202" s="5" t="s">
        <v>371</v>
      </c>
      <c r="J202" s="15">
        <v>704</v>
      </c>
      <c r="K202" s="7">
        <v>18.7</v>
      </c>
      <c r="L202" s="7">
        <f t="shared" si="19"/>
        <v>37.647058823529413</v>
      </c>
      <c r="M202" s="5" t="s">
        <v>10</v>
      </c>
      <c r="N202" s="5">
        <v>4</v>
      </c>
      <c r="O202" s="6">
        <f t="shared" si="20"/>
        <v>0.62361245674740484</v>
      </c>
      <c r="P202" s="6">
        <f t="shared" si="21"/>
        <v>6.4855695501730107E-2</v>
      </c>
      <c r="Q202" s="10">
        <f t="shared" si="22"/>
        <v>1.3511603229527105E-3</v>
      </c>
      <c r="R202" s="10">
        <f t="shared" si="23"/>
        <v>1.1157919160137931E-2</v>
      </c>
      <c r="S202" s="10">
        <f t="shared" si="24"/>
        <v>1.2509079483090641E-2</v>
      </c>
    </row>
    <row r="203" spans="1:19" x14ac:dyDescent="0.25">
      <c r="A203" s="5" t="s">
        <v>8</v>
      </c>
      <c r="B203" s="5" t="s">
        <v>270</v>
      </c>
      <c r="C203" s="5" t="s">
        <v>27</v>
      </c>
      <c r="D203" s="5" t="s">
        <v>385</v>
      </c>
      <c r="E203" s="5" t="s">
        <v>384</v>
      </c>
      <c r="F203" s="5" t="s">
        <v>30</v>
      </c>
      <c r="G203" s="5" t="s">
        <v>392</v>
      </c>
      <c r="H203" s="5" t="s">
        <v>34</v>
      </c>
      <c r="I203" s="5" t="s">
        <v>274</v>
      </c>
      <c r="J203" s="15">
        <v>2280</v>
      </c>
      <c r="K203" s="7">
        <v>34.9</v>
      </c>
      <c r="L203" s="7">
        <f t="shared" ref="L203:L266" si="25">J203/K203</f>
        <v>65.329512893982809</v>
      </c>
      <c r="M203" s="5" t="s">
        <v>10</v>
      </c>
      <c r="N203" s="5">
        <v>4</v>
      </c>
      <c r="O203" s="6">
        <f t="shared" ref="O203:O266" si="26">(J203*L203^2)/(1.6*10^6)</f>
        <v>6.0818219883252187</v>
      </c>
      <c r="P203" s="6">
        <f t="shared" ref="P203:P266" si="27">(0.104*J203*L203^2)/(1.6*10^6)</f>
        <v>0.63250948678582275</v>
      </c>
      <c r="Q203" s="10">
        <f t="shared" ref="Q203:Q266" si="28">(0.104*O203)/(12*N203)</f>
        <v>1.3177280974704641E-2</v>
      </c>
      <c r="R203" s="10">
        <f t="shared" ref="R203:R266" si="29">0.0159*O203^0.75</f>
        <v>6.1577549589278129E-2</v>
      </c>
      <c r="S203" s="10">
        <f t="shared" ref="S203:S266" si="30">Q203+R203</f>
        <v>7.4754830563982771E-2</v>
      </c>
    </row>
    <row r="204" spans="1:19" x14ac:dyDescent="0.25">
      <c r="A204" s="5" t="s">
        <v>8</v>
      </c>
      <c r="B204" s="5" t="s">
        <v>270</v>
      </c>
      <c r="C204" s="5" t="s">
        <v>27</v>
      </c>
      <c r="D204" s="5" t="s">
        <v>385</v>
      </c>
      <c r="E204" s="5" t="s">
        <v>384</v>
      </c>
      <c r="F204" s="5" t="s">
        <v>30</v>
      </c>
      <c r="G204" s="5" t="s">
        <v>392</v>
      </c>
      <c r="H204" s="5" t="s">
        <v>34</v>
      </c>
      <c r="I204" s="5" t="s">
        <v>271</v>
      </c>
      <c r="J204" s="15">
        <v>3510</v>
      </c>
      <c r="K204" s="7">
        <v>36.6</v>
      </c>
      <c r="L204" s="7">
        <f t="shared" si="25"/>
        <v>95.901639344262293</v>
      </c>
      <c r="M204" s="5" t="s">
        <v>10</v>
      </c>
      <c r="N204" s="5">
        <v>4</v>
      </c>
      <c r="O204" s="6">
        <f t="shared" si="26"/>
        <v>20.176191715936575</v>
      </c>
      <c r="P204" s="6">
        <f t="shared" si="27"/>
        <v>2.0983239384574035</v>
      </c>
      <c r="Q204" s="10">
        <f t="shared" si="28"/>
        <v>4.3715082051195904E-2</v>
      </c>
      <c r="R204" s="10">
        <f t="shared" si="29"/>
        <v>0.15136536806834505</v>
      </c>
      <c r="S204" s="10">
        <f t="shared" si="30"/>
        <v>0.19508045011954095</v>
      </c>
    </row>
    <row r="205" spans="1:19" x14ac:dyDescent="0.25">
      <c r="A205" s="5" t="s">
        <v>8</v>
      </c>
      <c r="B205" s="5" t="s">
        <v>270</v>
      </c>
      <c r="C205" s="5" t="s">
        <v>27</v>
      </c>
      <c r="D205" s="5" t="s">
        <v>385</v>
      </c>
      <c r="E205" s="5" t="s">
        <v>384</v>
      </c>
      <c r="F205" s="5" t="s">
        <v>30</v>
      </c>
      <c r="G205" s="5" t="s">
        <v>392</v>
      </c>
      <c r="H205" s="5" t="s">
        <v>34</v>
      </c>
      <c r="I205" s="5" t="s">
        <v>273</v>
      </c>
      <c r="J205" s="15">
        <v>1760</v>
      </c>
      <c r="K205" s="7">
        <v>32.5</v>
      </c>
      <c r="L205" s="7">
        <f t="shared" si="25"/>
        <v>54.153846153846153</v>
      </c>
      <c r="M205" s="5" t="s">
        <v>10</v>
      </c>
      <c r="N205" s="5">
        <v>4</v>
      </c>
      <c r="O205" s="6">
        <f t="shared" si="26"/>
        <v>3.2259029585798817</v>
      </c>
      <c r="P205" s="6">
        <f t="shared" si="27"/>
        <v>0.33549390769230769</v>
      </c>
      <c r="Q205" s="10">
        <f t="shared" si="28"/>
        <v>6.9894564102564102E-3</v>
      </c>
      <c r="R205" s="10">
        <f t="shared" si="29"/>
        <v>3.827239131633859E-2</v>
      </c>
      <c r="S205" s="10">
        <f t="shared" si="30"/>
        <v>4.5261847726595E-2</v>
      </c>
    </row>
    <row r="206" spans="1:19" x14ac:dyDescent="0.25">
      <c r="A206" s="5" t="s">
        <v>8</v>
      </c>
      <c r="B206" s="5" t="s">
        <v>270</v>
      </c>
      <c r="C206" s="5" t="s">
        <v>27</v>
      </c>
      <c r="D206" s="5" t="s">
        <v>385</v>
      </c>
      <c r="E206" s="5" t="s">
        <v>384</v>
      </c>
      <c r="F206" s="5" t="s">
        <v>30</v>
      </c>
      <c r="G206" s="5" t="s">
        <v>392</v>
      </c>
      <c r="H206" s="5" t="s">
        <v>34</v>
      </c>
      <c r="I206" s="5" t="s">
        <v>276</v>
      </c>
      <c r="J206" s="15">
        <v>1850</v>
      </c>
      <c r="K206" s="7">
        <v>28.4</v>
      </c>
      <c r="L206" s="7">
        <f t="shared" si="25"/>
        <v>65.140845070422543</v>
      </c>
      <c r="M206" s="5" t="s">
        <v>10</v>
      </c>
      <c r="N206" s="5">
        <v>4</v>
      </c>
      <c r="O206" s="6">
        <f t="shared" si="26"/>
        <v>4.9063499615651676</v>
      </c>
      <c r="P206" s="6">
        <f t="shared" si="27"/>
        <v>0.51026039600277739</v>
      </c>
      <c r="Q206" s="10">
        <f t="shared" si="28"/>
        <v>1.0630424916724529E-2</v>
      </c>
      <c r="R206" s="10">
        <f t="shared" si="29"/>
        <v>5.2416258332901387E-2</v>
      </c>
      <c r="S206" s="10">
        <f t="shared" si="30"/>
        <v>6.3046683249625923E-2</v>
      </c>
    </row>
    <row r="207" spans="1:19" x14ac:dyDescent="0.25">
      <c r="A207" s="5" t="s">
        <v>8</v>
      </c>
      <c r="B207" s="5" t="s">
        <v>270</v>
      </c>
      <c r="C207" s="5" t="s">
        <v>27</v>
      </c>
      <c r="D207" s="5" t="s">
        <v>385</v>
      </c>
      <c r="E207" s="5" t="s">
        <v>384</v>
      </c>
      <c r="F207" s="5" t="s">
        <v>30</v>
      </c>
      <c r="G207" s="5" t="s">
        <v>392</v>
      </c>
      <c r="H207" s="5" t="s">
        <v>34</v>
      </c>
      <c r="I207" s="5" t="s">
        <v>275</v>
      </c>
      <c r="J207" s="15">
        <v>2410</v>
      </c>
      <c r="K207" s="7">
        <v>32.299999999999997</v>
      </c>
      <c r="L207" s="7">
        <f t="shared" si="25"/>
        <v>74.613003095975245</v>
      </c>
      <c r="M207" s="5" t="s">
        <v>10</v>
      </c>
      <c r="N207" s="5">
        <v>4</v>
      </c>
      <c r="O207" s="6">
        <f t="shared" si="26"/>
        <v>8.3854447229437667</v>
      </c>
      <c r="P207" s="6">
        <f t="shared" si="27"/>
        <v>0.8720862511861518</v>
      </c>
      <c r="Q207" s="10">
        <f t="shared" si="28"/>
        <v>1.8168463566378159E-2</v>
      </c>
      <c r="R207" s="10">
        <f t="shared" si="29"/>
        <v>7.8350486889121454E-2</v>
      </c>
      <c r="S207" s="10">
        <f t="shared" si="30"/>
        <v>9.6518950455499616E-2</v>
      </c>
    </row>
    <row r="208" spans="1:19" x14ac:dyDescent="0.25">
      <c r="A208" s="5" t="s">
        <v>8</v>
      </c>
      <c r="B208" s="5" t="s">
        <v>270</v>
      </c>
      <c r="C208" s="5" t="s">
        <v>27</v>
      </c>
      <c r="D208" s="5" t="s">
        <v>385</v>
      </c>
      <c r="E208" s="5" t="s">
        <v>384</v>
      </c>
      <c r="F208" s="5" t="s">
        <v>30</v>
      </c>
      <c r="G208" s="5" t="s">
        <v>392</v>
      </c>
      <c r="H208" s="5" t="s">
        <v>34</v>
      </c>
      <c r="I208" s="5" t="s">
        <v>272</v>
      </c>
      <c r="J208" s="15">
        <v>3350</v>
      </c>
      <c r="K208" s="7">
        <v>37</v>
      </c>
      <c r="L208" s="7">
        <f t="shared" si="25"/>
        <v>90.540540540540547</v>
      </c>
      <c r="M208" s="5" t="s">
        <v>10</v>
      </c>
      <c r="N208" s="5">
        <v>4</v>
      </c>
      <c r="O208" s="6">
        <f t="shared" si="26"/>
        <v>17.163702976625277</v>
      </c>
      <c r="P208" s="6">
        <f t="shared" si="27"/>
        <v>1.7850251095690288</v>
      </c>
      <c r="Q208" s="10">
        <f t="shared" si="28"/>
        <v>3.7188023116021436E-2</v>
      </c>
      <c r="R208" s="10">
        <f t="shared" si="29"/>
        <v>0.13407733437686528</v>
      </c>
      <c r="S208" s="10">
        <f t="shared" si="30"/>
        <v>0.17126535749288671</v>
      </c>
    </row>
    <row r="209" spans="1:19" x14ac:dyDescent="0.25">
      <c r="A209" s="5" t="s">
        <v>8</v>
      </c>
      <c r="B209" s="5" t="s">
        <v>270</v>
      </c>
      <c r="C209" s="5" t="s">
        <v>27</v>
      </c>
      <c r="D209" s="5" t="s">
        <v>385</v>
      </c>
      <c r="E209" s="5" t="s">
        <v>384</v>
      </c>
      <c r="F209" s="5" t="s">
        <v>30</v>
      </c>
      <c r="G209" s="5" t="s">
        <v>392</v>
      </c>
      <c r="H209" s="5" t="s">
        <v>34</v>
      </c>
      <c r="I209" s="5" t="s">
        <v>272</v>
      </c>
      <c r="J209" s="15">
        <v>3350</v>
      </c>
      <c r="K209" s="7">
        <v>38.799999999999997</v>
      </c>
      <c r="L209" s="7">
        <f t="shared" si="25"/>
        <v>86.340206185567013</v>
      </c>
      <c r="M209" s="5" t="s">
        <v>10</v>
      </c>
      <c r="N209" s="5">
        <v>4</v>
      </c>
      <c r="O209" s="6">
        <f t="shared" si="26"/>
        <v>15.608134083723032</v>
      </c>
      <c r="P209" s="6">
        <f t="shared" si="27"/>
        <v>1.6232459447071952</v>
      </c>
      <c r="Q209" s="10">
        <f t="shared" si="28"/>
        <v>3.3817623848066566E-2</v>
      </c>
      <c r="R209" s="10">
        <f t="shared" si="29"/>
        <v>0.12485627237086265</v>
      </c>
      <c r="S209" s="10">
        <f t="shared" si="30"/>
        <v>0.15867389621892922</v>
      </c>
    </row>
    <row r="210" spans="1:19" x14ac:dyDescent="0.25">
      <c r="A210" s="5" t="s">
        <v>22</v>
      </c>
      <c r="B210" s="5" t="s">
        <v>26</v>
      </c>
      <c r="C210" s="5" t="s">
        <v>27</v>
      </c>
      <c r="D210" s="5" t="s">
        <v>385</v>
      </c>
      <c r="E210" s="5" t="s">
        <v>384</v>
      </c>
      <c r="F210" s="5" t="s">
        <v>30</v>
      </c>
      <c r="G210" s="5" t="s">
        <v>392</v>
      </c>
      <c r="H210" s="5" t="s">
        <v>34</v>
      </c>
      <c r="I210" s="5" t="s">
        <v>21</v>
      </c>
      <c r="J210" s="15">
        <v>1000</v>
      </c>
      <c r="K210" s="7">
        <v>20</v>
      </c>
      <c r="L210" s="7">
        <f t="shared" si="25"/>
        <v>50</v>
      </c>
      <c r="M210" s="5" t="s">
        <v>10</v>
      </c>
      <c r="N210" s="5">
        <v>4</v>
      </c>
      <c r="O210" s="6">
        <f t="shared" si="26"/>
        <v>1.5625</v>
      </c>
      <c r="P210" s="6">
        <f t="shared" si="27"/>
        <v>0.16250000000000001</v>
      </c>
      <c r="Q210" s="10">
        <f t="shared" si="28"/>
        <v>3.3854166666666668E-3</v>
      </c>
      <c r="R210" s="10">
        <f t="shared" si="29"/>
        <v>2.2220925526404162E-2</v>
      </c>
      <c r="S210" s="10">
        <f t="shared" si="30"/>
        <v>2.5606342193070827E-2</v>
      </c>
    </row>
    <row r="211" spans="1:19" x14ac:dyDescent="0.25">
      <c r="A211" s="5" t="s">
        <v>22</v>
      </c>
      <c r="B211" s="5" t="s">
        <v>63</v>
      </c>
      <c r="C211" s="5" t="s">
        <v>27</v>
      </c>
      <c r="D211" s="5" t="s">
        <v>385</v>
      </c>
      <c r="E211" s="5" t="s">
        <v>384</v>
      </c>
      <c r="F211" s="5" t="s">
        <v>30</v>
      </c>
      <c r="G211" s="5" t="s">
        <v>392</v>
      </c>
      <c r="H211" s="5" t="s">
        <v>34</v>
      </c>
      <c r="I211" s="5" t="s">
        <v>21</v>
      </c>
      <c r="J211" s="15">
        <v>1050</v>
      </c>
      <c r="K211" s="7">
        <v>23</v>
      </c>
      <c r="L211" s="7">
        <f t="shared" si="25"/>
        <v>45.652173913043477</v>
      </c>
      <c r="M211" s="5" t="s">
        <v>10</v>
      </c>
      <c r="N211" s="5">
        <v>4</v>
      </c>
      <c r="O211" s="6">
        <f t="shared" si="26"/>
        <v>1.3677043950850662</v>
      </c>
      <c r="P211" s="6">
        <f t="shared" si="27"/>
        <v>0.14224125708884686</v>
      </c>
      <c r="Q211" s="10">
        <f t="shared" si="28"/>
        <v>2.9633595226843099E-3</v>
      </c>
      <c r="R211" s="10">
        <f t="shared" si="29"/>
        <v>2.0109038528318947E-2</v>
      </c>
      <c r="S211" s="10">
        <f t="shared" si="30"/>
        <v>2.3072398051003258E-2</v>
      </c>
    </row>
    <row r="212" spans="1:19" x14ac:dyDescent="0.25">
      <c r="A212" s="5" t="s">
        <v>8</v>
      </c>
      <c r="B212" s="5" t="s">
        <v>226</v>
      </c>
      <c r="C212" s="5" t="s">
        <v>27</v>
      </c>
      <c r="D212" s="5" t="s">
        <v>385</v>
      </c>
      <c r="E212" s="5" t="s">
        <v>384</v>
      </c>
      <c r="F212" s="5" t="s">
        <v>30</v>
      </c>
      <c r="G212" s="5" t="s">
        <v>392</v>
      </c>
      <c r="H212" s="5" t="s">
        <v>34</v>
      </c>
      <c r="I212" s="5" t="s">
        <v>21</v>
      </c>
      <c r="J212" s="15">
        <v>1429</v>
      </c>
      <c r="K212" s="7">
        <v>23.9</v>
      </c>
      <c r="L212" s="7">
        <f t="shared" si="25"/>
        <v>59.7907949790795</v>
      </c>
      <c r="M212" s="5" t="s">
        <v>10</v>
      </c>
      <c r="N212" s="5">
        <v>4</v>
      </c>
      <c r="O212" s="6">
        <f t="shared" si="26"/>
        <v>3.1928675410532033</v>
      </c>
      <c r="P212" s="6">
        <f t="shared" si="27"/>
        <v>0.33205822426953308</v>
      </c>
      <c r="Q212" s="10">
        <f t="shared" si="28"/>
        <v>6.9178796722819402E-3</v>
      </c>
      <c r="R212" s="10">
        <f t="shared" si="29"/>
        <v>3.7978062134013092E-2</v>
      </c>
      <c r="S212" s="10">
        <f t="shared" si="30"/>
        <v>4.4895941806295032E-2</v>
      </c>
    </row>
    <row r="213" spans="1:19" x14ac:dyDescent="0.25">
      <c r="A213" s="5" t="s">
        <v>22</v>
      </c>
      <c r="B213" s="5" t="s">
        <v>63</v>
      </c>
      <c r="C213" s="5" t="s">
        <v>27</v>
      </c>
      <c r="D213" s="5" t="s">
        <v>385</v>
      </c>
      <c r="E213" s="5" t="s">
        <v>384</v>
      </c>
      <c r="F213" s="5" t="s">
        <v>30</v>
      </c>
      <c r="G213" s="5" t="s">
        <v>392</v>
      </c>
      <c r="H213" s="5" t="s">
        <v>34</v>
      </c>
      <c r="I213" s="5" t="s">
        <v>142</v>
      </c>
      <c r="J213" s="15">
        <v>1350</v>
      </c>
      <c r="K213" s="7">
        <v>25</v>
      </c>
      <c r="L213" s="7">
        <f t="shared" si="25"/>
        <v>54</v>
      </c>
      <c r="M213" s="5" t="s">
        <v>10</v>
      </c>
      <c r="N213" s="5">
        <v>4</v>
      </c>
      <c r="O213" s="6">
        <f t="shared" si="26"/>
        <v>2.460375</v>
      </c>
      <c r="P213" s="6">
        <f t="shared" si="27"/>
        <v>0.25587900000000002</v>
      </c>
      <c r="Q213" s="10">
        <f t="shared" si="28"/>
        <v>5.3308124999999996E-3</v>
      </c>
      <c r="R213" s="10">
        <f t="shared" si="29"/>
        <v>3.1235474191314793E-2</v>
      </c>
      <c r="S213" s="10">
        <f t="shared" si="30"/>
        <v>3.6566286691314794E-2</v>
      </c>
    </row>
    <row r="214" spans="1:19" x14ac:dyDescent="0.25">
      <c r="A214" s="5" t="s">
        <v>8</v>
      </c>
      <c r="B214" s="5" t="s">
        <v>217</v>
      </c>
      <c r="C214" s="5" t="s">
        <v>27</v>
      </c>
      <c r="D214" s="5" t="s">
        <v>385</v>
      </c>
      <c r="E214" s="5" t="s">
        <v>384</v>
      </c>
      <c r="F214" s="5" t="s">
        <v>30</v>
      </c>
      <c r="G214" s="5" t="s">
        <v>392</v>
      </c>
      <c r="H214" s="5" t="s">
        <v>34</v>
      </c>
      <c r="I214" s="5" t="s">
        <v>142</v>
      </c>
      <c r="J214" s="15">
        <v>1300</v>
      </c>
      <c r="K214" s="7">
        <v>24.8</v>
      </c>
      <c r="L214" s="7">
        <f t="shared" si="25"/>
        <v>52.419354838709673</v>
      </c>
      <c r="M214" s="5" t="s">
        <v>10</v>
      </c>
      <c r="N214" s="5">
        <v>4</v>
      </c>
      <c r="O214" s="6">
        <f t="shared" si="26"/>
        <v>2.2325783688865761</v>
      </c>
      <c r="P214" s="6">
        <f t="shared" si="27"/>
        <v>0.2321881503642039</v>
      </c>
      <c r="Q214" s="10">
        <f t="shared" si="28"/>
        <v>4.8372531325875812E-3</v>
      </c>
      <c r="R214" s="10">
        <f t="shared" si="29"/>
        <v>2.9040370897396122E-2</v>
      </c>
      <c r="S214" s="10">
        <f t="shared" si="30"/>
        <v>3.3877624029983705E-2</v>
      </c>
    </row>
    <row r="215" spans="1:19" x14ac:dyDescent="0.25">
      <c r="A215" s="5" t="s">
        <v>8</v>
      </c>
      <c r="B215" s="5" t="s">
        <v>316</v>
      </c>
      <c r="C215" s="5" t="s">
        <v>27</v>
      </c>
      <c r="D215" s="5" t="s">
        <v>385</v>
      </c>
      <c r="E215" s="5" t="s">
        <v>384</v>
      </c>
      <c r="F215" s="5" t="s">
        <v>30</v>
      </c>
      <c r="G215" s="5" t="s">
        <v>392</v>
      </c>
      <c r="H215" s="5" t="s">
        <v>34</v>
      </c>
      <c r="I215" s="5" t="s">
        <v>318</v>
      </c>
      <c r="J215" s="15">
        <v>1980</v>
      </c>
      <c r="K215" s="7">
        <v>26</v>
      </c>
      <c r="L215" s="7">
        <f t="shared" si="25"/>
        <v>76.15384615384616</v>
      </c>
      <c r="M215" s="5" t="s">
        <v>10</v>
      </c>
      <c r="N215" s="5">
        <v>4</v>
      </c>
      <c r="O215" s="6">
        <f t="shared" si="26"/>
        <v>7.1767677514792911</v>
      </c>
      <c r="P215" s="6">
        <f t="shared" si="27"/>
        <v>0.74638384615384623</v>
      </c>
      <c r="Q215" s="10">
        <f t="shared" si="28"/>
        <v>1.5549663461538464E-2</v>
      </c>
      <c r="R215" s="10">
        <f t="shared" si="29"/>
        <v>6.9717819153043717E-2</v>
      </c>
      <c r="S215" s="10">
        <f t="shared" si="30"/>
        <v>8.5267482614582182E-2</v>
      </c>
    </row>
    <row r="216" spans="1:19" x14ac:dyDescent="0.25">
      <c r="A216" s="5" t="s">
        <v>8</v>
      </c>
      <c r="B216" s="5" t="s">
        <v>357</v>
      </c>
      <c r="C216" s="5" t="s">
        <v>27</v>
      </c>
      <c r="D216" s="5" t="s">
        <v>385</v>
      </c>
      <c r="E216" s="5" t="s">
        <v>384</v>
      </c>
      <c r="F216" s="5" t="s">
        <v>30</v>
      </c>
      <c r="G216" s="5" t="s">
        <v>392</v>
      </c>
      <c r="H216" s="5" t="s">
        <v>34</v>
      </c>
      <c r="I216" s="5" t="s">
        <v>318</v>
      </c>
      <c r="J216" s="15">
        <v>1952</v>
      </c>
      <c r="K216" s="7">
        <v>28.2</v>
      </c>
      <c r="L216" s="7">
        <f t="shared" si="25"/>
        <v>69.219858156028366</v>
      </c>
      <c r="M216" s="5" t="s">
        <v>10</v>
      </c>
      <c r="N216" s="5">
        <v>4</v>
      </c>
      <c r="O216" s="6">
        <f t="shared" si="26"/>
        <v>5.8454942910316374</v>
      </c>
      <c r="P216" s="6">
        <f t="shared" si="27"/>
        <v>0.60793140626729025</v>
      </c>
      <c r="Q216" s="10">
        <f t="shared" si="28"/>
        <v>1.2665237630568546E-2</v>
      </c>
      <c r="R216" s="10">
        <f t="shared" si="29"/>
        <v>5.9774101244652454E-2</v>
      </c>
      <c r="S216" s="10">
        <f t="shared" si="30"/>
        <v>7.2439338875220999E-2</v>
      </c>
    </row>
    <row r="217" spans="1:19" x14ac:dyDescent="0.25">
      <c r="A217" s="5" t="s">
        <v>22</v>
      </c>
      <c r="B217" s="5" t="s">
        <v>26</v>
      </c>
      <c r="C217" s="5" t="s">
        <v>27</v>
      </c>
      <c r="D217" s="5" t="s">
        <v>385</v>
      </c>
      <c r="E217" s="5" t="s">
        <v>384</v>
      </c>
      <c r="F217" s="5" t="s">
        <v>30</v>
      </c>
      <c r="G217" s="5" t="s">
        <v>392</v>
      </c>
      <c r="H217" s="5" t="s">
        <v>34</v>
      </c>
      <c r="I217" s="5" t="s">
        <v>35</v>
      </c>
      <c r="J217" s="15">
        <v>2750</v>
      </c>
      <c r="K217" s="7">
        <v>29</v>
      </c>
      <c r="L217" s="7">
        <f t="shared" si="25"/>
        <v>94.827586206896555</v>
      </c>
      <c r="M217" s="5" t="s">
        <v>10</v>
      </c>
      <c r="N217" s="5">
        <v>4</v>
      </c>
      <c r="O217" s="6">
        <f t="shared" si="26"/>
        <v>15.455465963139122</v>
      </c>
      <c r="P217" s="6">
        <f t="shared" si="27"/>
        <v>1.6073684601664686</v>
      </c>
      <c r="Q217" s="10">
        <f t="shared" si="28"/>
        <v>3.3486842920134763E-2</v>
      </c>
      <c r="R217" s="10">
        <f t="shared" si="29"/>
        <v>0.12393920372417333</v>
      </c>
      <c r="S217" s="10">
        <f t="shared" si="30"/>
        <v>0.15742604664430809</v>
      </c>
    </row>
    <row r="218" spans="1:19" x14ac:dyDescent="0.25">
      <c r="A218" s="5" t="s">
        <v>8</v>
      </c>
      <c r="B218" s="5" t="s">
        <v>366</v>
      </c>
      <c r="C218" s="5" t="s">
        <v>27</v>
      </c>
      <c r="D218" s="5" t="s">
        <v>385</v>
      </c>
      <c r="E218" s="5" t="s">
        <v>384</v>
      </c>
      <c r="F218" s="5" t="s">
        <v>30</v>
      </c>
      <c r="G218" s="5" t="s">
        <v>392</v>
      </c>
      <c r="H218" s="5" t="s">
        <v>232</v>
      </c>
      <c r="I218" s="5" t="s">
        <v>367</v>
      </c>
      <c r="J218" s="15">
        <v>1950</v>
      </c>
      <c r="K218" s="7">
        <v>26.5</v>
      </c>
      <c r="L218" s="7">
        <f t="shared" si="25"/>
        <v>73.584905660377359</v>
      </c>
      <c r="M218" s="5" t="s">
        <v>10</v>
      </c>
      <c r="N218" s="5">
        <v>4</v>
      </c>
      <c r="O218" s="6">
        <f t="shared" si="26"/>
        <v>6.5992123531505875</v>
      </c>
      <c r="P218" s="6">
        <f t="shared" si="27"/>
        <v>0.68631808472766109</v>
      </c>
      <c r="Q218" s="10">
        <f t="shared" si="28"/>
        <v>1.4298293431826273E-2</v>
      </c>
      <c r="R218" s="10">
        <f t="shared" si="29"/>
        <v>6.5466059667993612E-2</v>
      </c>
      <c r="S218" s="10">
        <f t="shared" si="30"/>
        <v>7.9764353099819885E-2</v>
      </c>
    </row>
    <row r="219" spans="1:19" x14ac:dyDescent="0.25">
      <c r="A219" s="5" t="s">
        <v>8</v>
      </c>
      <c r="B219" s="5" t="s">
        <v>231</v>
      </c>
      <c r="C219" s="5" t="s">
        <v>27</v>
      </c>
      <c r="D219" s="5" t="s">
        <v>385</v>
      </c>
      <c r="E219" s="5" t="s">
        <v>384</v>
      </c>
      <c r="F219" s="5" t="s">
        <v>30</v>
      </c>
      <c r="G219" s="5" t="s">
        <v>392</v>
      </c>
      <c r="H219" s="5" t="s">
        <v>232</v>
      </c>
      <c r="I219" s="5" t="s">
        <v>67</v>
      </c>
      <c r="J219" s="15">
        <v>2400</v>
      </c>
      <c r="K219" s="7">
        <v>28</v>
      </c>
      <c r="L219" s="7">
        <f t="shared" si="25"/>
        <v>85.714285714285708</v>
      </c>
      <c r="M219" s="5" t="s">
        <v>10</v>
      </c>
      <c r="N219" s="5">
        <v>4</v>
      </c>
      <c r="O219" s="6">
        <f t="shared" si="26"/>
        <v>11.020408163265305</v>
      </c>
      <c r="P219" s="6">
        <f t="shared" si="27"/>
        <v>1.1461224489795918</v>
      </c>
      <c r="Q219" s="10">
        <f t="shared" si="28"/>
        <v>2.3877551020408158E-2</v>
      </c>
      <c r="R219" s="10">
        <f t="shared" si="29"/>
        <v>9.6171277298758448E-2</v>
      </c>
      <c r="S219" s="10">
        <f t="shared" si="30"/>
        <v>0.12004882831916661</v>
      </c>
    </row>
    <row r="220" spans="1:19" x14ac:dyDescent="0.25">
      <c r="A220" s="5" t="s">
        <v>8</v>
      </c>
      <c r="B220" s="5" t="s">
        <v>366</v>
      </c>
      <c r="C220" s="5" t="s">
        <v>27</v>
      </c>
      <c r="D220" s="5" t="s">
        <v>385</v>
      </c>
      <c r="E220" s="5" t="s">
        <v>384</v>
      </c>
      <c r="F220" s="5" t="s">
        <v>30</v>
      </c>
      <c r="G220" s="5" t="s">
        <v>392</v>
      </c>
      <c r="H220" s="5" t="s">
        <v>232</v>
      </c>
      <c r="I220" s="5" t="s">
        <v>368</v>
      </c>
      <c r="J220" s="15">
        <v>2350</v>
      </c>
      <c r="K220" s="7">
        <v>28.5</v>
      </c>
      <c r="L220" s="7">
        <f t="shared" si="25"/>
        <v>82.456140350877192</v>
      </c>
      <c r="M220" s="5" t="s">
        <v>10</v>
      </c>
      <c r="N220" s="5">
        <v>4</v>
      </c>
      <c r="O220" s="6">
        <f t="shared" si="26"/>
        <v>9.9860534010464761</v>
      </c>
      <c r="P220" s="6">
        <f t="shared" si="27"/>
        <v>1.0385495537088334</v>
      </c>
      <c r="Q220" s="10">
        <f t="shared" si="28"/>
        <v>2.1636449035600695E-2</v>
      </c>
      <c r="R220" s="10">
        <f t="shared" si="29"/>
        <v>8.9318729610296993E-2</v>
      </c>
      <c r="S220" s="10">
        <f t="shared" si="30"/>
        <v>0.11095517864589768</v>
      </c>
    </row>
    <row r="221" spans="1:19" x14ac:dyDescent="0.25">
      <c r="A221" s="5" t="s">
        <v>8</v>
      </c>
      <c r="B221" s="5" t="s">
        <v>366</v>
      </c>
      <c r="C221" s="5" t="s">
        <v>27</v>
      </c>
      <c r="D221" s="5" t="s">
        <v>385</v>
      </c>
      <c r="E221" s="5" t="s">
        <v>384</v>
      </c>
      <c r="F221" s="5" t="s">
        <v>30</v>
      </c>
      <c r="G221" s="5" t="s">
        <v>392</v>
      </c>
      <c r="H221" s="5" t="s">
        <v>232</v>
      </c>
      <c r="I221" s="5" t="s">
        <v>368</v>
      </c>
      <c r="J221" s="15">
        <v>2726</v>
      </c>
      <c r="K221" s="7">
        <v>30.5</v>
      </c>
      <c r="L221" s="7">
        <f t="shared" si="25"/>
        <v>89.377049180327873</v>
      </c>
      <c r="M221" s="5" t="s">
        <v>10</v>
      </c>
      <c r="N221" s="5">
        <v>4</v>
      </c>
      <c r="O221" s="6">
        <f t="shared" si="26"/>
        <v>13.609992727761355</v>
      </c>
      <c r="P221" s="6">
        <f t="shared" si="27"/>
        <v>1.4154392436871808</v>
      </c>
      <c r="Q221" s="10">
        <f t="shared" si="28"/>
        <v>2.9488317576816272E-2</v>
      </c>
      <c r="R221" s="10">
        <f t="shared" si="29"/>
        <v>0.11266539513595818</v>
      </c>
      <c r="S221" s="10">
        <f t="shared" si="30"/>
        <v>0.14215371271277444</v>
      </c>
    </row>
    <row r="222" spans="1:19" x14ac:dyDescent="0.25">
      <c r="A222" s="5" t="s">
        <v>8</v>
      </c>
      <c r="B222" s="5" t="s">
        <v>366</v>
      </c>
      <c r="C222" s="5" t="s">
        <v>27</v>
      </c>
      <c r="D222" s="5" t="s">
        <v>385</v>
      </c>
      <c r="E222" s="5" t="s">
        <v>384</v>
      </c>
      <c r="F222" s="5" t="s">
        <v>30</v>
      </c>
      <c r="G222" s="5" t="s">
        <v>392</v>
      </c>
      <c r="H222" s="5" t="s">
        <v>232</v>
      </c>
      <c r="I222" s="5" t="s">
        <v>35</v>
      </c>
      <c r="J222" s="15">
        <v>2900</v>
      </c>
      <c r="K222" s="7">
        <v>33</v>
      </c>
      <c r="L222" s="7">
        <f t="shared" si="25"/>
        <v>87.878787878787875</v>
      </c>
      <c r="M222" s="5" t="s">
        <v>10</v>
      </c>
      <c r="N222" s="5">
        <v>4</v>
      </c>
      <c r="O222" s="6">
        <f t="shared" si="26"/>
        <v>13.997359963269052</v>
      </c>
      <c r="P222" s="6">
        <f t="shared" si="27"/>
        <v>1.4557254361799814</v>
      </c>
      <c r="Q222" s="10">
        <f t="shared" si="28"/>
        <v>3.0327613253749608E-2</v>
      </c>
      <c r="R222" s="10">
        <f t="shared" si="29"/>
        <v>0.11506194811191645</v>
      </c>
      <c r="S222" s="10">
        <f t="shared" si="30"/>
        <v>0.14538956136566605</v>
      </c>
    </row>
    <row r="223" spans="1:19" x14ac:dyDescent="0.25">
      <c r="A223" s="5" t="s">
        <v>22</v>
      </c>
      <c r="B223" s="5" t="s">
        <v>63</v>
      </c>
      <c r="C223" s="5" t="s">
        <v>27</v>
      </c>
      <c r="D223" s="5" t="s">
        <v>385</v>
      </c>
      <c r="E223" s="5" t="s">
        <v>384</v>
      </c>
      <c r="F223" s="5" t="s">
        <v>30</v>
      </c>
      <c r="G223" s="5" t="s">
        <v>392</v>
      </c>
      <c r="H223" s="5" t="s">
        <v>66</v>
      </c>
      <c r="I223" s="5" t="s">
        <v>67</v>
      </c>
      <c r="J223" s="15">
        <v>2350</v>
      </c>
      <c r="K223" s="7">
        <v>28</v>
      </c>
      <c r="L223" s="7">
        <f t="shared" si="25"/>
        <v>83.928571428571431</v>
      </c>
      <c r="M223" s="5" t="s">
        <v>10</v>
      </c>
      <c r="N223" s="5">
        <v>4</v>
      </c>
      <c r="O223" s="6">
        <f t="shared" si="26"/>
        <v>10.345882493622449</v>
      </c>
      <c r="P223" s="6">
        <f t="shared" si="27"/>
        <v>1.0759717793367347</v>
      </c>
      <c r="Q223" s="10">
        <f t="shared" si="28"/>
        <v>2.2416078736181972E-2</v>
      </c>
      <c r="R223" s="10">
        <f t="shared" si="29"/>
        <v>9.1721844656989765E-2</v>
      </c>
      <c r="S223" s="10">
        <f t="shared" si="30"/>
        <v>0.11413792339317173</v>
      </c>
    </row>
    <row r="224" spans="1:19" x14ac:dyDescent="0.25">
      <c r="A224" s="5" t="s">
        <v>8</v>
      </c>
      <c r="B224" s="5" t="s">
        <v>241</v>
      </c>
      <c r="C224" s="5" t="s">
        <v>27</v>
      </c>
      <c r="D224" s="5" t="s">
        <v>385</v>
      </c>
      <c r="E224" s="5" t="s">
        <v>384</v>
      </c>
      <c r="F224" s="5" t="s">
        <v>30</v>
      </c>
      <c r="G224" s="5" t="s">
        <v>392</v>
      </c>
      <c r="H224" s="5" t="s">
        <v>40</v>
      </c>
      <c r="I224" s="5" t="s">
        <v>249</v>
      </c>
      <c r="J224" s="15">
        <v>1750</v>
      </c>
      <c r="K224" s="7">
        <v>25</v>
      </c>
      <c r="L224" s="7">
        <f t="shared" si="25"/>
        <v>70</v>
      </c>
      <c r="M224" s="5" t="s">
        <v>10</v>
      </c>
      <c r="N224" s="5">
        <v>4</v>
      </c>
      <c r="O224" s="6">
        <f t="shared" si="26"/>
        <v>5.359375</v>
      </c>
      <c r="P224" s="6">
        <f t="shared" si="27"/>
        <v>0.55737499999999995</v>
      </c>
      <c r="Q224" s="10">
        <f t="shared" si="28"/>
        <v>1.1611979166666666E-2</v>
      </c>
      <c r="R224" s="10">
        <f t="shared" si="29"/>
        <v>5.6005765012085269E-2</v>
      </c>
      <c r="S224" s="10">
        <f t="shared" si="30"/>
        <v>6.7617744178751937E-2</v>
      </c>
    </row>
    <row r="225" spans="1:19" x14ac:dyDescent="0.25">
      <c r="A225" s="5" t="s">
        <v>22</v>
      </c>
      <c r="B225" s="5" t="s">
        <v>26</v>
      </c>
      <c r="C225" s="5" t="s">
        <v>27</v>
      </c>
      <c r="D225" s="5" t="s">
        <v>385</v>
      </c>
      <c r="E225" s="5" t="s">
        <v>384</v>
      </c>
      <c r="F225" s="5" t="s">
        <v>30</v>
      </c>
      <c r="G225" s="5" t="s">
        <v>392</v>
      </c>
      <c r="H225" s="5" t="s">
        <v>40</v>
      </c>
      <c r="I225" s="5" t="s">
        <v>41</v>
      </c>
      <c r="J225" s="15">
        <v>2500</v>
      </c>
      <c r="K225" s="7">
        <v>28</v>
      </c>
      <c r="L225" s="7">
        <f t="shared" si="25"/>
        <v>89.285714285714292</v>
      </c>
      <c r="M225" s="5" t="s">
        <v>10</v>
      </c>
      <c r="N225" s="5">
        <v>4</v>
      </c>
      <c r="O225" s="6">
        <f t="shared" si="26"/>
        <v>12.456154336734695</v>
      </c>
      <c r="P225" s="6">
        <f t="shared" si="27"/>
        <v>1.2954400510204083</v>
      </c>
      <c r="Q225" s="10">
        <f t="shared" si="28"/>
        <v>2.6988334396258504E-2</v>
      </c>
      <c r="R225" s="10">
        <f t="shared" si="29"/>
        <v>0.10542293667898026</v>
      </c>
      <c r="S225" s="10">
        <f t="shared" si="30"/>
        <v>0.13241127107523876</v>
      </c>
    </row>
    <row r="226" spans="1:19" x14ac:dyDescent="0.25">
      <c r="A226" s="5" t="s">
        <v>8</v>
      </c>
      <c r="B226" s="5" t="s">
        <v>241</v>
      </c>
      <c r="C226" s="5" t="s">
        <v>27</v>
      </c>
      <c r="D226" s="5" t="s">
        <v>385</v>
      </c>
      <c r="E226" s="5" t="s">
        <v>384</v>
      </c>
      <c r="F226" s="5" t="s">
        <v>30</v>
      </c>
      <c r="G226" s="5" t="s">
        <v>392</v>
      </c>
      <c r="H226" s="5" t="s">
        <v>40</v>
      </c>
      <c r="I226" s="5" t="s">
        <v>41</v>
      </c>
      <c r="J226" s="15">
        <v>2300</v>
      </c>
      <c r="K226" s="7">
        <v>31</v>
      </c>
      <c r="L226" s="7">
        <f t="shared" si="25"/>
        <v>74.193548387096769</v>
      </c>
      <c r="M226" s="5" t="s">
        <v>10</v>
      </c>
      <c r="N226" s="5">
        <v>4</v>
      </c>
      <c r="O226" s="6">
        <f t="shared" si="26"/>
        <v>7.912981269510925</v>
      </c>
      <c r="P226" s="6">
        <f t="shared" si="27"/>
        <v>0.82295005202913618</v>
      </c>
      <c r="Q226" s="10">
        <f t="shared" si="28"/>
        <v>1.7144792750607003E-2</v>
      </c>
      <c r="R226" s="10">
        <f t="shared" si="29"/>
        <v>7.5015710610391848E-2</v>
      </c>
      <c r="S226" s="10">
        <f t="shared" si="30"/>
        <v>9.2160503360998847E-2</v>
      </c>
    </row>
    <row r="227" spans="1:19" x14ac:dyDescent="0.25">
      <c r="A227" s="5" t="s">
        <v>8</v>
      </c>
      <c r="B227" s="5" t="s">
        <v>313</v>
      </c>
      <c r="C227" s="5" t="s">
        <v>27</v>
      </c>
      <c r="D227" s="5" t="s">
        <v>385</v>
      </c>
      <c r="E227" s="5" t="s">
        <v>384</v>
      </c>
      <c r="F227" s="5" t="s">
        <v>30</v>
      </c>
      <c r="G227" s="5" t="s">
        <v>392</v>
      </c>
      <c r="H227" s="5" t="s">
        <v>40</v>
      </c>
      <c r="I227" s="5" t="s">
        <v>41</v>
      </c>
      <c r="J227" s="15">
        <v>2650</v>
      </c>
      <c r="K227" s="7">
        <v>27.1</v>
      </c>
      <c r="L227" s="7">
        <f t="shared" si="25"/>
        <v>97.785977859778598</v>
      </c>
      <c r="M227" s="5" t="s">
        <v>10</v>
      </c>
      <c r="N227" s="5">
        <v>4</v>
      </c>
      <c r="O227" s="6">
        <f t="shared" si="26"/>
        <v>15.83722392805109</v>
      </c>
      <c r="P227" s="6">
        <f t="shared" si="27"/>
        <v>1.6470712885173131</v>
      </c>
      <c r="Q227" s="10">
        <f t="shared" si="28"/>
        <v>3.431398517744403E-2</v>
      </c>
      <c r="R227" s="10">
        <f t="shared" si="29"/>
        <v>0.1262282081691613</v>
      </c>
      <c r="S227" s="10">
        <f t="shared" si="30"/>
        <v>0.16054219334660533</v>
      </c>
    </row>
    <row r="228" spans="1:19" x14ac:dyDescent="0.25">
      <c r="A228" s="5" t="s">
        <v>8</v>
      </c>
      <c r="B228" s="5" t="s">
        <v>241</v>
      </c>
      <c r="C228" s="5" t="s">
        <v>27</v>
      </c>
      <c r="D228" s="5" t="s">
        <v>385</v>
      </c>
      <c r="E228" s="5" t="s">
        <v>384</v>
      </c>
      <c r="F228" s="5" t="s">
        <v>30</v>
      </c>
      <c r="G228" s="5" t="s">
        <v>392</v>
      </c>
      <c r="H228" s="5" t="s">
        <v>40</v>
      </c>
      <c r="I228" s="5" t="s">
        <v>250</v>
      </c>
      <c r="J228" s="15">
        <v>1710</v>
      </c>
      <c r="K228" s="7">
        <v>25</v>
      </c>
      <c r="L228" s="7">
        <f t="shared" si="25"/>
        <v>68.400000000000006</v>
      </c>
      <c r="M228" s="5" t="s">
        <v>10</v>
      </c>
      <c r="N228" s="5">
        <v>4</v>
      </c>
      <c r="O228" s="6">
        <f t="shared" si="26"/>
        <v>5.0002110000000002</v>
      </c>
      <c r="P228" s="6">
        <f t="shared" si="27"/>
        <v>0.52002194400000012</v>
      </c>
      <c r="Q228" s="10">
        <f t="shared" si="28"/>
        <v>1.0833790500000001E-2</v>
      </c>
      <c r="R228" s="10">
        <f t="shared" si="29"/>
        <v>5.316653690438651E-2</v>
      </c>
      <c r="S228" s="10">
        <f t="shared" si="30"/>
        <v>6.4000327404386506E-2</v>
      </c>
    </row>
    <row r="229" spans="1:19" x14ac:dyDescent="0.25">
      <c r="A229" s="5" t="s">
        <v>8</v>
      </c>
      <c r="B229" s="5" t="s">
        <v>241</v>
      </c>
      <c r="C229" s="5" t="s">
        <v>27</v>
      </c>
      <c r="D229" s="5" t="s">
        <v>385</v>
      </c>
      <c r="E229" s="5" t="s">
        <v>384</v>
      </c>
      <c r="F229" s="5" t="s">
        <v>30</v>
      </c>
      <c r="G229" s="5" t="s">
        <v>392</v>
      </c>
      <c r="H229" s="5" t="s">
        <v>40</v>
      </c>
      <c r="I229" s="5" t="s">
        <v>252</v>
      </c>
      <c r="J229" s="15">
        <v>1670</v>
      </c>
      <c r="K229" s="7">
        <v>28.5</v>
      </c>
      <c r="L229" s="7">
        <f t="shared" si="25"/>
        <v>58.596491228070178</v>
      </c>
      <c r="M229" s="5" t="s">
        <v>10</v>
      </c>
      <c r="N229" s="5">
        <v>4</v>
      </c>
      <c r="O229" s="6">
        <f t="shared" si="26"/>
        <v>3.5837665435518629</v>
      </c>
      <c r="P229" s="6">
        <f t="shared" si="27"/>
        <v>0.37271172052939366</v>
      </c>
      <c r="Q229" s="10">
        <f t="shared" si="28"/>
        <v>7.7648275110290361E-3</v>
      </c>
      <c r="R229" s="10">
        <f t="shared" si="29"/>
        <v>4.1414450883432853E-2</v>
      </c>
      <c r="S229" s="10">
        <f t="shared" si="30"/>
        <v>4.9179278394461887E-2</v>
      </c>
    </row>
    <row r="230" spans="1:19" x14ac:dyDescent="0.25">
      <c r="A230" s="5" t="s">
        <v>8</v>
      </c>
      <c r="B230" s="5" t="s">
        <v>241</v>
      </c>
      <c r="C230" s="5" t="s">
        <v>27</v>
      </c>
      <c r="D230" s="5" t="s">
        <v>385</v>
      </c>
      <c r="E230" s="5" t="s">
        <v>384</v>
      </c>
      <c r="F230" s="5" t="s">
        <v>30</v>
      </c>
      <c r="G230" s="5" t="s">
        <v>392</v>
      </c>
      <c r="H230" s="5" t="s">
        <v>40</v>
      </c>
      <c r="I230" s="5" t="s">
        <v>11</v>
      </c>
      <c r="J230" s="15">
        <v>2375</v>
      </c>
      <c r="K230" s="7">
        <v>27</v>
      </c>
      <c r="L230" s="7">
        <f t="shared" si="25"/>
        <v>87.962962962962962</v>
      </c>
      <c r="M230" s="5" t="s">
        <v>10</v>
      </c>
      <c r="N230" s="5">
        <v>4</v>
      </c>
      <c r="O230" s="6">
        <f t="shared" si="26"/>
        <v>11.485326110253771</v>
      </c>
      <c r="P230" s="6">
        <f t="shared" si="27"/>
        <v>1.1944739154663921</v>
      </c>
      <c r="Q230" s="10">
        <f t="shared" si="28"/>
        <v>2.4884873238883169E-2</v>
      </c>
      <c r="R230" s="10">
        <f t="shared" si="29"/>
        <v>9.9198389756610938E-2</v>
      </c>
      <c r="S230" s="10">
        <f t="shared" si="30"/>
        <v>0.1240832629954941</v>
      </c>
    </row>
    <row r="231" spans="1:19" x14ac:dyDescent="0.25">
      <c r="A231" s="5" t="s">
        <v>8</v>
      </c>
      <c r="B231" s="5" t="s">
        <v>241</v>
      </c>
      <c r="C231" s="5" t="s">
        <v>27</v>
      </c>
      <c r="D231" s="5" t="s">
        <v>385</v>
      </c>
      <c r="E231" s="5" t="s">
        <v>384</v>
      </c>
      <c r="F231" s="5" t="s">
        <v>30</v>
      </c>
      <c r="G231" s="5" t="s">
        <v>392</v>
      </c>
      <c r="H231" s="5" t="s">
        <v>40</v>
      </c>
      <c r="I231" s="5" t="s">
        <v>260</v>
      </c>
      <c r="J231" s="15">
        <v>2250</v>
      </c>
      <c r="K231" s="7">
        <v>26.2</v>
      </c>
      <c r="L231" s="7">
        <f t="shared" si="25"/>
        <v>85.877862595419856</v>
      </c>
      <c r="M231" s="5" t="s">
        <v>10</v>
      </c>
      <c r="N231" s="5">
        <v>4</v>
      </c>
      <c r="O231" s="6">
        <f t="shared" si="26"/>
        <v>10.371103993065674</v>
      </c>
      <c r="P231" s="6">
        <f t="shared" si="27"/>
        <v>1.0785948152788301</v>
      </c>
      <c r="Q231" s="10">
        <f t="shared" si="28"/>
        <v>2.2470725318308959E-2</v>
      </c>
      <c r="R231" s="10">
        <f t="shared" si="29"/>
        <v>9.1889495281948216E-2</v>
      </c>
      <c r="S231" s="10">
        <f t="shared" si="30"/>
        <v>0.11436022060025718</v>
      </c>
    </row>
    <row r="232" spans="1:19" x14ac:dyDescent="0.25">
      <c r="A232" s="5" t="s">
        <v>8</v>
      </c>
      <c r="B232" s="5" t="s">
        <v>188</v>
      </c>
      <c r="C232" s="5" t="s">
        <v>27</v>
      </c>
      <c r="D232" s="5" t="s">
        <v>385</v>
      </c>
      <c r="E232" s="5" t="s">
        <v>384</v>
      </c>
      <c r="F232" s="5" t="s">
        <v>30</v>
      </c>
      <c r="G232" s="5" t="s">
        <v>392</v>
      </c>
      <c r="H232" s="5" t="s">
        <v>40</v>
      </c>
      <c r="I232" s="5" t="s">
        <v>190</v>
      </c>
      <c r="J232" s="15">
        <v>2800</v>
      </c>
      <c r="K232" s="7">
        <v>27</v>
      </c>
      <c r="L232" s="7">
        <f t="shared" si="25"/>
        <v>103.70370370370371</v>
      </c>
      <c r="M232" s="5" t="s">
        <v>10</v>
      </c>
      <c r="N232" s="5">
        <v>4</v>
      </c>
      <c r="O232" s="6">
        <f t="shared" si="26"/>
        <v>18.820301783264746</v>
      </c>
      <c r="P232" s="6">
        <f t="shared" si="27"/>
        <v>1.9573113854595339</v>
      </c>
      <c r="Q232" s="10">
        <f t="shared" si="28"/>
        <v>4.0777320530406946E-2</v>
      </c>
      <c r="R232" s="10">
        <f t="shared" si="29"/>
        <v>0.14367032083802037</v>
      </c>
      <c r="S232" s="10">
        <f t="shared" si="30"/>
        <v>0.18444764136842731</v>
      </c>
    </row>
    <row r="233" spans="1:19" x14ac:dyDescent="0.25">
      <c r="A233" s="5" t="s">
        <v>8</v>
      </c>
      <c r="B233" s="5" t="s">
        <v>241</v>
      </c>
      <c r="C233" s="5" t="s">
        <v>27</v>
      </c>
      <c r="D233" s="5" t="s">
        <v>385</v>
      </c>
      <c r="E233" s="5" t="s">
        <v>384</v>
      </c>
      <c r="F233" s="5" t="s">
        <v>30</v>
      </c>
      <c r="G233" s="5" t="s">
        <v>392</v>
      </c>
      <c r="H233" s="5" t="s">
        <v>40</v>
      </c>
      <c r="I233" s="5" t="s">
        <v>190</v>
      </c>
      <c r="J233" s="15">
        <v>2885</v>
      </c>
      <c r="K233" s="7">
        <v>27.5</v>
      </c>
      <c r="L233" s="7">
        <f t="shared" si="25"/>
        <v>104.90909090909091</v>
      </c>
      <c r="M233" s="5" t="s">
        <v>10</v>
      </c>
      <c r="N233" s="5">
        <v>4</v>
      </c>
      <c r="O233" s="6">
        <f t="shared" si="26"/>
        <v>19.845044731404958</v>
      </c>
      <c r="P233" s="6">
        <f t="shared" si="27"/>
        <v>2.0638846520661156</v>
      </c>
      <c r="Q233" s="10">
        <f t="shared" si="28"/>
        <v>4.2997596918044077E-2</v>
      </c>
      <c r="R233" s="10">
        <f t="shared" si="29"/>
        <v>0.1494982765139998</v>
      </c>
      <c r="S233" s="10">
        <f t="shared" si="30"/>
        <v>0.19249587343204388</v>
      </c>
    </row>
    <row r="234" spans="1:19" x14ac:dyDescent="0.25">
      <c r="A234" s="5" t="s">
        <v>8</v>
      </c>
      <c r="B234" s="5" t="s">
        <v>241</v>
      </c>
      <c r="C234" s="5" t="s">
        <v>27</v>
      </c>
      <c r="D234" s="5" t="s">
        <v>385</v>
      </c>
      <c r="E234" s="5" t="s">
        <v>384</v>
      </c>
      <c r="F234" s="5" t="s">
        <v>30</v>
      </c>
      <c r="G234" s="5" t="s">
        <v>392</v>
      </c>
      <c r="H234" s="5" t="s">
        <v>40</v>
      </c>
      <c r="I234" s="5" t="s">
        <v>257</v>
      </c>
      <c r="J234" s="15">
        <v>2020</v>
      </c>
      <c r="K234" s="7">
        <v>23.5</v>
      </c>
      <c r="L234" s="7">
        <f t="shared" si="25"/>
        <v>85.957446808510639</v>
      </c>
      <c r="M234" s="5" t="s">
        <v>10</v>
      </c>
      <c r="N234" s="5">
        <v>4</v>
      </c>
      <c r="O234" s="6">
        <f t="shared" si="26"/>
        <v>9.3282118605703932</v>
      </c>
      <c r="P234" s="6">
        <f t="shared" si="27"/>
        <v>0.97013403349932081</v>
      </c>
      <c r="Q234" s="10">
        <f t="shared" si="28"/>
        <v>2.0211125697902517E-2</v>
      </c>
      <c r="R234" s="10">
        <f t="shared" si="29"/>
        <v>8.486838252062337E-2</v>
      </c>
      <c r="S234" s="10">
        <f t="shared" si="30"/>
        <v>0.10507950821852588</v>
      </c>
    </row>
    <row r="235" spans="1:19" x14ac:dyDescent="0.25">
      <c r="A235" s="5" t="s">
        <v>8</v>
      </c>
      <c r="B235" s="5" t="s">
        <v>241</v>
      </c>
      <c r="C235" s="5" t="s">
        <v>27</v>
      </c>
      <c r="D235" s="5" t="s">
        <v>385</v>
      </c>
      <c r="E235" s="5" t="s">
        <v>384</v>
      </c>
      <c r="F235" s="5" t="s">
        <v>30</v>
      </c>
      <c r="G235" s="5" t="s">
        <v>392</v>
      </c>
      <c r="H235" s="5" t="s">
        <v>40</v>
      </c>
      <c r="I235" s="5" t="s">
        <v>258</v>
      </c>
      <c r="J235" s="15">
        <v>2220</v>
      </c>
      <c r="K235" s="7">
        <v>28</v>
      </c>
      <c r="L235" s="7">
        <f t="shared" si="25"/>
        <v>79.285714285714292</v>
      </c>
      <c r="M235" s="5" t="s">
        <v>10</v>
      </c>
      <c r="N235" s="5">
        <v>4</v>
      </c>
      <c r="O235" s="6">
        <f t="shared" si="26"/>
        <v>8.7221364795918372</v>
      </c>
      <c r="P235" s="6">
        <f t="shared" si="27"/>
        <v>0.90710219387755109</v>
      </c>
      <c r="Q235" s="10">
        <f t="shared" si="28"/>
        <v>1.8897962372448979E-2</v>
      </c>
      <c r="R235" s="10">
        <f t="shared" si="29"/>
        <v>8.0698280844358428E-2</v>
      </c>
      <c r="S235" s="10">
        <f t="shared" si="30"/>
        <v>9.9596243216807406E-2</v>
      </c>
    </row>
    <row r="236" spans="1:19" x14ac:dyDescent="0.25">
      <c r="A236" s="5" t="s">
        <v>8</v>
      </c>
      <c r="B236" s="5" t="s">
        <v>188</v>
      </c>
      <c r="C236" s="5" t="s">
        <v>27</v>
      </c>
      <c r="D236" s="5" t="s">
        <v>385</v>
      </c>
      <c r="E236" s="5" t="s">
        <v>384</v>
      </c>
      <c r="F236" s="5" t="s">
        <v>30</v>
      </c>
      <c r="G236" s="5" t="s">
        <v>392</v>
      </c>
      <c r="H236" s="5" t="s">
        <v>40</v>
      </c>
      <c r="I236" s="5" t="s">
        <v>189</v>
      </c>
      <c r="J236" s="15">
        <v>2200</v>
      </c>
      <c r="K236" s="7">
        <v>28.7</v>
      </c>
      <c r="L236" s="7">
        <f t="shared" si="25"/>
        <v>76.655052264808361</v>
      </c>
      <c r="M236" s="5" t="s">
        <v>10</v>
      </c>
      <c r="N236" s="5">
        <v>4</v>
      </c>
      <c r="O236" s="6">
        <f t="shared" si="26"/>
        <v>8.0794959268656896</v>
      </c>
      <c r="P236" s="6">
        <f t="shared" si="27"/>
        <v>0.8402675763940316</v>
      </c>
      <c r="Q236" s="10">
        <f t="shared" si="28"/>
        <v>1.7505574508208995E-2</v>
      </c>
      <c r="R236" s="10">
        <f t="shared" si="29"/>
        <v>7.6196552828618133E-2</v>
      </c>
      <c r="S236" s="10">
        <f t="shared" si="30"/>
        <v>9.3702127336827132E-2</v>
      </c>
    </row>
    <row r="237" spans="1:19" x14ac:dyDescent="0.25">
      <c r="A237" s="5" t="s">
        <v>8</v>
      </c>
      <c r="B237" s="5" t="s">
        <v>188</v>
      </c>
      <c r="C237" s="5" t="s">
        <v>27</v>
      </c>
      <c r="D237" s="5" t="s">
        <v>385</v>
      </c>
      <c r="E237" s="5" t="s">
        <v>384</v>
      </c>
      <c r="F237" s="5" t="s">
        <v>30</v>
      </c>
      <c r="G237" s="5" t="s">
        <v>392</v>
      </c>
      <c r="H237" s="5" t="s">
        <v>40</v>
      </c>
      <c r="I237" s="5" t="s">
        <v>189</v>
      </c>
      <c r="J237" s="15">
        <v>2100</v>
      </c>
      <c r="K237" s="7">
        <v>22.2</v>
      </c>
      <c r="L237" s="7">
        <f t="shared" si="25"/>
        <v>94.594594594594597</v>
      </c>
      <c r="M237" s="5" t="s">
        <v>10</v>
      </c>
      <c r="N237" s="5">
        <v>4</v>
      </c>
      <c r="O237" s="6">
        <f t="shared" si="26"/>
        <v>11.744430241051864</v>
      </c>
      <c r="P237" s="6">
        <f t="shared" si="27"/>
        <v>1.2214207450693937</v>
      </c>
      <c r="Q237" s="10">
        <f t="shared" si="28"/>
        <v>2.5446265522279039E-2</v>
      </c>
      <c r="R237" s="10">
        <f t="shared" si="29"/>
        <v>0.1008721061659506</v>
      </c>
      <c r="S237" s="10">
        <f t="shared" si="30"/>
        <v>0.12631837168822965</v>
      </c>
    </row>
    <row r="238" spans="1:19" x14ac:dyDescent="0.25">
      <c r="A238" s="5" t="s">
        <v>8</v>
      </c>
      <c r="B238" s="5" t="s">
        <v>313</v>
      </c>
      <c r="C238" s="5" t="s">
        <v>27</v>
      </c>
      <c r="D238" s="5" t="s">
        <v>385</v>
      </c>
      <c r="E238" s="5" t="s">
        <v>384</v>
      </c>
      <c r="F238" s="5" t="s">
        <v>30</v>
      </c>
      <c r="G238" s="5" t="s">
        <v>392</v>
      </c>
      <c r="H238" s="5" t="s">
        <v>40</v>
      </c>
      <c r="I238" s="5" t="s">
        <v>314</v>
      </c>
      <c r="J238" s="15">
        <v>1910</v>
      </c>
      <c r="K238" s="7">
        <v>24</v>
      </c>
      <c r="L238" s="7">
        <f t="shared" si="25"/>
        <v>79.583333333333329</v>
      </c>
      <c r="M238" s="5" t="s">
        <v>10</v>
      </c>
      <c r="N238" s="5">
        <v>4</v>
      </c>
      <c r="O238" s="6">
        <f t="shared" si="26"/>
        <v>7.5606239149305541</v>
      </c>
      <c r="P238" s="6">
        <f t="shared" si="27"/>
        <v>0.78630488715277769</v>
      </c>
      <c r="Q238" s="10">
        <f t="shared" si="28"/>
        <v>1.6381351815682867E-2</v>
      </c>
      <c r="R238" s="10">
        <f t="shared" si="29"/>
        <v>7.2496218047525651E-2</v>
      </c>
      <c r="S238" s="10">
        <f t="shared" si="30"/>
        <v>8.8877569863208522E-2</v>
      </c>
    </row>
    <row r="239" spans="1:19" x14ac:dyDescent="0.25">
      <c r="A239" s="5" t="s">
        <v>8</v>
      </c>
      <c r="B239" s="5" t="s">
        <v>241</v>
      </c>
      <c r="C239" s="5" t="s">
        <v>27</v>
      </c>
      <c r="D239" s="5" t="s">
        <v>385</v>
      </c>
      <c r="E239" s="5" t="s">
        <v>384</v>
      </c>
      <c r="F239" s="5" t="s">
        <v>30</v>
      </c>
      <c r="G239" s="5" t="s">
        <v>392</v>
      </c>
      <c r="H239" s="5" t="s">
        <v>40</v>
      </c>
      <c r="I239" s="5" t="s">
        <v>251</v>
      </c>
      <c r="J239" s="15">
        <v>1940</v>
      </c>
      <c r="K239" s="7">
        <v>26.5</v>
      </c>
      <c r="L239" s="7">
        <f t="shared" si="25"/>
        <v>73.20754716981132</v>
      </c>
      <c r="M239" s="5" t="s">
        <v>10</v>
      </c>
      <c r="N239" s="5">
        <v>4</v>
      </c>
      <c r="O239" s="6">
        <f t="shared" si="26"/>
        <v>6.4982057671769313</v>
      </c>
      <c r="P239" s="6">
        <f t="shared" si="27"/>
        <v>0.67581339978640087</v>
      </c>
      <c r="Q239" s="10">
        <f t="shared" si="28"/>
        <v>1.4079445828883352E-2</v>
      </c>
      <c r="R239" s="10">
        <f t="shared" si="29"/>
        <v>6.4713102102881032E-2</v>
      </c>
      <c r="S239" s="10">
        <f t="shared" si="30"/>
        <v>7.8792547931764378E-2</v>
      </c>
    </row>
    <row r="240" spans="1:19" x14ac:dyDescent="0.25">
      <c r="A240" s="5" t="s">
        <v>8</v>
      </c>
      <c r="B240" s="5" t="s">
        <v>361</v>
      </c>
      <c r="C240" s="5" t="s">
        <v>27</v>
      </c>
      <c r="D240" s="5" t="s">
        <v>385</v>
      </c>
      <c r="E240" s="5" t="s">
        <v>384</v>
      </c>
      <c r="F240" s="5" t="s">
        <v>30</v>
      </c>
      <c r="G240" s="5" t="s">
        <v>392</v>
      </c>
      <c r="H240" s="5" t="s">
        <v>40</v>
      </c>
      <c r="I240" s="5" t="s">
        <v>362</v>
      </c>
      <c r="J240" s="15">
        <v>1970</v>
      </c>
      <c r="K240" s="7">
        <v>26.9</v>
      </c>
      <c r="L240" s="7">
        <f t="shared" si="25"/>
        <v>73.234200743494426</v>
      </c>
      <c r="M240" s="5" t="s">
        <v>10</v>
      </c>
      <c r="N240" s="5">
        <v>4</v>
      </c>
      <c r="O240" s="6">
        <f t="shared" si="26"/>
        <v>6.6034992952004536</v>
      </c>
      <c r="P240" s="6">
        <f t="shared" si="27"/>
        <v>0.68676392670084707</v>
      </c>
      <c r="Q240" s="10">
        <f t="shared" si="28"/>
        <v>1.430758180626765E-2</v>
      </c>
      <c r="R240" s="10">
        <f t="shared" si="29"/>
        <v>6.5497952840159274E-2</v>
      </c>
      <c r="S240" s="10">
        <f t="shared" si="30"/>
        <v>7.9805534646426923E-2</v>
      </c>
    </row>
    <row r="241" spans="1:19" x14ac:dyDescent="0.25">
      <c r="A241" s="5" t="s">
        <v>8</v>
      </c>
      <c r="B241" s="5" t="s">
        <v>241</v>
      </c>
      <c r="C241" s="5" t="s">
        <v>27</v>
      </c>
      <c r="D241" s="5" t="s">
        <v>385</v>
      </c>
      <c r="E241" s="5" t="s">
        <v>384</v>
      </c>
      <c r="F241" s="5" t="s">
        <v>30</v>
      </c>
      <c r="G241" s="5" t="s">
        <v>392</v>
      </c>
      <c r="H241" s="5" t="s">
        <v>40</v>
      </c>
      <c r="I241" s="5" t="s">
        <v>255</v>
      </c>
      <c r="J241" s="15">
        <v>2180</v>
      </c>
      <c r="K241" s="7">
        <v>20.2</v>
      </c>
      <c r="L241" s="7">
        <f t="shared" si="25"/>
        <v>107.92079207920793</v>
      </c>
      <c r="M241" s="5" t="s">
        <v>10</v>
      </c>
      <c r="N241" s="5">
        <v>4</v>
      </c>
      <c r="O241" s="6">
        <f t="shared" si="26"/>
        <v>15.868897657092445</v>
      </c>
      <c r="P241" s="6">
        <f t="shared" si="27"/>
        <v>1.6503653563376142</v>
      </c>
      <c r="Q241" s="10">
        <f t="shared" si="28"/>
        <v>3.4382611590366964E-2</v>
      </c>
      <c r="R241" s="10">
        <f t="shared" si="29"/>
        <v>0.12641749889048123</v>
      </c>
      <c r="S241" s="10">
        <f t="shared" si="30"/>
        <v>0.16080011048084819</v>
      </c>
    </row>
    <row r="242" spans="1:19" x14ac:dyDescent="0.25">
      <c r="A242" s="5" t="s">
        <v>8</v>
      </c>
      <c r="B242" s="5" t="s">
        <v>375</v>
      </c>
      <c r="C242" s="5" t="s">
        <v>27</v>
      </c>
      <c r="D242" s="5" t="s">
        <v>385</v>
      </c>
      <c r="E242" s="5" t="s">
        <v>384</v>
      </c>
      <c r="F242" s="5" t="s">
        <v>30</v>
      </c>
      <c r="G242" s="5" t="s">
        <v>392</v>
      </c>
      <c r="H242" s="5" t="s">
        <v>40</v>
      </c>
      <c r="I242" s="5" t="s">
        <v>377</v>
      </c>
      <c r="J242" s="15">
        <v>1900</v>
      </c>
      <c r="K242" s="7">
        <v>31.8</v>
      </c>
      <c r="L242" s="7">
        <f t="shared" si="25"/>
        <v>59.748427672955977</v>
      </c>
      <c r="M242" s="5" t="s">
        <v>10</v>
      </c>
      <c r="N242" s="5">
        <v>4</v>
      </c>
      <c r="O242" s="6">
        <f t="shared" si="26"/>
        <v>4.2392260986511614</v>
      </c>
      <c r="P242" s="6">
        <f t="shared" si="27"/>
        <v>0.44087951425972072</v>
      </c>
      <c r="Q242" s="10">
        <f t="shared" si="28"/>
        <v>9.1849898804108494E-3</v>
      </c>
      <c r="R242" s="10">
        <f t="shared" si="29"/>
        <v>4.6974488465593794E-2</v>
      </c>
      <c r="S242" s="10">
        <f t="shared" si="30"/>
        <v>5.615947834600464E-2</v>
      </c>
    </row>
    <row r="243" spans="1:19" x14ac:dyDescent="0.25">
      <c r="A243" s="5" t="s">
        <v>8</v>
      </c>
      <c r="B243" s="5" t="s">
        <v>241</v>
      </c>
      <c r="C243" s="5" t="s">
        <v>27</v>
      </c>
      <c r="D243" s="5" t="s">
        <v>385</v>
      </c>
      <c r="E243" s="5" t="s">
        <v>384</v>
      </c>
      <c r="F243" s="5" t="s">
        <v>30</v>
      </c>
      <c r="G243" s="5" t="s">
        <v>392</v>
      </c>
      <c r="H243" s="5" t="s">
        <v>40</v>
      </c>
      <c r="I243" s="5" t="s">
        <v>242</v>
      </c>
      <c r="J243" s="15">
        <v>1765</v>
      </c>
      <c r="K243" s="7">
        <v>23.2</v>
      </c>
      <c r="L243" s="7">
        <f t="shared" si="25"/>
        <v>76.077586206896555</v>
      </c>
      <c r="M243" s="5" t="s">
        <v>10</v>
      </c>
      <c r="N243" s="5">
        <v>4</v>
      </c>
      <c r="O243" s="6">
        <f t="shared" si="26"/>
        <v>6.3846659076341412</v>
      </c>
      <c r="P243" s="6">
        <f t="shared" si="27"/>
        <v>0.66400525439395075</v>
      </c>
      <c r="Q243" s="10">
        <f t="shared" si="28"/>
        <v>1.3833442799873972E-2</v>
      </c>
      <c r="R243" s="10">
        <f t="shared" si="29"/>
        <v>6.3863211893944297E-2</v>
      </c>
      <c r="S243" s="10">
        <f t="shared" si="30"/>
        <v>7.7696654693818271E-2</v>
      </c>
    </row>
    <row r="244" spans="1:19" x14ac:dyDescent="0.25">
      <c r="A244" s="5" t="s">
        <v>8</v>
      </c>
      <c r="B244" s="5" t="s">
        <v>241</v>
      </c>
      <c r="C244" s="5" t="s">
        <v>27</v>
      </c>
      <c r="D244" s="5" t="s">
        <v>385</v>
      </c>
      <c r="E244" s="5" t="s">
        <v>384</v>
      </c>
      <c r="F244" s="5" t="s">
        <v>30</v>
      </c>
      <c r="G244" s="5" t="s">
        <v>392</v>
      </c>
      <c r="H244" s="5" t="s">
        <v>40</v>
      </c>
      <c r="I244" s="5" t="s">
        <v>261</v>
      </c>
      <c r="J244" s="15">
        <v>2600</v>
      </c>
      <c r="K244" s="7">
        <v>27.5</v>
      </c>
      <c r="L244" s="7">
        <f t="shared" si="25"/>
        <v>94.545454545454547</v>
      </c>
      <c r="M244" s="5" t="s">
        <v>10</v>
      </c>
      <c r="N244" s="5">
        <v>4</v>
      </c>
      <c r="O244" s="6">
        <f t="shared" si="26"/>
        <v>14.525619834710744</v>
      </c>
      <c r="P244" s="6">
        <f t="shared" si="27"/>
        <v>1.5106644628099171</v>
      </c>
      <c r="Q244" s="10">
        <f t="shared" si="28"/>
        <v>3.1472176308539941E-2</v>
      </c>
      <c r="R244" s="10">
        <f t="shared" si="29"/>
        <v>0.11830364604409564</v>
      </c>
      <c r="S244" s="10">
        <f t="shared" si="30"/>
        <v>0.14977582235263559</v>
      </c>
    </row>
    <row r="245" spans="1:19" x14ac:dyDescent="0.25">
      <c r="A245" s="5" t="s">
        <v>8</v>
      </c>
      <c r="B245" s="5" t="s">
        <v>241</v>
      </c>
      <c r="C245" s="5" t="s">
        <v>27</v>
      </c>
      <c r="D245" s="5" t="s">
        <v>385</v>
      </c>
      <c r="E245" s="5" t="s">
        <v>384</v>
      </c>
      <c r="F245" s="5" t="s">
        <v>30</v>
      </c>
      <c r="G245" s="5" t="s">
        <v>392</v>
      </c>
      <c r="H245" s="5" t="s">
        <v>40</v>
      </c>
      <c r="I245" s="5" t="s">
        <v>243</v>
      </c>
      <c r="J245" s="15">
        <v>4700</v>
      </c>
      <c r="K245" s="7">
        <v>36.4</v>
      </c>
      <c r="L245" s="7">
        <f t="shared" si="25"/>
        <v>129.12087912087912</v>
      </c>
      <c r="M245" s="5" t="s">
        <v>10</v>
      </c>
      <c r="N245" s="5">
        <v>4</v>
      </c>
      <c r="O245" s="6">
        <f t="shared" si="26"/>
        <v>48.974591685786741</v>
      </c>
      <c r="P245" s="6">
        <f t="shared" si="27"/>
        <v>5.0933575353218208</v>
      </c>
      <c r="Q245" s="10">
        <f t="shared" si="28"/>
        <v>0.1061116153192046</v>
      </c>
      <c r="R245" s="10">
        <f t="shared" si="29"/>
        <v>0.29435759247386778</v>
      </c>
      <c r="S245" s="10">
        <f t="shared" si="30"/>
        <v>0.40046920779307238</v>
      </c>
    </row>
    <row r="246" spans="1:19" x14ac:dyDescent="0.25">
      <c r="A246" s="5" t="s">
        <v>8</v>
      </c>
      <c r="B246" s="5" t="s">
        <v>241</v>
      </c>
      <c r="C246" s="5" t="s">
        <v>27</v>
      </c>
      <c r="D246" s="5" t="s">
        <v>385</v>
      </c>
      <c r="E246" s="5" t="s">
        <v>384</v>
      </c>
      <c r="F246" s="5" t="s">
        <v>30</v>
      </c>
      <c r="G246" s="5" t="s">
        <v>392</v>
      </c>
      <c r="H246" s="5" t="s">
        <v>40</v>
      </c>
      <c r="I246" s="5" t="s">
        <v>244</v>
      </c>
      <c r="J246" s="15">
        <v>1500</v>
      </c>
      <c r="K246" s="7">
        <v>23</v>
      </c>
      <c r="L246" s="7">
        <f t="shared" si="25"/>
        <v>65.217391304347828</v>
      </c>
      <c r="M246" s="5" t="s">
        <v>10</v>
      </c>
      <c r="N246" s="5">
        <v>4</v>
      </c>
      <c r="O246" s="6">
        <f t="shared" si="26"/>
        <v>3.9874763705103979</v>
      </c>
      <c r="P246" s="6">
        <f t="shared" si="27"/>
        <v>0.41469754253308139</v>
      </c>
      <c r="Q246" s="10">
        <f t="shared" si="28"/>
        <v>8.6395321361058628E-3</v>
      </c>
      <c r="R246" s="10">
        <f t="shared" si="29"/>
        <v>4.4866347546259483E-2</v>
      </c>
      <c r="S246" s="10">
        <f t="shared" si="30"/>
        <v>5.3505879682365344E-2</v>
      </c>
    </row>
    <row r="247" spans="1:19" x14ac:dyDescent="0.25">
      <c r="A247" s="5" t="s">
        <v>22</v>
      </c>
      <c r="B247" s="5" t="s">
        <v>63</v>
      </c>
      <c r="C247" s="5" t="s">
        <v>27</v>
      </c>
      <c r="D247" s="5" t="s">
        <v>385</v>
      </c>
      <c r="E247" s="5" t="s">
        <v>384</v>
      </c>
      <c r="F247" s="5" t="s">
        <v>30</v>
      </c>
      <c r="G247" s="5" t="s">
        <v>392</v>
      </c>
      <c r="H247" s="5" t="s">
        <v>40</v>
      </c>
      <c r="I247" s="5" t="s">
        <v>65</v>
      </c>
      <c r="J247" s="15">
        <v>2200</v>
      </c>
      <c r="K247" s="7">
        <v>27</v>
      </c>
      <c r="L247" s="7">
        <f t="shared" si="25"/>
        <v>81.481481481481481</v>
      </c>
      <c r="M247" s="5" t="s">
        <v>10</v>
      </c>
      <c r="N247" s="5">
        <v>4</v>
      </c>
      <c r="O247" s="6">
        <f t="shared" si="26"/>
        <v>9.1289437585733886</v>
      </c>
      <c r="P247" s="6">
        <f t="shared" si="27"/>
        <v>0.94941015089163217</v>
      </c>
      <c r="Q247" s="10">
        <f t="shared" si="28"/>
        <v>1.9779378143575676E-2</v>
      </c>
      <c r="R247" s="10">
        <f t="shared" si="29"/>
        <v>8.3505008186665314E-2</v>
      </c>
      <c r="S247" s="10">
        <f t="shared" si="30"/>
        <v>0.10328438633024099</v>
      </c>
    </row>
    <row r="248" spans="1:19" x14ac:dyDescent="0.25">
      <c r="A248" s="5" t="s">
        <v>22</v>
      </c>
      <c r="B248" s="5" t="s">
        <v>26</v>
      </c>
      <c r="C248" s="5" t="s">
        <v>27</v>
      </c>
      <c r="D248" s="5" t="s">
        <v>385</v>
      </c>
      <c r="E248" s="5" t="s">
        <v>384</v>
      </c>
      <c r="F248" s="5" t="s">
        <v>30</v>
      </c>
      <c r="G248" s="5" t="s">
        <v>392</v>
      </c>
      <c r="H248" s="5" t="s">
        <v>40</v>
      </c>
      <c r="I248" s="5" t="s">
        <v>42</v>
      </c>
      <c r="J248" s="15">
        <v>2600</v>
      </c>
      <c r="K248" s="7">
        <v>29</v>
      </c>
      <c r="L248" s="7">
        <f t="shared" si="25"/>
        <v>89.65517241379311</v>
      </c>
      <c r="M248" s="5" t="s">
        <v>10</v>
      </c>
      <c r="N248" s="5">
        <v>4</v>
      </c>
      <c r="O248" s="6">
        <f t="shared" si="26"/>
        <v>13.061831153388825</v>
      </c>
      <c r="P248" s="6">
        <f t="shared" si="27"/>
        <v>1.3584304399524376</v>
      </c>
      <c r="Q248" s="10">
        <f t="shared" si="28"/>
        <v>2.8300634165675787E-2</v>
      </c>
      <c r="R248" s="10">
        <f t="shared" si="29"/>
        <v>0.10924464894421673</v>
      </c>
      <c r="S248" s="10">
        <f t="shared" si="30"/>
        <v>0.13754528310989253</v>
      </c>
    </row>
    <row r="249" spans="1:19" x14ac:dyDescent="0.25">
      <c r="A249" s="5" t="s">
        <v>8</v>
      </c>
      <c r="B249" s="5" t="s">
        <v>188</v>
      </c>
      <c r="C249" s="5" t="s">
        <v>27</v>
      </c>
      <c r="D249" s="5" t="s">
        <v>385</v>
      </c>
      <c r="E249" s="5" t="s">
        <v>384</v>
      </c>
      <c r="F249" s="5" t="s">
        <v>30</v>
      </c>
      <c r="G249" s="5" t="s">
        <v>392</v>
      </c>
      <c r="H249" s="5" t="s">
        <v>40</v>
      </c>
      <c r="I249" s="5" t="s">
        <v>42</v>
      </c>
      <c r="J249" s="15">
        <v>2100</v>
      </c>
      <c r="K249" s="7">
        <v>21.8</v>
      </c>
      <c r="L249" s="7">
        <f t="shared" si="25"/>
        <v>96.330275229357795</v>
      </c>
      <c r="M249" s="5" t="s">
        <v>10</v>
      </c>
      <c r="N249" s="5">
        <v>4</v>
      </c>
      <c r="O249" s="6">
        <f t="shared" si="26"/>
        <v>12.179372527565018</v>
      </c>
      <c r="P249" s="6">
        <f t="shared" si="27"/>
        <v>1.2666547428667618</v>
      </c>
      <c r="Q249" s="10">
        <f t="shared" si="28"/>
        <v>2.6388640476390873E-2</v>
      </c>
      <c r="R249" s="10">
        <f t="shared" si="29"/>
        <v>0.10366109929063344</v>
      </c>
      <c r="S249" s="10">
        <f t="shared" si="30"/>
        <v>0.1300497397670243</v>
      </c>
    </row>
    <row r="250" spans="1:19" x14ac:dyDescent="0.25">
      <c r="A250" s="5" t="s">
        <v>8</v>
      </c>
      <c r="B250" s="5" t="s">
        <v>188</v>
      </c>
      <c r="C250" s="5" t="s">
        <v>27</v>
      </c>
      <c r="D250" s="5" t="s">
        <v>385</v>
      </c>
      <c r="E250" s="5" t="s">
        <v>384</v>
      </c>
      <c r="F250" s="5" t="s">
        <v>30</v>
      </c>
      <c r="G250" s="5" t="s">
        <v>392</v>
      </c>
      <c r="H250" s="5" t="s">
        <v>40</v>
      </c>
      <c r="I250" s="5" t="s">
        <v>42</v>
      </c>
      <c r="J250" s="15">
        <v>2700</v>
      </c>
      <c r="K250" s="7">
        <v>24.6</v>
      </c>
      <c r="L250" s="7">
        <f t="shared" si="25"/>
        <v>109.7560975609756</v>
      </c>
      <c r="M250" s="5" t="s">
        <v>10</v>
      </c>
      <c r="N250" s="5">
        <v>4</v>
      </c>
      <c r="O250" s="6">
        <f t="shared" si="26"/>
        <v>20.328301606186795</v>
      </c>
      <c r="P250" s="6">
        <f t="shared" si="27"/>
        <v>2.1141433670434266</v>
      </c>
      <c r="Q250" s="10">
        <f t="shared" si="28"/>
        <v>4.4044653480071388E-2</v>
      </c>
      <c r="R250" s="10">
        <f t="shared" si="29"/>
        <v>0.15222043056323636</v>
      </c>
      <c r="S250" s="10">
        <f t="shared" si="30"/>
        <v>0.19626508404330775</v>
      </c>
    </row>
    <row r="251" spans="1:19" x14ac:dyDescent="0.25">
      <c r="A251" s="5" t="s">
        <v>8</v>
      </c>
      <c r="B251" s="5" t="s">
        <v>241</v>
      </c>
      <c r="C251" s="5" t="s">
        <v>27</v>
      </c>
      <c r="D251" s="5" t="s">
        <v>385</v>
      </c>
      <c r="E251" s="5" t="s">
        <v>384</v>
      </c>
      <c r="F251" s="5" t="s">
        <v>30</v>
      </c>
      <c r="G251" s="5" t="s">
        <v>392</v>
      </c>
      <c r="H251" s="5" t="s">
        <v>40</v>
      </c>
      <c r="I251" s="5" t="s">
        <v>42</v>
      </c>
      <c r="J251" s="15">
        <v>2200</v>
      </c>
      <c r="K251" s="7">
        <v>29</v>
      </c>
      <c r="L251" s="7">
        <f t="shared" si="25"/>
        <v>75.862068965517238</v>
      </c>
      <c r="M251" s="5" t="s">
        <v>10</v>
      </c>
      <c r="N251" s="5">
        <v>4</v>
      </c>
      <c r="O251" s="6">
        <f t="shared" si="26"/>
        <v>7.9131985731272296</v>
      </c>
      <c r="P251" s="6">
        <f t="shared" si="27"/>
        <v>0.82297265160523181</v>
      </c>
      <c r="Q251" s="10">
        <f t="shared" si="28"/>
        <v>1.7145263575108996E-2</v>
      </c>
      <c r="R251" s="10">
        <f t="shared" si="29"/>
        <v>7.501725564715013E-2</v>
      </c>
      <c r="S251" s="10">
        <f t="shared" si="30"/>
        <v>9.2162519222259126E-2</v>
      </c>
    </row>
    <row r="252" spans="1:19" x14ac:dyDescent="0.25">
      <c r="A252" s="5" t="s">
        <v>8</v>
      </c>
      <c r="B252" s="5" t="s">
        <v>339</v>
      </c>
      <c r="C252" s="5" t="s">
        <v>27</v>
      </c>
      <c r="D252" s="5" t="s">
        <v>385</v>
      </c>
      <c r="E252" s="5" t="s">
        <v>384</v>
      </c>
      <c r="F252" s="5" t="s">
        <v>30</v>
      </c>
      <c r="G252" s="5" t="s">
        <v>392</v>
      </c>
      <c r="H252" s="5" t="s">
        <v>40</v>
      </c>
      <c r="I252" s="5" t="s">
        <v>42</v>
      </c>
      <c r="J252" s="15">
        <v>1750</v>
      </c>
      <c r="K252" s="7">
        <v>18.899999999999999</v>
      </c>
      <c r="L252" s="7">
        <f t="shared" si="25"/>
        <v>92.592592592592595</v>
      </c>
      <c r="M252" s="5" t="s">
        <v>10</v>
      </c>
      <c r="N252" s="5">
        <v>4</v>
      </c>
      <c r="O252" s="6">
        <f t="shared" si="26"/>
        <v>9.3771433470507564</v>
      </c>
      <c r="P252" s="6">
        <f t="shared" si="27"/>
        <v>0.9752229080932785</v>
      </c>
      <c r="Q252" s="10">
        <f t="shared" si="28"/>
        <v>2.0317143918609972E-2</v>
      </c>
      <c r="R252" s="10">
        <f t="shared" si="29"/>
        <v>8.5202049293344517E-2</v>
      </c>
      <c r="S252" s="10">
        <f t="shared" si="30"/>
        <v>0.10551919321195449</v>
      </c>
    </row>
    <row r="253" spans="1:19" x14ac:dyDescent="0.25">
      <c r="A253" s="5" t="s">
        <v>8</v>
      </c>
      <c r="B253" s="5" t="s">
        <v>372</v>
      </c>
      <c r="C253" s="5" t="s">
        <v>27</v>
      </c>
      <c r="D253" s="5" t="s">
        <v>385</v>
      </c>
      <c r="E253" s="5" t="s">
        <v>384</v>
      </c>
      <c r="F253" s="5" t="s">
        <v>30</v>
      </c>
      <c r="G253" s="5" t="s">
        <v>392</v>
      </c>
      <c r="H253" s="5" t="s">
        <v>40</v>
      </c>
      <c r="I253" s="5" t="s">
        <v>42</v>
      </c>
      <c r="J253" s="15">
        <v>2260</v>
      </c>
      <c r="K253" s="7">
        <v>32.5</v>
      </c>
      <c r="L253" s="7">
        <f t="shared" si="25"/>
        <v>69.538461538461533</v>
      </c>
      <c r="M253" s="5" t="s">
        <v>10</v>
      </c>
      <c r="N253" s="5">
        <v>4</v>
      </c>
      <c r="O253" s="6">
        <f t="shared" si="26"/>
        <v>6.8302816568047318</v>
      </c>
      <c r="P253" s="6">
        <f t="shared" si="27"/>
        <v>0.71034929230769206</v>
      </c>
      <c r="Q253" s="10">
        <f t="shared" si="28"/>
        <v>1.4798943589743584E-2</v>
      </c>
      <c r="R253" s="10">
        <f t="shared" si="29"/>
        <v>6.7177847468393184E-2</v>
      </c>
      <c r="S253" s="10">
        <f t="shared" si="30"/>
        <v>8.1976791058136766E-2</v>
      </c>
    </row>
    <row r="254" spans="1:19" x14ac:dyDescent="0.25">
      <c r="A254" s="5" t="s">
        <v>8</v>
      </c>
      <c r="B254" s="5" t="s">
        <v>241</v>
      </c>
      <c r="C254" s="5" t="s">
        <v>27</v>
      </c>
      <c r="D254" s="5" t="s">
        <v>385</v>
      </c>
      <c r="E254" s="5" t="s">
        <v>384</v>
      </c>
      <c r="F254" s="5" t="s">
        <v>30</v>
      </c>
      <c r="G254" s="5" t="s">
        <v>392</v>
      </c>
      <c r="H254" s="5" t="s">
        <v>40</v>
      </c>
      <c r="I254" s="5" t="s">
        <v>248</v>
      </c>
      <c r="J254" s="15">
        <v>2250</v>
      </c>
      <c r="K254" s="7">
        <v>26.5</v>
      </c>
      <c r="L254" s="7">
        <f t="shared" si="25"/>
        <v>84.905660377358487</v>
      </c>
      <c r="M254" s="5" t="s">
        <v>10</v>
      </c>
      <c r="N254" s="5">
        <v>4</v>
      </c>
      <c r="O254" s="6">
        <f t="shared" si="26"/>
        <v>10.1376156995372</v>
      </c>
      <c r="P254" s="6">
        <f t="shared" si="27"/>
        <v>1.0543120327518689</v>
      </c>
      <c r="Q254" s="10">
        <f t="shared" si="28"/>
        <v>2.1964834015663931E-2</v>
      </c>
      <c r="R254" s="10">
        <f t="shared" si="29"/>
        <v>9.033353218570736E-2</v>
      </c>
      <c r="S254" s="10">
        <f t="shared" si="30"/>
        <v>0.11229836620137129</v>
      </c>
    </row>
    <row r="255" spans="1:19" x14ac:dyDescent="0.25">
      <c r="A255" s="5" t="s">
        <v>8</v>
      </c>
      <c r="B255" s="5" t="s">
        <v>241</v>
      </c>
      <c r="C255" s="5" t="s">
        <v>27</v>
      </c>
      <c r="D255" s="5" t="s">
        <v>385</v>
      </c>
      <c r="E255" s="5" t="s">
        <v>384</v>
      </c>
      <c r="F255" s="5" t="s">
        <v>30</v>
      </c>
      <c r="G255" s="5" t="s">
        <v>392</v>
      </c>
      <c r="H255" s="5" t="s">
        <v>40</v>
      </c>
      <c r="I255" s="5" t="s">
        <v>256</v>
      </c>
      <c r="J255" s="15">
        <v>2435</v>
      </c>
      <c r="K255" s="7">
        <v>30.5</v>
      </c>
      <c r="L255" s="7">
        <f t="shared" si="25"/>
        <v>79.836065573770497</v>
      </c>
      <c r="M255" s="5" t="s">
        <v>10</v>
      </c>
      <c r="N255" s="5">
        <v>4</v>
      </c>
      <c r="O255" s="6">
        <f t="shared" si="26"/>
        <v>9.7001228668368729</v>
      </c>
      <c r="P255" s="6">
        <f t="shared" si="27"/>
        <v>1.0088127781510348</v>
      </c>
      <c r="Q255" s="10">
        <f t="shared" si="28"/>
        <v>2.1016932878146558E-2</v>
      </c>
      <c r="R255" s="10">
        <f t="shared" si="29"/>
        <v>8.7393684760953466E-2</v>
      </c>
      <c r="S255" s="10">
        <f t="shared" si="30"/>
        <v>0.10841061763910002</v>
      </c>
    </row>
    <row r="256" spans="1:19" x14ac:dyDescent="0.25">
      <c r="A256" s="5" t="s">
        <v>8</v>
      </c>
      <c r="B256" s="5" t="s">
        <v>289</v>
      </c>
      <c r="C256" s="5" t="s">
        <v>27</v>
      </c>
      <c r="D256" s="5" t="s">
        <v>385</v>
      </c>
      <c r="E256" s="5" t="s">
        <v>384</v>
      </c>
      <c r="F256" s="5" t="s">
        <v>30</v>
      </c>
      <c r="G256" s="5" t="s">
        <v>392</v>
      </c>
      <c r="H256" s="5" t="s">
        <v>40</v>
      </c>
      <c r="I256" s="5" t="s">
        <v>256</v>
      </c>
      <c r="J256" s="15">
        <v>2718</v>
      </c>
      <c r="K256" s="7">
        <v>23.1</v>
      </c>
      <c r="L256" s="7">
        <f t="shared" si="25"/>
        <v>117.66233766233765</v>
      </c>
      <c r="M256" s="5" t="s">
        <v>10</v>
      </c>
      <c r="N256" s="5">
        <v>4</v>
      </c>
      <c r="O256" s="6">
        <f t="shared" si="26"/>
        <v>23.518218164951929</v>
      </c>
      <c r="P256" s="6">
        <f t="shared" si="27"/>
        <v>2.4458946891549997</v>
      </c>
      <c r="Q256" s="10">
        <f t="shared" si="28"/>
        <v>5.0956139357395847E-2</v>
      </c>
      <c r="R256" s="10">
        <f t="shared" si="29"/>
        <v>0.16980498484927839</v>
      </c>
      <c r="S256" s="10">
        <f t="shared" si="30"/>
        <v>0.22076112420667424</v>
      </c>
    </row>
    <row r="257" spans="1:19" x14ac:dyDescent="0.25">
      <c r="A257" s="5" t="s">
        <v>8</v>
      </c>
      <c r="B257" s="5" t="s">
        <v>290</v>
      </c>
      <c r="C257" s="5" t="s">
        <v>27</v>
      </c>
      <c r="D257" s="5" t="s">
        <v>385</v>
      </c>
      <c r="E257" s="5" t="s">
        <v>384</v>
      </c>
      <c r="F257" s="5" t="s">
        <v>30</v>
      </c>
      <c r="G257" s="5" t="s">
        <v>392</v>
      </c>
      <c r="H257" s="5" t="s">
        <v>40</v>
      </c>
      <c r="I257" s="5" t="s">
        <v>256</v>
      </c>
      <c r="J257" s="15">
        <v>2452</v>
      </c>
      <c r="K257" s="7">
        <v>30</v>
      </c>
      <c r="L257" s="7">
        <f t="shared" si="25"/>
        <v>81.733333333333334</v>
      </c>
      <c r="M257" s="5" t="s">
        <v>10</v>
      </c>
      <c r="N257" s="5">
        <v>4</v>
      </c>
      <c r="O257" s="6">
        <f t="shared" si="26"/>
        <v>10.237617644444445</v>
      </c>
      <c r="P257" s="6">
        <f t="shared" si="27"/>
        <v>1.0647122350222222</v>
      </c>
      <c r="Q257" s="10">
        <f t="shared" si="28"/>
        <v>2.2181504896296295E-2</v>
      </c>
      <c r="R257" s="10">
        <f t="shared" si="29"/>
        <v>9.1001029050637408E-2</v>
      </c>
      <c r="S257" s="10">
        <f t="shared" si="30"/>
        <v>0.1131825339469337</v>
      </c>
    </row>
    <row r="258" spans="1:19" x14ac:dyDescent="0.25">
      <c r="A258" s="5" t="s">
        <v>8</v>
      </c>
      <c r="B258" s="5" t="s">
        <v>375</v>
      </c>
      <c r="C258" s="5" t="s">
        <v>27</v>
      </c>
      <c r="D258" s="5" t="s">
        <v>385</v>
      </c>
      <c r="E258" s="5" t="s">
        <v>384</v>
      </c>
      <c r="F258" s="5" t="s">
        <v>30</v>
      </c>
      <c r="G258" s="5" t="s">
        <v>392</v>
      </c>
      <c r="H258" s="5" t="s">
        <v>40</v>
      </c>
      <c r="I258" s="5" t="s">
        <v>376</v>
      </c>
      <c r="J258" s="15">
        <v>2200</v>
      </c>
      <c r="K258" s="7">
        <v>31.5</v>
      </c>
      <c r="L258" s="7">
        <f t="shared" si="25"/>
        <v>69.841269841269835</v>
      </c>
      <c r="M258" s="5" t="s">
        <v>10</v>
      </c>
      <c r="N258" s="5">
        <v>4</v>
      </c>
      <c r="O258" s="6">
        <f t="shared" si="26"/>
        <v>6.706979087931467</v>
      </c>
      <c r="P258" s="6">
        <f t="shared" si="27"/>
        <v>0.69752582514487249</v>
      </c>
      <c r="Q258" s="10">
        <f t="shared" si="28"/>
        <v>1.453178802385151E-2</v>
      </c>
      <c r="R258" s="10">
        <f t="shared" si="29"/>
        <v>6.626624143790244E-2</v>
      </c>
      <c r="S258" s="10">
        <f t="shared" si="30"/>
        <v>8.0798029461753948E-2</v>
      </c>
    </row>
    <row r="259" spans="1:19" x14ac:dyDescent="0.25">
      <c r="A259" s="5" t="s">
        <v>8</v>
      </c>
      <c r="B259" s="5" t="s">
        <v>241</v>
      </c>
      <c r="C259" s="5" t="s">
        <v>27</v>
      </c>
      <c r="D259" s="5" t="s">
        <v>385</v>
      </c>
      <c r="E259" s="5" t="s">
        <v>384</v>
      </c>
      <c r="F259" s="5" t="s">
        <v>30</v>
      </c>
      <c r="G259" s="5" t="s">
        <v>392</v>
      </c>
      <c r="H259" s="5" t="s">
        <v>40</v>
      </c>
      <c r="I259" s="5" t="s">
        <v>259</v>
      </c>
      <c r="J259" s="15">
        <v>2120</v>
      </c>
      <c r="K259" s="7">
        <v>28</v>
      </c>
      <c r="L259" s="7">
        <f t="shared" si="25"/>
        <v>75.714285714285708</v>
      </c>
      <c r="M259" s="5" t="s">
        <v>10</v>
      </c>
      <c r="N259" s="5">
        <v>4</v>
      </c>
      <c r="O259" s="6">
        <f t="shared" si="26"/>
        <v>7.5957653061224475</v>
      </c>
      <c r="P259" s="6">
        <f t="shared" si="27"/>
        <v>0.78995959183673448</v>
      </c>
      <c r="Q259" s="10">
        <f t="shared" si="28"/>
        <v>1.6457491496598635E-2</v>
      </c>
      <c r="R259" s="10">
        <f t="shared" si="29"/>
        <v>7.2748790523327542E-2</v>
      </c>
      <c r="S259" s="10">
        <f t="shared" si="30"/>
        <v>8.920628201992617E-2</v>
      </c>
    </row>
    <row r="260" spans="1:19" x14ac:dyDescent="0.25">
      <c r="A260" s="5" t="s">
        <v>8</v>
      </c>
      <c r="B260" s="5" t="s">
        <v>241</v>
      </c>
      <c r="C260" s="5" t="s">
        <v>27</v>
      </c>
      <c r="D260" s="5" t="s">
        <v>385</v>
      </c>
      <c r="E260" s="5" t="s">
        <v>384</v>
      </c>
      <c r="F260" s="5" t="s">
        <v>30</v>
      </c>
      <c r="G260" s="5" t="s">
        <v>392</v>
      </c>
      <c r="H260" s="5" t="s">
        <v>40</v>
      </c>
      <c r="I260" s="5" t="s">
        <v>50</v>
      </c>
      <c r="J260" s="15">
        <v>1960</v>
      </c>
      <c r="K260" s="7">
        <v>26.5</v>
      </c>
      <c r="L260" s="7">
        <f t="shared" si="25"/>
        <v>73.962264150943398</v>
      </c>
      <c r="M260" s="5" t="s">
        <v>10</v>
      </c>
      <c r="N260" s="5">
        <v>4</v>
      </c>
      <c r="O260" s="6">
        <f t="shared" si="26"/>
        <v>6.7012602349590606</v>
      </c>
      <c r="P260" s="6">
        <f t="shared" si="27"/>
        <v>0.69693106443574226</v>
      </c>
      <c r="Q260" s="10">
        <f t="shared" si="28"/>
        <v>1.4519397175744631E-2</v>
      </c>
      <c r="R260" s="10">
        <f t="shared" si="29"/>
        <v>6.62238593952931E-2</v>
      </c>
      <c r="S260" s="10">
        <f t="shared" si="30"/>
        <v>8.074325657103773E-2</v>
      </c>
    </row>
    <row r="261" spans="1:19" x14ac:dyDescent="0.25">
      <c r="A261" s="5" t="s">
        <v>8</v>
      </c>
      <c r="B261" s="5" t="s">
        <v>241</v>
      </c>
      <c r="C261" s="5" t="s">
        <v>27</v>
      </c>
      <c r="D261" s="5" t="s">
        <v>385</v>
      </c>
      <c r="E261" s="5" t="s">
        <v>384</v>
      </c>
      <c r="F261" s="5" t="s">
        <v>30</v>
      </c>
      <c r="G261" s="5" t="s">
        <v>392</v>
      </c>
      <c r="H261" s="5" t="s">
        <v>40</v>
      </c>
      <c r="I261" s="5" t="s">
        <v>246</v>
      </c>
      <c r="J261" s="15">
        <v>1545</v>
      </c>
      <c r="K261" s="7">
        <v>20.5</v>
      </c>
      <c r="L261" s="7">
        <f t="shared" si="25"/>
        <v>75.365853658536579</v>
      </c>
      <c r="M261" s="5" t="s">
        <v>10</v>
      </c>
      <c r="N261" s="5">
        <v>4</v>
      </c>
      <c r="O261" s="6">
        <f t="shared" si="26"/>
        <v>5.4847614886972025</v>
      </c>
      <c r="P261" s="6">
        <f t="shared" si="27"/>
        <v>0.5704151948245092</v>
      </c>
      <c r="Q261" s="10">
        <f t="shared" si="28"/>
        <v>1.1883649892177273E-2</v>
      </c>
      <c r="R261" s="10">
        <f t="shared" si="29"/>
        <v>5.6985640531587591E-2</v>
      </c>
      <c r="S261" s="10">
        <f t="shared" si="30"/>
        <v>6.8869290423764856E-2</v>
      </c>
    </row>
    <row r="262" spans="1:19" x14ac:dyDescent="0.25">
      <c r="A262" s="5" t="s">
        <v>8</v>
      </c>
      <c r="B262" s="5" t="s">
        <v>241</v>
      </c>
      <c r="C262" s="5" t="s">
        <v>27</v>
      </c>
      <c r="D262" s="5" t="s">
        <v>385</v>
      </c>
      <c r="E262" s="5" t="s">
        <v>384</v>
      </c>
      <c r="F262" s="5" t="s">
        <v>30</v>
      </c>
      <c r="G262" s="5" t="s">
        <v>392</v>
      </c>
      <c r="H262" s="5" t="s">
        <v>40</v>
      </c>
      <c r="I262" s="5" t="s">
        <v>262</v>
      </c>
      <c r="J262" s="15">
        <v>2320</v>
      </c>
      <c r="K262" s="7">
        <v>28.5</v>
      </c>
      <c r="L262" s="7">
        <f t="shared" si="25"/>
        <v>81.403508771929822</v>
      </c>
      <c r="M262" s="5" t="s">
        <v>10</v>
      </c>
      <c r="N262" s="5">
        <v>4</v>
      </c>
      <c r="O262" s="6">
        <f t="shared" si="26"/>
        <v>9.6084702985533994</v>
      </c>
      <c r="P262" s="6">
        <f t="shared" si="27"/>
        <v>0.99928091104955352</v>
      </c>
      <c r="Q262" s="10">
        <f t="shared" si="28"/>
        <v>2.0818352313532365E-2</v>
      </c>
      <c r="R262" s="10">
        <f t="shared" si="29"/>
        <v>8.6773639521385768E-2</v>
      </c>
      <c r="S262" s="10">
        <f t="shared" si="30"/>
        <v>0.10759199183491813</v>
      </c>
    </row>
    <row r="263" spans="1:19" x14ac:dyDescent="0.25">
      <c r="A263" s="5" t="s">
        <v>22</v>
      </c>
      <c r="B263" s="5" t="s">
        <v>26</v>
      </c>
      <c r="C263" s="5" t="s">
        <v>27</v>
      </c>
      <c r="D263" s="5" t="s">
        <v>385</v>
      </c>
      <c r="E263" s="5" t="s">
        <v>384</v>
      </c>
      <c r="F263" s="5" t="s">
        <v>30</v>
      </c>
      <c r="G263" s="5" t="s">
        <v>392</v>
      </c>
      <c r="H263" s="5" t="s">
        <v>40</v>
      </c>
      <c r="I263" s="5" t="s">
        <v>43</v>
      </c>
      <c r="J263" s="15">
        <v>2000</v>
      </c>
      <c r="K263" s="7">
        <v>31.5</v>
      </c>
      <c r="L263" s="7">
        <f t="shared" si="25"/>
        <v>63.492063492063494</v>
      </c>
      <c r="M263" s="5" t="s">
        <v>10</v>
      </c>
      <c r="N263" s="5">
        <v>4</v>
      </c>
      <c r="O263" s="6">
        <f t="shared" si="26"/>
        <v>5.0390526581002772</v>
      </c>
      <c r="P263" s="6">
        <f t="shared" si="27"/>
        <v>0.52406147644242884</v>
      </c>
      <c r="Q263" s="10">
        <f t="shared" si="28"/>
        <v>1.0917947425883935E-2</v>
      </c>
      <c r="R263" s="10">
        <f t="shared" si="29"/>
        <v>5.34759855037336E-2</v>
      </c>
      <c r="S263" s="10">
        <f t="shared" si="30"/>
        <v>6.4393932929617537E-2</v>
      </c>
    </row>
    <row r="264" spans="1:19" x14ac:dyDescent="0.25">
      <c r="A264" s="5" t="s">
        <v>8</v>
      </c>
      <c r="B264" s="5" t="s">
        <v>241</v>
      </c>
      <c r="C264" s="5" t="s">
        <v>27</v>
      </c>
      <c r="D264" s="5" t="s">
        <v>385</v>
      </c>
      <c r="E264" s="5" t="s">
        <v>384</v>
      </c>
      <c r="F264" s="5" t="s">
        <v>30</v>
      </c>
      <c r="G264" s="5" t="s">
        <v>392</v>
      </c>
      <c r="H264" s="5" t="s">
        <v>40</v>
      </c>
      <c r="I264" s="5" t="s">
        <v>43</v>
      </c>
      <c r="J264" s="15">
        <v>1850</v>
      </c>
      <c r="K264" s="7">
        <v>32</v>
      </c>
      <c r="L264" s="7">
        <f t="shared" si="25"/>
        <v>57.8125</v>
      </c>
      <c r="M264" s="5" t="s">
        <v>10</v>
      </c>
      <c r="N264" s="5">
        <v>4</v>
      </c>
      <c r="O264" s="6">
        <f t="shared" si="26"/>
        <v>3.8645172119140625</v>
      </c>
      <c r="P264" s="6">
        <f t="shared" si="27"/>
        <v>0.40190979003906241</v>
      </c>
      <c r="Q264" s="10">
        <f t="shared" si="28"/>
        <v>8.3731206258138013E-3</v>
      </c>
      <c r="R264" s="10">
        <f t="shared" si="29"/>
        <v>4.3824660334541701E-2</v>
      </c>
      <c r="S264" s="10">
        <f t="shared" si="30"/>
        <v>5.2197780960355503E-2</v>
      </c>
    </row>
    <row r="265" spans="1:19" x14ac:dyDescent="0.25">
      <c r="A265" s="5" t="s">
        <v>8</v>
      </c>
      <c r="B265" s="5" t="s">
        <v>241</v>
      </c>
      <c r="C265" s="5" t="s">
        <v>27</v>
      </c>
      <c r="D265" s="5" t="s">
        <v>385</v>
      </c>
      <c r="E265" s="5" t="s">
        <v>384</v>
      </c>
      <c r="F265" s="5" t="s">
        <v>30</v>
      </c>
      <c r="G265" s="5" t="s">
        <v>392</v>
      </c>
      <c r="H265" s="5" t="s">
        <v>40</v>
      </c>
      <c r="I265" s="5" t="s">
        <v>263</v>
      </c>
      <c r="J265" s="15">
        <v>2260</v>
      </c>
      <c r="K265" s="7">
        <v>33.200000000000003</v>
      </c>
      <c r="L265" s="7">
        <f t="shared" si="25"/>
        <v>68.072289156626496</v>
      </c>
      <c r="M265" s="5" t="s">
        <v>10</v>
      </c>
      <c r="N265" s="5">
        <v>4</v>
      </c>
      <c r="O265" s="6">
        <f t="shared" si="26"/>
        <v>6.5452941283205082</v>
      </c>
      <c r="P265" s="6">
        <f t="shared" si="27"/>
        <v>0.68071058934533279</v>
      </c>
      <c r="Q265" s="10">
        <f t="shared" si="28"/>
        <v>1.41814706113611E-2</v>
      </c>
      <c r="R265" s="10">
        <f t="shared" si="29"/>
        <v>6.506448548789423E-2</v>
      </c>
      <c r="S265" s="10">
        <f t="shared" si="30"/>
        <v>7.9245956099255332E-2</v>
      </c>
    </row>
    <row r="266" spans="1:19" x14ac:dyDescent="0.25">
      <c r="A266" s="5" t="s">
        <v>22</v>
      </c>
      <c r="B266" s="5" t="s">
        <v>26</v>
      </c>
      <c r="C266" s="5" t="s">
        <v>27</v>
      </c>
      <c r="D266" s="5" t="s">
        <v>385</v>
      </c>
      <c r="E266" s="5" t="s">
        <v>384</v>
      </c>
      <c r="F266" s="5" t="s">
        <v>30</v>
      </c>
      <c r="G266" s="5" t="s">
        <v>392</v>
      </c>
      <c r="H266" s="5" t="s">
        <v>40</v>
      </c>
      <c r="I266" s="5" t="s">
        <v>44</v>
      </c>
      <c r="J266" s="15">
        <v>3400</v>
      </c>
      <c r="K266" s="7">
        <v>35</v>
      </c>
      <c r="L266" s="7">
        <f t="shared" si="25"/>
        <v>97.142857142857139</v>
      </c>
      <c r="M266" s="5" t="s">
        <v>10</v>
      </c>
      <c r="N266" s="5">
        <v>4</v>
      </c>
      <c r="O266" s="6">
        <f t="shared" si="26"/>
        <v>20.053061224489795</v>
      </c>
      <c r="P266" s="6">
        <f t="shared" si="27"/>
        <v>2.0855183673469386</v>
      </c>
      <c r="Q266" s="10">
        <f t="shared" si="28"/>
        <v>4.3448299319727886E-2</v>
      </c>
      <c r="R266" s="10">
        <f t="shared" si="29"/>
        <v>0.15067202812691205</v>
      </c>
      <c r="S266" s="10">
        <f t="shared" si="30"/>
        <v>0.19412032744663993</v>
      </c>
    </row>
    <row r="267" spans="1:19" x14ac:dyDescent="0.25">
      <c r="A267" s="5" t="s">
        <v>8</v>
      </c>
      <c r="B267" s="5" t="s">
        <v>241</v>
      </c>
      <c r="C267" s="5" t="s">
        <v>27</v>
      </c>
      <c r="D267" s="5" t="s">
        <v>385</v>
      </c>
      <c r="E267" s="5" t="s">
        <v>384</v>
      </c>
      <c r="F267" s="5" t="s">
        <v>30</v>
      </c>
      <c r="G267" s="5" t="s">
        <v>392</v>
      </c>
      <c r="H267" s="5" t="s">
        <v>40</v>
      </c>
      <c r="I267" s="5" t="s">
        <v>44</v>
      </c>
      <c r="J267" s="15">
        <v>3250</v>
      </c>
      <c r="K267" s="7">
        <v>36.5</v>
      </c>
      <c r="L267" s="7">
        <f t="shared" ref="L267:L330" si="31">J267/K267</f>
        <v>89.041095890410958</v>
      </c>
      <c r="M267" s="5" t="s">
        <v>10</v>
      </c>
      <c r="N267" s="5">
        <v>4</v>
      </c>
      <c r="O267" s="6">
        <f t="shared" ref="O267:O330" si="32">(J267*L267^2)/(1.6*10^6)</f>
        <v>16.104393413398384</v>
      </c>
      <c r="P267" s="6">
        <f t="shared" ref="P267:P330" si="33">(0.104*J267*L267^2)/(1.6*10^6)</f>
        <v>1.674856914993432</v>
      </c>
      <c r="Q267" s="10">
        <f t="shared" ref="Q267:Q330" si="34">(0.104*O267)/(12*N267)</f>
        <v>3.4892852395696498E-2</v>
      </c>
      <c r="R267" s="10">
        <f t="shared" ref="R267:R330" si="35">0.0159*O267^0.75</f>
        <v>0.12782193945216461</v>
      </c>
      <c r="S267" s="10">
        <f t="shared" ref="S267:S330" si="36">Q267+R267</f>
        <v>0.16271479184786111</v>
      </c>
    </row>
    <row r="268" spans="1:19" x14ac:dyDescent="0.25">
      <c r="A268" s="5" t="s">
        <v>8</v>
      </c>
      <c r="B268" s="5" t="s">
        <v>364</v>
      </c>
      <c r="C268" s="5" t="s">
        <v>27</v>
      </c>
      <c r="D268" s="5" t="s">
        <v>385</v>
      </c>
      <c r="E268" s="5" t="s">
        <v>384</v>
      </c>
      <c r="F268" s="5" t="s">
        <v>30</v>
      </c>
      <c r="G268" s="5" t="s">
        <v>392</v>
      </c>
      <c r="H268" s="5" t="s">
        <v>40</v>
      </c>
      <c r="I268" s="5" t="s">
        <v>365</v>
      </c>
      <c r="J268" s="15">
        <v>1764</v>
      </c>
      <c r="K268" s="7">
        <v>23.3</v>
      </c>
      <c r="L268" s="7">
        <f t="shared" si="31"/>
        <v>75.708154506437765</v>
      </c>
      <c r="M268" s="5" t="s">
        <v>10</v>
      </c>
      <c r="N268" s="5">
        <v>4</v>
      </c>
      <c r="O268" s="6">
        <f t="shared" si="32"/>
        <v>6.3192264362946453</v>
      </c>
      <c r="P268" s="6">
        <f t="shared" si="33"/>
        <v>0.65719954937464309</v>
      </c>
      <c r="Q268" s="10">
        <f t="shared" si="34"/>
        <v>1.3691657278638398E-2</v>
      </c>
      <c r="R268" s="10">
        <f t="shared" si="35"/>
        <v>6.3371656950773778E-2</v>
      </c>
      <c r="S268" s="10">
        <f t="shared" si="36"/>
        <v>7.7063314229412178E-2</v>
      </c>
    </row>
    <row r="269" spans="1:19" x14ac:dyDescent="0.25">
      <c r="A269" s="5" t="s">
        <v>8</v>
      </c>
      <c r="B269" s="5" t="s">
        <v>241</v>
      </c>
      <c r="C269" s="5" t="s">
        <v>27</v>
      </c>
      <c r="D269" s="5" t="s">
        <v>385</v>
      </c>
      <c r="E269" s="5" t="s">
        <v>384</v>
      </c>
      <c r="F269" s="5" t="s">
        <v>30</v>
      </c>
      <c r="G269" s="5" t="s">
        <v>392</v>
      </c>
      <c r="H269" s="5" t="s">
        <v>40</v>
      </c>
      <c r="I269" s="5" t="s">
        <v>247</v>
      </c>
      <c r="J269" s="15">
        <v>2450</v>
      </c>
      <c r="K269" s="7">
        <v>30</v>
      </c>
      <c r="L269" s="7">
        <f t="shared" si="31"/>
        <v>81.666666666666671</v>
      </c>
      <c r="M269" s="5" t="s">
        <v>10</v>
      </c>
      <c r="N269" s="5">
        <v>4</v>
      </c>
      <c r="O269" s="6">
        <f t="shared" si="32"/>
        <v>10.212586805555558</v>
      </c>
      <c r="P269" s="6">
        <f t="shared" si="33"/>
        <v>1.0621090277777778</v>
      </c>
      <c r="Q269" s="10">
        <f t="shared" si="34"/>
        <v>2.2127271412037044E-2</v>
      </c>
      <c r="R269" s="10">
        <f t="shared" si="35"/>
        <v>9.0834105769885987E-2</v>
      </c>
      <c r="S269" s="10">
        <f t="shared" si="36"/>
        <v>0.11296137718192303</v>
      </c>
    </row>
    <row r="270" spans="1:19" x14ac:dyDescent="0.25">
      <c r="A270" s="5" t="s">
        <v>8</v>
      </c>
      <c r="B270" s="5" t="s">
        <v>241</v>
      </c>
      <c r="C270" s="5" t="s">
        <v>27</v>
      </c>
      <c r="D270" s="5" t="s">
        <v>385</v>
      </c>
      <c r="E270" s="5" t="s">
        <v>384</v>
      </c>
      <c r="F270" s="5" t="s">
        <v>30</v>
      </c>
      <c r="G270" s="5" t="s">
        <v>392</v>
      </c>
      <c r="H270" s="5" t="s">
        <v>40</v>
      </c>
      <c r="I270" s="5" t="s">
        <v>253</v>
      </c>
      <c r="J270" s="15">
        <v>1750</v>
      </c>
      <c r="K270" s="7">
        <v>28.5</v>
      </c>
      <c r="L270" s="7">
        <f t="shared" si="31"/>
        <v>61.403508771929822</v>
      </c>
      <c r="M270" s="5" t="s">
        <v>10</v>
      </c>
      <c r="N270" s="5">
        <v>4</v>
      </c>
      <c r="O270" s="6">
        <f t="shared" si="32"/>
        <v>4.1238650353955055</v>
      </c>
      <c r="P270" s="6">
        <f t="shared" si="33"/>
        <v>0.42888196368113263</v>
      </c>
      <c r="Q270" s="10">
        <f t="shared" si="34"/>
        <v>8.9350409100235947E-3</v>
      </c>
      <c r="R270" s="10">
        <f t="shared" si="35"/>
        <v>4.6012460418506596E-2</v>
      </c>
      <c r="S270" s="10">
        <f t="shared" si="36"/>
        <v>5.4947501328530192E-2</v>
      </c>
    </row>
    <row r="271" spans="1:19" x14ac:dyDescent="0.25">
      <c r="A271" s="5" t="s">
        <v>8</v>
      </c>
      <c r="B271" s="5" t="s">
        <v>241</v>
      </c>
      <c r="C271" s="5" t="s">
        <v>27</v>
      </c>
      <c r="D271" s="5" t="s">
        <v>385</v>
      </c>
      <c r="E271" s="5" t="s">
        <v>384</v>
      </c>
      <c r="F271" s="5" t="s">
        <v>30</v>
      </c>
      <c r="G271" s="5" t="s">
        <v>392</v>
      </c>
      <c r="H271" s="5" t="s">
        <v>40</v>
      </c>
      <c r="I271" s="5" t="s">
        <v>245</v>
      </c>
      <c r="J271" s="15">
        <v>1340</v>
      </c>
      <c r="K271" s="7">
        <v>23</v>
      </c>
      <c r="L271" s="7">
        <f t="shared" si="31"/>
        <v>58.260869565217391</v>
      </c>
      <c r="M271" s="5" t="s">
        <v>10</v>
      </c>
      <c r="N271" s="5">
        <v>4</v>
      </c>
      <c r="O271" s="6">
        <f t="shared" si="32"/>
        <v>2.8427504725897923</v>
      </c>
      <c r="P271" s="6">
        <f t="shared" si="33"/>
        <v>0.29564604914933834</v>
      </c>
      <c r="Q271" s="10">
        <f t="shared" si="34"/>
        <v>6.1592926906112169E-3</v>
      </c>
      <c r="R271" s="10">
        <f t="shared" si="35"/>
        <v>3.4809772072794537E-2</v>
      </c>
      <c r="S271" s="10">
        <f t="shared" si="36"/>
        <v>4.0969064763405755E-2</v>
      </c>
    </row>
    <row r="272" spans="1:19" x14ac:dyDescent="0.25">
      <c r="A272" s="5" t="s">
        <v>8</v>
      </c>
      <c r="B272" s="5" t="s">
        <v>241</v>
      </c>
      <c r="C272" s="5" t="s">
        <v>27</v>
      </c>
      <c r="D272" s="5" t="s">
        <v>385</v>
      </c>
      <c r="E272" s="5" t="s">
        <v>384</v>
      </c>
      <c r="F272" s="5" t="s">
        <v>30</v>
      </c>
      <c r="G272" s="5" t="s">
        <v>392</v>
      </c>
      <c r="H272" s="5" t="s">
        <v>40</v>
      </c>
      <c r="I272" s="5" t="s">
        <v>254</v>
      </c>
      <c r="J272" s="15">
        <v>2500</v>
      </c>
      <c r="K272" s="7">
        <v>26.5</v>
      </c>
      <c r="L272" s="7">
        <f t="shared" si="31"/>
        <v>94.339622641509436</v>
      </c>
      <c r="M272" s="5" t="s">
        <v>10</v>
      </c>
      <c r="N272" s="5">
        <v>4</v>
      </c>
      <c r="O272" s="6">
        <f t="shared" si="32"/>
        <v>13.906194375222499</v>
      </c>
      <c r="P272" s="6">
        <f t="shared" si="33"/>
        <v>1.44624421502314</v>
      </c>
      <c r="Q272" s="10">
        <f t="shared" si="34"/>
        <v>3.0130087812982081E-2</v>
      </c>
      <c r="R272" s="10">
        <f t="shared" si="35"/>
        <v>0.11449943560372897</v>
      </c>
      <c r="S272" s="10">
        <f t="shared" si="36"/>
        <v>0.14462952341671104</v>
      </c>
    </row>
    <row r="273" spans="1:19" x14ac:dyDescent="0.25">
      <c r="A273" s="5" t="s">
        <v>22</v>
      </c>
      <c r="B273" s="5" t="s">
        <v>63</v>
      </c>
      <c r="C273" s="5" t="s">
        <v>27</v>
      </c>
      <c r="D273" s="5" t="s">
        <v>385</v>
      </c>
      <c r="E273" s="5" t="s">
        <v>384</v>
      </c>
      <c r="F273" s="5" t="s">
        <v>45</v>
      </c>
      <c r="G273" s="5" t="s">
        <v>390</v>
      </c>
      <c r="H273" s="5" t="s">
        <v>68</v>
      </c>
      <c r="I273" s="5" t="s">
        <v>69</v>
      </c>
      <c r="J273" s="15">
        <v>945</v>
      </c>
      <c r="K273" s="7">
        <v>21.5</v>
      </c>
      <c r="L273" s="7">
        <f t="shared" si="31"/>
        <v>43.953488372093027</v>
      </c>
      <c r="M273" s="5" t="s">
        <v>10</v>
      </c>
      <c r="N273" s="5">
        <v>4</v>
      </c>
      <c r="O273" s="6">
        <f t="shared" si="32"/>
        <v>1.1410338358572203</v>
      </c>
      <c r="P273" s="6">
        <f t="shared" si="33"/>
        <v>0.11866751892915092</v>
      </c>
      <c r="Q273" s="10">
        <f t="shared" si="34"/>
        <v>2.4722399776906439E-3</v>
      </c>
      <c r="R273" s="10">
        <f t="shared" si="35"/>
        <v>1.7553794774037217E-2</v>
      </c>
      <c r="S273" s="10">
        <f t="shared" si="36"/>
        <v>2.0026034751727862E-2</v>
      </c>
    </row>
    <row r="274" spans="1:19" x14ac:dyDescent="0.25">
      <c r="A274" s="5" t="s">
        <v>22</v>
      </c>
      <c r="B274" s="5" t="s">
        <v>63</v>
      </c>
      <c r="C274" s="5" t="s">
        <v>27</v>
      </c>
      <c r="D274" s="5" t="s">
        <v>385</v>
      </c>
      <c r="E274" s="5" t="s">
        <v>384</v>
      </c>
      <c r="F274" s="5" t="s">
        <v>45</v>
      </c>
      <c r="G274" s="5" t="s">
        <v>390</v>
      </c>
      <c r="H274" s="5" t="s">
        <v>79</v>
      </c>
      <c r="I274" s="5" t="s">
        <v>80</v>
      </c>
      <c r="J274" s="15">
        <v>1270</v>
      </c>
      <c r="K274" s="7">
        <v>44</v>
      </c>
      <c r="L274" s="7">
        <f t="shared" si="31"/>
        <v>28.863636363636363</v>
      </c>
      <c r="M274" s="5" t="s">
        <v>10</v>
      </c>
      <c r="N274" s="5">
        <v>4</v>
      </c>
      <c r="O274" s="6">
        <f t="shared" si="32"/>
        <v>0.66128066890495862</v>
      </c>
      <c r="P274" s="6">
        <f t="shared" si="33"/>
        <v>6.8773189566115694E-2</v>
      </c>
      <c r="Q274" s="10">
        <f t="shared" si="34"/>
        <v>1.4327747826274103E-3</v>
      </c>
      <c r="R274" s="10">
        <f t="shared" si="35"/>
        <v>1.165967633207318E-2</v>
      </c>
      <c r="S274" s="10">
        <f t="shared" si="36"/>
        <v>1.3092451114700591E-2</v>
      </c>
    </row>
    <row r="275" spans="1:19" x14ac:dyDescent="0.25">
      <c r="A275" s="5" t="s">
        <v>22</v>
      </c>
      <c r="B275" s="5" t="s">
        <v>63</v>
      </c>
      <c r="C275" s="5" t="s">
        <v>27</v>
      </c>
      <c r="D275" s="5" t="s">
        <v>385</v>
      </c>
      <c r="E275" s="5" t="s">
        <v>384</v>
      </c>
      <c r="F275" s="5" t="s">
        <v>45</v>
      </c>
      <c r="G275" s="5" t="s">
        <v>390</v>
      </c>
      <c r="H275" s="5" t="s">
        <v>81</v>
      </c>
      <c r="I275" s="5" t="s">
        <v>82</v>
      </c>
      <c r="J275" s="15">
        <v>740</v>
      </c>
      <c r="K275" s="7">
        <v>27</v>
      </c>
      <c r="L275" s="7">
        <f t="shared" si="31"/>
        <v>27.407407407407408</v>
      </c>
      <c r="M275" s="5" t="s">
        <v>10</v>
      </c>
      <c r="N275" s="5">
        <v>4</v>
      </c>
      <c r="O275" s="6">
        <f t="shared" si="32"/>
        <v>0.34741426611796983</v>
      </c>
      <c r="P275" s="6">
        <f t="shared" si="33"/>
        <v>3.6131083676268862E-2</v>
      </c>
      <c r="Q275" s="10">
        <f t="shared" si="34"/>
        <v>7.5273090992226792E-4</v>
      </c>
      <c r="R275" s="10">
        <f t="shared" si="35"/>
        <v>7.1950341649546588E-3</v>
      </c>
      <c r="S275" s="10">
        <f t="shared" si="36"/>
        <v>7.9477650748769266E-3</v>
      </c>
    </row>
    <row r="276" spans="1:19" x14ac:dyDescent="0.25">
      <c r="A276" s="5" t="s">
        <v>22</v>
      </c>
      <c r="B276" s="5" t="s">
        <v>63</v>
      </c>
      <c r="C276" s="5" t="s">
        <v>27</v>
      </c>
      <c r="D276" s="5" t="s">
        <v>385</v>
      </c>
      <c r="E276" s="5" t="s">
        <v>384</v>
      </c>
      <c r="F276" s="5" t="s">
        <v>45</v>
      </c>
      <c r="G276" s="5" t="s">
        <v>390</v>
      </c>
      <c r="H276" s="5" t="s">
        <v>70</v>
      </c>
      <c r="I276" s="5" t="s">
        <v>71</v>
      </c>
      <c r="J276" s="15">
        <v>950</v>
      </c>
      <c r="K276" s="7">
        <v>37</v>
      </c>
      <c r="L276" s="7">
        <f t="shared" si="31"/>
        <v>25.675675675675677</v>
      </c>
      <c r="M276" s="5" t="s">
        <v>10</v>
      </c>
      <c r="N276" s="5">
        <v>4</v>
      </c>
      <c r="O276" s="6">
        <f t="shared" si="32"/>
        <v>0.39142394083272469</v>
      </c>
      <c r="P276" s="6">
        <f t="shared" si="33"/>
        <v>4.0708089846603367E-2</v>
      </c>
      <c r="Q276" s="10">
        <f t="shared" si="34"/>
        <v>8.4808520513757017E-4</v>
      </c>
      <c r="R276" s="10">
        <f t="shared" si="35"/>
        <v>7.8683317585654267E-3</v>
      </c>
      <c r="S276" s="10">
        <f t="shared" si="36"/>
        <v>8.716416963702997E-3</v>
      </c>
    </row>
    <row r="277" spans="1:19" x14ac:dyDescent="0.25">
      <c r="A277" s="5" t="s">
        <v>8</v>
      </c>
      <c r="B277" s="5" t="s">
        <v>161</v>
      </c>
      <c r="C277" s="5" t="s">
        <v>27</v>
      </c>
      <c r="D277" s="5" t="s">
        <v>385</v>
      </c>
      <c r="E277" s="5" t="s">
        <v>384</v>
      </c>
      <c r="F277" s="5" t="s">
        <v>45</v>
      </c>
      <c r="G277" s="5" t="s">
        <v>390</v>
      </c>
      <c r="H277" s="5" t="s">
        <v>70</v>
      </c>
      <c r="I277" s="5" t="s">
        <v>71</v>
      </c>
      <c r="J277" s="15">
        <v>940</v>
      </c>
      <c r="K277" s="7">
        <v>36</v>
      </c>
      <c r="L277" s="7">
        <f t="shared" si="31"/>
        <v>26.111111111111111</v>
      </c>
      <c r="M277" s="5" t="s">
        <v>10</v>
      </c>
      <c r="N277" s="5">
        <v>4</v>
      </c>
      <c r="O277" s="6">
        <f t="shared" si="32"/>
        <v>0.40055169753086417</v>
      </c>
      <c r="P277" s="6">
        <f t="shared" si="33"/>
        <v>4.1657376543209869E-2</v>
      </c>
      <c r="Q277" s="10">
        <f t="shared" si="34"/>
        <v>8.678620113168723E-4</v>
      </c>
      <c r="R277" s="10">
        <f t="shared" si="35"/>
        <v>8.0055478331547292E-3</v>
      </c>
      <c r="S277" s="10">
        <f t="shared" si="36"/>
        <v>8.8734098444716008E-3</v>
      </c>
    </row>
    <row r="278" spans="1:19" x14ac:dyDescent="0.25">
      <c r="A278" s="5" t="s">
        <v>22</v>
      </c>
      <c r="B278" s="5" t="s">
        <v>63</v>
      </c>
      <c r="C278" s="5" t="s">
        <v>27</v>
      </c>
      <c r="D278" s="5" t="s">
        <v>385</v>
      </c>
      <c r="E278" s="5" t="s">
        <v>384</v>
      </c>
      <c r="F278" s="5" t="s">
        <v>45</v>
      </c>
      <c r="G278" s="5" t="s">
        <v>390</v>
      </c>
      <c r="H278" s="5" t="s">
        <v>75</v>
      </c>
      <c r="I278" s="5" t="s">
        <v>76</v>
      </c>
      <c r="J278" s="15">
        <v>1700</v>
      </c>
      <c r="K278" s="7">
        <v>55</v>
      </c>
      <c r="L278" s="7">
        <f t="shared" si="31"/>
        <v>30.90909090909091</v>
      </c>
      <c r="M278" s="5" t="s">
        <v>10</v>
      </c>
      <c r="N278" s="5">
        <v>4</v>
      </c>
      <c r="O278" s="6">
        <f t="shared" si="32"/>
        <v>1.0150826446280992</v>
      </c>
      <c r="P278" s="6">
        <f t="shared" si="33"/>
        <v>0.10556859504132231</v>
      </c>
      <c r="Q278" s="10">
        <f t="shared" si="34"/>
        <v>2.1993457300275481E-3</v>
      </c>
      <c r="R278" s="10">
        <f t="shared" si="35"/>
        <v>1.6079523553745634E-2</v>
      </c>
      <c r="S278" s="10">
        <f t="shared" si="36"/>
        <v>1.8278869283773182E-2</v>
      </c>
    </row>
    <row r="279" spans="1:19" x14ac:dyDescent="0.25">
      <c r="A279" s="5" t="s">
        <v>8</v>
      </c>
      <c r="B279" s="5" t="s">
        <v>313</v>
      </c>
      <c r="C279" s="5" t="s">
        <v>27</v>
      </c>
      <c r="D279" s="5" t="s">
        <v>385</v>
      </c>
      <c r="E279" s="5" t="s">
        <v>384</v>
      </c>
      <c r="F279" s="5" t="s">
        <v>45</v>
      </c>
      <c r="G279" s="5" t="s">
        <v>390</v>
      </c>
      <c r="H279" s="5" t="s">
        <v>46</v>
      </c>
      <c r="I279" s="5" t="s">
        <v>167</v>
      </c>
      <c r="J279" s="15">
        <v>980</v>
      </c>
      <c r="K279" s="7">
        <v>26</v>
      </c>
      <c r="L279" s="7">
        <f t="shared" si="31"/>
        <v>37.692307692307693</v>
      </c>
      <c r="M279" s="5" t="s">
        <v>10</v>
      </c>
      <c r="N279" s="5">
        <v>4</v>
      </c>
      <c r="O279" s="6">
        <f t="shared" si="32"/>
        <v>0.87018491124260366</v>
      </c>
      <c r="P279" s="6">
        <f t="shared" si="33"/>
        <v>9.0499230769230776E-2</v>
      </c>
      <c r="Q279" s="10">
        <f t="shared" si="34"/>
        <v>1.8854006410256412E-3</v>
      </c>
      <c r="R279" s="10">
        <f t="shared" si="35"/>
        <v>1.4325367948525116E-2</v>
      </c>
      <c r="S279" s="10">
        <f t="shared" si="36"/>
        <v>1.6210768589550756E-2</v>
      </c>
    </row>
    <row r="280" spans="1:19" x14ac:dyDescent="0.25">
      <c r="A280" s="5" t="s">
        <v>8</v>
      </c>
      <c r="B280" s="5" t="s">
        <v>206</v>
      </c>
      <c r="C280" s="5" t="s">
        <v>27</v>
      </c>
      <c r="D280" s="5" t="s">
        <v>385</v>
      </c>
      <c r="E280" s="5" t="s">
        <v>384</v>
      </c>
      <c r="F280" s="5" t="s">
        <v>45</v>
      </c>
      <c r="G280" s="5" t="s">
        <v>390</v>
      </c>
      <c r="H280" s="5" t="s">
        <v>46</v>
      </c>
      <c r="I280" s="5" t="s">
        <v>207</v>
      </c>
      <c r="J280" s="15">
        <v>1000</v>
      </c>
      <c r="K280" s="7">
        <v>28.3</v>
      </c>
      <c r="L280" s="7">
        <f t="shared" si="31"/>
        <v>35.335689045936398</v>
      </c>
      <c r="M280" s="5" t="s">
        <v>10</v>
      </c>
      <c r="N280" s="5">
        <v>4</v>
      </c>
      <c r="O280" s="6">
        <f t="shared" si="32"/>
        <v>0.78038182521944355</v>
      </c>
      <c r="P280" s="6">
        <f t="shared" si="33"/>
        <v>8.1159709822822126E-2</v>
      </c>
      <c r="Q280" s="10">
        <f t="shared" si="34"/>
        <v>1.690827287975461E-3</v>
      </c>
      <c r="R280" s="10">
        <f t="shared" si="35"/>
        <v>1.3201627791862751E-2</v>
      </c>
      <c r="S280" s="10">
        <f t="shared" si="36"/>
        <v>1.4892455079838211E-2</v>
      </c>
    </row>
    <row r="281" spans="1:19" x14ac:dyDescent="0.25">
      <c r="A281" s="5" t="s">
        <v>8</v>
      </c>
      <c r="B281" s="5" t="s">
        <v>208</v>
      </c>
      <c r="C281" s="5" t="s">
        <v>27</v>
      </c>
      <c r="D281" s="5" t="s">
        <v>385</v>
      </c>
      <c r="E281" s="5" t="s">
        <v>384</v>
      </c>
      <c r="F281" s="5" t="s">
        <v>45</v>
      </c>
      <c r="G281" s="5" t="s">
        <v>390</v>
      </c>
      <c r="H281" s="5" t="s">
        <v>46</v>
      </c>
      <c r="I281" s="5" t="s">
        <v>207</v>
      </c>
      <c r="J281" s="15">
        <v>1070</v>
      </c>
      <c r="K281" s="7">
        <v>28.1</v>
      </c>
      <c r="L281" s="7">
        <f t="shared" si="31"/>
        <v>38.078291814946617</v>
      </c>
      <c r="M281" s="5" t="s">
        <v>10</v>
      </c>
      <c r="N281" s="5">
        <v>4</v>
      </c>
      <c r="O281" s="6">
        <f t="shared" si="32"/>
        <v>0.9696582806702041</v>
      </c>
      <c r="P281" s="6">
        <f t="shared" si="33"/>
        <v>0.10084446118970124</v>
      </c>
      <c r="Q281" s="10">
        <f t="shared" si="34"/>
        <v>2.1009262747854422E-3</v>
      </c>
      <c r="R281" s="10">
        <f t="shared" si="35"/>
        <v>1.5536785046705944E-2</v>
      </c>
      <c r="S281" s="10">
        <f t="shared" si="36"/>
        <v>1.7637711321491386E-2</v>
      </c>
    </row>
    <row r="282" spans="1:19" x14ac:dyDescent="0.25">
      <c r="A282" s="5" t="s">
        <v>8</v>
      </c>
      <c r="B282" s="5" t="s">
        <v>209</v>
      </c>
      <c r="C282" s="5" t="s">
        <v>27</v>
      </c>
      <c r="D282" s="5" t="s">
        <v>385</v>
      </c>
      <c r="E282" s="5" t="s">
        <v>384</v>
      </c>
      <c r="F282" s="5" t="s">
        <v>45</v>
      </c>
      <c r="G282" s="5" t="s">
        <v>390</v>
      </c>
      <c r="H282" s="5" t="s">
        <v>46</v>
      </c>
      <c r="I282" s="5" t="s">
        <v>207</v>
      </c>
      <c r="J282" s="15">
        <v>1500</v>
      </c>
      <c r="K282" s="7">
        <v>46.9</v>
      </c>
      <c r="L282" s="7">
        <f t="shared" si="31"/>
        <v>31.982942430703627</v>
      </c>
      <c r="M282" s="5" t="s">
        <v>10</v>
      </c>
      <c r="N282" s="5">
        <v>4</v>
      </c>
      <c r="O282" s="6">
        <f t="shared" si="32"/>
        <v>0.95897681861784601</v>
      </c>
      <c r="P282" s="6">
        <f t="shared" si="33"/>
        <v>9.973358913625599E-2</v>
      </c>
      <c r="Q282" s="10">
        <f t="shared" si="34"/>
        <v>2.0777831070053327E-3</v>
      </c>
      <c r="R282" s="10">
        <f t="shared" si="35"/>
        <v>1.5408246091418672E-2</v>
      </c>
      <c r="S282" s="10">
        <f t="shared" si="36"/>
        <v>1.7486029198424003E-2</v>
      </c>
    </row>
    <row r="283" spans="1:19" x14ac:dyDescent="0.25">
      <c r="A283" s="5" t="s">
        <v>8</v>
      </c>
      <c r="B283" s="5" t="s">
        <v>210</v>
      </c>
      <c r="C283" s="5" t="s">
        <v>27</v>
      </c>
      <c r="D283" s="5" t="s">
        <v>385</v>
      </c>
      <c r="E283" s="5" t="s">
        <v>384</v>
      </c>
      <c r="F283" s="5" t="s">
        <v>45</v>
      </c>
      <c r="G283" s="5" t="s">
        <v>390</v>
      </c>
      <c r="H283" s="5" t="s">
        <v>46</v>
      </c>
      <c r="I283" s="5" t="s">
        <v>207</v>
      </c>
      <c r="J283" s="15">
        <v>1330</v>
      </c>
      <c r="K283" s="7">
        <v>30</v>
      </c>
      <c r="L283" s="7">
        <f t="shared" si="31"/>
        <v>44.333333333333336</v>
      </c>
      <c r="M283" s="5" t="s">
        <v>10</v>
      </c>
      <c r="N283" s="5">
        <v>4</v>
      </c>
      <c r="O283" s="6">
        <f t="shared" si="32"/>
        <v>1.6337756944444446</v>
      </c>
      <c r="P283" s="6">
        <f t="shared" si="33"/>
        <v>0.1699126722222222</v>
      </c>
      <c r="Q283" s="10">
        <f t="shared" si="34"/>
        <v>3.5398473379629632E-3</v>
      </c>
      <c r="R283" s="10">
        <f t="shared" si="35"/>
        <v>2.2976900704314702E-2</v>
      </c>
      <c r="S283" s="10">
        <f t="shared" si="36"/>
        <v>2.6516748042277664E-2</v>
      </c>
    </row>
    <row r="284" spans="1:19" x14ac:dyDescent="0.25">
      <c r="A284" s="5" t="s">
        <v>8</v>
      </c>
      <c r="B284" s="5" t="s">
        <v>308</v>
      </c>
      <c r="C284" s="5" t="s">
        <v>27</v>
      </c>
      <c r="D284" s="5" t="s">
        <v>385</v>
      </c>
      <c r="E284" s="5" t="s">
        <v>384</v>
      </c>
      <c r="F284" s="5" t="s">
        <v>45</v>
      </c>
      <c r="G284" s="5" t="s">
        <v>390</v>
      </c>
      <c r="H284" s="5" t="s">
        <v>46</v>
      </c>
      <c r="I284" s="5" t="s">
        <v>310</v>
      </c>
      <c r="J284" s="15">
        <v>972</v>
      </c>
      <c r="K284" s="7">
        <v>19.7</v>
      </c>
      <c r="L284" s="7">
        <f t="shared" si="31"/>
        <v>49.340101522842644</v>
      </c>
      <c r="M284" s="5" t="s">
        <v>10</v>
      </c>
      <c r="N284" s="5">
        <v>4</v>
      </c>
      <c r="O284" s="6">
        <f t="shared" si="32"/>
        <v>1.4789257131077846</v>
      </c>
      <c r="P284" s="6">
        <f t="shared" si="33"/>
        <v>0.15380827416320958</v>
      </c>
      <c r="Q284" s="10">
        <f t="shared" si="34"/>
        <v>3.204339045066867E-3</v>
      </c>
      <c r="R284" s="10">
        <f t="shared" si="35"/>
        <v>2.1323421621601071E-2</v>
      </c>
      <c r="S284" s="10">
        <f t="shared" si="36"/>
        <v>2.4527760666667939E-2</v>
      </c>
    </row>
    <row r="285" spans="1:19" x14ac:dyDescent="0.25">
      <c r="A285" s="5" t="s">
        <v>22</v>
      </c>
      <c r="B285" s="5" t="s">
        <v>26</v>
      </c>
      <c r="C285" s="5" t="s">
        <v>27</v>
      </c>
      <c r="D285" s="5" t="s">
        <v>385</v>
      </c>
      <c r="E285" s="5" t="s">
        <v>384</v>
      </c>
      <c r="F285" s="5" t="s">
        <v>45</v>
      </c>
      <c r="G285" s="5" t="s">
        <v>390</v>
      </c>
      <c r="H285" s="5" t="s">
        <v>46</v>
      </c>
      <c r="I285" s="5" t="s">
        <v>16</v>
      </c>
      <c r="J285" s="15">
        <v>1400</v>
      </c>
      <c r="K285" s="7">
        <v>39</v>
      </c>
      <c r="L285" s="7">
        <f t="shared" si="31"/>
        <v>35.897435897435898</v>
      </c>
      <c r="M285" s="5" t="s">
        <v>10</v>
      </c>
      <c r="N285" s="5">
        <v>4</v>
      </c>
      <c r="O285" s="6">
        <f t="shared" si="32"/>
        <v>1.1275476660092045</v>
      </c>
      <c r="P285" s="6">
        <f t="shared" si="33"/>
        <v>0.11726495726495727</v>
      </c>
      <c r="Q285" s="10">
        <f t="shared" si="34"/>
        <v>2.4430199430199432E-3</v>
      </c>
      <c r="R285" s="10">
        <f t="shared" si="35"/>
        <v>1.7397959160789959E-2</v>
      </c>
      <c r="S285" s="10">
        <f t="shared" si="36"/>
        <v>1.9840979103809903E-2</v>
      </c>
    </row>
    <row r="286" spans="1:19" x14ac:dyDescent="0.25">
      <c r="A286" s="5" t="s">
        <v>8</v>
      </c>
      <c r="B286" s="5" t="s">
        <v>322</v>
      </c>
      <c r="C286" s="5" t="s">
        <v>27</v>
      </c>
      <c r="D286" s="5" t="s">
        <v>385</v>
      </c>
      <c r="E286" s="5" t="s">
        <v>384</v>
      </c>
      <c r="F286" s="5" t="s">
        <v>45</v>
      </c>
      <c r="G286" s="5" t="s">
        <v>390</v>
      </c>
      <c r="H286" s="5" t="s">
        <v>46</v>
      </c>
      <c r="I286" s="5" t="s">
        <v>323</v>
      </c>
      <c r="J286" s="15">
        <v>810</v>
      </c>
      <c r="K286" s="7">
        <v>29</v>
      </c>
      <c r="L286" s="7">
        <f t="shared" si="31"/>
        <v>27.931034482758619</v>
      </c>
      <c r="M286" s="5" t="s">
        <v>10</v>
      </c>
      <c r="N286" s="5">
        <v>4</v>
      </c>
      <c r="O286" s="6">
        <f t="shared" si="32"/>
        <v>0.39494723543400712</v>
      </c>
      <c r="P286" s="6">
        <f t="shared" si="33"/>
        <v>4.1074512485136737E-2</v>
      </c>
      <c r="Q286" s="10">
        <f t="shared" si="34"/>
        <v>8.5571901010701539E-4</v>
      </c>
      <c r="R286" s="10">
        <f t="shared" si="35"/>
        <v>7.9213906781575756E-3</v>
      </c>
      <c r="S286" s="10">
        <f t="shared" si="36"/>
        <v>8.7771096882645911E-3</v>
      </c>
    </row>
    <row r="287" spans="1:19" x14ac:dyDescent="0.25">
      <c r="A287" s="5" t="s">
        <v>22</v>
      </c>
      <c r="B287" s="5" t="s">
        <v>26</v>
      </c>
      <c r="C287" s="5" t="s">
        <v>27</v>
      </c>
      <c r="D287" s="5" t="s">
        <v>385</v>
      </c>
      <c r="E287" s="5" t="s">
        <v>384</v>
      </c>
      <c r="F287" s="5" t="s">
        <v>45</v>
      </c>
      <c r="G287" s="5" t="s">
        <v>390</v>
      </c>
      <c r="H287" s="5" t="s">
        <v>46</v>
      </c>
      <c r="I287" s="5" t="s">
        <v>47</v>
      </c>
      <c r="J287" s="15">
        <v>1200</v>
      </c>
      <c r="K287" s="7">
        <v>28</v>
      </c>
      <c r="L287" s="7">
        <f t="shared" si="31"/>
        <v>42.857142857142854</v>
      </c>
      <c r="M287" s="5" t="s">
        <v>10</v>
      </c>
      <c r="N287" s="5">
        <v>4</v>
      </c>
      <c r="O287" s="6">
        <f t="shared" si="32"/>
        <v>1.3775510204081631</v>
      </c>
      <c r="P287" s="6">
        <f t="shared" si="33"/>
        <v>0.14326530612244898</v>
      </c>
      <c r="Q287" s="10">
        <f t="shared" si="34"/>
        <v>2.9846938775510198E-3</v>
      </c>
      <c r="R287" s="10">
        <f t="shared" si="35"/>
        <v>2.0217520582724226E-2</v>
      </c>
      <c r="S287" s="10">
        <f t="shared" si="36"/>
        <v>2.3202214460275247E-2</v>
      </c>
    </row>
    <row r="288" spans="1:19" x14ac:dyDescent="0.25">
      <c r="A288" s="5" t="s">
        <v>8</v>
      </c>
      <c r="B288" s="5" t="s">
        <v>300</v>
      </c>
      <c r="C288" s="5" t="s">
        <v>27</v>
      </c>
      <c r="D288" s="5" t="s">
        <v>385</v>
      </c>
      <c r="E288" s="5" t="s">
        <v>384</v>
      </c>
      <c r="F288" s="5" t="s">
        <v>45</v>
      </c>
      <c r="G288" s="5" t="s">
        <v>390</v>
      </c>
      <c r="H288" s="5" t="s">
        <v>46</v>
      </c>
      <c r="I288" s="5" t="s">
        <v>47</v>
      </c>
      <c r="J288" s="15">
        <v>1198</v>
      </c>
      <c r="K288" s="7">
        <v>28.2</v>
      </c>
      <c r="L288" s="7">
        <f t="shared" si="31"/>
        <v>42.4822695035461</v>
      </c>
      <c r="M288" s="5" t="s">
        <v>10</v>
      </c>
      <c r="N288" s="5">
        <v>4</v>
      </c>
      <c r="O288" s="6">
        <f t="shared" si="32"/>
        <v>1.3513014876012275</v>
      </c>
      <c r="P288" s="6">
        <f t="shared" si="33"/>
        <v>0.14053535471052764</v>
      </c>
      <c r="Q288" s="10">
        <f t="shared" si="34"/>
        <v>2.927819889802659E-3</v>
      </c>
      <c r="R288" s="10">
        <f t="shared" si="35"/>
        <v>1.9927889917281474E-2</v>
      </c>
      <c r="S288" s="10">
        <f t="shared" si="36"/>
        <v>2.2855709807084134E-2</v>
      </c>
    </row>
    <row r="289" spans="1:19" x14ac:dyDescent="0.25">
      <c r="A289" s="5" t="s">
        <v>8</v>
      </c>
      <c r="B289" s="5" t="s">
        <v>202</v>
      </c>
      <c r="C289" s="5" t="s">
        <v>27</v>
      </c>
      <c r="D289" s="5" t="s">
        <v>385</v>
      </c>
      <c r="E289" s="5" t="s">
        <v>384</v>
      </c>
      <c r="F289" s="5" t="s">
        <v>45</v>
      </c>
      <c r="G289" s="5" t="s">
        <v>390</v>
      </c>
      <c r="H289" s="5" t="s">
        <v>46</v>
      </c>
      <c r="I289" s="5" t="s">
        <v>203</v>
      </c>
      <c r="J289" s="15">
        <v>1230</v>
      </c>
      <c r="K289" s="7">
        <v>25.5</v>
      </c>
      <c r="L289" s="7">
        <f t="shared" si="31"/>
        <v>48.235294117647058</v>
      </c>
      <c r="M289" s="5" t="s">
        <v>10</v>
      </c>
      <c r="N289" s="5">
        <v>4</v>
      </c>
      <c r="O289" s="6">
        <f t="shared" si="32"/>
        <v>1.788607266435986</v>
      </c>
      <c r="P289" s="6">
        <f t="shared" si="33"/>
        <v>0.18601515570934254</v>
      </c>
      <c r="Q289" s="10">
        <f t="shared" si="34"/>
        <v>3.8753157439446362E-3</v>
      </c>
      <c r="R289" s="10">
        <f t="shared" si="35"/>
        <v>2.4591406420233046E-2</v>
      </c>
      <c r="S289" s="10">
        <f t="shared" si="36"/>
        <v>2.8466722164177682E-2</v>
      </c>
    </row>
    <row r="290" spans="1:19" x14ac:dyDescent="0.25">
      <c r="A290" s="5" t="s">
        <v>8</v>
      </c>
      <c r="B290" s="5" t="s">
        <v>204</v>
      </c>
      <c r="C290" s="5" t="s">
        <v>27</v>
      </c>
      <c r="D290" s="5" t="s">
        <v>385</v>
      </c>
      <c r="E290" s="5" t="s">
        <v>384</v>
      </c>
      <c r="F290" s="5" t="s">
        <v>45</v>
      </c>
      <c r="G290" s="5" t="s">
        <v>390</v>
      </c>
      <c r="H290" s="5" t="s">
        <v>46</v>
      </c>
      <c r="I290" s="5" t="s">
        <v>203</v>
      </c>
      <c r="J290" s="15">
        <v>900</v>
      </c>
      <c r="K290" s="7">
        <v>26</v>
      </c>
      <c r="L290" s="7">
        <f t="shared" si="31"/>
        <v>34.615384615384613</v>
      </c>
      <c r="M290" s="5" t="s">
        <v>10</v>
      </c>
      <c r="N290" s="5">
        <v>4</v>
      </c>
      <c r="O290" s="6">
        <f t="shared" si="32"/>
        <v>0.67400147928994081</v>
      </c>
      <c r="P290" s="6">
        <f t="shared" si="33"/>
        <v>7.0096153846153836E-2</v>
      </c>
      <c r="Q290" s="10">
        <f t="shared" si="34"/>
        <v>1.4603365384615382E-3</v>
      </c>
      <c r="R290" s="10">
        <f t="shared" si="35"/>
        <v>1.1827494686413892E-2</v>
      </c>
      <c r="S290" s="10">
        <f t="shared" si="36"/>
        <v>1.3287831224875431E-2</v>
      </c>
    </row>
    <row r="291" spans="1:19" x14ac:dyDescent="0.25">
      <c r="A291" s="5" t="s">
        <v>8</v>
      </c>
      <c r="B291" s="5" t="s">
        <v>205</v>
      </c>
      <c r="C291" s="5" t="s">
        <v>27</v>
      </c>
      <c r="D291" s="5" t="s">
        <v>385</v>
      </c>
      <c r="E291" s="5" t="s">
        <v>384</v>
      </c>
      <c r="F291" s="5" t="s">
        <v>45</v>
      </c>
      <c r="G291" s="5" t="s">
        <v>390</v>
      </c>
      <c r="H291" s="5" t="s">
        <v>46</v>
      </c>
      <c r="I291" s="5" t="s">
        <v>203</v>
      </c>
      <c r="J291" s="15">
        <v>1100</v>
      </c>
      <c r="K291" s="7">
        <v>30</v>
      </c>
      <c r="L291" s="7">
        <f t="shared" si="31"/>
        <v>36.666666666666664</v>
      </c>
      <c r="M291" s="5" t="s">
        <v>10</v>
      </c>
      <c r="N291" s="5">
        <v>4</v>
      </c>
      <c r="O291" s="6">
        <f t="shared" si="32"/>
        <v>0.92430555555555549</v>
      </c>
      <c r="P291" s="6">
        <f t="shared" si="33"/>
        <v>9.6127777777777756E-2</v>
      </c>
      <c r="Q291" s="10">
        <f t="shared" si="34"/>
        <v>2.0026620370370367E-3</v>
      </c>
      <c r="R291" s="10">
        <f t="shared" si="35"/>
        <v>1.4988521556455617E-2</v>
      </c>
      <c r="S291" s="10">
        <f t="shared" si="36"/>
        <v>1.6991183593492654E-2</v>
      </c>
    </row>
    <row r="292" spans="1:19" x14ac:dyDescent="0.25">
      <c r="A292" s="5" t="s">
        <v>8</v>
      </c>
      <c r="B292" s="5" t="s">
        <v>201</v>
      </c>
      <c r="C292" s="5" t="s">
        <v>27</v>
      </c>
      <c r="D292" s="5" t="s">
        <v>385</v>
      </c>
      <c r="E292" s="5" t="s">
        <v>384</v>
      </c>
      <c r="F292" s="5" t="s">
        <v>45</v>
      </c>
      <c r="G292" s="5" t="s">
        <v>390</v>
      </c>
      <c r="H292" s="5" t="s">
        <v>46</v>
      </c>
      <c r="I292" s="5" t="s">
        <v>203</v>
      </c>
      <c r="J292" s="15">
        <v>1060</v>
      </c>
      <c r="K292" s="7">
        <v>29.5</v>
      </c>
      <c r="L292" s="7">
        <f t="shared" si="31"/>
        <v>35.932203389830505</v>
      </c>
      <c r="M292" s="5" t="s">
        <v>10</v>
      </c>
      <c r="N292" s="5">
        <v>4</v>
      </c>
      <c r="O292" s="6">
        <f t="shared" si="32"/>
        <v>0.85536914679689724</v>
      </c>
      <c r="P292" s="6">
        <f t="shared" si="33"/>
        <v>8.895839126687731E-2</v>
      </c>
      <c r="Q292" s="10">
        <f t="shared" si="34"/>
        <v>1.8532998180599439E-3</v>
      </c>
      <c r="R292" s="10">
        <f t="shared" si="35"/>
        <v>1.414204810560408E-2</v>
      </c>
      <c r="S292" s="10">
        <f t="shared" si="36"/>
        <v>1.5995347923664024E-2</v>
      </c>
    </row>
    <row r="293" spans="1:19" x14ac:dyDescent="0.25">
      <c r="A293" s="5" t="s">
        <v>8</v>
      </c>
      <c r="B293" s="5" t="s">
        <v>219</v>
      </c>
      <c r="C293" s="5" t="s">
        <v>27</v>
      </c>
      <c r="D293" s="5" t="s">
        <v>385</v>
      </c>
      <c r="E293" s="5" t="s">
        <v>384</v>
      </c>
      <c r="F293" s="5" t="s">
        <v>45</v>
      </c>
      <c r="G293" s="5" t="s">
        <v>390</v>
      </c>
      <c r="H293" s="5" t="s">
        <v>46</v>
      </c>
      <c r="I293" s="5" t="s">
        <v>203</v>
      </c>
      <c r="J293" s="15">
        <v>900</v>
      </c>
      <c r="K293" s="7">
        <v>26.9</v>
      </c>
      <c r="L293" s="7">
        <f t="shared" si="31"/>
        <v>33.457249070631974</v>
      </c>
      <c r="M293" s="5" t="s">
        <v>10</v>
      </c>
      <c r="N293" s="5">
        <v>4</v>
      </c>
      <c r="O293" s="6">
        <f t="shared" si="32"/>
        <v>0.62965547739804595</v>
      </c>
      <c r="P293" s="6">
        <f t="shared" si="33"/>
        <v>6.5484169649396781E-2</v>
      </c>
      <c r="Q293" s="10">
        <f t="shared" si="34"/>
        <v>1.3642535343624329E-3</v>
      </c>
      <c r="R293" s="10">
        <f t="shared" si="35"/>
        <v>1.1238914402422381E-2</v>
      </c>
      <c r="S293" s="10">
        <f t="shared" si="36"/>
        <v>1.2603167936784815E-2</v>
      </c>
    </row>
    <row r="294" spans="1:19" x14ac:dyDescent="0.25">
      <c r="A294" s="5" t="s">
        <v>8</v>
      </c>
      <c r="B294" s="5" t="s">
        <v>291</v>
      </c>
      <c r="C294" s="5" t="s">
        <v>27</v>
      </c>
      <c r="D294" s="5" t="s">
        <v>385</v>
      </c>
      <c r="E294" s="5" t="s">
        <v>384</v>
      </c>
      <c r="F294" s="5" t="s">
        <v>45</v>
      </c>
      <c r="G294" s="5" t="s">
        <v>390</v>
      </c>
      <c r="H294" s="5" t="s">
        <v>46</v>
      </c>
      <c r="I294" s="5" t="s">
        <v>203</v>
      </c>
      <c r="J294" s="15">
        <v>1221</v>
      </c>
      <c r="K294" s="7">
        <v>34.799999999999997</v>
      </c>
      <c r="L294" s="7">
        <f t="shared" si="31"/>
        <v>35.08620689655173</v>
      </c>
      <c r="M294" s="5" t="s">
        <v>10</v>
      </c>
      <c r="N294" s="5">
        <v>4</v>
      </c>
      <c r="O294" s="6">
        <f t="shared" si="32"/>
        <v>0.9394388609170633</v>
      </c>
      <c r="P294" s="6">
        <f t="shared" si="33"/>
        <v>9.770164153537457E-2</v>
      </c>
      <c r="Q294" s="10">
        <f t="shared" si="34"/>
        <v>2.035450865320304E-3</v>
      </c>
      <c r="R294" s="10">
        <f t="shared" si="35"/>
        <v>1.5172198474885332E-2</v>
      </c>
      <c r="S294" s="10">
        <f t="shared" si="36"/>
        <v>1.7207649340205636E-2</v>
      </c>
    </row>
    <row r="295" spans="1:19" x14ac:dyDescent="0.25">
      <c r="A295" s="5" t="s">
        <v>8</v>
      </c>
      <c r="B295" s="5" t="s">
        <v>291</v>
      </c>
      <c r="C295" s="5" t="s">
        <v>27</v>
      </c>
      <c r="D295" s="5" t="s">
        <v>385</v>
      </c>
      <c r="E295" s="5" t="s">
        <v>384</v>
      </c>
      <c r="F295" s="5" t="s">
        <v>45</v>
      </c>
      <c r="G295" s="5" t="s">
        <v>390</v>
      </c>
      <c r="H295" s="5" t="s">
        <v>46</v>
      </c>
      <c r="I295" s="5" t="s">
        <v>203</v>
      </c>
      <c r="J295" s="15">
        <v>1180</v>
      </c>
      <c r="K295" s="7">
        <v>28.1</v>
      </c>
      <c r="L295" s="7">
        <f t="shared" si="31"/>
        <v>41.992882562277579</v>
      </c>
      <c r="M295" s="5" t="s">
        <v>10</v>
      </c>
      <c r="N295" s="5">
        <v>4</v>
      </c>
      <c r="O295" s="6">
        <f t="shared" si="32"/>
        <v>1.3005091120933117</v>
      </c>
      <c r="P295" s="6">
        <f t="shared" si="33"/>
        <v>0.13525294765770443</v>
      </c>
      <c r="Q295" s="10">
        <f t="shared" si="34"/>
        <v>2.8177697428688419E-3</v>
      </c>
      <c r="R295" s="10">
        <f t="shared" si="35"/>
        <v>1.9363424830278701E-2</v>
      </c>
      <c r="S295" s="10">
        <f t="shared" si="36"/>
        <v>2.2181194573147541E-2</v>
      </c>
    </row>
    <row r="296" spans="1:19" x14ac:dyDescent="0.25">
      <c r="A296" s="5" t="s">
        <v>8</v>
      </c>
      <c r="B296" s="5" t="s">
        <v>291</v>
      </c>
      <c r="C296" s="5" t="s">
        <v>27</v>
      </c>
      <c r="D296" s="5" t="s">
        <v>385</v>
      </c>
      <c r="E296" s="5" t="s">
        <v>384</v>
      </c>
      <c r="F296" s="5" t="s">
        <v>45</v>
      </c>
      <c r="G296" s="5" t="s">
        <v>390</v>
      </c>
      <c r="H296" s="5" t="s">
        <v>46</v>
      </c>
      <c r="I296" s="5" t="s">
        <v>203</v>
      </c>
      <c r="J296" s="15">
        <v>1358</v>
      </c>
      <c r="K296" s="7">
        <v>27.2</v>
      </c>
      <c r="L296" s="7">
        <f t="shared" si="31"/>
        <v>49.926470588235297</v>
      </c>
      <c r="M296" s="5" t="s">
        <v>10</v>
      </c>
      <c r="N296" s="5">
        <v>4</v>
      </c>
      <c r="O296" s="6">
        <f t="shared" si="32"/>
        <v>2.115638780006488</v>
      </c>
      <c r="P296" s="6">
        <f t="shared" si="33"/>
        <v>0.22002643312067477</v>
      </c>
      <c r="Q296" s="10">
        <f t="shared" si="34"/>
        <v>4.5838840233473907E-3</v>
      </c>
      <c r="R296" s="10">
        <f t="shared" si="35"/>
        <v>2.7891910544193911E-2</v>
      </c>
      <c r="S296" s="10">
        <f t="shared" si="36"/>
        <v>3.2475794567541301E-2</v>
      </c>
    </row>
    <row r="297" spans="1:19" x14ac:dyDescent="0.25">
      <c r="A297" s="5" t="s">
        <v>8</v>
      </c>
      <c r="B297" s="5" t="s">
        <v>291</v>
      </c>
      <c r="C297" s="5" t="s">
        <v>27</v>
      </c>
      <c r="D297" s="5" t="s">
        <v>385</v>
      </c>
      <c r="E297" s="5" t="s">
        <v>384</v>
      </c>
      <c r="F297" s="5" t="s">
        <v>45</v>
      </c>
      <c r="G297" s="5" t="s">
        <v>390</v>
      </c>
      <c r="H297" s="5" t="s">
        <v>46</v>
      </c>
      <c r="I297" s="5" t="s">
        <v>203</v>
      </c>
      <c r="J297" s="15">
        <v>1194</v>
      </c>
      <c r="K297" s="7">
        <v>25.9</v>
      </c>
      <c r="L297" s="7">
        <f t="shared" si="31"/>
        <v>46.100386100386103</v>
      </c>
      <c r="M297" s="5" t="s">
        <v>10</v>
      </c>
      <c r="N297" s="5">
        <v>4</v>
      </c>
      <c r="O297" s="6">
        <f t="shared" si="32"/>
        <v>1.5859645279587367</v>
      </c>
      <c r="P297" s="6">
        <f t="shared" si="33"/>
        <v>0.16494031090770858</v>
      </c>
      <c r="Q297" s="10">
        <f t="shared" si="34"/>
        <v>3.4362564772439292E-3</v>
      </c>
      <c r="R297" s="10">
        <f t="shared" si="35"/>
        <v>2.2470732330724698E-2</v>
      </c>
      <c r="S297" s="10">
        <f t="shared" si="36"/>
        <v>2.5906988807968628E-2</v>
      </c>
    </row>
    <row r="298" spans="1:19" x14ac:dyDescent="0.25">
      <c r="A298" s="5" t="s">
        <v>8</v>
      </c>
      <c r="B298" s="5" t="s">
        <v>291</v>
      </c>
      <c r="C298" s="5" t="s">
        <v>27</v>
      </c>
      <c r="D298" s="5" t="s">
        <v>385</v>
      </c>
      <c r="E298" s="5" t="s">
        <v>384</v>
      </c>
      <c r="F298" s="5" t="s">
        <v>45</v>
      </c>
      <c r="G298" s="5" t="s">
        <v>390</v>
      </c>
      <c r="H298" s="5" t="s">
        <v>46</v>
      </c>
      <c r="I298" s="5" t="s">
        <v>203</v>
      </c>
      <c r="J298" s="15">
        <v>1038</v>
      </c>
      <c r="K298" s="7">
        <v>25.2</v>
      </c>
      <c r="L298" s="7">
        <f t="shared" si="31"/>
        <v>41.19047619047619</v>
      </c>
      <c r="M298" s="5" t="s">
        <v>10</v>
      </c>
      <c r="N298" s="5">
        <v>4</v>
      </c>
      <c r="O298" s="6">
        <f t="shared" si="32"/>
        <v>1.1007051445578231</v>
      </c>
      <c r="P298" s="6">
        <f t="shared" si="33"/>
        <v>0.11447333503401359</v>
      </c>
      <c r="Q298" s="10">
        <f t="shared" si="34"/>
        <v>2.3848611465419499E-3</v>
      </c>
      <c r="R298" s="10">
        <f t="shared" si="35"/>
        <v>1.7086392225529067E-2</v>
      </c>
      <c r="S298" s="10">
        <f t="shared" si="36"/>
        <v>1.9471253372071017E-2</v>
      </c>
    </row>
    <row r="299" spans="1:19" x14ac:dyDescent="0.25">
      <c r="A299" s="5" t="s">
        <v>8</v>
      </c>
      <c r="B299" s="5" t="s">
        <v>322</v>
      </c>
      <c r="C299" s="5" t="s">
        <v>27</v>
      </c>
      <c r="D299" s="5" t="s">
        <v>385</v>
      </c>
      <c r="E299" s="5" t="s">
        <v>384</v>
      </c>
      <c r="F299" s="5" t="s">
        <v>45</v>
      </c>
      <c r="G299" s="5" t="s">
        <v>390</v>
      </c>
      <c r="H299" s="5" t="s">
        <v>46</v>
      </c>
      <c r="I299" s="5" t="s">
        <v>203</v>
      </c>
      <c r="J299" s="15">
        <v>1000</v>
      </c>
      <c r="K299" s="7">
        <v>22</v>
      </c>
      <c r="L299" s="7">
        <f t="shared" si="31"/>
        <v>45.454545454545453</v>
      </c>
      <c r="M299" s="5" t="s">
        <v>10</v>
      </c>
      <c r="N299" s="5">
        <v>4</v>
      </c>
      <c r="O299" s="6">
        <f t="shared" si="32"/>
        <v>1.2913223140495866</v>
      </c>
      <c r="P299" s="6">
        <f t="shared" si="33"/>
        <v>0.13429752066115702</v>
      </c>
      <c r="Q299" s="10">
        <f t="shared" si="34"/>
        <v>2.7978650137741039E-3</v>
      </c>
      <c r="R299" s="10">
        <f t="shared" si="35"/>
        <v>1.9260746534398895E-2</v>
      </c>
      <c r="S299" s="10">
        <f t="shared" si="36"/>
        <v>2.2058611548172999E-2</v>
      </c>
    </row>
    <row r="300" spans="1:19" x14ac:dyDescent="0.25">
      <c r="A300" s="5" t="s">
        <v>22</v>
      </c>
      <c r="B300" s="5" t="s">
        <v>26</v>
      </c>
      <c r="C300" s="5" t="s">
        <v>27</v>
      </c>
      <c r="D300" s="5" t="s">
        <v>385</v>
      </c>
      <c r="E300" s="5" t="s">
        <v>384</v>
      </c>
      <c r="F300" s="5" t="s">
        <v>45</v>
      </c>
      <c r="G300" s="5" t="s">
        <v>390</v>
      </c>
      <c r="H300" s="5" t="s">
        <v>46</v>
      </c>
      <c r="I300" s="5" t="s">
        <v>11</v>
      </c>
      <c r="J300" s="15">
        <v>1450</v>
      </c>
      <c r="K300" s="7">
        <v>27</v>
      </c>
      <c r="L300" s="7">
        <f t="shared" si="31"/>
        <v>53.703703703703702</v>
      </c>
      <c r="M300" s="5" t="s">
        <v>10</v>
      </c>
      <c r="N300" s="5">
        <v>4</v>
      </c>
      <c r="O300" s="6">
        <f t="shared" si="32"/>
        <v>2.6137045610425238</v>
      </c>
      <c r="P300" s="6">
        <f t="shared" si="33"/>
        <v>0.27182527434842246</v>
      </c>
      <c r="Q300" s="10">
        <f t="shared" si="34"/>
        <v>5.6630265489254683E-3</v>
      </c>
      <c r="R300" s="10">
        <f t="shared" si="35"/>
        <v>3.2684323180094878E-2</v>
      </c>
      <c r="S300" s="10">
        <f t="shared" si="36"/>
        <v>3.8347349729020347E-2</v>
      </c>
    </row>
    <row r="301" spans="1:19" x14ac:dyDescent="0.25">
      <c r="A301" s="5" t="s">
        <v>8</v>
      </c>
      <c r="B301" s="5" t="s">
        <v>192</v>
      </c>
      <c r="C301" s="5" t="s">
        <v>27</v>
      </c>
      <c r="D301" s="5" t="s">
        <v>385</v>
      </c>
      <c r="E301" s="5" t="s">
        <v>384</v>
      </c>
      <c r="F301" s="5" t="s">
        <v>45</v>
      </c>
      <c r="G301" s="5" t="s">
        <v>390</v>
      </c>
      <c r="H301" s="5" t="s">
        <v>46</v>
      </c>
      <c r="I301" s="5" t="s">
        <v>11</v>
      </c>
      <c r="J301" s="15">
        <v>1050</v>
      </c>
      <c r="K301" s="7">
        <v>32</v>
      </c>
      <c r="L301" s="7">
        <f t="shared" si="31"/>
        <v>32.8125</v>
      </c>
      <c r="M301" s="5" t="s">
        <v>10</v>
      </c>
      <c r="N301" s="5">
        <v>4</v>
      </c>
      <c r="O301" s="6">
        <f t="shared" si="32"/>
        <v>0.7065582275390625</v>
      </c>
      <c r="P301" s="6">
        <f t="shared" si="33"/>
        <v>7.348205566406249E-2</v>
      </c>
      <c r="Q301" s="10">
        <f t="shared" si="34"/>
        <v>1.5308761596679685E-3</v>
      </c>
      <c r="R301" s="10">
        <f t="shared" si="35"/>
        <v>1.2253441811234738E-2</v>
      </c>
      <c r="S301" s="10">
        <f t="shared" si="36"/>
        <v>1.3784317970902706E-2</v>
      </c>
    </row>
    <row r="302" spans="1:19" x14ac:dyDescent="0.25">
      <c r="A302" s="5" t="s">
        <v>8</v>
      </c>
      <c r="B302" s="5" t="s">
        <v>214</v>
      </c>
      <c r="C302" s="5" t="s">
        <v>27</v>
      </c>
      <c r="D302" s="5" t="s">
        <v>385</v>
      </c>
      <c r="E302" s="5" t="s">
        <v>384</v>
      </c>
      <c r="F302" s="5" t="s">
        <v>45</v>
      </c>
      <c r="G302" s="5" t="s">
        <v>390</v>
      </c>
      <c r="H302" s="5" t="s">
        <v>46</v>
      </c>
      <c r="I302" s="5" t="s">
        <v>216</v>
      </c>
      <c r="J302" s="15">
        <v>910</v>
      </c>
      <c r="K302" s="7">
        <v>31</v>
      </c>
      <c r="L302" s="7">
        <f t="shared" si="31"/>
        <v>29.35483870967742</v>
      </c>
      <c r="M302" s="5" t="s">
        <v>10</v>
      </c>
      <c r="N302" s="5">
        <v>4</v>
      </c>
      <c r="O302" s="6">
        <f t="shared" si="32"/>
        <v>0.49009560353798132</v>
      </c>
      <c r="P302" s="6">
        <f t="shared" si="33"/>
        <v>5.0969942767950062E-2</v>
      </c>
      <c r="Q302" s="10">
        <f t="shared" si="34"/>
        <v>1.0618738076656261E-3</v>
      </c>
      <c r="R302" s="10">
        <f t="shared" si="35"/>
        <v>9.3133887089925389E-3</v>
      </c>
      <c r="S302" s="10">
        <f t="shared" si="36"/>
        <v>1.0375262516658166E-2</v>
      </c>
    </row>
    <row r="303" spans="1:19" x14ac:dyDescent="0.25">
      <c r="A303" s="5" t="s">
        <v>8</v>
      </c>
      <c r="B303" s="5" t="s">
        <v>281</v>
      </c>
      <c r="C303" s="5" t="s">
        <v>27</v>
      </c>
      <c r="D303" s="5" t="s">
        <v>385</v>
      </c>
      <c r="E303" s="5" t="s">
        <v>384</v>
      </c>
      <c r="F303" s="5" t="s">
        <v>45</v>
      </c>
      <c r="G303" s="5" t="s">
        <v>390</v>
      </c>
      <c r="H303" s="5" t="s">
        <v>46</v>
      </c>
      <c r="I303" s="5" t="s">
        <v>216</v>
      </c>
      <c r="J303" s="15">
        <v>990</v>
      </c>
      <c r="K303" s="7">
        <v>25.5</v>
      </c>
      <c r="L303" s="7">
        <f t="shared" si="31"/>
        <v>38.823529411764703</v>
      </c>
      <c r="M303" s="5" t="s">
        <v>10</v>
      </c>
      <c r="N303" s="5">
        <v>4</v>
      </c>
      <c r="O303" s="6">
        <f t="shared" si="32"/>
        <v>0.93262110726643588</v>
      </c>
      <c r="P303" s="6">
        <f t="shared" si="33"/>
        <v>9.6992595155709335E-2</v>
      </c>
      <c r="Q303" s="10">
        <f t="shared" si="34"/>
        <v>2.0206790657439442E-3</v>
      </c>
      <c r="R303" s="10">
        <f t="shared" si="35"/>
        <v>1.5089541872016023E-2</v>
      </c>
      <c r="S303" s="10">
        <f t="shared" si="36"/>
        <v>1.7110220937759969E-2</v>
      </c>
    </row>
    <row r="304" spans="1:19" x14ac:dyDescent="0.25">
      <c r="A304" s="5" t="s">
        <v>8</v>
      </c>
      <c r="B304" s="5" t="s">
        <v>307</v>
      </c>
      <c r="C304" s="5" t="s">
        <v>27</v>
      </c>
      <c r="D304" s="5" t="s">
        <v>385</v>
      </c>
      <c r="E304" s="5" t="s">
        <v>384</v>
      </c>
      <c r="F304" s="5" t="s">
        <v>45</v>
      </c>
      <c r="G304" s="5" t="s">
        <v>390</v>
      </c>
      <c r="H304" s="5" t="s">
        <v>46</v>
      </c>
      <c r="I304" s="5" t="s">
        <v>216</v>
      </c>
      <c r="J304" s="15">
        <v>820</v>
      </c>
      <c r="K304" s="7">
        <v>31</v>
      </c>
      <c r="L304" s="7">
        <f t="shared" si="31"/>
        <v>26.451612903225808</v>
      </c>
      <c r="M304" s="5" t="s">
        <v>10</v>
      </c>
      <c r="N304" s="5">
        <v>4</v>
      </c>
      <c r="O304" s="6">
        <f t="shared" si="32"/>
        <v>0.35859001040582733</v>
      </c>
      <c r="P304" s="6">
        <f t="shared" si="33"/>
        <v>3.7293361082206045E-2</v>
      </c>
      <c r="Q304" s="10">
        <f t="shared" si="34"/>
        <v>7.7694502254595915E-4</v>
      </c>
      <c r="R304" s="10">
        <f t="shared" si="35"/>
        <v>7.3679346366924492E-3</v>
      </c>
      <c r="S304" s="10">
        <f t="shared" si="36"/>
        <v>8.1448796592384076E-3</v>
      </c>
    </row>
    <row r="305" spans="1:19" x14ac:dyDescent="0.25">
      <c r="A305" s="5" t="s">
        <v>8</v>
      </c>
      <c r="B305" s="5" t="s">
        <v>339</v>
      </c>
      <c r="C305" s="5" t="s">
        <v>27</v>
      </c>
      <c r="D305" s="5" t="s">
        <v>385</v>
      </c>
      <c r="E305" s="5" t="s">
        <v>384</v>
      </c>
      <c r="F305" s="5" t="s">
        <v>45</v>
      </c>
      <c r="G305" s="5" t="s">
        <v>390</v>
      </c>
      <c r="H305" s="5" t="s">
        <v>46</v>
      </c>
      <c r="I305" s="5" t="s">
        <v>216</v>
      </c>
      <c r="J305" s="15">
        <v>763</v>
      </c>
      <c r="K305" s="7">
        <v>24.1</v>
      </c>
      <c r="L305" s="7">
        <f t="shared" si="31"/>
        <v>31.659751037344396</v>
      </c>
      <c r="M305" s="5" t="s">
        <v>10</v>
      </c>
      <c r="N305" s="5">
        <v>4</v>
      </c>
      <c r="O305" s="6">
        <f t="shared" si="32"/>
        <v>0.47799080917167397</v>
      </c>
      <c r="P305" s="6">
        <f t="shared" si="33"/>
        <v>4.9711044153854085E-2</v>
      </c>
      <c r="Q305" s="10">
        <f t="shared" si="34"/>
        <v>1.0356467532052936E-3</v>
      </c>
      <c r="R305" s="10">
        <f t="shared" si="35"/>
        <v>9.1403280678869249E-3</v>
      </c>
      <c r="S305" s="10">
        <f t="shared" si="36"/>
        <v>1.0175974821092219E-2</v>
      </c>
    </row>
    <row r="306" spans="1:19" x14ac:dyDescent="0.25">
      <c r="A306" s="5" t="s">
        <v>8</v>
      </c>
      <c r="B306" s="5" t="s">
        <v>214</v>
      </c>
      <c r="C306" s="5" t="s">
        <v>27</v>
      </c>
      <c r="D306" s="5" t="s">
        <v>385</v>
      </c>
      <c r="E306" s="5" t="s">
        <v>384</v>
      </c>
      <c r="F306" s="5" t="s">
        <v>45</v>
      </c>
      <c r="G306" s="5" t="s">
        <v>390</v>
      </c>
      <c r="H306" s="5" t="s">
        <v>46</v>
      </c>
      <c r="I306" s="5" t="s">
        <v>62</v>
      </c>
      <c r="J306" s="15">
        <v>1000</v>
      </c>
      <c r="K306" s="7">
        <v>29</v>
      </c>
      <c r="L306" s="7">
        <f t="shared" si="31"/>
        <v>34.482758620689658</v>
      </c>
      <c r="M306" s="5" t="s">
        <v>10</v>
      </c>
      <c r="N306" s="5">
        <v>4</v>
      </c>
      <c r="O306" s="6">
        <f t="shared" si="32"/>
        <v>0.74316290130796681</v>
      </c>
      <c r="P306" s="6">
        <f t="shared" si="33"/>
        <v>7.7288941736028557E-2</v>
      </c>
      <c r="Q306" s="10">
        <f t="shared" si="34"/>
        <v>1.6101862861672613E-3</v>
      </c>
      <c r="R306" s="10">
        <f t="shared" si="35"/>
        <v>1.27265339526514E-2</v>
      </c>
      <c r="S306" s="10">
        <f t="shared" si="36"/>
        <v>1.4336720238818662E-2</v>
      </c>
    </row>
    <row r="307" spans="1:19" x14ac:dyDescent="0.25">
      <c r="A307" s="5" t="s">
        <v>8</v>
      </c>
      <c r="B307" s="5" t="s">
        <v>197</v>
      </c>
      <c r="C307" s="5" t="s">
        <v>27</v>
      </c>
      <c r="D307" s="5" t="s">
        <v>385</v>
      </c>
      <c r="E307" s="5" t="s">
        <v>384</v>
      </c>
      <c r="F307" s="5" t="s">
        <v>45</v>
      </c>
      <c r="G307" s="5" t="s">
        <v>390</v>
      </c>
      <c r="H307" s="5" t="s">
        <v>46</v>
      </c>
      <c r="I307" s="5" t="s">
        <v>196</v>
      </c>
      <c r="J307" s="15">
        <v>1150</v>
      </c>
      <c r="K307" s="7">
        <v>24.5</v>
      </c>
      <c r="L307" s="7">
        <f t="shared" si="31"/>
        <v>46.938775510204081</v>
      </c>
      <c r="M307" s="5" t="s">
        <v>10</v>
      </c>
      <c r="N307" s="5">
        <v>4</v>
      </c>
      <c r="O307" s="6">
        <f t="shared" si="32"/>
        <v>1.5835849645980844</v>
      </c>
      <c r="P307" s="6">
        <f t="shared" si="33"/>
        <v>0.16469283631820075</v>
      </c>
      <c r="Q307" s="10">
        <f t="shared" si="34"/>
        <v>3.4311007566291828E-3</v>
      </c>
      <c r="R307" s="10">
        <f t="shared" si="35"/>
        <v>2.2445441459619402E-2</v>
      </c>
      <c r="S307" s="10">
        <f t="shared" si="36"/>
        <v>2.5876542216248584E-2</v>
      </c>
    </row>
    <row r="308" spans="1:19" x14ac:dyDescent="0.25">
      <c r="A308" s="5" t="s">
        <v>8</v>
      </c>
      <c r="B308" s="5" t="s">
        <v>191</v>
      </c>
      <c r="C308" s="5" t="s">
        <v>27</v>
      </c>
      <c r="D308" s="5" t="s">
        <v>385</v>
      </c>
      <c r="E308" s="5" t="s">
        <v>384</v>
      </c>
      <c r="F308" s="5" t="s">
        <v>45</v>
      </c>
      <c r="G308" s="5" t="s">
        <v>390</v>
      </c>
      <c r="H308" s="5" t="s">
        <v>46</v>
      </c>
      <c r="I308" s="5" t="s">
        <v>196</v>
      </c>
      <c r="J308" s="15">
        <v>1100</v>
      </c>
      <c r="K308" s="7">
        <v>26</v>
      </c>
      <c r="L308" s="7">
        <f t="shared" si="31"/>
        <v>42.307692307692307</v>
      </c>
      <c r="M308" s="5" t="s">
        <v>10</v>
      </c>
      <c r="N308" s="5">
        <v>4</v>
      </c>
      <c r="O308" s="6">
        <f t="shared" si="32"/>
        <v>1.2305843195266273</v>
      </c>
      <c r="P308" s="6">
        <f t="shared" si="33"/>
        <v>0.12798076923076923</v>
      </c>
      <c r="Q308" s="10">
        <f t="shared" si="34"/>
        <v>2.6662660256410258E-3</v>
      </c>
      <c r="R308" s="10">
        <f t="shared" si="35"/>
        <v>1.8577217122682087E-2</v>
      </c>
      <c r="S308" s="10">
        <f t="shared" si="36"/>
        <v>2.1243483148323111E-2</v>
      </c>
    </row>
    <row r="309" spans="1:19" x14ac:dyDescent="0.25">
      <c r="A309" s="5" t="s">
        <v>8</v>
      </c>
      <c r="B309" s="5" t="s">
        <v>193</v>
      </c>
      <c r="C309" s="5" t="s">
        <v>27</v>
      </c>
      <c r="D309" s="5" t="s">
        <v>385</v>
      </c>
      <c r="E309" s="5" t="s">
        <v>384</v>
      </c>
      <c r="F309" s="5" t="s">
        <v>45</v>
      </c>
      <c r="G309" s="5" t="s">
        <v>390</v>
      </c>
      <c r="H309" s="5" t="s">
        <v>46</v>
      </c>
      <c r="I309" s="5" t="s">
        <v>196</v>
      </c>
      <c r="J309" s="15">
        <v>925</v>
      </c>
      <c r="K309" s="7">
        <v>24</v>
      </c>
      <c r="L309" s="7">
        <f t="shared" si="31"/>
        <v>38.541666666666664</v>
      </c>
      <c r="M309" s="5" t="s">
        <v>10</v>
      </c>
      <c r="N309" s="5">
        <v>4</v>
      </c>
      <c r="O309" s="6">
        <f t="shared" si="32"/>
        <v>0.85878160264756942</v>
      </c>
      <c r="P309" s="6">
        <f t="shared" si="33"/>
        <v>8.9313286675347214E-2</v>
      </c>
      <c r="Q309" s="10">
        <f t="shared" si="34"/>
        <v>1.860693472403067E-3</v>
      </c>
      <c r="R309" s="10">
        <f t="shared" si="35"/>
        <v>1.4184341326858875E-2</v>
      </c>
      <c r="S309" s="10">
        <f t="shared" si="36"/>
        <v>1.6045034799261941E-2</v>
      </c>
    </row>
    <row r="310" spans="1:19" x14ac:dyDescent="0.25">
      <c r="A310" s="5" t="s">
        <v>8</v>
      </c>
      <c r="B310" s="5" t="s">
        <v>198</v>
      </c>
      <c r="C310" s="5" t="s">
        <v>27</v>
      </c>
      <c r="D310" s="5" t="s">
        <v>385</v>
      </c>
      <c r="E310" s="5" t="s">
        <v>384</v>
      </c>
      <c r="F310" s="5" t="s">
        <v>45</v>
      </c>
      <c r="G310" s="5" t="s">
        <v>390</v>
      </c>
      <c r="H310" s="5" t="s">
        <v>46</v>
      </c>
      <c r="I310" s="5" t="s">
        <v>196</v>
      </c>
      <c r="J310" s="15">
        <v>720</v>
      </c>
      <c r="K310" s="7">
        <v>19.5</v>
      </c>
      <c r="L310" s="7">
        <f t="shared" si="31"/>
        <v>36.92307692307692</v>
      </c>
      <c r="M310" s="5" t="s">
        <v>10</v>
      </c>
      <c r="N310" s="5">
        <v>4</v>
      </c>
      <c r="O310" s="6">
        <f t="shared" si="32"/>
        <v>0.6134911242603549</v>
      </c>
      <c r="P310" s="6">
        <f t="shared" si="33"/>
        <v>6.3803076923076907E-2</v>
      </c>
      <c r="Q310" s="10">
        <f t="shared" si="34"/>
        <v>1.329230769230769E-3</v>
      </c>
      <c r="R310" s="10">
        <f t="shared" si="35"/>
        <v>1.1021820585628738E-2</v>
      </c>
      <c r="S310" s="10">
        <f t="shared" si="36"/>
        <v>1.2351051354859506E-2</v>
      </c>
    </row>
    <row r="311" spans="1:19" x14ac:dyDescent="0.25">
      <c r="A311" s="5" t="s">
        <v>8</v>
      </c>
      <c r="B311" s="5" t="s">
        <v>199</v>
      </c>
      <c r="C311" s="5" t="s">
        <v>27</v>
      </c>
      <c r="D311" s="5" t="s">
        <v>385</v>
      </c>
      <c r="E311" s="5" t="s">
        <v>384</v>
      </c>
      <c r="F311" s="5" t="s">
        <v>45</v>
      </c>
      <c r="G311" s="5" t="s">
        <v>390</v>
      </c>
      <c r="H311" s="5" t="s">
        <v>46</v>
      </c>
      <c r="I311" s="5" t="s">
        <v>196</v>
      </c>
      <c r="J311" s="15">
        <v>1090</v>
      </c>
      <c r="K311" s="7">
        <v>25</v>
      </c>
      <c r="L311" s="7">
        <f t="shared" si="31"/>
        <v>43.6</v>
      </c>
      <c r="M311" s="5" t="s">
        <v>10</v>
      </c>
      <c r="N311" s="5">
        <v>4</v>
      </c>
      <c r="O311" s="6">
        <f t="shared" si="32"/>
        <v>1.295029</v>
      </c>
      <c r="P311" s="6">
        <f t="shared" si="33"/>
        <v>0.13468301600000002</v>
      </c>
      <c r="Q311" s="10">
        <f t="shared" si="34"/>
        <v>2.8058961666666666E-3</v>
      </c>
      <c r="R311" s="10">
        <f t="shared" si="35"/>
        <v>1.9302197041295953E-2</v>
      </c>
      <c r="S311" s="10">
        <f t="shared" si="36"/>
        <v>2.2108093207962618E-2</v>
      </c>
    </row>
    <row r="312" spans="1:19" x14ac:dyDescent="0.25">
      <c r="A312" s="5" t="s">
        <v>8</v>
      </c>
      <c r="B312" s="5" t="s">
        <v>200</v>
      </c>
      <c r="C312" s="5" t="s">
        <v>27</v>
      </c>
      <c r="D312" s="5" t="s">
        <v>385</v>
      </c>
      <c r="E312" s="5" t="s">
        <v>384</v>
      </c>
      <c r="F312" s="5" t="s">
        <v>45</v>
      </c>
      <c r="G312" s="5" t="s">
        <v>390</v>
      </c>
      <c r="H312" s="5" t="s">
        <v>46</v>
      </c>
      <c r="I312" s="5" t="s">
        <v>196</v>
      </c>
      <c r="J312" s="15">
        <v>1040</v>
      </c>
      <c r="K312" s="7">
        <v>25.5</v>
      </c>
      <c r="L312" s="7">
        <f t="shared" si="31"/>
        <v>40.784313725490193</v>
      </c>
      <c r="M312" s="5" t="s">
        <v>10</v>
      </c>
      <c r="N312" s="5">
        <v>4</v>
      </c>
      <c r="O312" s="6">
        <f t="shared" si="32"/>
        <v>1.081184159938485</v>
      </c>
      <c r="P312" s="6">
        <f t="shared" si="33"/>
        <v>0.11244315263360244</v>
      </c>
      <c r="Q312" s="10">
        <f t="shared" si="34"/>
        <v>2.3425656798667176E-3</v>
      </c>
      <c r="R312" s="10">
        <f t="shared" si="35"/>
        <v>1.685861450724056E-2</v>
      </c>
      <c r="S312" s="10">
        <f t="shared" si="36"/>
        <v>1.9201180187107276E-2</v>
      </c>
    </row>
    <row r="313" spans="1:19" x14ac:dyDescent="0.25">
      <c r="A313" s="5" t="s">
        <v>8</v>
      </c>
      <c r="B313" s="5" t="s">
        <v>201</v>
      </c>
      <c r="C313" s="5" t="s">
        <v>27</v>
      </c>
      <c r="D313" s="5" t="s">
        <v>385</v>
      </c>
      <c r="E313" s="5" t="s">
        <v>384</v>
      </c>
      <c r="F313" s="5" t="s">
        <v>45</v>
      </c>
      <c r="G313" s="5" t="s">
        <v>390</v>
      </c>
      <c r="H313" s="5" t="s">
        <v>46</v>
      </c>
      <c r="I313" s="5" t="s">
        <v>196</v>
      </c>
      <c r="J313" s="15">
        <v>1020</v>
      </c>
      <c r="K313" s="7">
        <v>23.5</v>
      </c>
      <c r="L313" s="7">
        <f t="shared" si="31"/>
        <v>43.404255319148938</v>
      </c>
      <c r="M313" s="5" t="s">
        <v>10</v>
      </c>
      <c r="N313" s="5">
        <v>4</v>
      </c>
      <c r="O313" s="6">
        <f t="shared" si="32"/>
        <v>1.2010049796287914</v>
      </c>
      <c r="P313" s="6">
        <f t="shared" si="33"/>
        <v>0.1249045178813943</v>
      </c>
      <c r="Q313" s="10">
        <f t="shared" si="34"/>
        <v>2.6021774558623811E-3</v>
      </c>
      <c r="R313" s="10">
        <f t="shared" si="35"/>
        <v>1.824129766845984E-2</v>
      </c>
      <c r="S313" s="10">
        <f t="shared" si="36"/>
        <v>2.0843475124322219E-2</v>
      </c>
    </row>
    <row r="314" spans="1:19" x14ac:dyDescent="0.25">
      <c r="A314" s="5" t="s">
        <v>8</v>
      </c>
      <c r="B314" s="5" t="s">
        <v>300</v>
      </c>
      <c r="C314" s="5" t="s">
        <v>27</v>
      </c>
      <c r="D314" s="5" t="s">
        <v>385</v>
      </c>
      <c r="E314" s="5" t="s">
        <v>384</v>
      </c>
      <c r="F314" s="5" t="s">
        <v>45</v>
      </c>
      <c r="G314" s="5" t="s">
        <v>390</v>
      </c>
      <c r="H314" s="5" t="s">
        <v>46</v>
      </c>
      <c r="I314" s="5" t="s">
        <v>196</v>
      </c>
      <c r="J314" s="15">
        <v>1195</v>
      </c>
      <c r="K314" s="7">
        <v>24</v>
      </c>
      <c r="L314" s="7">
        <f t="shared" si="31"/>
        <v>49.791666666666664</v>
      </c>
      <c r="M314" s="5" t="s">
        <v>10</v>
      </c>
      <c r="N314" s="5">
        <v>4</v>
      </c>
      <c r="O314" s="6">
        <f t="shared" si="32"/>
        <v>1.8516600206163194</v>
      </c>
      <c r="P314" s="6">
        <f t="shared" si="33"/>
        <v>0.19257264214409722</v>
      </c>
      <c r="Q314" s="10">
        <f t="shared" si="34"/>
        <v>4.0119300446686918E-3</v>
      </c>
      <c r="R314" s="10">
        <f t="shared" si="35"/>
        <v>2.5238762776790758E-2</v>
      </c>
      <c r="S314" s="10">
        <f t="shared" si="36"/>
        <v>2.9250692821459451E-2</v>
      </c>
    </row>
    <row r="315" spans="1:19" x14ac:dyDescent="0.25">
      <c r="A315" s="5" t="s">
        <v>8</v>
      </c>
      <c r="B315" s="5" t="s">
        <v>322</v>
      </c>
      <c r="C315" s="5" t="s">
        <v>27</v>
      </c>
      <c r="D315" s="5" t="s">
        <v>385</v>
      </c>
      <c r="E315" s="5" t="s">
        <v>384</v>
      </c>
      <c r="F315" s="5" t="s">
        <v>45</v>
      </c>
      <c r="G315" s="5" t="s">
        <v>390</v>
      </c>
      <c r="H315" s="5" t="s">
        <v>46</v>
      </c>
      <c r="I315" s="5" t="s">
        <v>196</v>
      </c>
      <c r="J315" s="15">
        <v>840</v>
      </c>
      <c r="K315" s="7">
        <v>25</v>
      </c>
      <c r="L315" s="7">
        <f t="shared" si="31"/>
        <v>33.6</v>
      </c>
      <c r="M315" s="5" t="s">
        <v>10</v>
      </c>
      <c r="N315" s="5">
        <v>4</v>
      </c>
      <c r="O315" s="6">
        <f t="shared" si="32"/>
        <v>0.59270400000000001</v>
      </c>
      <c r="P315" s="6">
        <f t="shared" si="33"/>
        <v>6.1641216000000006E-2</v>
      </c>
      <c r="Q315" s="10">
        <f t="shared" si="34"/>
        <v>1.284192E-3</v>
      </c>
      <c r="R315" s="10">
        <f t="shared" si="35"/>
        <v>1.0740525188849282E-2</v>
      </c>
      <c r="S315" s="10">
        <f t="shared" si="36"/>
        <v>1.2024717188849282E-2</v>
      </c>
    </row>
    <row r="316" spans="1:19" x14ac:dyDescent="0.25">
      <c r="A316" s="5" t="s">
        <v>8</v>
      </c>
      <c r="B316" s="5" t="s">
        <v>328</v>
      </c>
      <c r="C316" s="5" t="s">
        <v>27</v>
      </c>
      <c r="D316" s="5" t="s">
        <v>385</v>
      </c>
      <c r="E316" s="5" t="s">
        <v>384</v>
      </c>
      <c r="F316" s="5" t="s">
        <v>45</v>
      </c>
      <c r="G316" s="5" t="s">
        <v>390</v>
      </c>
      <c r="H316" s="5" t="s">
        <v>46</v>
      </c>
      <c r="I316" s="5" t="s">
        <v>196</v>
      </c>
      <c r="J316" s="15">
        <v>1022</v>
      </c>
      <c r="K316" s="7">
        <v>24.8</v>
      </c>
      <c r="L316" s="7">
        <f t="shared" si="31"/>
        <v>41.20967741935484</v>
      </c>
      <c r="M316" s="5" t="s">
        <v>10</v>
      </c>
      <c r="N316" s="5">
        <v>4</v>
      </c>
      <c r="O316" s="6">
        <f t="shared" si="32"/>
        <v>1.0847492114334027</v>
      </c>
      <c r="P316" s="6">
        <f t="shared" si="33"/>
        <v>0.11281391798907389</v>
      </c>
      <c r="Q316" s="10">
        <f t="shared" si="34"/>
        <v>2.3502899581057056E-3</v>
      </c>
      <c r="R316" s="10">
        <f t="shared" si="35"/>
        <v>1.6900289015310911E-2</v>
      </c>
      <c r="S316" s="10">
        <f t="shared" si="36"/>
        <v>1.9250578973416616E-2</v>
      </c>
    </row>
    <row r="317" spans="1:19" x14ac:dyDescent="0.25">
      <c r="A317" s="5" t="s">
        <v>8</v>
      </c>
      <c r="B317" s="5" t="s">
        <v>339</v>
      </c>
      <c r="C317" s="5" t="s">
        <v>27</v>
      </c>
      <c r="D317" s="5" t="s">
        <v>385</v>
      </c>
      <c r="E317" s="5" t="s">
        <v>384</v>
      </c>
      <c r="F317" s="5" t="s">
        <v>45</v>
      </c>
      <c r="G317" s="5" t="s">
        <v>390</v>
      </c>
      <c r="H317" s="5" t="s">
        <v>46</v>
      </c>
      <c r="I317" s="5" t="s">
        <v>196</v>
      </c>
      <c r="J317" s="15">
        <v>880</v>
      </c>
      <c r="K317" s="7">
        <v>22.6</v>
      </c>
      <c r="L317" s="7">
        <f t="shared" si="31"/>
        <v>38.938053097345133</v>
      </c>
      <c r="M317" s="5" t="s">
        <v>10</v>
      </c>
      <c r="N317" s="5">
        <v>4</v>
      </c>
      <c r="O317" s="6">
        <f t="shared" si="32"/>
        <v>0.83389458845641784</v>
      </c>
      <c r="P317" s="6">
        <f t="shared" si="33"/>
        <v>8.6725037199467447E-2</v>
      </c>
      <c r="Q317" s="10">
        <f t="shared" si="34"/>
        <v>1.8067716083222385E-3</v>
      </c>
      <c r="R317" s="10">
        <f t="shared" si="35"/>
        <v>1.3874920102171794E-2</v>
      </c>
      <c r="S317" s="10">
        <f t="shared" si="36"/>
        <v>1.5681691710494033E-2</v>
      </c>
    </row>
    <row r="318" spans="1:19" x14ac:dyDescent="0.25">
      <c r="A318" s="5" t="s">
        <v>8</v>
      </c>
      <c r="B318" s="5" t="s">
        <v>339</v>
      </c>
      <c r="C318" s="5" t="s">
        <v>27</v>
      </c>
      <c r="D318" s="5" t="s">
        <v>385</v>
      </c>
      <c r="E318" s="5" t="s">
        <v>384</v>
      </c>
      <c r="F318" s="5" t="s">
        <v>45</v>
      </c>
      <c r="G318" s="5" t="s">
        <v>390</v>
      </c>
      <c r="H318" s="5" t="s">
        <v>46</v>
      </c>
      <c r="I318" s="5" t="s">
        <v>196</v>
      </c>
      <c r="J318" s="15">
        <v>820</v>
      </c>
      <c r="K318" s="7">
        <v>21.8</v>
      </c>
      <c r="L318" s="7">
        <f t="shared" si="31"/>
        <v>37.61467889908257</v>
      </c>
      <c r="M318" s="5" t="s">
        <v>10</v>
      </c>
      <c r="N318" s="5">
        <v>4</v>
      </c>
      <c r="O318" s="6">
        <f t="shared" si="32"/>
        <v>0.72511783519905726</v>
      </c>
      <c r="P318" s="6">
        <f t="shared" si="33"/>
        <v>7.5412254860701966E-2</v>
      </c>
      <c r="Q318" s="10">
        <f t="shared" si="34"/>
        <v>1.5710886429312907E-3</v>
      </c>
      <c r="R318" s="10">
        <f t="shared" si="35"/>
        <v>1.2494059354586017E-2</v>
      </c>
      <c r="S318" s="10">
        <f t="shared" si="36"/>
        <v>1.4065147997517308E-2</v>
      </c>
    </row>
    <row r="319" spans="1:19" x14ac:dyDescent="0.25">
      <c r="A319" s="5" t="s">
        <v>8</v>
      </c>
      <c r="B319" s="5" t="s">
        <v>192</v>
      </c>
      <c r="C319" s="5" t="s">
        <v>27</v>
      </c>
      <c r="D319" s="5" t="s">
        <v>385</v>
      </c>
      <c r="E319" s="5" t="s">
        <v>384</v>
      </c>
      <c r="F319" s="5" t="s">
        <v>45</v>
      </c>
      <c r="G319" s="5" t="s">
        <v>390</v>
      </c>
      <c r="H319" s="5" t="s">
        <v>46</v>
      </c>
      <c r="I319" s="5" t="s">
        <v>212</v>
      </c>
      <c r="J319" s="15">
        <v>730</v>
      </c>
      <c r="K319" s="7">
        <v>24.3</v>
      </c>
      <c r="L319" s="7">
        <f t="shared" si="31"/>
        <v>30.041152263374485</v>
      </c>
      <c r="M319" s="5" t="s">
        <v>10</v>
      </c>
      <c r="N319" s="5">
        <v>4</v>
      </c>
      <c r="O319" s="6">
        <f t="shared" si="32"/>
        <v>0.41175231587325783</v>
      </c>
      <c r="P319" s="6">
        <f t="shared" si="33"/>
        <v>4.2822240850818816E-2</v>
      </c>
      <c r="Q319" s="10">
        <f t="shared" si="34"/>
        <v>8.9213001772539199E-4</v>
      </c>
      <c r="R319" s="10">
        <f t="shared" si="35"/>
        <v>8.1728619312888239E-3</v>
      </c>
      <c r="S319" s="10">
        <f t="shared" si="36"/>
        <v>9.0649919490142158E-3</v>
      </c>
    </row>
    <row r="320" spans="1:19" x14ac:dyDescent="0.25">
      <c r="A320" s="5" t="s">
        <v>22</v>
      </c>
      <c r="B320" s="5" t="s">
        <v>63</v>
      </c>
      <c r="C320" s="5" t="s">
        <v>27</v>
      </c>
      <c r="D320" s="5" t="s">
        <v>385</v>
      </c>
      <c r="E320" s="5" t="s">
        <v>384</v>
      </c>
      <c r="F320" s="5" t="s">
        <v>45</v>
      </c>
      <c r="G320" s="5" t="s">
        <v>390</v>
      </c>
      <c r="H320" s="5" t="s">
        <v>46</v>
      </c>
      <c r="I320" s="5" t="s">
        <v>152</v>
      </c>
      <c r="J320" s="15">
        <v>2050</v>
      </c>
      <c r="K320" s="7">
        <v>48</v>
      </c>
      <c r="L320" s="7">
        <f t="shared" si="31"/>
        <v>42.708333333333336</v>
      </c>
      <c r="M320" s="5" t="s">
        <v>10</v>
      </c>
      <c r="N320" s="5">
        <v>4</v>
      </c>
      <c r="O320" s="6">
        <f t="shared" si="32"/>
        <v>2.3370022243923612</v>
      </c>
      <c r="P320" s="6">
        <f t="shared" si="33"/>
        <v>0.24304823133680559</v>
      </c>
      <c r="Q320" s="10">
        <f t="shared" si="34"/>
        <v>5.0635048195167825E-3</v>
      </c>
      <c r="R320" s="10">
        <f t="shared" si="35"/>
        <v>3.0053251699317985E-2</v>
      </c>
      <c r="S320" s="10">
        <f t="shared" si="36"/>
        <v>3.5116756518834766E-2</v>
      </c>
    </row>
    <row r="321" spans="1:19" x14ac:dyDescent="0.25">
      <c r="A321" s="5" t="s">
        <v>8</v>
      </c>
      <c r="B321" s="5" t="s">
        <v>375</v>
      </c>
      <c r="C321" s="5" t="s">
        <v>27</v>
      </c>
      <c r="D321" s="5" t="s">
        <v>385</v>
      </c>
      <c r="E321" s="5" t="s">
        <v>384</v>
      </c>
      <c r="F321" s="5" t="s">
        <v>45</v>
      </c>
      <c r="G321" s="5" t="s">
        <v>390</v>
      </c>
      <c r="H321" s="5" t="s">
        <v>46</v>
      </c>
      <c r="I321" s="5" t="s">
        <v>152</v>
      </c>
      <c r="J321" s="15">
        <v>2000</v>
      </c>
      <c r="K321" s="7">
        <v>47</v>
      </c>
      <c r="L321" s="7">
        <f t="shared" si="31"/>
        <v>42.553191489361701</v>
      </c>
      <c r="M321" s="5" t="s">
        <v>10</v>
      </c>
      <c r="N321" s="5">
        <v>4</v>
      </c>
      <c r="O321" s="6">
        <f t="shared" si="32"/>
        <v>2.2634676324128562</v>
      </c>
      <c r="P321" s="6">
        <f t="shared" si="33"/>
        <v>0.23540063377093706</v>
      </c>
      <c r="Q321" s="10">
        <f t="shared" si="34"/>
        <v>4.9041798702278549E-3</v>
      </c>
      <c r="R321" s="10">
        <f t="shared" si="35"/>
        <v>2.9341197903551185E-2</v>
      </c>
      <c r="S321" s="10">
        <f t="shared" si="36"/>
        <v>3.4245377773779041E-2</v>
      </c>
    </row>
    <row r="322" spans="1:19" x14ac:dyDescent="0.25">
      <c r="A322" s="5" t="s">
        <v>8</v>
      </c>
      <c r="B322" s="5" t="s">
        <v>300</v>
      </c>
      <c r="C322" s="5" t="s">
        <v>27</v>
      </c>
      <c r="D322" s="5" t="s">
        <v>385</v>
      </c>
      <c r="E322" s="5" t="s">
        <v>384</v>
      </c>
      <c r="F322" s="5" t="s">
        <v>45</v>
      </c>
      <c r="G322" s="5" t="s">
        <v>390</v>
      </c>
      <c r="H322" s="5" t="s">
        <v>46</v>
      </c>
      <c r="I322" s="5" t="s">
        <v>302</v>
      </c>
      <c r="J322" s="15">
        <v>1357</v>
      </c>
      <c r="K322" s="7">
        <v>29</v>
      </c>
      <c r="L322" s="7">
        <f t="shared" si="31"/>
        <v>46.793103448275865</v>
      </c>
      <c r="M322" s="5" t="s">
        <v>10</v>
      </c>
      <c r="N322" s="5">
        <v>4</v>
      </c>
      <c r="O322" s="6">
        <f t="shared" si="32"/>
        <v>1.8570498610285375</v>
      </c>
      <c r="P322" s="6">
        <f t="shared" si="33"/>
        <v>0.19313318554696787</v>
      </c>
      <c r="Q322" s="10">
        <f t="shared" si="34"/>
        <v>4.0236080322284982E-3</v>
      </c>
      <c r="R322" s="10">
        <f t="shared" si="35"/>
        <v>2.5293841786768613E-2</v>
      </c>
      <c r="S322" s="10">
        <f t="shared" si="36"/>
        <v>2.9317449818997112E-2</v>
      </c>
    </row>
    <row r="323" spans="1:19" x14ac:dyDescent="0.25">
      <c r="A323" s="5" t="s">
        <v>8</v>
      </c>
      <c r="B323" s="5" t="s">
        <v>328</v>
      </c>
      <c r="C323" s="5" t="s">
        <v>27</v>
      </c>
      <c r="D323" s="5" t="s">
        <v>385</v>
      </c>
      <c r="E323" s="5" t="s">
        <v>384</v>
      </c>
      <c r="F323" s="5" t="s">
        <v>45</v>
      </c>
      <c r="G323" s="5" t="s">
        <v>390</v>
      </c>
      <c r="H323" s="5" t="s">
        <v>46</v>
      </c>
      <c r="I323" s="5" t="s">
        <v>302</v>
      </c>
      <c r="J323" s="15">
        <v>1363</v>
      </c>
      <c r="K323" s="7">
        <v>28.2</v>
      </c>
      <c r="L323" s="7">
        <f t="shared" si="31"/>
        <v>48.333333333333336</v>
      </c>
      <c r="M323" s="5" t="s">
        <v>10</v>
      </c>
      <c r="N323" s="5">
        <v>4</v>
      </c>
      <c r="O323" s="6">
        <f t="shared" si="32"/>
        <v>1.9900746527777777</v>
      </c>
      <c r="P323" s="6">
        <f t="shared" si="33"/>
        <v>0.20696776388888888</v>
      </c>
      <c r="Q323" s="10">
        <f t="shared" si="34"/>
        <v>4.3118284143518516E-3</v>
      </c>
      <c r="R323" s="10">
        <f t="shared" si="35"/>
        <v>2.6640915833609679E-2</v>
      </c>
      <c r="S323" s="10">
        <f t="shared" si="36"/>
        <v>3.0952744247961531E-2</v>
      </c>
    </row>
    <row r="324" spans="1:19" x14ac:dyDescent="0.25">
      <c r="A324" s="5" t="s">
        <v>8</v>
      </c>
      <c r="B324" s="5" t="s">
        <v>354</v>
      </c>
      <c r="C324" s="5" t="s">
        <v>27</v>
      </c>
      <c r="D324" s="5" t="s">
        <v>385</v>
      </c>
      <c r="E324" s="5" t="s">
        <v>384</v>
      </c>
      <c r="F324" s="5" t="s">
        <v>45</v>
      </c>
      <c r="G324" s="5" t="s">
        <v>390</v>
      </c>
      <c r="H324" s="5" t="s">
        <v>46</v>
      </c>
      <c r="I324" s="5" t="s">
        <v>302</v>
      </c>
      <c r="J324" s="15">
        <v>1350</v>
      </c>
      <c r="K324" s="7">
        <v>32.5</v>
      </c>
      <c r="L324" s="7">
        <f t="shared" si="31"/>
        <v>41.53846153846154</v>
      </c>
      <c r="M324" s="5" t="s">
        <v>10</v>
      </c>
      <c r="N324" s="5">
        <v>4</v>
      </c>
      <c r="O324" s="6">
        <f t="shared" si="32"/>
        <v>1.4558431952662723</v>
      </c>
      <c r="P324" s="6">
        <f t="shared" si="33"/>
        <v>0.15140769230769233</v>
      </c>
      <c r="Q324" s="10">
        <f t="shared" si="34"/>
        <v>3.1543269230769229E-3</v>
      </c>
      <c r="R324" s="10">
        <f t="shared" si="35"/>
        <v>2.107332548180799E-2</v>
      </c>
      <c r="S324" s="10">
        <f t="shared" si="36"/>
        <v>2.4227652404884913E-2</v>
      </c>
    </row>
    <row r="325" spans="1:19" x14ac:dyDescent="0.25">
      <c r="A325" s="5" t="s">
        <v>22</v>
      </c>
      <c r="B325" s="5" t="s">
        <v>26</v>
      </c>
      <c r="C325" s="5" t="s">
        <v>27</v>
      </c>
      <c r="D325" s="5" t="s">
        <v>385</v>
      </c>
      <c r="E325" s="5" t="s">
        <v>384</v>
      </c>
      <c r="F325" s="5" t="s">
        <v>45</v>
      </c>
      <c r="G325" s="5" t="s">
        <v>390</v>
      </c>
      <c r="H325" s="5" t="s">
        <v>46</v>
      </c>
      <c r="I325" s="5" t="s">
        <v>48</v>
      </c>
      <c r="J325" s="15">
        <v>1300</v>
      </c>
      <c r="K325" s="7">
        <v>31.5</v>
      </c>
      <c r="L325" s="7">
        <f t="shared" si="31"/>
        <v>41.269841269841272</v>
      </c>
      <c r="M325" s="5" t="s">
        <v>10</v>
      </c>
      <c r="N325" s="5">
        <v>4</v>
      </c>
      <c r="O325" s="6">
        <f t="shared" si="32"/>
        <v>1.3838498362307887</v>
      </c>
      <c r="P325" s="6">
        <f t="shared" si="33"/>
        <v>0.14392038296800203</v>
      </c>
      <c r="Q325" s="10">
        <f t="shared" si="34"/>
        <v>2.9983413118333754E-3</v>
      </c>
      <c r="R325" s="10">
        <f t="shared" si="35"/>
        <v>2.0286814091063157E-2</v>
      </c>
      <c r="S325" s="10">
        <f t="shared" si="36"/>
        <v>2.3285155402896534E-2</v>
      </c>
    </row>
    <row r="326" spans="1:19" x14ac:dyDescent="0.25">
      <c r="A326" s="5" t="s">
        <v>8</v>
      </c>
      <c r="B326" s="5" t="s">
        <v>191</v>
      </c>
      <c r="C326" s="5" t="s">
        <v>27</v>
      </c>
      <c r="D326" s="5" t="s">
        <v>385</v>
      </c>
      <c r="E326" s="5" t="s">
        <v>384</v>
      </c>
      <c r="F326" s="5" t="s">
        <v>45</v>
      </c>
      <c r="G326" s="5" t="s">
        <v>390</v>
      </c>
      <c r="H326" s="5" t="s">
        <v>46</v>
      </c>
      <c r="I326" s="5" t="s">
        <v>48</v>
      </c>
      <c r="J326" s="15">
        <v>1700</v>
      </c>
      <c r="K326" s="7">
        <v>30</v>
      </c>
      <c r="L326" s="7">
        <f t="shared" si="31"/>
        <v>56.666666666666664</v>
      </c>
      <c r="M326" s="5" t="s">
        <v>10</v>
      </c>
      <c r="N326" s="5">
        <v>4</v>
      </c>
      <c r="O326" s="6">
        <f t="shared" si="32"/>
        <v>3.4118055555555551</v>
      </c>
      <c r="P326" s="6">
        <f t="shared" si="33"/>
        <v>0.35482777777777774</v>
      </c>
      <c r="Q326" s="10">
        <f t="shared" si="34"/>
        <v>7.3922453703703685E-3</v>
      </c>
      <c r="R326" s="10">
        <f t="shared" si="35"/>
        <v>3.9914925990768291E-2</v>
      </c>
      <c r="S326" s="10">
        <f t="shared" si="36"/>
        <v>4.7307171361138656E-2</v>
      </c>
    </row>
    <row r="327" spans="1:19" x14ac:dyDescent="0.25">
      <c r="A327" s="5" t="s">
        <v>8</v>
      </c>
      <c r="B327" s="5" t="s">
        <v>192</v>
      </c>
      <c r="C327" s="5" t="s">
        <v>27</v>
      </c>
      <c r="D327" s="5" t="s">
        <v>385</v>
      </c>
      <c r="E327" s="5" t="s">
        <v>384</v>
      </c>
      <c r="F327" s="5" t="s">
        <v>45</v>
      </c>
      <c r="G327" s="5" t="s">
        <v>390</v>
      </c>
      <c r="H327" s="5" t="s">
        <v>46</v>
      </c>
      <c r="I327" s="5" t="s">
        <v>48</v>
      </c>
      <c r="J327" s="15">
        <v>1590</v>
      </c>
      <c r="K327" s="7">
        <v>29.6</v>
      </c>
      <c r="L327" s="7">
        <f t="shared" si="31"/>
        <v>53.71621621621621</v>
      </c>
      <c r="M327" s="5" t="s">
        <v>10</v>
      </c>
      <c r="N327" s="5">
        <v>4</v>
      </c>
      <c r="O327" s="6">
        <f t="shared" si="32"/>
        <v>2.867397935308619</v>
      </c>
      <c r="P327" s="6">
        <f t="shared" si="33"/>
        <v>0.29820938527209634</v>
      </c>
      <c r="Q327" s="10">
        <f t="shared" si="34"/>
        <v>6.2126955265020068E-3</v>
      </c>
      <c r="R327" s="10">
        <f t="shared" si="35"/>
        <v>3.5035885669132544E-2</v>
      </c>
      <c r="S327" s="10">
        <f t="shared" si="36"/>
        <v>4.124858119563455E-2</v>
      </c>
    </row>
    <row r="328" spans="1:19" x14ac:dyDescent="0.25">
      <c r="A328" s="5" t="s">
        <v>8</v>
      </c>
      <c r="B328" s="5" t="s">
        <v>214</v>
      </c>
      <c r="C328" s="5" t="s">
        <v>27</v>
      </c>
      <c r="D328" s="5" t="s">
        <v>385</v>
      </c>
      <c r="E328" s="5" t="s">
        <v>384</v>
      </c>
      <c r="F328" s="5" t="s">
        <v>45</v>
      </c>
      <c r="G328" s="5" t="s">
        <v>390</v>
      </c>
      <c r="H328" s="5" t="s">
        <v>46</v>
      </c>
      <c r="I328" s="5" t="s">
        <v>48</v>
      </c>
      <c r="J328" s="15">
        <v>1100</v>
      </c>
      <c r="K328" s="7">
        <v>27</v>
      </c>
      <c r="L328" s="7">
        <f t="shared" si="31"/>
        <v>40.74074074074074</v>
      </c>
      <c r="M328" s="5" t="s">
        <v>10</v>
      </c>
      <c r="N328" s="5">
        <v>4</v>
      </c>
      <c r="O328" s="6">
        <f t="shared" si="32"/>
        <v>1.1411179698216736</v>
      </c>
      <c r="P328" s="6">
        <f t="shared" si="33"/>
        <v>0.11867626886145402</v>
      </c>
      <c r="Q328" s="10">
        <f t="shared" si="34"/>
        <v>2.4724222679469595E-3</v>
      </c>
      <c r="R328" s="10">
        <f t="shared" si="35"/>
        <v>1.7554765509974736E-2</v>
      </c>
      <c r="S328" s="10">
        <f t="shared" si="36"/>
        <v>2.0027187777921694E-2</v>
      </c>
    </row>
    <row r="329" spans="1:19" x14ac:dyDescent="0.25">
      <c r="A329" s="5" t="s">
        <v>8</v>
      </c>
      <c r="B329" s="5" t="s">
        <v>291</v>
      </c>
      <c r="C329" s="5" t="s">
        <v>27</v>
      </c>
      <c r="D329" s="5" t="s">
        <v>385</v>
      </c>
      <c r="E329" s="5" t="s">
        <v>384</v>
      </c>
      <c r="F329" s="5" t="s">
        <v>45</v>
      </c>
      <c r="G329" s="5" t="s">
        <v>390</v>
      </c>
      <c r="H329" s="5" t="s">
        <v>46</v>
      </c>
      <c r="I329" s="5" t="s">
        <v>48</v>
      </c>
      <c r="J329" s="15">
        <v>980</v>
      </c>
      <c r="K329" s="7">
        <v>26</v>
      </c>
      <c r="L329" s="7">
        <f t="shared" si="31"/>
        <v>37.692307692307693</v>
      </c>
      <c r="M329" s="5" t="s">
        <v>10</v>
      </c>
      <c r="N329" s="5">
        <v>4</v>
      </c>
      <c r="O329" s="6">
        <f t="shared" si="32"/>
        <v>0.87018491124260366</v>
      </c>
      <c r="P329" s="6">
        <f t="shared" si="33"/>
        <v>9.0499230769230776E-2</v>
      </c>
      <c r="Q329" s="10">
        <f t="shared" si="34"/>
        <v>1.8854006410256412E-3</v>
      </c>
      <c r="R329" s="10">
        <f t="shared" si="35"/>
        <v>1.4325367948525116E-2</v>
      </c>
      <c r="S329" s="10">
        <f t="shared" si="36"/>
        <v>1.6210768589550756E-2</v>
      </c>
    </row>
    <row r="330" spans="1:19" x14ac:dyDescent="0.25">
      <c r="A330" s="5" t="s">
        <v>8</v>
      </c>
      <c r="B330" s="5" t="s">
        <v>300</v>
      </c>
      <c r="C330" s="5" t="s">
        <v>27</v>
      </c>
      <c r="D330" s="5" t="s">
        <v>385</v>
      </c>
      <c r="E330" s="5" t="s">
        <v>384</v>
      </c>
      <c r="F330" s="5" t="s">
        <v>45</v>
      </c>
      <c r="G330" s="5" t="s">
        <v>390</v>
      </c>
      <c r="H330" s="5" t="s">
        <v>46</v>
      </c>
      <c r="I330" s="5" t="s">
        <v>48</v>
      </c>
      <c r="J330" s="15">
        <v>980</v>
      </c>
      <c r="K330" s="7">
        <v>26</v>
      </c>
      <c r="L330" s="7">
        <f t="shared" si="31"/>
        <v>37.692307692307693</v>
      </c>
      <c r="M330" s="5" t="s">
        <v>10</v>
      </c>
      <c r="N330" s="5">
        <v>4</v>
      </c>
      <c r="O330" s="6">
        <f t="shared" si="32"/>
        <v>0.87018491124260366</v>
      </c>
      <c r="P330" s="6">
        <f t="shared" si="33"/>
        <v>9.0499230769230776E-2</v>
      </c>
      <c r="Q330" s="10">
        <f t="shared" si="34"/>
        <v>1.8854006410256412E-3</v>
      </c>
      <c r="R330" s="10">
        <f t="shared" si="35"/>
        <v>1.4325367948525116E-2</v>
      </c>
      <c r="S330" s="10">
        <f t="shared" si="36"/>
        <v>1.6210768589550756E-2</v>
      </c>
    </row>
    <row r="331" spans="1:19" x14ac:dyDescent="0.25">
      <c r="A331" s="5" t="s">
        <v>8</v>
      </c>
      <c r="B331" s="5" t="s">
        <v>307</v>
      </c>
      <c r="C331" s="5" t="s">
        <v>27</v>
      </c>
      <c r="D331" s="5" t="s">
        <v>385</v>
      </c>
      <c r="E331" s="5" t="s">
        <v>384</v>
      </c>
      <c r="F331" s="5" t="s">
        <v>45</v>
      </c>
      <c r="G331" s="5" t="s">
        <v>390</v>
      </c>
      <c r="H331" s="5" t="s">
        <v>46</v>
      </c>
      <c r="I331" s="5" t="s">
        <v>48</v>
      </c>
      <c r="J331" s="15">
        <v>1600</v>
      </c>
      <c r="K331" s="7">
        <v>31.2</v>
      </c>
      <c r="L331" s="7">
        <f t="shared" ref="L331:L394" si="37">J331/K331</f>
        <v>51.282051282051285</v>
      </c>
      <c r="M331" s="5" t="s">
        <v>10</v>
      </c>
      <c r="N331" s="5">
        <v>4</v>
      </c>
      <c r="O331" s="6">
        <f t="shared" ref="O331:O394" si="38">(J331*L331^2)/(1.6*10^6)</f>
        <v>2.6298487836949382</v>
      </c>
      <c r="P331" s="6">
        <f t="shared" ref="P331:P394" si="39">(0.104*J331*L331^2)/(1.6*10^6)</f>
        <v>0.27350427350427353</v>
      </c>
      <c r="Q331" s="10">
        <f t="shared" ref="Q331:Q394" si="40">(0.104*O331)/(12*N331)</f>
        <v>5.6980056980057E-3</v>
      </c>
      <c r="R331" s="10">
        <f t="shared" ref="R331:R394" si="41">0.0159*O331^0.75</f>
        <v>3.2835618960862005E-2</v>
      </c>
      <c r="S331" s="10">
        <f t="shared" ref="S331:S394" si="42">Q331+R331</f>
        <v>3.8533624658867706E-2</v>
      </c>
    </row>
    <row r="332" spans="1:19" x14ac:dyDescent="0.25">
      <c r="A332" s="5" t="s">
        <v>8</v>
      </c>
      <c r="B332" s="5" t="s">
        <v>339</v>
      </c>
      <c r="C332" s="5" t="s">
        <v>27</v>
      </c>
      <c r="D332" s="5" t="s">
        <v>385</v>
      </c>
      <c r="E332" s="5" t="s">
        <v>384</v>
      </c>
      <c r="F332" s="5" t="s">
        <v>45</v>
      </c>
      <c r="G332" s="5" t="s">
        <v>390</v>
      </c>
      <c r="H332" s="5" t="s">
        <v>46</v>
      </c>
      <c r="I332" s="5" t="s">
        <v>48</v>
      </c>
      <c r="J332" s="15">
        <v>1080</v>
      </c>
      <c r="K332" s="7">
        <v>28.5</v>
      </c>
      <c r="L332" s="7">
        <f t="shared" si="37"/>
        <v>37.89473684210526</v>
      </c>
      <c r="M332" s="5" t="s">
        <v>10</v>
      </c>
      <c r="N332" s="5">
        <v>4</v>
      </c>
      <c r="O332" s="6">
        <f t="shared" si="38"/>
        <v>0.96930747922437654</v>
      </c>
      <c r="P332" s="6">
        <f t="shared" si="39"/>
        <v>0.10080797783933516</v>
      </c>
      <c r="Q332" s="10">
        <f t="shared" si="40"/>
        <v>2.1001662049861488E-3</v>
      </c>
      <c r="R332" s="10">
        <f t="shared" si="41"/>
        <v>1.5532569200814635E-2</v>
      </c>
      <c r="S332" s="10">
        <f t="shared" si="42"/>
        <v>1.7632735405800785E-2</v>
      </c>
    </row>
    <row r="333" spans="1:19" x14ac:dyDescent="0.25">
      <c r="A333" s="5" t="s">
        <v>8</v>
      </c>
      <c r="B333" s="5" t="s">
        <v>339</v>
      </c>
      <c r="C333" s="5" t="s">
        <v>27</v>
      </c>
      <c r="D333" s="5" t="s">
        <v>385</v>
      </c>
      <c r="E333" s="5" t="s">
        <v>384</v>
      </c>
      <c r="F333" s="5" t="s">
        <v>45</v>
      </c>
      <c r="G333" s="5" t="s">
        <v>390</v>
      </c>
      <c r="H333" s="5" t="s">
        <v>46</v>
      </c>
      <c r="I333" s="5" t="s">
        <v>48</v>
      </c>
      <c r="J333" s="15">
        <v>962</v>
      </c>
      <c r="K333" s="7">
        <v>25</v>
      </c>
      <c r="L333" s="7">
        <f t="shared" si="37"/>
        <v>38.479999999999997</v>
      </c>
      <c r="M333" s="5" t="s">
        <v>10</v>
      </c>
      <c r="N333" s="5">
        <v>4</v>
      </c>
      <c r="O333" s="6">
        <f t="shared" si="38"/>
        <v>0.89027712799999981</v>
      </c>
      <c r="P333" s="6">
        <f t="shared" si="39"/>
        <v>9.2588821311999983E-2</v>
      </c>
      <c r="Q333" s="10">
        <f t="shared" si="40"/>
        <v>1.9289337773333328E-3</v>
      </c>
      <c r="R333" s="10">
        <f t="shared" si="41"/>
        <v>1.4572733957196257E-2</v>
      </c>
      <c r="S333" s="10">
        <f t="shared" si="42"/>
        <v>1.6501667734529591E-2</v>
      </c>
    </row>
    <row r="334" spans="1:19" x14ac:dyDescent="0.25">
      <c r="A334" s="5" t="s">
        <v>8</v>
      </c>
      <c r="B334" s="5" t="s">
        <v>339</v>
      </c>
      <c r="C334" s="5" t="s">
        <v>27</v>
      </c>
      <c r="D334" s="5" t="s">
        <v>385</v>
      </c>
      <c r="E334" s="5" t="s">
        <v>384</v>
      </c>
      <c r="F334" s="5" t="s">
        <v>45</v>
      </c>
      <c r="G334" s="5" t="s">
        <v>390</v>
      </c>
      <c r="H334" s="5" t="s">
        <v>46</v>
      </c>
      <c r="I334" s="5" t="s">
        <v>48</v>
      </c>
      <c r="J334" s="15">
        <v>970</v>
      </c>
      <c r="K334" s="7">
        <v>24.4</v>
      </c>
      <c r="L334" s="7">
        <f t="shared" si="37"/>
        <v>39.754098360655739</v>
      </c>
      <c r="M334" s="5" t="s">
        <v>10</v>
      </c>
      <c r="N334" s="5">
        <v>4</v>
      </c>
      <c r="O334" s="6">
        <f t="shared" si="38"/>
        <v>0.95811042898414411</v>
      </c>
      <c r="P334" s="6">
        <f t="shared" si="39"/>
        <v>9.9643484614350977E-2</v>
      </c>
      <c r="Q334" s="10">
        <f t="shared" si="40"/>
        <v>2.0759059294656454E-3</v>
      </c>
      <c r="R334" s="10">
        <f t="shared" si="41"/>
        <v>1.5397804452543755E-2</v>
      </c>
      <c r="S334" s="10">
        <f t="shared" si="42"/>
        <v>1.74737103820094E-2</v>
      </c>
    </row>
    <row r="335" spans="1:19" x14ac:dyDescent="0.25">
      <c r="A335" s="5" t="s">
        <v>22</v>
      </c>
      <c r="B335" s="5" t="s">
        <v>63</v>
      </c>
      <c r="C335" s="5" t="s">
        <v>27</v>
      </c>
      <c r="D335" s="5" t="s">
        <v>385</v>
      </c>
      <c r="E335" s="5" t="s">
        <v>384</v>
      </c>
      <c r="F335" s="5" t="s">
        <v>45</v>
      </c>
      <c r="G335" s="5" t="s">
        <v>390</v>
      </c>
      <c r="H335" s="5" t="s">
        <v>46</v>
      </c>
      <c r="I335" s="5" t="s">
        <v>14</v>
      </c>
      <c r="J335" s="15">
        <v>1110</v>
      </c>
      <c r="K335" s="7">
        <v>25</v>
      </c>
      <c r="L335" s="7">
        <f t="shared" si="37"/>
        <v>44.4</v>
      </c>
      <c r="M335" s="5" t="s">
        <v>10</v>
      </c>
      <c r="N335" s="5">
        <v>4</v>
      </c>
      <c r="O335" s="6">
        <f t="shared" si="38"/>
        <v>1.367631</v>
      </c>
      <c r="P335" s="6">
        <f t="shared" si="39"/>
        <v>0.14223362399999998</v>
      </c>
      <c r="Q335" s="10">
        <f t="shared" si="40"/>
        <v>2.9632005000000002E-3</v>
      </c>
      <c r="R335" s="10">
        <f t="shared" si="41"/>
        <v>2.0108229189784745E-2</v>
      </c>
      <c r="S335" s="10">
        <f t="shared" si="42"/>
        <v>2.3071429689784744E-2</v>
      </c>
    </row>
    <row r="336" spans="1:19" x14ac:dyDescent="0.25">
      <c r="A336" s="5" t="s">
        <v>8</v>
      </c>
      <c r="B336" s="5" t="s">
        <v>192</v>
      </c>
      <c r="C336" s="5" t="s">
        <v>27</v>
      </c>
      <c r="D336" s="5" t="s">
        <v>385</v>
      </c>
      <c r="E336" s="5" t="s">
        <v>384</v>
      </c>
      <c r="F336" s="5" t="s">
        <v>45</v>
      </c>
      <c r="G336" s="5" t="s">
        <v>390</v>
      </c>
      <c r="H336" s="5" t="s">
        <v>46</v>
      </c>
      <c r="I336" s="5" t="s">
        <v>14</v>
      </c>
      <c r="J336" s="15">
        <v>1090</v>
      </c>
      <c r="K336" s="7">
        <v>27.3</v>
      </c>
      <c r="L336" s="7">
        <f t="shared" si="37"/>
        <v>39.926739926739927</v>
      </c>
      <c r="M336" s="5" t="s">
        <v>10</v>
      </c>
      <c r="N336" s="5">
        <v>4</v>
      </c>
      <c r="O336" s="6">
        <f t="shared" si="38"/>
        <v>1.0860109823021911</v>
      </c>
      <c r="P336" s="6">
        <f t="shared" si="39"/>
        <v>0.11294514215942787</v>
      </c>
      <c r="Q336" s="10">
        <f t="shared" si="40"/>
        <v>2.3530237949880807E-3</v>
      </c>
      <c r="R336" s="10">
        <f t="shared" si="41"/>
        <v>1.6915030574766531E-2</v>
      </c>
      <c r="S336" s="10">
        <f t="shared" si="42"/>
        <v>1.9268054369754612E-2</v>
      </c>
    </row>
    <row r="337" spans="1:19" x14ac:dyDescent="0.25">
      <c r="A337" s="5" t="s">
        <v>8</v>
      </c>
      <c r="B337" s="5" t="s">
        <v>191</v>
      </c>
      <c r="C337" s="5" t="s">
        <v>27</v>
      </c>
      <c r="D337" s="5" t="s">
        <v>385</v>
      </c>
      <c r="E337" s="5" t="s">
        <v>384</v>
      </c>
      <c r="F337" s="5" t="s">
        <v>45</v>
      </c>
      <c r="G337" s="5" t="s">
        <v>390</v>
      </c>
      <c r="H337" s="5" t="s">
        <v>46</v>
      </c>
      <c r="I337" s="5" t="s">
        <v>14</v>
      </c>
      <c r="J337" s="15">
        <v>1200</v>
      </c>
      <c r="K337" s="7">
        <v>25</v>
      </c>
      <c r="L337" s="7">
        <f t="shared" si="37"/>
        <v>48</v>
      </c>
      <c r="M337" s="5" t="s">
        <v>10</v>
      </c>
      <c r="N337" s="5">
        <v>4</v>
      </c>
      <c r="O337" s="6">
        <f t="shared" si="38"/>
        <v>1.728</v>
      </c>
      <c r="P337" s="6">
        <f t="shared" si="39"/>
        <v>0.17971200000000001</v>
      </c>
      <c r="Q337" s="10">
        <f t="shared" si="40"/>
        <v>3.7439999999999995E-3</v>
      </c>
      <c r="R337" s="10">
        <f t="shared" si="41"/>
        <v>2.3963758151521651E-2</v>
      </c>
      <c r="S337" s="10">
        <f t="shared" si="42"/>
        <v>2.7707758151521652E-2</v>
      </c>
    </row>
    <row r="338" spans="1:19" x14ac:dyDescent="0.25">
      <c r="A338" s="5" t="s">
        <v>8</v>
      </c>
      <c r="B338" s="5" t="s">
        <v>193</v>
      </c>
      <c r="C338" s="5" t="s">
        <v>27</v>
      </c>
      <c r="D338" s="5" t="s">
        <v>385</v>
      </c>
      <c r="E338" s="5" t="s">
        <v>384</v>
      </c>
      <c r="F338" s="5" t="s">
        <v>45</v>
      </c>
      <c r="G338" s="5" t="s">
        <v>390</v>
      </c>
      <c r="H338" s="5" t="s">
        <v>46</v>
      </c>
      <c r="I338" s="5" t="s">
        <v>14</v>
      </c>
      <c r="J338" s="15">
        <v>1110</v>
      </c>
      <c r="K338" s="7">
        <v>24.5</v>
      </c>
      <c r="L338" s="7">
        <f t="shared" si="37"/>
        <v>45.306122448979593</v>
      </c>
      <c r="M338" s="5" t="s">
        <v>10</v>
      </c>
      <c r="N338" s="5">
        <v>4</v>
      </c>
      <c r="O338" s="6">
        <f t="shared" si="38"/>
        <v>1.424022282382341</v>
      </c>
      <c r="P338" s="6">
        <f t="shared" si="39"/>
        <v>0.14809831736776344</v>
      </c>
      <c r="Q338" s="10">
        <f t="shared" si="40"/>
        <v>3.0853816118284055E-3</v>
      </c>
      <c r="R338" s="10">
        <f t="shared" si="41"/>
        <v>2.0726917227040922E-2</v>
      </c>
      <c r="S338" s="10">
        <f t="shared" si="42"/>
        <v>2.3812298838869327E-2</v>
      </c>
    </row>
    <row r="339" spans="1:19" x14ac:dyDescent="0.25">
      <c r="A339" s="5" t="s">
        <v>8</v>
      </c>
      <c r="B339" s="5" t="s">
        <v>194</v>
      </c>
      <c r="C339" s="5" t="s">
        <v>27</v>
      </c>
      <c r="D339" s="5" t="s">
        <v>385</v>
      </c>
      <c r="E339" s="5" t="s">
        <v>384</v>
      </c>
      <c r="F339" s="5" t="s">
        <v>45</v>
      </c>
      <c r="G339" s="5" t="s">
        <v>390</v>
      </c>
      <c r="H339" s="5" t="s">
        <v>46</v>
      </c>
      <c r="I339" s="5" t="s">
        <v>14</v>
      </c>
      <c r="J339" s="15">
        <v>1070</v>
      </c>
      <c r="K339" s="7">
        <v>24.5</v>
      </c>
      <c r="L339" s="7">
        <f t="shared" si="37"/>
        <v>43.673469387755105</v>
      </c>
      <c r="M339" s="5" t="s">
        <v>10</v>
      </c>
      <c r="N339" s="5">
        <v>4</v>
      </c>
      <c r="O339" s="6">
        <f t="shared" si="38"/>
        <v>1.275554977092878</v>
      </c>
      <c r="P339" s="6">
        <f t="shared" si="39"/>
        <v>0.13265771761765932</v>
      </c>
      <c r="Q339" s="10">
        <f t="shared" si="40"/>
        <v>2.7637024503679025E-3</v>
      </c>
      <c r="R339" s="10">
        <f t="shared" si="41"/>
        <v>1.9084092397598378E-2</v>
      </c>
      <c r="S339" s="10">
        <f t="shared" si="42"/>
        <v>2.1847794847966281E-2</v>
      </c>
    </row>
    <row r="340" spans="1:19" x14ac:dyDescent="0.25">
      <c r="A340" s="5" t="s">
        <v>8</v>
      </c>
      <c r="B340" s="5" t="s">
        <v>195</v>
      </c>
      <c r="C340" s="5" t="s">
        <v>27</v>
      </c>
      <c r="D340" s="5" t="s">
        <v>385</v>
      </c>
      <c r="E340" s="5" t="s">
        <v>384</v>
      </c>
      <c r="F340" s="5" t="s">
        <v>45</v>
      </c>
      <c r="G340" s="5" t="s">
        <v>390</v>
      </c>
      <c r="H340" s="5" t="s">
        <v>46</v>
      </c>
      <c r="I340" s="5" t="s">
        <v>14</v>
      </c>
      <c r="J340" s="15">
        <v>1160</v>
      </c>
      <c r="K340" s="7">
        <v>31.9</v>
      </c>
      <c r="L340" s="7">
        <f t="shared" si="37"/>
        <v>36.363636363636367</v>
      </c>
      <c r="M340" s="5" t="s">
        <v>10</v>
      </c>
      <c r="N340" s="5">
        <v>4</v>
      </c>
      <c r="O340" s="6">
        <f t="shared" si="38"/>
        <v>0.95867768595041347</v>
      </c>
      <c r="P340" s="6">
        <f t="shared" si="39"/>
        <v>9.9702479338843006E-2</v>
      </c>
      <c r="Q340" s="10">
        <f t="shared" si="40"/>
        <v>2.0771349862258957E-3</v>
      </c>
      <c r="R340" s="10">
        <f t="shared" si="41"/>
        <v>1.5404641241904566E-2</v>
      </c>
      <c r="S340" s="10">
        <f t="shared" si="42"/>
        <v>1.7481776228130463E-2</v>
      </c>
    </row>
    <row r="341" spans="1:19" x14ac:dyDescent="0.25">
      <c r="A341" s="5" t="s">
        <v>8</v>
      </c>
      <c r="B341" s="5" t="s">
        <v>214</v>
      </c>
      <c r="C341" s="5" t="s">
        <v>27</v>
      </c>
      <c r="D341" s="5" t="s">
        <v>385</v>
      </c>
      <c r="E341" s="5" t="s">
        <v>384</v>
      </c>
      <c r="F341" s="5" t="s">
        <v>45</v>
      </c>
      <c r="G341" s="5" t="s">
        <v>390</v>
      </c>
      <c r="H341" s="5" t="s">
        <v>46</v>
      </c>
      <c r="I341" s="5" t="s">
        <v>14</v>
      </c>
      <c r="J341" s="15">
        <v>1100</v>
      </c>
      <c r="K341" s="7">
        <v>32</v>
      </c>
      <c r="L341" s="7">
        <f t="shared" si="37"/>
        <v>34.375</v>
      </c>
      <c r="M341" s="5" t="s">
        <v>10</v>
      </c>
      <c r="N341" s="5">
        <v>4</v>
      </c>
      <c r="O341" s="6">
        <f t="shared" si="38"/>
        <v>0.8123779296875</v>
      </c>
      <c r="P341" s="6">
        <f t="shared" si="39"/>
        <v>8.4487304687500001E-2</v>
      </c>
      <c r="Q341" s="10">
        <f t="shared" si="40"/>
        <v>1.7601521809895834E-3</v>
      </c>
      <c r="R341" s="10">
        <f t="shared" si="41"/>
        <v>1.3605537743536752E-2</v>
      </c>
      <c r="S341" s="10">
        <f t="shared" si="42"/>
        <v>1.5365689924526336E-2</v>
      </c>
    </row>
    <row r="342" spans="1:19" x14ac:dyDescent="0.25">
      <c r="A342" s="5" t="s">
        <v>8</v>
      </c>
      <c r="B342" s="5" t="s">
        <v>329</v>
      </c>
      <c r="C342" s="5" t="s">
        <v>27</v>
      </c>
      <c r="D342" s="5" t="s">
        <v>385</v>
      </c>
      <c r="E342" s="5" t="s">
        <v>384</v>
      </c>
      <c r="F342" s="5" t="s">
        <v>45</v>
      </c>
      <c r="G342" s="5" t="s">
        <v>390</v>
      </c>
      <c r="H342" s="5" t="s">
        <v>46</v>
      </c>
      <c r="I342" s="5" t="s">
        <v>14</v>
      </c>
      <c r="J342" s="15">
        <v>1120</v>
      </c>
      <c r="K342" s="7">
        <v>36.5</v>
      </c>
      <c r="L342" s="7">
        <f t="shared" si="37"/>
        <v>30.684931506849313</v>
      </c>
      <c r="M342" s="5" t="s">
        <v>10</v>
      </c>
      <c r="N342" s="5">
        <v>4</v>
      </c>
      <c r="O342" s="6">
        <f t="shared" si="38"/>
        <v>0.65909551510602349</v>
      </c>
      <c r="P342" s="6">
        <f t="shared" si="39"/>
        <v>6.8545933571026438E-2</v>
      </c>
      <c r="Q342" s="10">
        <f t="shared" si="40"/>
        <v>1.4280402827297175E-3</v>
      </c>
      <c r="R342" s="10">
        <f t="shared" si="41"/>
        <v>1.1630767966535846E-2</v>
      </c>
      <c r="S342" s="10">
        <f t="shared" si="42"/>
        <v>1.3058808249265565E-2</v>
      </c>
    </row>
    <row r="343" spans="1:19" x14ac:dyDescent="0.25">
      <c r="A343" s="5" t="s">
        <v>8</v>
      </c>
      <c r="B343" s="5" t="s">
        <v>339</v>
      </c>
      <c r="C343" s="5" t="s">
        <v>27</v>
      </c>
      <c r="D343" s="5" t="s">
        <v>385</v>
      </c>
      <c r="E343" s="5" t="s">
        <v>384</v>
      </c>
      <c r="F343" s="5" t="s">
        <v>45</v>
      </c>
      <c r="G343" s="5" t="s">
        <v>390</v>
      </c>
      <c r="H343" s="5" t="s">
        <v>46</v>
      </c>
      <c r="I343" s="5" t="s">
        <v>14</v>
      </c>
      <c r="J343" s="15">
        <v>1010</v>
      </c>
      <c r="K343" s="7">
        <v>21.1</v>
      </c>
      <c r="L343" s="7">
        <f t="shared" si="37"/>
        <v>47.867298578199048</v>
      </c>
      <c r="M343" s="5" t="s">
        <v>10</v>
      </c>
      <c r="N343" s="5">
        <v>4</v>
      </c>
      <c r="O343" s="6">
        <f t="shared" si="38"/>
        <v>1.4463694099413755</v>
      </c>
      <c r="P343" s="6">
        <f t="shared" si="39"/>
        <v>0.15042241863390304</v>
      </c>
      <c r="Q343" s="10">
        <f t="shared" si="40"/>
        <v>3.1338003882063134E-3</v>
      </c>
      <c r="R343" s="10">
        <f t="shared" si="41"/>
        <v>2.0970391834637787E-2</v>
      </c>
      <c r="S343" s="10">
        <f t="shared" si="42"/>
        <v>2.4104192222844101E-2</v>
      </c>
    </row>
    <row r="344" spans="1:19" x14ac:dyDescent="0.25">
      <c r="A344" s="5" t="s">
        <v>8</v>
      </c>
      <c r="B344" s="5" t="s">
        <v>308</v>
      </c>
      <c r="C344" s="5" t="s">
        <v>27</v>
      </c>
      <c r="D344" s="5" t="s">
        <v>385</v>
      </c>
      <c r="E344" s="5" t="s">
        <v>384</v>
      </c>
      <c r="F344" s="5" t="s">
        <v>45</v>
      </c>
      <c r="G344" s="5" t="s">
        <v>390</v>
      </c>
      <c r="H344" s="5" t="s">
        <v>46</v>
      </c>
      <c r="I344" s="5" t="s">
        <v>71</v>
      </c>
      <c r="J344" s="15">
        <v>924</v>
      </c>
      <c r="K344" s="7">
        <v>33</v>
      </c>
      <c r="L344" s="7">
        <f t="shared" si="37"/>
        <v>28</v>
      </c>
      <c r="M344" s="5" t="s">
        <v>10</v>
      </c>
      <c r="N344" s="5">
        <v>4</v>
      </c>
      <c r="O344" s="6">
        <f t="shared" si="38"/>
        <v>0.45276</v>
      </c>
      <c r="P344" s="6">
        <f t="shared" si="39"/>
        <v>4.7087039999999997E-2</v>
      </c>
      <c r="Q344" s="10">
        <f t="shared" si="40"/>
        <v>9.8098E-4</v>
      </c>
      <c r="R344" s="10">
        <f t="shared" si="41"/>
        <v>8.7760312850900107E-3</v>
      </c>
      <c r="S344" s="10">
        <f t="shared" si="42"/>
        <v>9.7570112850900101E-3</v>
      </c>
    </row>
    <row r="345" spans="1:19" x14ac:dyDescent="0.25">
      <c r="A345" s="5" t="s">
        <v>8</v>
      </c>
      <c r="B345" s="5" t="s">
        <v>214</v>
      </c>
      <c r="C345" s="5" t="s">
        <v>27</v>
      </c>
      <c r="D345" s="5" t="s">
        <v>385</v>
      </c>
      <c r="E345" s="5" t="s">
        <v>384</v>
      </c>
      <c r="F345" s="5" t="s">
        <v>45</v>
      </c>
      <c r="G345" s="5" t="s">
        <v>390</v>
      </c>
      <c r="H345" s="5" t="s">
        <v>46</v>
      </c>
      <c r="I345" s="5" t="s">
        <v>215</v>
      </c>
      <c r="J345" s="15">
        <v>1100</v>
      </c>
      <c r="K345" s="7">
        <v>25</v>
      </c>
      <c r="L345" s="7">
        <f t="shared" si="37"/>
        <v>44</v>
      </c>
      <c r="M345" s="5" t="s">
        <v>10</v>
      </c>
      <c r="N345" s="5">
        <v>4</v>
      </c>
      <c r="O345" s="6">
        <f t="shared" si="38"/>
        <v>1.331</v>
      </c>
      <c r="P345" s="6">
        <f t="shared" si="39"/>
        <v>0.13842399999999999</v>
      </c>
      <c r="Q345" s="10">
        <f t="shared" si="40"/>
        <v>2.8838333333333333E-3</v>
      </c>
      <c r="R345" s="10">
        <f t="shared" si="41"/>
        <v>1.9702923264295638E-2</v>
      </c>
      <c r="S345" s="10">
        <f t="shared" si="42"/>
        <v>2.258675659762897E-2</v>
      </c>
    </row>
    <row r="346" spans="1:19" x14ac:dyDescent="0.25">
      <c r="A346" s="5" t="s">
        <v>8</v>
      </c>
      <c r="B346" s="5" t="s">
        <v>311</v>
      </c>
      <c r="C346" s="5" t="s">
        <v>27</v>
      </c>
      <c r="D346" s="5" t="s">
        <v>385</v>
      </c>
      <c r="E346" s="5" t="s">
        <v>384</v>
      </c>
      <c r="F346" s="5" t="s">
        <v>45</v>
      </c>
      <c r="G346" s="5" t="s">
        <v>390</v>
      </c>
      <c r="H346" s="5" t="s">
        <v>46</v>
      </c>
      <c r="I346" s="5" t="s">
        <v>215</v>
      </c>
      <c r="J346" s="15">
        <v>1200</v>
      </c>
      <c r="K346" s="7">
        <v>28</v>
      </c>
      <c r="L346" s="7">
        <f t="shared" si="37"/>
        <v>42.857142857142854</v>
      </c>
      <c r="M346" s="5" t="s">
        <v>10</v>
      </c>
      <c r="N346" s="5">
        <v>4</v>
      </c>
      <c r="O346" s="6">
        <f t="shared" si="38"/>
        <v>1.3775510204081631</v>
      </c>
      <c r="P346" s="6">
        <f t="shared" si="39"/>
        <v>0.14326530612244898</v>
      </c>
      <c r="Q346" s="10">
        <f t="shared" si="40"/>
        <v>2.9846938775510198E-3</v>
      </c>
      <c r="R346" s="10">
        <f t="shared" si="41"/>
        <v>2.0217520582724226E-2</v>
      </c>
      <c r="S346" s="10">
        <f t="shared" si="42"/>
        <v>2.3202214460275247E-2</v>
      </c>
    </row>
    <row r="347" spans="1:19" x14ac:dyDescent="0.25">
      <c r="A347" s="5" t="s">
        <v>8</v>
      </c>
      <c r="B347" s="5" t="s">
        <v>339</v>
      </c>
      <c r="C347" s="5" t="s">
        <v>27</v>
      </c>
      <c r="D347" s="5" t="s">
        <v>385</v>
      </c>
      <c r="E347" s="5" t="s">
        <v>384</v>
      </c>
      <c r="F347" s="5" t="s">
        <v>45</v>
      </c>
      <c r="G347" s="5" t="s">
        <v>390</v>
      </c>
      <c r="H347" s="5" t="s">
        <v>46</v>
      </c>
      <c r="I347" s="5" t="s">
        <v>342</v>
      </c>
      <c r="J347" s="15">
        <v>1400</v>
      </c>
      <c r="K347" s="7">
        <v>25.1</v>
      </c>
      <c r="L347" s="7">
        <f t="shared" si="37"/>
        <v>55.776892430278885</v>
      </c>
      <c r="M347" s="5" t="s">
        <v>10</v>
      </c>
      <c r="N347" s="5">
        <v>4</v>
      </c>
      <c r="O347" s="6">
        <f t="shared" si="38"/>
        <v>2.7221790130315395</v>
      </c>
      <c r="P347" s="6">
        <f t="shared" si="39"/>
        <v>0.28310661735528009</v>
      </c>
      <c r="Q347" s="10">
        <f t="shared" si="40"/>
        <v>5.8980545282350015E-3</v>
      </c>
      <c r="R347" s="10">
        <f t="shared" si="41"/>
        <v>3.3696487711617512E-2</v>
      </c>
      <c r="S347" s="10">
        <f t="shared" si="42"/>
        <v>3.9594542239852516E-2</v>
      </c>
    </row>
    <row r="348" spans="1:19" x14ac:dyDescent="0.25">
      <c r="A348" s="5" t="s">
        <v>8</v>
      </c>
      <c r="B348" s="5" t="s">
        <v>356</v>
      </c>
      <c r="C348" s="5" t="s">
        <v>27</v>
      </c>
      <c r="D348" s="5" t="s">
        <v>385</v>
      </c>
      <c r="E348" s="5" t="s">
        <v>384</v>
      </c>
      <c r="F348" s="5" t="s">
        <v>45</v>
      </c>
      <c r="G348" s="5" t="s">
        <v>390</v>
      </c>
      <c r="H348" s="5" t="s">
        <v>46</v>
      </c>
      <c r="I348" s="5" t="s">
        <v>355</v>
      </c>
      <c r="J348" s="15">
        <v>1145</v>
      </c>
      <c r="K348" s="7">
        <v>25</v>
      </c>
      <c r="L348" s="7">
        <f t="shared" si="37"/>
        <v>45.8</v>
      </c>
      <c r="M348" s="5" t="s">
        <v>10</v>
      </c>
      <c r="N348" s="5">
        <v>4</v>
      </c>
      <c r="O348" s="6">
        <f t="shared" si="38"/>
        <v>1.501123625</v>
      </c>
      <c r="P348" s="6">
        <f t="shared" si="39"/>
        <v>0.15611685699999997</v>
      </c>
      <c r="Q348" s="10">
        <f t="shared" si="40"/>
        <v>3.2524345208333333E-3</v>
      </c>
      <c r="R348" s="10">
        <f t="shared" si="41"/>
        <v>2.156301422213177E-2</v>
      </c>
      <c r="S348" s="10">
        <f t="shared" si="42"/>
        <v>2.4815448742965103E-2</v>
      </c>
    </row>
    <row r="349" spans="1:19" x14ac:dyDescent="0.25">
      <c r="A349" s="5" t="s">
        <v>8</v>
      </c>
      <c r="B349" s="5" t="s">
        <v>354</v>
      </c>
      <c r="C349" s="5" t="s">
        <v>27</v>
      </c>
      <c r="D349" s="5" t="s">
        <v>385</v>
      </c>
      <c r="E349" s="5" t="s">
        <v>384</v>
      </c>
      <c r="F349" s="5" t="s">
        <v>45</v>
      </c>
      <c r="G349" s="5" t="s">
        <v>390</v>
      </c>
      <c r="H349" s="5" t="s">
        <v>46</v>
      </c>
      <c r="I349" s="5" t="s">
        <v>355</v>
      </c>
      <c r="J349" s="15">
        <v>1110</v>
      </c>
      <c r="K349" s="7">
        <v>23.5</v>
      </c>
      <c r="L349" s="7">
        <f t="shared" si="37"/>
        <v>47.234042553191486</v>
      </c>
      <c r="M349" s="5" t="s">
        <v>10</v>
      </c>
      <c r="N349" s="5">
        <v>4</v>
      </c>
      <c r="O349" s="6">
        <f t="shared" si="38"/>
        <v>1.5477942507922133</v>
      </c>
      <c r="P349" s="6">
        <f t="shared" si="39"/>
        <v>0.16097060208239017</v>
      </c>
      <c r="Q349" s="10">
        <f t="shared" si="40"/>
        <v>3.3535542100497952E-3</v>
      </c>
      <c r="R349" s="10">
        <f t="shared" si="41"/>
        <v>2.2063888096792793E-2</v>
      </c>
      <c r="S349" s="10">
        <f t="shared" si="42"/>
        <v>2.5417442306842588E-2</v>
      </c>
    </row>
    <row r="350" spans="1:19" x14ac:dyDescent="0.25">
      <c r="A350" s="5" t="s">
        <v>22</v>
      </c>
      <c r="B350" s="5" t="s">
        <v>26</v>
      </c>
      <c r="C350" s="5" t="s">
        <v>27</v>
      </c>
      <c r="D350" s="5" t="s">
        <v>385</v>
      </c>
      <c r="E350" s="5" t="s">
        <v>384</v>
      </c>
      <c r="F350" s="5" t="s">
        <v>45</v>
      </c>
      <c r="G350" s="5" t="s">
        <v>390</v>
      </c>
      <c r="H350" s="5" t="s">
        <v>46</v>
      </c>
      <c r="I350" s="5" t="s">
        <v>49</v>
      </c>
      <c r="J350" s="15">
        <v>1350</v>
      </c>
      <c r="K350" s="7">
        <v>27</v>
      </c>
      <c r="L350" s="7">
        <f t="shared" si="37"/>
        <v>50</v>
      </c>
      <c r="M350" s="5" t="s">
        <v>10</v>
      </c>
      <c r="N350" s="5">
        <v>4</v>
      </c>
      <c r="O350" s="6">
        <f t="shared" si="38"/>
        <v>2.109375</v>
      </c>
      <c r="P350" s="6">
        <f t="shared" si="39"/>
        <v>0.21937499999999999</v>
      </c>
      <c r="Q350" s="10">
        <f t="shared" si="40"/>
        <v>4.5703124999999997E-3</v>
      </c>
      <c r="R350" s="10">
        <f t="shared" si="41"/>
        <v>2.7829952828119141E-2</v>
      </c>
      <c r="S350" s="10">
        <f t="shared" si="42"/>
        <v>3.2400265328119141E-2</v>
      </c>
    </row>
    <row r="351" spans="1:19" x14ac:dyDescent="0.25">
      <c r="A351" s="5" t="s">
        <v>8</v>
      </c>
      <c r="B351" s="5" t="s">
        <v>161</v>
      </c>
      <c r="C351" s="5" t="s">
        <v>27</v>
      </c>
      <c r="D351" s="5" t="s">
        <v>385</v>
      </c>
      <c r="E351" s="5" t="s">
        <v>384</v>
      </c>
      <c r="F351" s="5" t="s">
        <v>45</v>
      </c>
      <c r="G351" s="5" t="s">
        <v>390</v>
      </c>
      <c r="H351" s="5" t="s">
        <v>46</v>
      </c>
      <c r="I351" s="5" t="s">
        <v>49</v>
      </c>
      <c r="J351" s="15">
        <v>1280</v>
      </c>
      <c r="K351" s="7">
        <v>22</v>
      </c>
      <c r="L351" s="7">
        <f t="shared" si="37"/>
        <v>58.18181818181818</v>
      </c>
      <c r="M351" s="5" t="s">
        <v>10</v>
      </c>
      <c r="N351" s="5">
        <v>4</v>
      </c>
      <c r="O351" s="6">
        <f t="shared" si="38"/>
        <v>2.7080991735537188</v>
      </c>
      <c r="P351" s="6">
        <f t="shared" si="39"/>
        <v>0.28164231404958673</v>
      </c>
      <c r="Q351" s="10">
        <f t="shared" si="40"/>
        <v>5.8675482093663899E-3</v>
      </c>
      <c r="R351" s="10">
        <f t="shared" si="41"/>
        <v>3.3565687567479949E-2</v>
      </c>
      <c r="S351" s="10">
        <f t="shared" si="42"/>
        <v>3.9433235776846341E-2</v>
      </c>
    </row>
    <row r="352" spans="1:19" x14ac:dyDescent="0.25">
      <c r="A352" s="5" t="s">
        <v>8</v>
      </c>
      <c r="B352" s="5" t="s">
        <v>300</v>
      </c>
      <c r="C352" s="5" t="s">
        <v>27</v>
      </c>
      <c r="D352" s="5" t="s">
        <v>385</v>
      </c>
      <c r="E352" s="5" t="s">
        <v>384</v>
      </c>
      <c r="F352" s="5" t="s">
        <v>45</v>
      </c>
      <c r="G352" s="5" t="s">
        <v>390</v>
      </c>
      <c r="H352" s="5" t="s">
        <v>46</v>
      </c>
      <c r="I352" s="5" t="s">
        <v>301</v>
      </c>
      <c r="J352" s="15">
        <v>1165</v>
      </c>
      <c r="K352" s="7">
        <v>30</v>
      </c>
      <c r="L352" s="7">
        <f t="shared" si="37"/>
        <v>38.833333333333336</v>
      </c>
      <c r="M352" s="5" t="s">
        <v>10</v>
      </c>
      <c r="N352" s="5">
        <v>4</v>
      </c>
      <c r="O352" s="6">
        <f t="shared" si="38"/>
        <v>1.0980327256944447</v>
      </c>
      <c r="P352" s="6">
        <f t="shared" si="39"/>
        <v>0.11419540347222225</v>
      </c>
      <c r="Q352" s="10">
        <f t="shared" si="40"/>
        <v>2.3790709056712967E-3</v>
      </c>
      <c r="R352" s="10">
        <f t="shared" si="41"/>
        <v>1.7055269538571984E-2</v>
      </c>
      <c r="S352" s="10">
        <f t="shared" si="42"/>
        <v>1.9434340444243279E-2</v>
      </c>
    </row>
    <row r="353" spans="1:19" x14ac:dyDescent="0.25">
      <c r="A353" s="5" t="s">
        <v>8</v>
      </c>
      <c r="B353" s="5" t="s">
        <v>156</v>
      </c>
      <c r="C353" s="5" t="s">
        <v>27</v>
      </c>
      <c r="D353" s="5" t="s">
        <v>385</v>
      </c>
      <c r="E353" s="5" t="s">
        <v>384</v>
      </c>
      <c r="F353" s="5" t="s">
        <v>45</v>
      </c>
      <c r="G353" s="5" t="s">
        <v>390</v>
      </c>
      <c r="H353" s="5" t="s">
        <v>46</v>
      </c>
      <c r="I353" s="5" t="s">
        <v>159</v>
      </c>
      <c r="J353" s="15">
        <v>850</v>
      </c>
      <c r="K353" s="7">
        <v>30</v>
      </c>
      <c r="L353" s="7">
        <f t="shared" si="37"/>
        <v>28.333333333333332</v>
      </c>
      <c r="M353" s="5" t="s">
        <v>10</v>
      </c>
      <c r="N353" s="5">
        <v>4</v>
      </c>
      <c r="O353" s="6">
        <f t="shared" si="38"/>
        <v>0.42647569444444439</v>
      </c>
      <c r="P353" s="6">
        <f t="shared" si="39"/>
        <v>4.4353472222222218E-2</v>
      </c>
      <c r="Q353" s="10">
        <f t="shared" si="40"/>
        <v>9.2403067129629606E-4</v>
      </c>
      <c r="R353" s="10">
        <f t="shared" si="41"/>
        <v>8.3910795451885949E-3</v>
      </c>
      <c r="S353" s="10">
        <f t="shared" si="42"/>
        <v>9.3151102164848905E-3</v>
      </c>
    </row>
    <row r="354" spans="1:19" x14ac:dyDescent="0.25">
      <c r="A354" s="5" t="s">
        <v>8</v>
      </c>
      <c r="B354" s="5" t="s">
        <v>308</v>
      </c>
      <c r="C354" s="5" t="s">
        <v>27</v>
      </c>
      <c r="D354" s="5" t="s">
        <v>385</v>
      </c>
      <c r="E354" s="5" t="s">
        <v>384</v>
      </c>
      <c r="F354" s="5" t="s">
        <v>45</v>
      </c>
      <c r="G354" s="5" t="s">
        <v>390</v>
      </c>
      <c r="H354" s="5" t="s">
        <v>46</v>
      </c>
      <c r="I354" s="5" t="s">
        <v>159</v>
      </c>
      <c r="J354" s="15">
        <v>886</v>
      </c>
      <c r="K354" s="7">
        <v>27.7</v>
      </c>
      <c r="L354" s="7">
        <f t="shared" si="37"/>
        <v>31.985559566787003</v>
      </c>
      <c r="M354" s="5" t="s">
        <v>10</v>
      </c>
      <c r="N354" s="5">
        <v>4</v>
      </c>
      <c r="O354" s="6">
        <f t="shared" si="38"/>
        <v>0.56652834651826556</v>
      </c>
      <c r="P354" s="6">
        <f t="shared" si="39"/>
        <v>5.8918948037899606E-2</v>
      </c>
      <c r="Q354" s="10">
        <f t="shared" si="40"/>
        <v>1.2274780841229087E-3</v>
      </c>
      <c r="R354" s="10">
        <f t="shared" si="41"/>
        <v>1.0382772973710441E-2</v>
      </c>
      <c r="S354" s="10">
        <f t="shared" si="42"/>
        <v>1.1610251057833349E-2</v>
      </c>
    </row>
    <row r="355" spans="1:19" x14ac:dyDescent="0.25">
      <c r="A355" s="5" t="s">
        <v>22</v>
      </c>
      <c r="B355" s="5" t="s">
        <v>26</v>
      </c>
      <c r="C355" s="5" t="s">
        <v>27</v>
      </c>
      <c r="D355" s="5" t="s">
        <v>385</v>
      </c>
      <c r="E355" s="5" t="s">
        <v>384</v>
      </c>
      <c r="F355" s="5" t="s">
        <v>45</v>
      </c>
      <c r="G355" s="5" t="s">
        <v>390</v>
      </c>
      <c r="H355" s="5" t="s">
        <v>46</v>
      </c>
      <c r="I355" s="5" t="s">
        <v>50</v>
      </c>
      <c r="J355" s="15">
        <v>2050</v>
      </c>
      <c r="K355" s="7">
        <v>33</v>
      </c>
      <c r="L355" s="7">
        <f t="shared" si="37"/>
        <v>62.121212121212125</v>
      </c>
      <c r="M355" s="5" t="s">
        <v>10</v>
      </c>
      <c r="N355" s="5">
        <v>4</v>
      </c>
      <c r="O355" s="6">
        <f t="shared" si="38"/>
        <v>4.94440140036731</v>
      </c>
      <c r="P355" s="6">
        <f t="shared" si="39"/>
        <v>0.51421774563820022</v>
      </c>
      <c r="Q355" s="10">
        <f t="shared" si="40"/>
        <v>1.0712869700795838E-2</v>
      </c>
      <c r="R355" s="10">
        <f t="shared" si="41"/>
        <v>5.2720851367536438E-2</v>
      </c>
      <c r="S355" s="10">
        <f t="shared" si="42"/>
        <v>6.3433721068332283E-2</v>
      </c>
    </row>
    <row r="356" spans="1:19" x14ac:dyDescent="0.25">
      <c r="A356" s="5" t="s">
        <v>8</v>
      </c>
      <c r="B356" s="5" t="s">
        <v>284</v>
      </c>
      <c r="C356" s="5" t="s">
        <v>27</v>
      </c>
      <c r="D356" s="5" t="s">
        <v>385</v>
      </c>
      <c r="E356" s="5" t="s">
        <v>384</v>
      </c>
      <c r="F356" s="5" t="s">
        <v>45</v>
      </c>
      <c r="G356" s="5" t="s">
        <v>390</v>
      </c>
      <c r="H356" s="5" t="s">
        <v>46</v>
      </c>
      <c r="I356" s="5" t="s">
        <v>50</v>
      </c>
      <c r="J356" s="15">
        <v>1800</v>
      </c>
      <c r="K356" s="7">
        <v>36.700000000000003</v>
      </c>
      <c r="L356" s="7">
        <f t="shared" si="37"/>
        <v>49.046321525885553</v>
      </c>
      <c r="M356" s="5" t="s">
        <v>10</v>
      </c>
      <c r="N356" s="5">
        <v>4</v>
      </c>
      <c r="O356" s="6">
        <f t="shared" si="38"/>
        <v>2.7062343621231126</v>
      </c>
      <c r="P356" s="6">
        <f t="shared" si="39"/>
        <v>0.28144837366080372</v>
      </c>
      <c r="Q356" s="10">
        <f t="shared" si="40"/>
        <v>5.8635077846000772E-3</v>
      </c>
      <c r="R356" s="10">
        <f t="shared" si="41"/>
        <v>3.3548350942273784E-2</v>
      </c>
      <c r="S356" s="10">
        <f t="shared" si="42"/>
        <v>3.9411858726873861E-2</v>
      </c>
    </row>
    <row r="357" spans="1:19" x14ac:dyDescent="0.25">
      <c r="A357" s="5" t="s">
        <v>8</v>
      </c>
      <c r="B357" s="5" t="s">
        <v>233</v>
      </c>
      <c r="C357" s="5" t="s">
        <v>27</v>
      </c>
      <c r="D357" s="5" t="s">
        <v>385</v>
      </c>
      <c r="E357" s="5" t="s">
        <v>384</v>
      </c>
      <c r="F357" s="5" t="s">
        <v>45</v>
      </c>
      <c r="G357" s="5" t="s">
        <v>390</v>
      </c>
      <c r="H357" s="5" t="s">
        <v>46</v>
      </c>
      <c r="I357" s="5" t="s">
        <v>234</v>
      </c>
      <c r="J357" s="15">
        <v>1465</v>
      </c>
      <c r="K357" s="7">
        <v>35</v>
      </c>
      <c r="L357" s="7">
        <f t="shared" si="37"/>
        <v>41.857142857142854</v>
      </c>
      <c r="M357" s="5" t="s">
        <v>10</v>
      </c>
      <c r="N357" s="5">
        <v>4</v>
      </c>
      <c r="O357" s="6">
        <f t="shared" si="38"/>
        <v>1.6041936862244897</v>
      </c>
      <c r="P357" s="6">
        <f t="shared" si="39"/>
        <v>0.1668361433673469</v>
      </c>
      <c r="Q357" s="10">
        <f t="shared" si="40"/>
        <v>3.4757529868197274E-3</v>
      </c>
      <c r="R357" s="10">
        <f t="shared" si="41"/>
        <v>2.2664165160455583E-2</v>
      </c>
      <c r="S357" s="10">
        <f t="shared" si="42"/>
        <v>2.6139918147275312E-2</v>
      </c>
    </row>
    <row r="358" spans="1:19" x14ac:dyDescent="0.25">
      <c r="A358" s="5" t="s">
        <v>22</v>
      </c>
      <c r="B358" s="5" t="s">
        <v>26</v>
      </c>
      <c r="C358" s="5" t="s">
        <v>27</v>
      </c>
      <c r="D358" s="5" t="s">
        <v>385</v>
      </c>
      <c r="E358" s="5" t="s">
        <v>384</v>
      </c>
      <c r="F358" s="5" t="s">
        <v>45</v>
      </c>
      <c r="G358" s="5" t="s">
        <v>390</v>
      </c>
      <c r="H358" s="5" t="s">
        <v>46</v>
      </c>
      <c r="I358" s="5" t="s">
        <v>51</v>
      </c>
      <c r="J358" s="15">
        <v>1400</v>
      </c>
      <c r="K358" s="7">
        <v>30.5</v>
      </c>
      <c r="L358" s="7">
        <f t="shared" si="37"/>
        <v>45.901639344262293</v>
      </c>
      <c r="M358" s="5" t="s">
        <v>10</v>
      </c>
      <c r="N358" s="5">
        <v>4</v>
      </c>
      <c r="O358" s="6">
        <f t="shared" si="38"/>
        <v>1.843590432679387</v>
      </c>
      <c r="P358" s="6">
        <f t="shared" si="39"/>
        <v>0.19173340499865626</v>
      </c>
      <c r="Q358" s="10">
        <f t="shared" si="40"/>
        <v>3.9944459374720047E-3</v>
      </c>
      <c r="R358" s="10">
        <f t="shared" si="41"/>
        <v>2.5156224312647517E-2</v>
      </c>
      <c r="S358" s="10">
        <f t="shared" si="42"/>
        <v>2.9150670250119522E-2</v>
      </c>
    </row>
    <row r="359" spans="1:19" x14ac:dyDescent="0.25">
      <c r="A359" s="5" t="s">
        <v>8</v>
      </c>
      <c r="B359" s="5" t="s">
        <v>192</v>
      </c>
      <c r="C359" s="5" t="s">
        <v>27</v>
      </c>
      <c r="D359" s="5" t="s">
        <v>385</v>
      </c>
      <c r="E359" s="5" t="s">
        <v>384</v>
      </c>
      <c r="F359" s="5" t="s">
        <v>45</v>
      </c>
      <c r="G359" s="5" t="s">
        <v>390</v>
      </c>
      <c r="H359" s="5" t="s">
        <v>46</v>
      </c>
      <c r="I359" s="5" t="s">
        <v>51</v>
      </c>
      <c r="J359" s="15">
        <v>1100</v>
      </c>
      <c r="K359" s="7">
        <v>31</v>
      </c>
      <c r="L359" s="7">
        <f t="shared" si="37"/>
        <v>35.483870967741936</v>
      </c>
      <c r="M359" s="5" t="s">
        <v>10</v>
      </c>
      <c r="N359" s="5">
        <v>4</v>
      </c>
      <c r="O359" s="6">
        <f t="shared" si="38"/>
        <v>0.86563475546305946</v>
      </c>
      <c r="P359" s="6">
        <f t="shared" si="39"/>
        <v>9.0026014568158175E-2</v>
      </c>
      <c r="Q359" s="10">
        <f t="shared" si="40"/>
        <v>1.875541970169962E-3</v>
      </c>
      <c r="R359" s="10">
        <f t="shared" si="41"/>
        <v>1.4269151143928181E-2</v>
      </c>
      <c r="S359" s="10">
        <f t="shared" si="42"/>
        <v>1.6144693114098142E-2</v>
      </c>
    </row>
    <row r="360" spans="1:19" x14ac:dyDescent="0.25">
      <c r="A360" s="5" t="s">
        <v>8</v>
      </c>
      <c r="B360" s="5" t="s">
        <v>291</v>
      </c>
      <c r="C360" s="5" t="s">
        <v>27</v>
      </c>
      <c r="D360" s="5" t="s">
        <v>385</v>
      </c>
      <c r="E360" s="5" t="s">
        <v>384</v>
      </c>
      <c r="F360" s="5" t="s">
        <v>45</v>
      </c>
      <c r="G360" s="5" t="s">
        <v>390</v>
      </c>
      <c r="H360" s="5" t="s">
        <v>46</v>
      </c>
      <c r="I360" s="5" t="s">
        <v>51</v>
      </c>
      <c r="J360" s="15">
        <v>1294</v>
      </c>
      <c r="K360" s="7">
        <v>31.7</v>
      </c>
      <c r="L360" s="7">
        <f t="shared" si="37"/>
        <v>40.820189274447948</v>
      </c>
      <c r="M360" s="5" t="s">
        <v>10</v>
      </c>
      <c r="N360" s="5">
        <v>4</v>
      </c>
      <c r="O360" s="6">
        <f t="shared" si="38"/>
        <v>1.3476103006299196</v>
      </c>
      <c r="P360" s="6">
        <f t="shared" si="39"/>
        <v>0.14015147126551164</v>
      </c>
      <c r="Q360" s="10">
        <f t="shared" si="40"/>
        <v>2.9198223180314925E-3</v>
      </c>
      <c r="R360" s="10">
        <f t="shared" si="41"/>
        <v>1.9887050004996944E-2</v>
      </c>
      <c r="S360" s="10">
        <f t="shared" si="42"/>
        <v>2.2806872323028436E-2</v>
      </c>
    </row>
    <row r="361" spans="1:19" x14ac:dyDescent="0.25">
      <c r="A361" s="5" t="s">
        <v>8</v>
      </c>
      <c r="B361" s="5" t="s">
        <v>291</v>
      </c>
      <c r="C361" s="5" t="s">
        <v>27</v>
      </c>
      <c r="D361" s="5" t="s">
        <v>385</v>
      </c>
      <c r="E361" s="5" t="s">
        <v>384</v>
      </c>
      <c r="F361" s="5" t="s">
        <v>45</v>
      </c>
      <c r="G361" s="5" t="s">
        <v>390</v>
      </c>
      <c r="H361" s="5" t="s">
        <v>46</v>
      </c>
      <c r="I361" s="5" t="s">
        <v>51</v>
      </c>
      <c r="J361" s="15">
        <v>1309</v>
      </c>
      <c r="K361" s="7">
        <v>33.4</v>
      </c>
      <c r="L361" s="7">
        <f t="shared" si="37"/>
        <v>39.191616766467071</v>
      </c>
      <c r="M361" s="5" t="s">
        <v>10</v>
      </c>
      <c r="N361" s="5">
        <v>4</v>
      </c>
      <c r="O361" s="6">
        <f t="shared" si="38"/>
        <v>1.2566259485146476</v>
      </c>
      <c r="P361" s="6">
        <f t="shared" si="39"/>
        <v>0.13068909864552336</v>
      </c>
      <c r="Q361" s="10">
        <f t="shared" si="40"/>
        <v>2.7226895551150693E-3</v>
      </c>
      <c r="R361" s="10">
        <f t="shared" si="41"/>
        <v>1.8871292313959852E-2</v>
      </c>
      <c r="S361" s="10">
        <f t="shared" si="42"/>
        <v>2.1593981869074921E-2</v>
      </c>
    </row>
    <row r="362" spans="1:19" x14ac:dyDescent="0.25">
      <c r="A362" s="5" t="s">
        <v>8</v>
      </c>
      <c r="B362" s="5" t="s">
        <v>291</v>
      </c>
      <c r="C362" s="5" t="s">
        <v>27</v>
      </c>
      <c r="D362" s="5" t="s">
        <v>385</v>
      </c>
      <c r="E362" s="5" t="s">
        <v>384</v>
      </c>
      <c r="F362" s="5" t="s">
        <v>45</v>
      </c>
      <c r="G362" s="5" t="s">
        <v>390</v>
      </c>
      <c r="H362" s="5" t="s">
        <v>46</v>
      </c>
      <c r="I362" s="5" t="s">
        <v>51</v>
      </c>
      <c r="J362" s="15">
        <v>1245</v>
      </c>
      <c r="K362" s="7">
        <v>35.700000000000003</v>
      </c>
      <c r="L362" s="7">
        <f t="shared" si="37"/>
        <v>34.87394957983193</v>
      </c>
      <c r="M362" s="5" t="s">
        <v>10</v>
      </c>
      <c r="N362" s="5">
        <v>4</v>
      </c>
      <c r="O362" s="6">
        <f t="shared" si="38"/>
        <v>0.94634967957771321</v>
      </c>
      <c r="P362" s="6">
        <f t="shared" si="39"/>
        <v>9.8420366676082172E-2</v>
      </c>
      <c r="Q362" s="10">
        <f t="shared" si="40"/>
        <v>2.0504243057517121E-3</v>
      </c>
      <c r="R362" s="10">
        <f t="shared" si="41"/>
        <v>1.5255830466574619E-2</v>
      </c>
      <c r="S362" s="10">
        <f t="shared" si="42"/>
        <v>1.7306254772326331E-2</v>
      </c>
    </row>
    <row r="363" spans="1:19" x14ac:dyDescent="0.25">
      <c r="A363" s="5" t="s">
        <v>8</v>
      </c>
      <c r="B363" s="5" t="s">
        <v>291</v>
      </c>
      <c r="C363" s="5" t="s">
        <v>27</v>
      </c>
      <c r="D363" s="5" t="s">
        <v>385</v>
      </c>
      <c r="E363" s="5" t="s">
        <v>384</v>
      </c>
      <c r="F363" s="5" t="s">
        <v>45</v>
      </c>
      <c r="G363" s="5" t="s">
        <v>390</v>
      </c>
      <c r="H363" s="5" t="s">
        <v>46</v>
      </c>
      <c r="I363" s="5" t="s">
        <v>51</v>
      </c>
      <c r="J363" s="15">
        <v>1263</v>
      </c>
      <c r="K363" s="7">
        <v>27.6</v>
      </c>
      <c r="L363" s="7">
        <f t="shared" si="37"/>
        <v>45.760869565217391</v>
      </c>
      <c r="M363" s="5" t="s">
        <v>10</v>
      </c>
      <c r="N363" s="5">
        <v>4</v>
      </c>
      <c r="O363" s="6">
        <f t="shared" si="38"/>
        <v>1.6529963891186199</v>
      </c>
      <c r="P363" s="6">
        <f t="shared" si="39"/>
        <v>0.17191162446833649</v>
      </c>
      <c r="Q363" s="10">
        <f t="shared" si="40"/>
        <v>3.5814921764236764E-3</v>
      </c>
      <c r="R363" s="10">
        <f t="shared" si="41"/>
        <v>2.3179339312449272E-2</v>
      </c>
      <c r="S363" s="10">
        <f t="shared" si="42"/>
        <v>2.6760831488872948E-2</v>
      </c>
    </row>
    <row r="364" spans="1:19" x14ac:dyDescent="0.25">
      <c r="A364" s="5" t="s">
        <v>8</v>
      </c>
      <c r="B364" s="5" t="s">
        <v>291</v>
      </c>
      <c r="C364" s="5" t="s">
        <v>27</v>
      </c>
      <c r="D364" s="5" t="s">
        <v>385</v>
      </c>
      <c r="E364" s="5" t="s">
        <v>384</v>
      </c>
      <c r="F364" s="5" t="s">
        <v>45</v>
      </c>
      <c r="G364" s="5" t="s">
        <v>390</v>
      </c>
      <c r="H364" s="5" t="s">
        <v>46</v>
      </c>
      <c r="I364" s="5" t="s">
        <v>51</v>
      </c>
      <c r="J364" s="15">
        <v>1284</v>
      </c>
      <c r="K364" s="7">
        <v>30</v>
      </c>
      <c r="L364" s="7">
        <f t="shared" si="37"/>
        <v>42.8</v>
      </c>
      <c r="M364" s="5" t="s">
        <v>10</v>
      </c>
      <c r="N364" s="5">
        <v>4</v>
      </c>
      <c r="O364" s="6">
        <f t="shared" si="38"/>
        <v>1.4700515999999997</v>
      </c>
      <c r="P364" s="6">
        <f t="shared" si="39"/>
        <v>0.15288536639999997</v>
      </c>
      <c r="Q364" s="10">
        <f t="shared" si="40"/>
        <v>3.1851117999999994E-3</v>
      </c>
      <c r="R364" s="10">
        <f t="shared" si="41"/>
        <v>2.122738802515543E-2</v>
      </c>
      <c r="S364" s="10">
        <f t="shared" si="42"/>
        <v>2.4412499825155427E-2</v>
      </c>
    </row>
    <row r="365" spans="1:19" x14ac:dyDescent="0.25">
      <c r="A365" s="5" t="s">
        <v>8</v>
      </c>
      <c r="B365" s="5" t="s">
        <v>291</v>
      </c>
      <c r="C365" s="5" t="s">
        <v>27</v>
      </c>
      <c r="D365" s="5" t="s">
        <v>385</v>
      </c>
      <c r="E365" s="5" t="s">
        <v>384</v>
      </c>
      <c r="F365" s="5" t="s">
        <v>45</v>
      </c>
      <c r="G365" s="5" t="s">
        <v>390</v>
      </c>
      <c r="H365" s="5" t="s">
        <v>46</v>
      </c>
      <c r="I365" s="5" t="s">
        <v>51</v>
      </c>
      <c r="J365" s="15">
        <v>1251</v>
      </c>
      <c r="K365" s="7">
        <v>32.700000000000003</v>
      </c>
      <c r="L365" s="7">
        <f t="shared" si="37"/>
        <v>38.256880733944953</v>
      </c>
      <c r="M365" s="5" t="s">
        <v>10</v>
      </c>
      <c r="N365" s="5">
        <v>4</v>
      </c>
      <c r="O365" s="6">
        <f t="shared" si="38"/>
        <v>1.1443435895547511</v>
      </c>
      <c r="P365" s="6">
        <f t="shared" si="39"/>
        <v>0.11901173331369411</v>
      </c>
      <c r="Q365" s="10">
        <f t="shared" si="40"/>
        <v>2.4794111107019606E-3</v>
      </c>
      <c r="R365" s="10">
        <f t="shared" si="41"/>
        <v>1.759196916585937E-2</v>
      </c>
      <c r="S365" s="10">
        <f t="shared" si="42"/>
        <v>2.0071380276561329E-2</v>
      </c>
    </row>
    <row r="366" spans="1:19" x14ac:dyDescent="0.25">
      <c r="A366" s="5" t="s">
        <v>8</v>
      </c>
      <c r="B366" s="5" t="s">
        <v>291</v>
      </c>
      <c r="C366" s="5" t="s">
        <v>27</v>
      </c>
      <c r="D366" s="5" t="s">
        <v>385</v>
      </c>
      <c r="E366" s="5" t="s">
        <v>384</v>
      </c>
      <c r="F366" s="5" t="s">
        <v>45</v>
      </c>
      <c r="G366" s="5" t="s">
        <v>390</v>
      </c>
      <c r="H366" s="5" t="s">
        <v>46</v>
      </c>
      <c r="I366" s="5" t="s">
        <v>51</v>
      </c>
      <c r="J366" s="15">
        <v>1135</v>
      </c>
      <c r="K366" s="7">
        <v>29.2</v>
      </c>
      <c r="L366" s="7">
        <f t="shared" si="37"/>
        <v>38.869863013698634</v>
      </c>
      <c r="M366" s="5" t="s">
        <v>10</v>
      </c>
      <c r="N366" s="5">
        <v>4</v>
      </c>
      <c r="O366" s="6">
        <f t="shared" si="38"/>
        <v>1.0717707465929349</v>
      </c>
      <c r="P366" s="6">
        <f t="shared" si="39"/>
        <v>0.11146415764566524</v>
      </c>
      <c r="Q366" s="10">
        <f t="shared" si="40"/>
        <v>2.3221699509513587E-3</v>
      </c>
      <c r="R366" s="10">
        <f t="shared" si="41"/>
        <v>1.6748408640447264E-2</v>
      </c>
      <c r="S366" s="10">
        <f t="shared" si="42"/>
        <v>1.9070578591398622E-2</v>
      </c>
    </row>
    <row r="367" spans="1:19" x14ac:dyDescent="0.25">
      <c r="A367" s="5" t="s">
        <v>8</v>
      </c>
      <c r="B367" s="5" t="s">
        <v>291</v>
      </c>
      <c r="C367" s="5" t="s">
        <v>27</v>
      </c>
      <c r="D367" s="5" t="s">
        <v>385</v>
      </c>
      <c r="E367" s="5" t="s">
        <v>384</v>
      </c>
      <c r="F367" s="5" t="s">
        <v>45</v>
      </c>
      <c r="G367" s="5" t="s">
        <v>390</v>
      </c>
      <c r="H367" s="5" t="s">
        <v>46</v>
      </c>
      <c r="I367" s="5" t="s">
        <v>51</v>
      </c>
      <c r="J367" s="15">
        <v>1203</v>
      </c>
      <c r="K367" s="7">
        <v>26.7</v>
      </c>
      <c r="L367" s="7">
        <f t="shared" si="37"/>
        <v>45.056179775280903</v>
      </c>
      <c r="M367" s="5" t="s">
        <v>10</v>
      </c>
      <c r="N367" s="5">
        <v>4</v>
      </c>
      <c r="O367" s="6">
        <f t="shared" si="38"/>
        <v>1.526350863211716</v>
      </c>
      <c r="P367" s="6">
        <f t="shared" si="39"/>
        <v>0.15874048977401847</v>
      </c>
      <c r="Q367" s="10">
        <f t="shared" si="40"/>
        <v>3.3070935369587176E-3</v>
      </c>
      <c r="R367" s="10">
        <f t="shared" si="41"/>
        <v>2.1834231306130446E-2</v>
      </c>
      <c r="S367" s="10">
        <f t="shared" si="42"/>
        <v>2.5141324843089164E-2</v>
      </c>
    </row>
    <row r="368" spans="1:19" x14ac:dyDescent="0.25">
      <c r="A368" s="5" t="s">
        <v>8</v>
      </c>
      <c r="B368" s="5" t="s">
        <v>300</v>
      </c>
      <c r="C368" s="5" t="s">
        <v>27</v>
      </c>
      <c r="D368" s="5" t="s">
        <v>385</v>
      </c>
      <c r="E368" s="5" t="s">
        <v>384</v>
      </c>
      <c r="F368" s="5" t="s">
        <v>45</v>
      </c>
      <c r="G368" s="5" t="s">
        <v>390</v>
      </c>
      <c r="H368" s="5" t="s">
        <v>46</v>
      </c>
      <c r="I368" s="5" t="s">
        <v>51</v>
      </c>
      <c r="J368" s="15">
        <v>1263</v>
      </c>
      <c r="K368" s="7">
        <v>31.9</v>
      </c>
      <c r="L368" s="7">
        <f t="shared" si="37"/>
        <v>39.592476489028215</v>
      </c>
      <c r="M368" s="5" t="s">
        <v>10</v>
      </c>
      <c r="N368" s="5">
        <v>4</v>
      </c>
      <c r="O368" s="6">
        <f t="shared" si="38"/>
        <v>1.2373959860604751</v>
      </c>
      <c r="P368" s="6">
        <f t="shared" si="39"/>
        <v>0.12868918255028944</v>
      </c>
      <c r="Q368" s="10">
        <f t="shared" si="40"/>
        <v>2.6810246364643627E-3</v>
      </c>
      <c r="R368" s="10">
        <f t="shared" si="41"/>
        <v>1.8654286884243587E-2</v>
      </c>
      <c r="S368" s="10">
        <f t="shared" si="42"/>
        <v>2.1335311520707952E-2</v>
      </c>
    </row>
    <row r="369" spans="1:19" x14ac:dyDescent="0.25">
      <c r="A369" s="5" t="s">
        <v>8</v>
      </c>
      <c r="B369" s="5" t="s">
        <v>378</v>
      </c>
      <c r="C369" s="5" t="s">
        <v>27</v>
      </c>
      <c r="D369" s="5" t="s">
        <v>385</v>
      </c>
      <c r="E369" s="5" t="s">
        <v>384</v>
      </c>
      <c r="F369" s="5" t="s">
        <v>45</v>
      </c>
      <c r="G369" s="5" t="s">
        <v>390</v>
      </c>
      <c r="H369" s="5" t="s">
        <v>46</v>
      </c>
      <c r="I369" s="5" t="s">
        <v>183</v>
      </c>
      <c r="J369" s="15">
        <v>1470</v>
      </c>
      <c r="K369" s="7">
        <v>38.1</v>
      </c>
      <c r="L369" s="7">
        <f t="shared" si="37"/>
        <v>38.582677165354326</v>
      </c>
      <c r="M369" s="5" t="s">
        <v>10</v>
      </c>
      <c r="N369" s="5">
        <v>4</v>
      </c>
      <c r="O369" s="6">
        <f t="shared" si="38"/>
        <v>1.3676723603447203</v>
      </c>
      <c r="P369" s="6">
        <f t="shared" si="39"/>
        <v>0.14223792547585093</v>
      </c>
      <c r="Q369" s="10">
        <f t="shared" si="40"/>
        <v>2.963290114080227E-3</v>
      </c>
      <c r="R369" s="10">
        <f t="shared" si="41"/>
        <v>2.010868527780138E-2</v>
      </c>
      <c r="S369" s="10">
        <f t="shared" si="42"/>
        <v>2.3071975391881609E-2</v>
      </c>
    </row>
    <row r="370" spans="1:19" x14ac:dyDescent="0.25">
      <c r="A370" s="5" t="s">
        <v>22</v>
      </c>
      <c r="B370" s="5" t="s">
        <v>63</v>
      </c>
      <c r="C370" s="5" t="s">
        <v>27</v>
      </c>
      <c r="D370" s="5" t="s">
        <v>385</v>
      </c>
      <c r="E370" s="5" t="s">
        <v>384</v>
      </c>
      <c r="F370" s="5" t="s">
        <v>45</v>
      </c>
      <c r="G370" s="5" t="s">
        <v>390</v>
      </c>
      <c r="H370" s="5" t="s">
        <v>46</v>
      </c>
      <c r="I370" s="5" t="s">
        <v>153</v>
      </c>
      <c r="J370" s="15">
        <v>1510</v>
      </c>
      <c r="K370" s="7">
        <v>39</v>
      </c>
      <c r="L370" s="7">
        <f t="shared" si="37"/>
        <v>38.717948717948715</v>
      </c>
      <c r="M370" s="5" t="s">
        <v>10</v>
      </c>
      <c r="N370" s="5">
        <v>4</v>
      </c>
      <c r="O370" s="6">
        <f t="shared" si="38"/>
        <v>1.4147563280736355</v>
      </c>
      <c r="P370" s="6">
        <f t="shared" si="39"/>
        <v>0.14713465811965809</v>
      </c>
      <c r="Q370" s="10">
        <f t="shared" si="40"/>
        <v>3.0653053774928767E-3</v>
      </c>
      <c r="R370" s="10">
        <f t="shared" si="41"/>
        <v>2.0625683925483206E-2</v>
      </c>
      <c r="S370" s="10">
        <f t="shared" si="42"/>
        <v>2.3690989302976084E-2</v>
      </c>
    </row>
    <row r="371" spans="1:19" x14ac:dyDescent="0.25">
      <c r="A371" s="5" t="s">
        <v>8</v>
      </c>
      <c r="B371" s="5" t="s">
        <v>375</v>
      </c>
      <c r="C371" s="5" t="s">
        <v>27</v>
      </c>
      <c r="D371" s="5" t="s">
        <v>385</v>
      </c>
      <c r="E371" s="5" t="s">
        <v>384</v>
      </c>
      <c r="F371" s="5" t="s">
        <v>45</v>
      </c>
      <c r="G371" s="5" t="s">
        <v>390</v>
      </c>
      <c r="H371" s="5" t="s">
        <v>46</v>
      </c>
      <c r="I371" s="5" t="s">
        <v>153</v>
      </c>
      <c r="J371" s="15">
        <v>1510</v>
      </c>
      <c r="K371" s="7">
        <v>39</v>
      </c>
      <c r="L371" s="7">
        <f t="shared" si="37"/>
        <v>38.717948717948715</v>
      </c>
      <c r="M371" s="5" t="s">
        <v>10</v>
      </c>
      <c r="N371" s="5">
        <v>4</v>
      </c>
      <c r="O371" s="6">
        <f t="shared" si="38"/>
        <v>1.4147563280736355</v>
      </c>
      <c r="P371" s="6">
        <f t="shared" si="39"/>
        <v>0.14713465811965809</v>
      </c>
      <c r="Q371" s="10">
        <f t="shared" si="40"/>
        <v>3.0653053774928767E-3</v>
      </c>
      <c r="R371" s="10">
        <f t="shared" si="41"/>
        <v>2.0625683925483206E-2</v>
      </c>
      <c r="S371" s="10">
        <f t="shared" si="42"/>
        <v>2.3690989302976084E-2</v>
      </c>
    </row>
    <row r="372" spans="1:19" x14ac:dyDescent="0.25">
      <c r="A372" s="5" t="s">
        <v>8</v>
      </c>
      <c r="B372" s="5" t="s">
        <v>328</v>
      </c>
      <c r="C372" s="5" t="s">
        <v>27</v>
      </c>
      <c r="D372" s="5" t="s">
        <v>385</v>
      </c>
      <c r="E372" s="5" t="s">
        <v>384</v>
      </c>
      <c r="F372" s="5" t="s">
        <v>45</v>
      </c>
      <c r="G372" s="5" t="s">
        <v>390</v>
      </c>
      <c r="H372" s="5" t="s">
        <v>46</v>
      </c>
      <c r="I372" s="5" t="s">
        <v>39</v>
      </c>
      <c r="J372" s="15">
        <v>1735</v>
      </c>
      <c r="K372" s="7">
        <v>27</v>
      </c>
      <c r="L372" s="7">
        <f t="shared" si="37"/>
        <v>64.259259259259252</v>
      </c>
      <c r="M372" s="5" t="s">
        <v>10</v>
      </c>
      <c r="N372" s="5">
        <v>4</v>
      </c>
      <c r="O372" s="6">
        <f t="shared" si="38"/>
        <v>4.4776580718449912</v>
      </c>
      <c r="P372" s="6">
        <f t="shared" si="39"/>
        <v>0.46567643947187914</v>
      </c>
      <c r="Q372" s="10">
        <f t="shared" si="40"/>
        <v>9.7015924889974816E-3</v>
      </c>
      <c r="R372" s="10">
        <f t="shared" si="41"/>
        <v>4.8942406422067777E-2</v>
      </c>
      <c r="S372" s="10">
        <f t="shared" si="42"/>
        <v>5.8643998911065261E-2</v>
      </c>
    </row>
    <row r="373" spans="1:19" x14ac:dyDescent="0.25">
      <c r="A373" s="5" t="s">
        <v>8</v>
      </c>
      <c r="B373" s="5" t="s">
        <v>378</v>
      </c>
      <c r="C373" s="5" t="s">
        <v>27</v>
      </c>
      <c r="D373" s="5" t="s">
        <v>385</v>
      </c>
      <c r="E373" s="5" t="s">
        <v>384</v>
      </c>
      <c r="F373" s="5" t="s">
        <v>45</v>
      </c>
      <c r="G373" s="5" t="s">
        <v>390</v>
      </c>
      <c r="H373" s="5" t="s">
        <v>46</v>
      </c>
      <c r="I373" s="5" t="s">
        <v>379</v>
      </c>
      <c r="J373" s="15">
        <v>1160</v>
      </c>
      <c r="K373" s="7">
        <v>39</v>
      </c>
      <c r="L373" s="7">
        <f t="shared" si="37"/>
        <v>29.743589743589745</v>
      </c>
      <c r="M373" s="5" t="s">
        <v>10</v>
      </c>
      <c r="N373" s="5">
        <v>4</v>
      </c>
      <c r="O373" s="6">
        <f t="shared" si="38"/>
        <v>0.64139381985535826</v>
      </c>
      <c r="P373" s="6">
        <f t="shared" si="39"/>
        <v>6.670495726495726E-2</v>
      </c>
      <c r="Q373" s="10">
        <f t="shared" si="40"/>
        <v>1.3896866096866096E-3</v>
      </c>
      <c r="R373" s="10">
        <f t="shared" si="41"/>
        <v>1.1395691995518462E-2</v>
      </c>
      <c r="S373" s="10">
        <f t="shared" si="42"/>
        <v>1.2785378605205072E-2</v>
      </c>
    </row>
    <row r="374" spans="1:19" x14ac:dyDescent="0.25">
      <c r="A374" s="5" t="s">
        <v>8</v>
      </c>
      <c r="B374" s="5" t="s">
        <v>339</v>
      </c>
      <c r="C374" s="5" t="s">
        <v>27</v>
      </c>
      <c r="D374" s="5" t="s">
        <v>385</v>
      </c>
      <c r="E374" s="5" t="s">
        <v>384</v>
      </c>
      <c r="F374" s="5" t="s">
        <v>45</v>
      </c>
      <c r="G374" s="5" t="s">
        <v>390</v>
      </c>
      <c r="H374" s="5" t="s">
        <v>46</v>
      </c>
      <c r="I374" s="5" t="s">
        <v>343</v>
      </c>
      <c r="J374" s="15">
        <v>917</v>
      </c>
      <c r="K374" s="7">
        <v>21.1</v>
      </c>
      <c r="L374" s="7">
        <f t="shared" si="37"/>
        <v>43.459715639810426</v>
      </c>
      <c r="M374" s="5" t="s">
        <v>10</v>
      </c>
      <c r="N374" s="5">
        <v>4</v>
      </c>
      <c r="O374" s="6">
        <f t="shared" si="38"/>
        <v>1.0824880576020304</v>
      </c>
      <c r="P374" s="6">
        <f t="shared" si="39"/>
        <v>0.11257875799061115</v>
      </c>
      <c r="Q374" s="10">
        <f t="shared" si="40"/>
        <v>2.3453907914710655E-3</v>
      </c>
      <c r="R374" s="10">
        <f t="shared" si="41"/>
        <v>1.6873860704511252E-2</v>
      </c>
      <c r="S374" s="10">
        <f t="shared" si="42"/>
        <v>1.9219251495982317E-2</v>
      </c>
    </row>
    <row r="375" spans="1:19" x14ac:dyDescent="0.25">
      <c r="A375" s="5" t="s">
        <v>8</v>
      </c>
      <c r="B375" s="5" t="s">
        <v>161</v>
      </c>
      <c r="C375" s="5" t="s">
        <v>27</v>
      </c>
      <c r="D375" s="5" t="s">
        <v>385</v>
      </c>
      <c r="E375" s="5" t="s">
        <v>384</v>
      </c>
      <c r="F375" s="5" t="s">
        <v>45</v>
      </c>
      <c r="G375" s="5" t="s">
        <v>390</v>
      </c>
      <c r="H375" s="5" t="s">
        <v>46</v>
      </c>
      <c r="I375" s="5" t="s">
        <v>163</v>
      </c>
      <c r="J375" s="15">
        <v>1320</v>
      </c>
      <c r="K375" s="7">
        <v>31</v>
      </c>
      <c r="L375" s="7">
        <f t="shared" si="37"/>
        <v>42.58064516129032</v>
      </c>
      <c r="M375" s="5" t="s">
        <v>10</v>
      </c>
      <c r="N375" s="5">
        <v>4</v>
      </c>
      <c r="O375" s="6">
        <f t="shared" si="38"/>
        <v>1.4958168574401665</v>
      </c>
      <c r="P375" s="6">
        <f t="shared" si="39"/>
        <v>0.1555649531737773</v>
      </c>
      <c r="Q375" s="10">
        <f t="shared" si="40"/>
        <v>3.2409365244536938E-3</v>
      </c>
      <c r="R375" s="10">
        <f t="shared" si="41"/>
        <v>2.1505816795006499E-2</v>
      </c>
      <c r="S375" s="10">
        <f t="shared" si="42"/>
        <v>2.4746753319460191E-2</v>
      </c>
    </row>
    <row r="376" spans="1:19" x14ac:dyDescent="0.25">
      <c r="A376" s="5" t="s">
        <v>22</v>
      </c>
      <c r="B376" s="5" t="s">
        <v>63</v>
      </c>
      <c r="C376" s="5" t="s">
        <v>27</v>
      </c>
      <c r="D376" s="5" t="s">
        <v>385</v>
      </c>
      <c r="E376" s="5" t="s">
        <v>384</v>
      </c>
      <c r="F376" s="5" t="s">
        <v>45</v>
      </c>
      <c r="G376" s="5" t="s">
        <v>390</v>
      </c>
      <c r="H376" s="5" t="s">
        <v>72</v>
      </c>
      <c r="I376" s="5" t="s">
        <v>73</v>
      </c>
      <c r="J376" s="15">
        <v>1100</v>
      </c>
      <c r="K376" s="7">
        <v>29</v>
      </c>
      <c r="L376" s="7">
        <f t="shared" si="37"/>
        <v>37.931034482758619</v>
      </c>
      <c r="M376" s="5" t="s">
        <v>10</v>
      </c>
      <c r="N376" s="5">
        <v>4</v>
      </c>
      <c r="O376" s="6">
        <f t="shared" si="38"/>
        <v>0.9891498216409037</v>
      </c>
      <c r="P376" s="6">
        <f t="shared" si="39"/>
        <v>0.10287158145065398</v>
      </c>
      <c r="Q376" s="10">
        <f t="shared" si="40"/>
        <v>2.1431579468886245E-3</v>
      </c>
      <c r="R376" s="10">
        <f t="shared" si="41"/>
        <v>1.5770435338965008E-2</v>
      </c>
      <c r="S376" s="10">
        <f t="shared" si="42"/>
        <v>1.7913593285853631E-2</v>
      </c>
    </row>
    <row r="377" spans="1:19" x14ac:dyDescent="0.25">
      <c r="A377" s="5" t="s">
        <v>22</v>
      </c>
      <c r="B377" s="5" t="s">
        <v>63</v>
      </c>
      <c r="C377" s="5" t="s">
        <v>27</v>
      </c>
      <c r="D377" s="5" t="s">
        <v>385</v>
      </c>
      <c r="E377" s="5" t="s">
        <v>384</v>
      </c>
      <c r="F377" s="5" t="s">
        <v>45</v>
      </c>
      <c r="G377" s="5" t="s">
        <v>390</v>
      </c>
      <c r="H377" s="5" t="s">
        <v>77</v>
      </c>
      <c r="I377" s="5" t="s">
        <v>78</v>
      </c>
      <c r="J377" s="15">
        <v>750</v>
      </c>
      <c r="K377" s="7">
        <v>25.5</v>
      </c>
      <c r="L377" s="7">
        <f t="shared" si="37"/>
        <v>29.411764705882351</v>
      </c>
      <c r="M377" s="5" t="s">
        <v>10</v>
      </c>
      <c r="N377" s="5">
        <v>4</v>
      </c>
      <c r="O377" s="6">
        <f t="shared" si="38"/>
        <v>0.40549307958477504</v>
      </c>
      <c r="P377" s="6">
        <f t="shared" si="39"/>
        <v>4.2171280276816603E-2</v>
      </c>
      <c r="Q377" s="10">
        <f t="shared" si="40"/>
        <v>8.7856833910034593E-4</v>
      </c>
      <c r="R377" s="10">
        <f t="shared" si="41"/>
        <v>8.0795041676919276E-3</v>
      </c>
      <c r="S377" s="10">
        <f t="shared" si="42"/>
        <v>8.958072506792274E-3</v>
      </c>
    </row>
    <row r="378" spans="1:19" x14ac:dyDescent="0.25">
      <c r="A378" s="5" t="s">
        <v>8</v>
      </c>
      <c r="B378" s="5" t="s">
        <v>296</v>
      </c>
      <c r="C378" s="5" t="s">
        <v>27</v>
      </c>
      <c r="D378" s="5" t="s">
        <v>385</v>
      </c>
      <c r="E378" s="5" t="s">
        <v>384</v>
      </c>
      <c r="F378" s="5" t="s">
        <v>45</v>
      </c>
      <c r="G378" s="5" t="s">
        <v>390</v>
      </c>
      <c r="H378" s="5" t="s">
        <v>77</v>
      </c>
      <c r="I378" s="5" t="s">
        <v>297</v>
      </c>
      <c r="J378" s="15">
        <v>740</v>
      </c>
      <c r="K378" s="7">
        <v>26</v>
      </c>
      <c r="L378" s="7">
        <f t="shared" si="37"/>
        <v>28.46153846153846</v>
      </c>
      <c r="M378" s="5" t="s">
        <v>10</v>
      </c>
      <c r="N378" s="5">
        <v>4</v>
      </c>
      <c r="O378" s="6">
        <f t="shared" si="38"/>
        <v>0.37465236686390524</v>
      </c>
      <c r="P378" s="6">
        <f t="shared" si="39"/>
        <v>3.8963846153846148E-2</v>
      </c>
      <c r="Q378" s="10">
        <f t="shared" si="40"/>
        <v>8.117467948717946E-4</v>
      </c>
      <c r="R378" s="10">
        <f t="shared" si="41"/>
        <v>7.6140983946227968E-3</v>
      </c>
      <c r="S378" s="10">
        <f t="shared" si="42"/>
        <v>8.4258451894945914E-3</v>
      </c>
    </row>
    <row r="379" spans="1:19" x14ac:dyDescent="0.25">
      <c r="A379" s="5" t="s">
        <v>8</v>
      </c>
      <c r="B379" s="5" t="s">
        <v>322</v>
      </c>
      <c r="C379" s="5" t="s">
        <v>27</v>
      </c>
      <c r="D379" s="5" t="s">
        <v>385</v>
      </c>
      <c r="E379" s="5" t="s">
        <v>384</v>
      </c>
      <c r="F379" s="5" t="s">
        <v>45</v>
      </c>
      <c r="G379" s="5" t="s">
        <v>390</v>
      </c>
      <c r="H379" s="5" t="s">
        <v>77</v>
      </c>
      <c r="I379" s="5" t="s">
        <v>324</v>
      </c>
      <c r="J379" s="15">
        <v>1100</v>
      </c>
      <c r="K379" s="7">
        <v>37</v>
      </c>
      <c r="L379" s="7">
        <f t="shared" si="37"/>
        <v>29.72972972972973</v>
      </c>
      <c r="M379" s="5" t="s">
        <v>10</v>
      </c>
      <c r="N379" s="5">
        <v>4</v>
      </c>
      <c r="O379" s="6">
        <f t="shared" si="38"/>
        <v>0.60765157048940832</v>
      </c>
      <c r="P379" s="6">
        <f t="shared" si="39"/>
        <v>6.3195763330898463E-2</v>
      </c>
      <c r="Q379" s="10">
        <f t="shared" si="40"/>
        <v>1.3165784027270512E-3</v>
      </c>
      <c r="R379" s="10">
        <f t="shared" si="41"/>
        <v>1.0943042674342459E-2</v>
      </c>
      <c r="S379" s="10">
        <f t="shared" si="42"/>
        <v>1.2259621077069511E-2</v>
      </c>
    </row>
    <row r="380" spans="1:19" x14ac:dyDescent="0.25">
      <c r="A380" s="5" t="s">
        <v>8</v>
      </c>
      <c r="B380" s="5" t="s">
        <v>322</v>
      </c>
      <c r="C380" s="5" t="s">
        <v>27</v>
      </c>
      <c r="D380" s="5" t="s">
        <v>385</v>
      </c>
      <c r="E380" s="5" t="s">
        <v>384</v>
      </c>
      <c r="F380" s="5" t="s">
        <v>45</v>
      </c>
      <c r="G380" s="5" t="s">
        <v>390</v>
      </c>
      <c r="H380" s="5" t="s">
        <v>77</v>
      </c>
      <c r="I380" s="5" t="s">
        <v>71</v>
      </c>
      <c r="J380" s="15">
        <v>1000</v>
      </c>
      <c r="K380" s="7">
        <v>34</v>
      </c>
      <c r="L380" s="7">
        <f t="shared" si="37"/>
        <v>29.411764705882351</v>
      </c>
      <c r="M380" s="5" t="s">
        <v>10</v>
      </c>
      <c r="N380" s="5">
        <v>4</v>
      </c>
      <c r="O380" s="6">
        <f t="shared" si="38"/>
        <v>0.54065743944636668</v>
      </c>
      <c r="P380" s="6">
        <f t="shared" si="39"/>
        <v>5.6228373702422139E-2</v>
      </c>
      <c r="Q380" s="10">
        <f t="shared" si="40"/>
        <v>1.1714244521337945E-3</v>
      </c>
      <c r="R380" s="10">
        <f t="shared" si="41"/>
        <v>1.0025101116786362E-2</v>
      </c>
      <c r="S380" s="10">
        <f t="shared" si="42"/>
        <v>1.1196525568920156E-2</v>
      </c>
    </row>
    <row r="381" spans="1:19" x14ac:dyDescent="0.25">
      <c r="A381" s="5" t="s">
        <v>22</v>
      </c>
      <c r="B381" s="5" t="s">
        <v>63</v>
      </c>
      <c r="C381" s="5" t="s">
        <v>27</v>
      </c>
      <c r="D381" s="5" t="s">
        <v>385</v>
      </c>
      <c r="E381" s="5" t="s">
        <v>384</v>
      </c>
      <c r="F381" s="5" t="s">
        <v>45</v>
      </c>
      <c r="G381" s="5" t="s">
        <v>390</v>
      </c>
      <c r="H381" s="5" t="s">
        <v>74</v>
      </c>
      <c r="I381" s="5" t="s">
        <v>24</v>
      </c>
      <c r="J381" s="15">
        <v>1000</v>
      </c>
      <c r="K381" s="7">
        <v>30</v>
      </c>
      <c r="L381" s="7">
        <f t="shared" si="37"/>
        <v>33.333333333333336</v>
      </c>
      <c r="M381" s="5" t="s">
        <v>10</v>
      </c>
      <c r="N381" s="5">
        <v>4</v>
      </c>
      <c r="O381" s="6">
        <f t="shared" si="38"/>
        <v>0.69444444444444453</v>
      </c>
      <c r="P381" s="6">
        <f t="shared" si="39"/>
        <v>7.2222222222222229E-2</v>
      </c>
      <c r="Q381" s="10">
        <f t="shared" si="40"/>
        <v>1.5046296296296298E-3</v>
      </c>
      <c r="R381" s="10">
        <f t="shared" si="41"/>
        <v>1.2095539811572421E-2</v>
      </c>
      <c r="S381" s="10">
        <f t="shared" si="42"/>
        <v>1.3600169441202051E-2</v>
      </c>
    </row>
    <row r="382" spans="1:19" x14ac:dyDescent="0.25">
      <c r="A382" s="5" t="s">
        <v>8</v>
      </c>
      <c r="B382" s="5" t="s">
        <v>264</v>
      </c>
      <c r="C382" s="5" t="s">
        <v>27</v>
      </c>
      <c r="D382" s="5" t="s">
        <v>385</v>
      </c>
      <c r="E382" s="5" t="s">
        <v>384</v>
      </c>
      <c r="F382" s="5" t="s">
        <v>45</v>
      </c>
      <c r="G382" s="5" t="s">
        <v>383</v>
      </c>
      <c r="H382" s="5" t="s">
        <v>89</v>
      </c>
      <c r="I382" s="5" t="s">
        <v>266</v>
      </c>
      <c r="J382" s="15">
        <v>1120</v>
      </c>
      <c r="K382" s="7">
        <v>29.2</v>
      </c>
      <c r="L382" s="7">
        <f t="shared" si="37"/>
        <v>38.356164383561648</v>
      </c>
      <c r="M382" s="5" t="s">
        <v>10</v>
      </c>
      <c r="N382" s="5">
        <v>4</v>
      </c>
      <c r="O382" s="6">
        <f t="shared" si="38"/>
        <v>1.029836742353162</v>
      </c>
      <c r="P382" s="6">
        <f t="shared" si="39"/>
        <v>0.10710302120472885</v>
      </c>
      <c r="Q382" s="10">
        <f t="shared" si="40"/>
        <v>2.2313129417651846E-3</v>
      </c>
      <c r="R382" s="10">
        <f t="shared" si="41"/>
        <v>1.6254492377313225E-2</v>
      </c>
      <c r="S382" s="10">
        <f t="shared" si="42"/>
        <v>1.8485805319078411E-2</v>
      </c>
    </row>
    <row r="383" spans="1:19" x14ac:dyDescent="0.25">
      <c r="A383" s="5" t="s">
        <v>8</v>
      </c>
      <c r="B383" s="5" t="s">
        <v>358</v>
      </c>
      <c r="C383" s="5" t="s">
        <v>27</v>
      </c>
      <c r="D383" s="5" t="s">
        <v>385</v>
      </c>
      <c r="E383" s="5" t="s">
        <v>384</v>
      </c>
      <c r="F383" s="5" t="s">
        <v>45</v>
      </c>
      <c r="G383" s="5" t="s">
        <v>383</v>
      </c>
      <c r="H383" s="5" t="s">
        <v>89</v>
      </c>
      <c r="I383" s="5" t="s">
        <v>267</v>
      </c>
      <c r="J383" s="15">
        <v>1425</v>
      </c>
      <c r="K383" s="7">
        <v>33.5</v>
      </c>
      <c r="L383" s="7">
        <f t="shared" si="37"/>
        <v>42.537313432835823</v>
      </c>
      <c r="M383" s="5" t="s">
        <v>10</v>
      </c>
      <c r="N383" s="5">
        <v>4</v>
      </c>
      <c r="O383" s="6">
        <f t="shared" si="38"/>
        <v>1.6115173897304527</v>
      </c>
      <c r="P383" s="6">
        <f t="shared" si="39"/>
        <v>0.16759780853196707</v>
      </c>
      <c r="Q383" s="10">
        <f t="shared" si="40"/>
        <v>3.4916210110826473E-3</v>
      </c>
      <c r="R383" s="10">
        <f t="shared" si="41"/>
        <v>2.2741723321392279E-2</v>
      </c>
      <c r="S383" s="10">
        <f t="shared" si="42"/>
        <v>2.6233344332474928E-2</v>
      </c>
    </row>
    <row r="384" spans="1:19" x14ac:dyDescent="0.25">
      <c r="A384" s="5" t="s">
        <v>8</v>
      </c>
      <c r="B384" s="5" t="s">
        <v>264</v>
      </c>
      <c r="C384" s="5" t="s">
        <v>27</v>
      </c>
      <c r="D384" s="5" t="s">
        <v>385</v>
      </c>
      <c r="E384" s="5" t="s">
        <v>384</v>
      </c>
      <c r="F384" s="5" t="s">
        <v>45</v>
      </c>
      <c r="G384" s="5" t="s">
        <v>383</v>
      </c>
      <c r="H384" s="5" t="s">
        <v>89</v>
      </c>
      <c r="I384" s="5" t="s">
        <v>267</v>
      </c>
      <c r="J384" s="15">
        <v>1300</v>
      </c>
      <c r="K384" s="7">
        <v>33.5</v>
      </c>
      <c r="L384" s="7">
        <f t="shared" si="37"/>
        <v>38.805970149253731</v>
      </c>
      <c r="M384" s="5" t="s">
        <v>10</v>
      </c>
      <c r="N384" s="5">
        <v>4</v>
      </c>
      <c r="O384" s="6">
        <f t="shared" si="38"/>
        <v>1.2235464468701269</v>
      </c>
      <c r="P384" s="6">
        <f t="shared" si="39"/>
        <v>0.1272488304744932</v>
      </c>
      <c r="Q384" s="10">
        <f t="shared" si="40"/>
        <v>2.6510173015519417E-3</v>
      </c>
      <c r="R384" s="10">
        <f t="shared" si="41"/>
        <v>1.8497475870327421E-2</v>
      </c>
      <c r="S384" s="10">
        <f t="shared" si="42"/>
        <v>2.1148493171879362E-2</v>
      </c>
    </row>
    <row r="385" spans="1:19" x14ac:dyDescent="0.25">
      <c r="A385" s="5" t="s">
        <v>22</v>
      </c>
      <c r="B385" s="5" t="s">
        <v>63</v>
      </c>
      <c r="C385" s="5" t="s">
        <v>27</v>
      </c>
      <c r="D385" s="5" t="s">
        <v>385</v>
      </c>
      <c r="E385" s="5" t="s">
        <v>384</v>
      </c>
      <c r="F385" s="5" t="s">
        <v>45</v>
      </c>
      <c r="G385" s="5" t="s">
        <v>383</v>
      </c>
      <c r="H385" s="5" t="s">
        <v>89</v>
      </c>
      <c r="I385" s="5" t="s">
        <v>90</v>
      </c>
      <c r="J385" s="15">
        <v>840</v>
      </c>
      <c r="K385" s="7">
        <v>21.5</v>
      </c>
      <c r="L385" s="7">
        <f t="shared" si="37"/>
        <v>39.069767441860463</v>
      </c>
      <c r="M385" s="5" t="s">
        <v>10</v>
      </c>
      <c r="N385" s="5">
        <v>4</v>
      </c>
      <c r="O385" s="6">
        <f t="shared" si="38"/>
        <v>0.80138453217955641</v>
      </c>
      <c r="P385" s="6">
        <f t="shared" si="39"/>
        <v>8.3343991346673862E-2</v>
      </c>
      <c r="Q385" s="10">
        <f t="shared" si="40"/>
        <v>1.7363331530557055E-3</v>
      </c>
      <c r="R385" s="10">
        <f t="shared" si="41"/>
        <v>1.3467216474127932E-2</v>
      </c>
      <c r="S385" s="10">
        <f t="shared" si="42"/>
        <v>1.5203549627183637E-2</v>
      </c>
    </row>
    <row r="386" spans="1:19" x14ac:dyDescent="0.25">
      <c r="A386" s="5" t="s">
        <v>8</v>
      </c>
      <c r="B386" s="5" t="s">
        <v>359</v>
      </c>
      <c r="C386" s="5" t="s">
        <v>27</v>
      </c>
      <c r="D386" s="5" t="s">
        <v>385</v>
      </c>
      <c r="E386" s="5" t="s">
        <v>384</v>
      </c>
      <c r="F386" s="5" t="s">
        <v>45</v>
      </c>
      <c r="G386" s="5" t="s">
        <v>383</v>
      </c>
      <c r="H386" s="5" t="s">
        <v>89</v>
      </c>
      <c r="I386" s="5" t="s">
        <v>90</v>
      </c>
      <c r="J386" s="15">
        <v>840</v>
      </c>
      <c r="K386" s="7">
        <v>21.5</v>
      </c>
      <c r="L386" s="7">
        <f t="shared" si="37"/>
        <v>39.069767441860463</v>
      </c>
      <c r="M386" s="5" t="s">
        <v>10</v>
      </c>
      <c r="N386" s="5">
        <v>4</v>
      </c>
      <c r="O386" s="6">
        <f t="shared" si="38"/>
        <v>0.80138453217955641</v>
      </c>
      <c r="P386" s="6">
        <f t="shared" si="39"/>
        <v>8.3343991346673862E-2</v>
      </c>
      <c r="Q386" s="10">
        <f t="shared" si="40"/>
        <v>1.7363331530557055E-3</v>
      </c>
      <c r="R386" s="10">
        <f t="shared" si="41"/>
        <v>1.3467216474127932E-2</v>
      </c>
      <c r="S386" s="10">
        <f t="shared" si="42"/>
        <v>1.5203549627183637E-2</v>
      </c>
    </row>
    <row r="387" spans="1:19" x14ac:dyDescent="0.25">
      <c r="A387" s="5" t="s">
        <v>8</v>
      </c>
      <c r="B387" s="5" t="s">
        <v>360</v>
      </c>
      <c r="C387" s="5" t="s">
        <v>27</v>
      </c>
      <c r="D387" s="5" t="s">
        <v>385</v>
      </c>
      <c r="E387" s="5" t="s">
        <v>384</v>
      </c>
      <c r="F387" s="5" t="s">
        <v>45</v>
      </c>
      <c r="G387" s="5" t="s">
        <v>383</v>
      </c>
      <c r="H387" s="5" t="s">
        <v>89</v>
      </c>
      <c r="I387" s="5" t="s">
        <v>90</v>
      </c>
      <c r="J387" s="15">
        <v>1190</v>
      </c>
      <c r="K387" s="7">
        <v>22.5</v>
      </c>
      <c r="L387" s="7">
        <f t="shared" si="37"/>
        <v>52.888888888888886</v>
      </c>
      <c r="M387" s="5" t="s">
        <v>10</v>
      </c>
      <c r="N387" s="5">
        <v>4</v>
      </c>
      <c r="O387" s="6">
        <f t="shared" si="38"/>
        <v>2.0804432098765431</v>
      </c>
      <c r="P387" s="6">
        <f t="shared" si="39"/>
        <v>0.21636609382716043</v>
      </c>
      <c r="Q387" s="10">
        <f t="shared" si="40"/>
        <v>4.5076269547325099E-3</v>
      </c>
      <c r="R387" s="10">
        <f t="shared" si="41"/>
        <v>2.7543176383485118E-2</v>
      </c>
      <c r="S387" s="10">
        <f t="shared" si="42"/>
        <v>3.205080333821763E-2</v>
      </c>
    </row>
    <row r="388" spans="1:19" x14ac:dyDescent="0.25">
      <c r="A388" s="5" t="s">
        <v>8</v>
      </c>
      <c r="B388" s="5" t="s">
        <v>264</v>
      </c>
      <c r="C388" s="5" t="s">
        <v>27</v>
      </c>
      <c r="D388" s="5" t="s">
        <v>385</v>
      </c>
      <c r="E388" s="5" t="s">
        <v>384</v>
      </c>
      <c r="F388" s="5" t="s">
        <v>45</v>
      </c>
      <c r="G388" s="5" t="s">
        <v>383</v>
      </c>
      <c r="H388" s="5" t="s">
        <v>89</v>
      </c>
      <c r="I388" s="5" t="s">
        <v>90</v>
      </c>
      <c r="J388" s="15">
        <v>1000</v>
      </c>
      <c r="K388" s="7">
        <v>22</v>
      </c>
      <c r="L388" s="7">
        <f t="shared" si="37"/>
        <v>45.454545454545453</v>
      </c>
      <c r="M388" s="5" t="s">
        <v>10</v>
      </c>
      <c r="N388" s="5">
        <v>4</v>
      </c>
      <c r="O388" s="6">
        <f t="shared" si="38"/>
        <v>1.2913223140495866</v>
      </c>
      <c r="P388" s="6">
        <f t="shared" si="39"/>
        <v>0.13429752066115702</v>
      </c>
      <c r="Q388" s="10">
        <f t="shared" si="40"/>
        <v>2.7978650137741039E-3</v>
      </c>
      <c r="R388" s="10">
        <f t="shared" si="41"/>
        <v>1.9260746534398895E-2</v>
      </c>
      <c r="S388" s="10">
        <f t="shared" si="42"/>
        <v>2.2058611548172999E-2</v>
      </c>
    </row>
    <row r="389" spans="1:19" x14ac:dyDescent="0.25">
      <c r="A389" s="5" t="s">
        <v>8</v>
      </c>
      <c r="B389" s="5" t="s">
        <v>264</v>
      </c>
      <c r="C389" s="5" t="s">
        <v>27</v>
      </c>
      <c r="D389" s="5" t="s">
        <v>385</v>
      </c>
      <c r="E389" s="5" t="s">
        <v>384</v>
      </c>
      <c r="F389" s="5" t="s">
        <v>45</v>
      </c>
      <c r="G389" s="5" t="s">
        <v>383</v>
      </c>
      <c r="H389" s="5" t="s">
        <v>89</v>
      </c>
      <c r="I389" s="5" t="s">
        <v>265</v>
      </c>
      <c r="J389" s="15">
        <v>1000</v>
      </c>
      <c r="K389" s="7">
        <v>25</v>
      </c>
      <c r="L389" s="7">
        <f t="shared" si="37"/>
        <v>40</v>
      </c>
      <c r="M389" s="5" t="s">
        <v>10</v>
      </c>
      <c r="N389" s="5">
        <v>4</v>
      </c>
      <c r="O389" s="6">
        <f t="shared" si="38"/>
        <v>1</v>
      </c>
      <c r="P389" s="6">
        <f t="shared" si="39"/>
        <v>0.104</v>
      </c>
      <c r="Q389" s="10">
        <f t="shared" si="40"/>
        <v>2.1666666666666666E-3</v>
      </c>
      <c r="R389" s="10">
        <f t="shared" si="41"/>
        <v>1.5900000000000001E-2</v>
      </c>
      <c r="S389" s="10">
        <f t="shared" si="42"/>
        <v>1.8066666666666668E-2</v>
      </c>
    </row>
    <row r="390" spans="1:19" x14ac:dyDescent="0.25">
      <c r="A390" s="5" t="s">
        <v>8</v>
      </c>
      <c r="B390" s="5" t="s">
        <v>264</v>
      </c>
      <c r="C390" s="5" t="s">
        <v>27</v>
      </c>
      <c r="D390" s="5" t="s">
        <v>385</v>
      </c>
      <c r="E390" s="5" t="s">
        <v>384</v>
      </c>
      <c r="F390" s="5" t="s">
        <v>45</v>
      </c>
      <c r="G390" s="5" t="s">
        <v>383</v>
      </c>
      <c r="H390" s="5" t="s">
        <v>89</v>
      </c>
      <c r="I390" s="5" t="s">
        <v>268</v>
      </c>
      <c r="J390" s="15">
        <v>1300</v>
      </c>
      <c r="K390" s="7">
        <v>27.5</v>
      </c>
      <c r="L390" s="7">
        <f t="shared" si="37"/>
        <v>47.272727272727273</v>
      </c>
      <c r="M390" s="5" t="s">
        <v>10</v>
      </c>
      <c r="N390" s="5">
        <v>4</v>
      </c>
      <c r="O390" s="6">
        <f t="shared" si="38"/>
        <v>1.815702479338843</v>
      </c>
      <c r="P390" s="6">
        <f t="shared" si="39"/>
        <v>0.18883305785123963</v>
      </c>
      <c r="Q390" s="10">
        <f t="shared" si="40"/>
        <v>3.9340220385674926E-3</v>
      </c>
      <c r="R390" s="10">
        <f t="shared" si="41"/>
        <v>2.4870277967481078E-2</v>
      </c>
      <c r="S390" s="10">
        <f t="shared" si="42"/>
        <v>2.8804300006048569E-2</v>
      </c>
    </row>
    <row r="391" spans="1:19" x14ac:dyDescent="0.25">
      <c r="A391" s="5" t="s">
        <v>8</v>
      </c>
      <c r="B391" s="5" t="s">
        <v>358</v>
      </c>
      <c r="C391" s="5" t="s">
        <v>27</v>
      </c>
      <c r="D391" s="5" t="s">
        <v>385</v>
      </c>
      <c r="E391" s="5" t="s">
        <v>384</v>
      </c>
      <c r="F391" s="5" t="s">
        <v>45</v>
      </c>
      <c r="G391" s="5" t="s">
        <v>383</v>
      </c>
      <c r="H391" s="5" t="s">
        <v>89</v>
      </c>
      <c r="I391" s="5" t="s">
        <v>269</v>
      </c>
      <c r="J391" s="15">
        <v>1150</v>
      </c>
      <c r="K391" s="7">
        <v>25.8</v>
      </c>
      <c r="L391" s="7">
        <f t="shared" si="37"/>
        <v>44.573643410852711</v>
      </c>
      <c r="M391" s="5" t="s">
        <v>10</v>
      </c>
      <c r="N391" s="5">
        <v>4</v>
      </c>
      <c r="O391" s="6">
        <f t="shared" si="38"/>
        <v>1.4280194624722071</v>
      </c>
      <c r="P391" s="6">
        <f t="shared" si="39"/>
        <v>0.14851402409710951</v>
      </c>
      <c r="Q391" s="10">
        <f t="shared" si="40"/>
        <v>3.0940421686897822E-3</v>
      </c>
      <c r="R391" s="10">
        <f t="shared" si="41"/>
        <v>2.0770536726440858E-2</v>
      </c>
      <c r="S391" s="10">
        <f t="shared" si="42"/>
        <v>2.3864578895130641E-2</v>
      </c>
    </row>
    <row r="392" spans="1:19" x14ac:dyDescent="0.25">
      <c r="A392" s="5" t="s">
        <v>8</v>
      </c>
      <c r="B392" s="5" t="s">
        <v>264</v>
      </c>
      <c r="C392" s="5" t="s">
        <v>27</v>
      </c>
      <c r="D392" s="5" t="s">
        <v>385</v>
      </c>
      <c r="E392" s="5" t="s">
        <v>384</v>
      </c>
      <c r="F392" s="5" t="s">
        <v>45</v>
      </c>
      <c r="G392" s="5" t="s">
        <v>383</v>
      </c>
      <c r="H392" s="5" t="s">
        <v>89</v>
      </c>
      <c r="I392" s="5" t="s">
        <v>269</v>
      </c>
      <c r="J392" s="15">
        <v>1060</v>
      </c>
      <c r="K392" s="7">
        <v>23.5</v>
      </c>
      <c r="L392" s="7">
        <f t="shared" si="37"/>
        <v>45.106382978723403</v>
      </c>
      <c r="M392" s="5" t="s">
        <v>10</v>
      </c>
      <c r="N392" s="5">
        <v>4</v>
      </c>
      <c r="O392" s="6">
        <f t="shared" si="38"/>
        <v>1.3479130828429153</v>
      </c>
      <c r="P392" s="6">
        <f t="shared" si="39"/>
        <v>0.14018296061566318</v>
      </c>
      <c r="Q392" s="10">
        <f t="shared" si="40"/>
        <v>2.9204783461596498E-3</v>
      </c>
      <c r="R392" s="10">
        <f t="shared" si="41"/>
        <v>1.9890401090197855E-2</v>
      </c>
      <c r="S392" s="10">
        <f t="shared" si="42"/>
        <v>2.2810879436357505E-2</v>
      </c>
    </row>
    <row r="393" spans="1:19" x14ac:dyDescent="0.25">
      <c r="A393" s="5" t="s">
        <v>8</v>
      </c>
      <c r="B393" s="5" t="s">
        <v>312</v>
      </c>
      <c r="C393" s="5" t="s">
        <v>27</v>
      </c>
      <c r="D393" s="5" t="s">
        <v>385</v>
      </c>
      <c r="E393" s="5" t="s">
        <v>384</v>
      </c>
      <c r="F393" s="5" t="s">
        <v>45</v>
      </c>
      <c r="G393" s="5" t="s">
        <v>383</v>
      </c>
      <c r="H393" s="5" t="s">
        <v>89</v>
      </c>
      <c r="I393" s="5" t="s">
        <v>269</v>
      </c>
      <c r="J393" s="15">
        <v>1040</v>
      </c>
      <c r="K393" s="7">
        <v>22</v>
      </c>
      <c r="L393" s="7">
        <f t="shared" si="37"/>
        <v>47.272727272727273</v>
      </c>
      <c r="M393" s="5" t="s">
        <v>10</v>
      </c>
      <c r="N393" s="5">
        <v>4</v>
      </c>
      <c r="O393" s="6">
        <f t="shared" si="38"/>
        <v>1.4525619834710741</v>
      </c>
      <c r="P393" s="6">
        <f t="shared" si="39"/>
        <v>0.15106644628099172</v>
      </c>
      <c r="Q393" s="10">
        <f t="shared" si="40"/>
        <v>3.1472176308539935E-3</v>
      </c>
      <c r="R393" s="10">
        <f t="shared" si="41"/>
        <v>2.1037693789274791E-2</v>
      </c>
      <c r="S393" s="10">
        <f t="shared" si="42"/>
        <v>2.4184911420128786E-2</v>
      </c>
    </row>
    <row r="394" spans="1:19" x14ac:dyDescent="0.25">
      <c r="A394" s="5" t="s">
        <v>8</v>
      </c>
      <c r="B394" s="5" t="s">
        <v>312</v>
      </c>
      <c r="C394" s="5" t="s">
        <v>27</v>
      </c>
      <c r="D394" s="5" t="s">
        <v>385</v>
      </c>
      <c r="E394" s="5" t="s">
        <v>384</v>
      </c>
      <c r="F394" s="5" t="s">
        <v>45</v>
      </c>
      <c r="G394" s="5" t="s">
        <v>383</v>
      </c>
      <c r="H394" s="5" t="s">
        <v>89</v>
      </c>
      <c r="I394" s="5" t="s">
        <v>269</v>
      </c>
      <c r="J394" s="15">
        <v>1215</v>
      </c>
      <c r="K394" s="7">
        <v>26.3</v>
      </c>
      <c r="L394" s="7">
        <f t="shared" si="37"/>
        <v>46.197718631178709</v>
      </c>
      <c r="M394" s="5" t="s">
        <v>10</v>
      </c>
      <c r="N394" s="5">
        <v>4</v>
      </c>
      <c r="O394" s="6">
        <f t="shared" si="38"/>
        <v>1.6206803038572197</v>
      </c>
      <c r="P394" s="6">
        <f t="shared" si="39"/>
        <v>0.16855075160115085</v>
      </c>
      <c r="Q394" s="10">
        <f t="shared" si="40"/>
        <v>3.5114739916906426E-3</v>
      </c>
      <c r="R394" s="10">
        <f t="shared" si="41"/>
        <v>2.2838634796892455E-2</v>
      </c>
      <c r="S394" s="10">
        <f t="shared" si="42"/>
        <v>2.6350108788583099E-2</v>
      </c>
    </row>
    <row r="395" spans="1:19" x14ac:dyDescent="0.25">
      <c r="A395" s="5" t="s">
        <v>8</v>
      </c>
      <c r="B395" s="5" t="s">
        <v>264</v>
      </c>
      <c r="C395" s="5" t="s">
        <v>27</v>
      </c>
      <c r="D395" s="5" t="s">
        <v>385</v>
      </c>
      <c r="E395" s="5" t="s">
        <v>384</v>
      </c>
      <c r="F395" s="5" t="s">
        <v>45</v>
      </c>
      <c r="G395" s="5" t="s">
        <v>383</v>
      </c>
      <c r="H395" s="5" t="s">
        <v>89</v>
      </c>
      <c r="I395" s="5" t="s">
        <v>130</v>
      </c>
      <c r="J395" s="15">
        <v>1385</v>
      </c>
      <c r="K395" s="7">
        <v>26.4</v>
      </c>
      <c r="L395" s="7">
        <f t="shared" ref="L395:L409" si="43">J395/K395</f>
        <v>52.462121212121218</v>
      </c>
      <c r="M395" s="5" t="s">
        <v>10</v>
      </c>
      <c r="N395" s="5">
        <v>4</v>
      </c>
      <c r="O395" s="6">
        <f t="shared" ref="O395:O409" si="44">(J395*L395^2)/(1.6*10^6)</f>
        <v>2.3824373215464307</v>
      </c>
      <c r="P395" s="6">
        <f t="shared" ref="P395:P409" si="45">(0.104*J395*L395^2)/(1.6*10^6)</f>
        <v>0.24777348144082881</v>
      </c>
      <c r="Q395" s="10">
        <f t="shared" ref="Q395:Q409" si="46">(0.104*O395)/(12*N395)</f>
        <v>5.1619475300172663E-3</v>
      </c>
      <c r="R395" s="10">
        <f t="shared" ref="R395:R409" si="47">0.0159*O395^0.75</f>
        <v>3.0490408095780776E-2</v>
      </c>
      <c r="S395" s="10">
        <f t="shared" ref="S395:S409" si="48">Q395+R395</f>
        <v>3.5652355625798042E-2</v>
      </c>
    </row>
    <row r="396" spans="1:19" x14ac:dyDescent="0.25">
      <c r="A396" s="5" t="s">
        <v>22</v>
      </c>
      <c r="B396" s="5" t="s">
        <v>63</v>
      </c>
      <c r="C396" s="5" t="s">
        <v>27</v>
      </c>
      <c r="D396" s="5" t="s">
        <v>385</v>
      </c>
      <c r="E396" s="5" t="s">
        <v>384</v>
      </c>
      <c r="F396" s="5" t="s">
        <v>45</v>
      </c>
      <c r="G396" s="5" t="s">
        <v>383</v>
      </c>
      <c r="H396" s="5" t="s">
        <v>84</v>
      </c>
      <c r="I396" s="5" t="s">
        <v>85</v>
      </c>
      <c r="J396" s="15">
        <v>1150</v>
      </c>
      <c r="K396" s="7">
        <v>26</v>
      </c>
      <c r="L396" s="7">
        <f t="shared" si="43"/>
        <v>44.230769230769234</v>
      </c>
      <c r="M396" s="5" t="s">
        <v>10</v>
      </c>
      <c r="N396" s="5">
        <v>4</v>
      </c>
      <c r="O396" s="6">
        <f t="shared" si="44"/>
        <v>1.4061344304733729</v>
      </c>
      <c r="P396" s="6">
        <f t="shared" si="45"/>
        <v>0.14623798076923078</v>
      </c>
      <c r="Q396" s="10">
        <f t="shared" si="46"/>
        <v>3.0466245993589747E-3</v>
      </c>
      <c r="R396" s="10">
        <f t="shared" si="47"/>
        <v>2.0531338164569143E-2</v>
      </c>
      <c r="S396" s="10">
        <f t="shared" si="48"/>
        <v>2.3577962763928116E-2</v>
      </c>
    </row>
    <row r="397" spans="1:19" x14ac:dyDescent="0.25">
      <c r="A397" s="5" t="s">
        <v>8</v>
      </c>
      <c r="B397" s="5" t="s">
        <v>326</v>
      </c>
      <c r="C397" s="5" t="s">
        <v>27</v>
      </c>
      <c r="D397" s="5" t="s">
        <v>385</v>
      </c>
      <c r="E397" s="5" t="s">
        <v>384</v>
      </c>
      <c r="F397" s="5" t="s">
        <v>45</v>
      </c>
      <c r="G397" s="5" t="s">
        <v>383</v>
      </c>
      <c r="H397" s="5" t="s">
        <v>84</v>
      </c>
      <c r="I397" s="5" t="s">
        <v>327</v>
      </c>
      <c r="J397" s="15">
        <v>1150</v>
      </c>
      <c r="K397" s="7">
        <v>21</v>
      </c>
      <c r="L397" s="7">
        <f t="shared" si="43"/>
        <v>54.761904761904759</v>
      </c>
      <c r="M397" s="5" t="s">
        <v>10</v>
      </c>
      <c r="N397" s="5">
        <v>4</v>
      </c>
      <c r="O397" s="6">
        <f t="shared" si="44"/>
        <v>2.1554350907029476</v>
      </c>
      <c r="P397" s="6">
        <f t="shared" si="45"/>
        <v>0.22416524943310653</v>
      </c>
      <c r="Q397" s="10">
        <f t="shared" si="46"/>
        <v>4.6701093631897192E-3</v>
      </c>
      <c r="R397" s="10">
        <f t="shared" si="47"/>
        <v>2.828448893687794E-2</v>
      </c>
      <c r="S397" s="10">
        <f t="shared" si="48"/>
        <v>3.295459830006766E-2</v>
      </c>
    </row>
    <row r="398" spans="1:19" x14ac:dyDescent="0.25">
      <c r="A398" s="5" t="s">
        <v>8</v>
      </c>
      <c r="B398" s="5" t="s">
        <v>322</v>
      </c>
      <c r="C398" s="5" t="s">
        <v>27</v>
      </c>
      <c r="D398" s="5" t="s">
        <v>385</v>
      </c>
      <c r="E398" s="5" t="s">
        <v>384</v>
      </c>
      <c r="F398" s="5" t="s">
        <v>45</v>
      </c>
      <c r="G398" s="5" t="s">
        <v>383</v>
      </c>
      <c r="H398" s="5" t="s">
        <v>84</v>
      </c>
      <c r="I398" s="5" t="s">
        <v>211</v>
      </c>
      <c r="J398" s="15">
        <v>1350</v>
      </c>
      <c r="K398" s="7">
        <v>35</v>
      </c>
      <c r="L398" s="7">
        <f t="shared" si="43"/>
        <v>38.571428571428569</v>
      </c>
      <c r="M398" s="5" t="s">
        <v>10</v>
      </c>
      <c r="N398" s="5">
        <v>4</v>
      </c>
      <c r="O398" s="6">
        <f t="shared" si="44"/>
        <v>1.2552933673469386</v>
      </c>
      <c r="P398" s="6">
        <f t="shared" si="45"/>
        <v>0.13055051020408162</v>
      </c>
      <c r="Q398" s="10">
        <f t="shared" si="46"/>
        <v>2.719802295918367E-3</v>
      </c>
      <c r="R398" s="10">
        <f t="shared" si="47"/>
        <v>1.8856281365180333E-2</v>
      </c>
      <c r="S398" s="10">
        <f t="shared" si="48"/>
        <v>2.1576083661098699E-2</v>
      </c>
    </row>
    <row r="399" spans="1:19" x14ac:dyDescent="0.25">
      <c r="A399" s="5" t="s">
        <v>8</v>
      </c>
      <c r="B399" s="5" t="s">
        <v>206</v>
      </c>
      <c r="C399" s="5" t="s">
        <v>27</v>
      </c>
      <c r="D399" s="5" t="s">
        <v>385</v>
      </c>
      <c r="E399" s="5" t="s">
        <v>384</v>
      </c>
      <c r="F399" s="5" t="s">
        <v>45</v>
      </c>
      <c r="G399" s="5" t="s">
        <v>383</v>
      </c>
      <c r="H399" s="5" t="s">
        <v>84</v>
      </c>
      <c r="I399" s="5" t="s">
        <v>211</v>
      </c>
      <c r="J399" s="15">
        <v>1050</v>
      </c>
      <c r="K399" s="7">
        <v>20</v>
      </c>
      <c r="L399" s="7">
        <f t="shared" si="43"/>
        <v>52.5</v>
      </c>
      <c r="M399" s="5" t="s">
        <v>10</v>
      </c>
      <c r="N399" s="5">
        <v>4</v>
      </c>
      <c r="O399" s="6">
        <f t="shared" si="44"/>
        <v>1.8087890625</v>
      </c>
      <c r="P399" s="6">
        <f t="shared" si="45"/>
        <v>0.18811406249999996</v>
      </c>
      <c r="Q399" s="10">
        <f t="shared" si="46"/>
        <v>3.9190429687499997E-3</v>
      </c>
      <c r="R399" s="10">
        <f t="shared" si="47"/>
        <v>2.4799222591898096E-2</v>
      </c>
      <c r="S399" s="10">
        <f t="shared" si="48"/>
        <v>2.8718265560648097E-2</v>
      </c>
    </row>
    <row r="400" spans="1:19" x14ac:dyDescent="0.25">
      <c r="A400" s="5" t="s">
        <v>8</v>
      </c>
      <c r="B400" s="5" t="s">
        <v>204</v>
      </c>
      <c r="C400" s="5" t="s">
        <v>27</v>
      </c>
      <c r="D400" s="5" t="s">
        <v>385</v>
      </c>
      <c r="E400" s="5" t="s">
        <v>384</v>
      </c>
      <c r="F400" s="5" t="s">
        <v>45</v>
      </c>
      <c r="G400" s="5" t="s">
        <v>383</v>
      </c>
      <c r="H400" s="5" t="s">
        <v>84</v>
      </c>
      <c r="I400" s="5" t="s">
        <v>211</v>
      </c>
      <c r="J400" s="15">
        <v>1300</v>
      </c>
      <c r="K400" s="7">
        <v>31</v>
      </c>
      <c r="L400" s="7">
        <f t="shared" si="43"/>
        <v>41.935483870967744</v>
      </c>
      <c r="M400" s="5" t="s">
        <v>10</v>
      </c>
      <c r="N400" s="5">
        <v>4</v>
      </c>
      <c r="O400" s="6">
        <f t="shared" si="44"/>
        <v>1.4288501560874092</v>
      </c>
      <c r="P400" s="6">
        <f t="shared" si="45"/>
        <v>0.14860041623309053</v>
      </c>
      <c r="Q400" s="10">
        <f t="shared" si="46"/>
        <v>3.0958420048560532E-3</v>
      </c>
      <c r="R400" s="10">
        <f t="shared" si="47"/>
        <v>2.0779597893882982E-2</v>
      </c>
      <c r="S400" s="10">
        <f t="shared" si="48"/>
        <v>2.3875439898739036E-2</v>
      </c>
    </row>
    <row r="401" spans="1:19" x14ac:dyDescent="0.25">
      <c r="A401" s="5" t="s">
        <v>8</v>
      </c>
      <c r="B401" s="5" t="s">
        <v>192</v>
      </c>
      <c r="C401" s="5" t="s">
        <v>27</v>
      </c>
      <c r="D401" s="5" t="s">
        <v>385</v>
      </c>
      <c r="E401" s="5" t="s">
        <v>384</v>
      </c>
      <c r="F401" s="5" t="s">
        <v>45</v>
      </c>
      <c r="G401" s="5" t="s">
        <v>383</v>
      </c>
      <c r="H401" s="5" t="s">
        <v>84</v>
      </c>
      <c r="I401" s="5" t="s">
        <v>211</v>
      </c>
      <c r="J401" s="15">
        <v>1240</v>
      </c>
      <c r="K401" s="7">
        <v>33</v>
      </c>
      <c r="L401" s="7">
        <f t="shared" si="43"/>
        <v>37.575757575757578</v>
      </c>
      <c r="M401" s="5" t="s">
        <v>10</v>
      </c>
      <c r="N401" s="5">
        <v>4</v>
      </c>
      <c r="O401" s="6">
        <f t="shared" si="44"/>
        <v>1.0942516069788797</v>
      </c>
      <c r="P401" s="6">
        <f t="shared" si="45"/>
        <v>0.1138021671258035</v>
      </c>
      <c r="Q401" s="10">
        <f t="shared" si="46"/>
        <v>2.3708784817875728E-3</v>
      </c>
      <c r="R401" s="10">
        <f t="shared" si="47"/>
        <v>1.7011202684541326E-2</v>
      </c>
      <c r="S401" s="10">
        <f t="shared" si="48"/>
        <v>1.9382081166328897E-2</v>
      </c>
    </row>
    <row r="402" spans="1:19" x14ac:dyDescent="0.25">
      <c r="A402" s="5" t="s">
        <v>22</v>
      </c>
      <c r="B402" s="5" t="s">
        <v>63</v>
      </c>
      <c r="C402" s="5" t="s">
        <v>27</v>
      </c>
      <c r="D402" s="5" t="s">
        <v>385</v>
      </c>
      <c r="E402" s="5" t="s">
        <v>384</v>
      </c>
      <c r="F402" s="5" t="s">
        <v>45</v>
      </c>
      <c r="G402" s="5" t="s">
        <v>383</v>
      </c>
      <c r="H402" s="5" t="s">
        <v>86</v>
      </c>
      <c r="I402" s="5" t="s">
        <v>87</v>
      </c>
      <c r="J402" s="15">
        <v>1500</v>
      </c>
      <c r="K402" s="7">
        <v>36</v>
      </c>
      <c r="L402" s="7">
        <f t="shared" si="43"/>
        <v>41.666666666666664</v>
      </c>
      <c r="M402" s="5" t="s">
        <v>10</v>
      </c>
      <c r="N402" s="5">
        <v>4</v>
      </c>
      <c r="O402" s="6">
        <f t="shared" si="44"/>
        <v>1.6276041666666665</v>
      </c>
      <c r="P402" s="6">
        <f t="shared" si="45"/>
        <v>0.16927083333333331</v>
      </c>
      <c r="Q402" s="10">
        <f t="shared" si="46"/>
        <v>3.5264756944444441E-3</v>
      </c>
      <c r="R402" s="10">
        <f t="shared" si="47"/>
        <v>2.2911774118795719E-2</v>
      </c>
      <c r="S402" s="10">
        <f t="shared" si="48"/>
        <v>2.6438249813240163E-2</v>
      </c>
    </row>
    <row r="403" spans="1:19" x14ac:dyDescent="0.25">
      <c r="A403" s="5" t="s">
        <v>22</v>
      </c>
      <c r="B403" s="5" t="s">
        <v>63</v>
      </c>
      <c r="C403" s="5" t="s">
        <v>27</v>
      </c>
      <c r="D403" s="5" t="s">
        <v>385</v>
      </c>
      <c r="E403" s="5" t="s">
        <v>384</v>
      </c>
      <c r="F403" s="5" t="s">
        <v>45</v>
      </c>
      <c r="G403" s="5" t="s">
        <v>383</v>
      </c>
      <c r="H403" s="5" t="s">
        <v>88</v>
      </c>
      <c r="I403" s="5" t="s">
        <v>15</v>
      </c>
      <c r="J403" s="15">
        <v>1700</v>
      </c>
      <c r="K403" s="7">
        <v>22</v>
      </c>
      <c r="L403" s="7">
        <f t="shared" si="43"/>
        <v>77.272727272727266</v>
      </c>
      <c r="M403" s="5" t="s">
        <v>10</v>
      </c>
      <c r="N403" s="5">
        <v>4</v>
      </c>
      <c r="O403" s="6">
        <f t="shared" si="44"/>
        <v>6.344266528925619</v>
      </c>
      <c r="P403" s="6">
        <f t="shared" si="45"/>
        <v>0.65980371900826429</v>
      </c>
      <c r="Q403" s="10">
        <f t="shared" si="46"/>
        <v>1.3745910812672174E-2</v>
      </c>
      <c r="R403" s="10">
        <f t="shared" si="47"/>
        <v>6.3559897650201369E-2</v>
      </c>
      <c r="S403" s="10">
        <f t="shared" si="48"/>
        <v>7.7305808462873549E-2</v>
      </c>
    </row>
    <row r="404" spans="1:19" x14ac:dyDescent="0.25">
      <c r="A404" s="5" t="s">
        <v>22</v>
      </c>
      <c r="B404" s="5" t="s">
        <v>63</v>
      </c>
      <c r="C404" s="5" t="s">
        <v>27</v>
      </c>
      <c r="D404" s="5" t="s">
        <v>385</v>
      </c>
      <c r="E404" s="5" t="s">
        <v>384</v>
      </c>
      <c r="F404" s="5" t="s">
        <v>45</v>
      </c>
      <c r="G404" s="5" t="s">
        <v>383</v>
      </c>
      <c r="H404" s="5" t="s">
        <v>83</v>
      </c>
      <c r="I404" s="5" t="s">
        <v>62</v>
      </c>
      <c r="J404" s="15">
        <v>1300</v>
      </c>
      <c r="K404" s="7">
        <v>28</v>
      </c>
      <c r="L404" s="7">
        <f t="shared" si="43"/>
        <v>46.428571428571431</v>
      </c>
      <c r="M404" s="5" t="s">
        <v>10</v>
      </c>
      <c r="N404" s="5">
        <v>4</v>
      </c>
      <c r="O404" s="6">
        <f t="shared" si="44"/>
        <v>1.751434948979592</v>
      </c>
      <c r="P404" s="6">
        <f t="shared" si="45"/>
        <v>0.18214923469387756</v>
      </c>
      <c r="Q404" s="10">
        <f t="shared" si="46"/>
        <v>3.7947757227891157E-3</v>
      </c>
      <c r="R404" s="10">
        <f t="shared" si="47"/>
        <v>2.4207092683528889E-2</v>
      </c>
      <c r="S404" s="10">
        <f t="shared" si="48"/>
        <v>2.8001868406318006E-2</v>
      </c>
    </row>
    <row r="405" spans="1:19" x14ac:dyDescent="0.25">
      <c r="A405" s="5" t="s">
        <v>8</v>
      </c>
      <c r="B405" s="5" t="s">
        <v>339</v>
      </c>
      <c r="C405" s="5" t="s">
        <v>27</v>
      </c>
      <c r="D405" s="5" t="s">
        <v>385</v>
      </c>
      <c r="E405" s="5" t="s">
        <v>384</v>
      </c>
      <c r="F405" s="5" t="s">
        <v>45</v>
      </c>
      <c r="G405" s="5" t="s">
        <v>383</v>
      </c>
      <c r="H405" s="5" t="s">
        <v>83</v>
      </c>
      <c r="I405" s="5" t="s">
        <v>341</v>
      </c>
      <c r="J405" s="15">
        <v>1103</v>
      </c>
      <c r="K405" s="7">
        <v>27.5</v>
      </c>
      <c r="L405" s="7">
        <f t="shared" si="43"/>
        <v>40.109090909090909</v>
      </c>
      <c r="M405" s="5" t="s">
        <v>10</v>
      </c>
      <c r="N405" s="5">
        <v>4</v>
      </c>
      <c r="O405" s="6">
        <f t="shared" si="44"/>
        <v>1.109024567768595</v>
      </c>
      <c r="P405" s="6">
        <f t="shared" si="45"/>
        <v>0.11533855504793387</v>
      </c>
      <c r="Q405" s="10">
        <f t="shared" si="46"/>
        <v>2.4028865634986222E-3</v>
      </c>
      <c r="R405" s="10">
        <f t="shared" si="47"/>
        <v>1.7183158637034863E-2</v>
      </c>
      <c r="S405" s="10">
        <f t="shared" si="48"/>
        <v>1.9586045200533485E-2</v>
      </c>
    </row>
    <row r="406" spans="1:19" x14ac:dyDescent="0.25">
      <c r="A406" s="5" t="s">
        <v>8</v>
      </c>
      <c r="B406" s="5" t="s">
        <v>369</v>
      </c>
      <c r="C406" s="5" t="s">
        <v>27</v>
      </c>
      <c r="D406" s="5" t="s">
        <v>385</v>
      </c>
      <c r="E406" s="5" t="s">
        <v>384</v>
      </c>
      <c r="F406" s="5" t="s">
        <v>45</v>
      </c>
      <c r="G406" s="5" t="s">
        <v>383</v>
      </c>
      <c r="H406" s="5" t="s">
        <v>83</v>
      </c>
      <c r="I406" s="5" t="s">
        <v>341</v>
      </c>
      <c r="J406" s="15">
        <v>1260</v>
      </c>
      <c r="K406" s="7">
        <v>29.9</v>
      </c>
      <c r="L406" s="7">
        <f t="shared" si="43"/>
        <v>42.140468227424748</v>
      </c>
      <c r="M406" s="5" t="s">
        <v>10</v>
      </c>
      <c r="N406" s="5">
        <v>4</v>
      </c>
      <c r="O406" s="6">
        <f t="shared" si="44"/>
        <v>1.3984575116609432</v>
      </c>
      <c r="P406" s="6">
        <f t="shared" si="45"/>
        <v>0.14543958121273809</v>
      </c>
      <c r="Q406" s="10">
        <f t="shared" si="46"/>
        <v>3.029991275265377E-3</v>
      </c>
      <c r="R406" s="10">
        <f t="shared" si="47"/>
        <v>2.0447211129455776E-2</v>
      </c>
      <c r="S406" s="10">
        <f t="shared" si="48"/>
        <v>2.3477202404721152E-2</v>
      </c>
    </row>
    <row r="407" spans="1:19" x14ac:dyDescent="0.25">
      <c r="A407" s="5" t="s">
        <v>8</v>
      </c>
      <c r="B407" s="5" t="s">
        <v>339</v>
      </c>
      <c r="C407" s="5" t="s">
        <v>27</v>
      </c>
      <c r="D407" s="5" t="s">
        <v>385</v>
      </c>
      <c r="E407" s="5" t="s">
        <v>384</v>
      </c>
      <c r="F407" s="5" t="s">
        <v>45</v>
      </c>
      <c r="G407" s="5" t="s">
        <v>383</v>
      </c>
      <c r="H407" s="5" t="s">
        <v>83</v>
      </c>
      <c r="I407" s="5" t="s">
        <v>340</v>
      </c>
      <c r="J407" s="15">
        <v>1023</v>
      </c>
      <c r="K407" s="7">
        <v>26.4</v>
      </c>
      <c r="L407" s="7">
        <f t="shared" si="43"/>
        <v>38.75</v>
      </c>
      <c r="M407" s="5" t="s">
        <v>10</v>
      </c>
      <c r="N407" s="5">
        <v>4</v>
      </c>
      <c r="O407" s="6">
        <f t="shared" si="44"/>
        <v>0.96006152343749995</v>
      </c>
      <c r="P407" s="6">
        <f t="shared" si="45"/>
        <v>9.9846398437499997E-2</v>
      </c>
      <c r="Q407" s="10">
        <f t="shared" si="46"/>
        <v>2.0801333007812498E-3</v>
      </c>
      <c r="R407" s="10">
        <f t="shared" si="47"/>
        <v>1.5421315518521045E-2</v>
      </c>
      <c r="S407" s="10">
        <f t="shared" si="48"/>
        <v>1.7501448819302295E-2</v>
      </c>
    </row>
    <row r="408" spans="1:19" x14ac:dyDescent="0.25">
      <c r="A408" s="5" t="s">
        <v>8</v>
      </c>
      <c r="B408" s="5" t="s">
        <v>339</v>
      </c>
      <c r="C408" s="5" t="s">
        <v>27</v>
      </c>
      <c r="D408" s="5" t="s">
        <v>385</v>
      </c>
      <c r="E408" s="5" t="s">
        <v>384</v>
      </c>
      <c r="F408" s="5" t="s">
        <v>45</v>
      </c>
      <c r="G408" s="5" t="s">
        <v>383</v>
      </c>
      <c r="H408" s="5" t="s">
        <v>83</v>
      </c>
      <c r="I408" s="5" t="s">
        <v>340</v>
      </c>
      <c r="J408" s="15">
        <v>1009</v>
      </c>
      <c r="K408" s="7">
        <v>22.1</v>
      </c>
      <c r="L408" s="7">
        <f t="shared" si="43"/>
        <v>45.656108597285062</v>
      </c>
      <c r="M408" s="5" t="s">
        <v>10</v>
      </c>
      <c r="N408" s="5">
        <v>4</v>
      </c>
      <c r="O408" s="6">
        <f t="shared" si="44"/>
        <v>1.314525359073319</v>
      </c>
      <c r="P408" s="6">
        <f t="shared" si="45"/>
        <v>0.13671063734362518</v>
      </c>
      <c r="Q408" s="10">
        <f t="shared" si="46"/>
        <v>2.8481382779921914E-3</v>
      </c>
      <c r="R408" s="10">
        <f t="shared" si="47"/>
        <v>1.9519732008710461E-2</v>
      </c>
      <c r="S408" s="10">
        <f t="shared" si="48"/>
        <v>2.2367870286702653E-2</v>
      </c>
    </row>
    <row r="409" spans="1:19" x14ac:dyDescent="0.25">
      <c r="A409" s="5" t="s">
        <v>8</v>
      </c>
      <c r="B409" s="5" t="s">
        <v>369</v>
      </c>
      <c r="C409" s="5" t="s">
        <v>27</v>
      </c>
      <c r="D409" s="5" t="s">
        <v>385</v>
      </c>
      <c r="E409" s="5" t="s">
        <v>384</v>
      </c>
      <c r="F409" s="5" t="s">
        <v>45</v>
      </c>
      <c r="G409" s="5" t="s">
        <v>383</v>
      </c>
      <c r="H409" s="5" t="s">
        <v>83</v>
      </c>
      <c r="I409" s="5" t="s">
        <v>340</v>
      </c>
      <c r="J409" s="15">
        <v>1340</v>
      </c>
      <c r="K409" s="7">
        <v>36.5</v>
      </c>
      <c r="L409" s="7">
        <f t="shared" si="43"/>
        <v>36.712328767123289</v>
      </c>
      <c r="M409" s="5" t="s">
        <v>10</v>
      </c>
      <c r="N409" s="5">
        <v>4</v>
      </c>
      <c r="O409" s="6">
        <f t="shared" si="44"/>
        <v>1.1287783824357291</v>
      </c>
      <c r="P409" s="6">
        <f t="shared" si="45"/>
        <v>0.11739295177331582</v>
      </c>
      <c r="Q409" s="10">
        <f t="shared" si="46"/>
        <v>2.4456864952774131E-3</v>
      </c>
      <c r="R409" s="10">
        <f t="shared" si="47"/>
        <v>1.7412199601379269E-2</v>
      </c>
      <c r="S409" s="10">
        <f t="shared" si="48"/>
        <v>1.9857886096656681E-2</v>
      </c>
    </row>
    <row r="410" spans="1:19" x14ac:dyDescent="0.25">
      <c r="J410" s="16">
        <f t="shared" ref="J410:S410" si="49">AVERAGE(J14:J409)</f>
        <v>1800.0378787878788</v>
      </c>
      <c r="K410" s="12">
        <f t="shared" si="49"/>
        <v>30.205555555555563</v>
      </c>
      <c r="L410" s="12">
        <f t="shared" si="49"/>
        <v>59.652047804960866</v>
      </c>
      <c r="M410" s="11" t="e">
        <f t="shared" si="49"/>
        <v>#DIV/0!</v>
      </c>
      <c r="N410" s="11">
        <f t="shared" si="49"/>
        <v>4</v>
      </c>
      <c r="O410" s="13">
        <f t="shared" si="49"/>
        <v>6.1415961047014713</v>
      </c>
      <c r="P410" s="13">
        <f t="shared" si="49"/>
        <v>0.63872599488895221</v>
      </c>
      <c r="Q410" s="14">
        <f t="shared" si="49"/>
        <v>1.3306791560186524E-2</v>
      </c>
      <c r="R410" s="14">
        <f t="shared" si="49"/>
        <v>5.4899154558278929E-2</v>
      </c>
      <c r="S410" s="14">
        <f t="shared" si="49"/>
        <v>6.8205946118465421E-2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opLeftCell="H1" workbookViewId="0">
      <pane ySplit="1" topLeftCell="A143" activePane="bottomLeft" state="frozen"/>
      <selection pane="bottomLeft" activeCell="T1" sqref="T1:AB1048576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890</v>
      </c>
      <c r="K2" s="7">
        <v>19</v>
      </c>
      <c r="L2" s="7">
        <f>J2/K2</f>
        <v>46.842105263157897</v>
      </c>
      <c r="M2" s="5" t="s">
        <v>9</v>
      </c>
      <c r="N2" s="5">
        <v>4</v>
      </c>
      <c r="O2" s="6">
        <f>(J2*L2^2)/(1.6*10^6)</f>
        <v>1.2205141966759003</v>
      </c>
      <c r="P2" s="6">
        <f>(0.104*J2*L2^2)/(1.6*10^6)</f>
        <v>0.12693347645429362</v>
      </c>
      <c r="Q2" s="10">
        <f>(0.104*O2)/(12*N2)</f>
        <v>2.6444474261311172E-3</v>
      </c>
      <c r="R2" s="10">
        <f>0.0159*O2^0.75</f>
        <v>1.8463084224508496E-2</v>
      </c>
      <c r="S2" s="10">
        <f>Q2+R2</f>
        <v>2.1107531650639614E-2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850</v>
      </c>
      <c r="K3" s="7">
        <v>13</v>
      </c>
      <c r="L3" s="7">
        <f>J3/K3</f>
        <v>65.384615384615387</v>
      </c>
      <c r="M3" s="5" t="s">
        <v>9</v>
      </c>
      <c r="N3" s="5">
        <v>4</v>
      </c>
      <c r="O3" s="6">
        <f>(J3*L3^2)/(1.6*10^6)</f>
        <v>2.2711723372781067</v>
      </c>
      <c r="P3" s="6">
        <f>(0.104*J3*L3^2)/(1.6*10^6)</f>
        <v>0.23620192307692309</v>
      </c>
      <c r="Q3" s="10">
        <f>(0.104*O3)/(12*N3)</f>
        <v>4.9208733974358976E-3</v>
      </c>
      <c r="R3" s="10">
        <f>0.0159*O3^0.75</f>
        <v>2.9416072803725764E-2</v>
      </c>
      <c r="S3" s="10">
        <f>Q3+R3</f>
        <v>3.4336946201161664E-2</v>
      </c>
    </row>
    <row r="4" spans="1:19" x14ac:dyDescent="0.25">
      <c r="A4" s="5" t="s">
        <v>22</v>
      </c>
      <c r="B4" s="5" t="s">
        <v>63</v>
      </c>
      <c r="C4" s="5" t="s">
        <v>27</v>
      </c>
      <c r="D4" s="5" t="s">
        <v>389</v>
      </c>
      <c r="E4" s="5" t="s">
        <v>388</v>
      </c>
      <c r="F4" s="5" t="s">
        <v>28</v>
      </c>
      <c r="G4" s="5" t="s">
        <v>398</v>
      </c>
      <c r="H4" s="5" t="s">
        <v>133</v>
      </c>
      <c r="I4" s="5" t="s">
        <v>25</v>
      </c>
      <c r="J4" s="15">
        <v>1900</v>
      </c>
      <c r="K4" s="7">
        <v>50</v>
      </c>
      <c r="L4" s="7">
        <f>J4/K4</f>
        <v>38</v>
      </c>
      <c r="M4" s="5" t="s">
        <v>9</v>
      </c>
      <c r="N4" s="5">
        <v>4</v>
      </c>
      <c r="O4" s="6">
        <f>(J4*L4^2)/(1.6*10^6)</f>
        <v>1.71475</v>
      </c>
      <c r="P4" s="6">
        <f>(0.104*J4*L4^2)/(1.6*10^6)</f>
        <v>0.17833399999999996</v>
      </c>
      <c r="Q4" s="10">
        <f>(0.104*O4)/(12*N4)</f>
        <v>3.7152916666666667E-3</v>
      </c>
      <c r="R4" s="10">
        <f>0.0159*O4^0.75</f>
        <v>2.3825813226263679E-2</v>
      </c>
      <c r="S4" s="10">
        <f>Q4+R4</f>
        <v>2.7541104892930345E-2</v>
      </c>
    </row>
    <row r="5" spans="1:19" x14ac:dyDescent="0.25">
      <c r="J5" s="16">
        <f>AVERAGE(J2:J4)</f>
        <v>1213.3333333333333</v>
      </c>
      <c r="K5" s="12">
        <f t="shared" ref="K5:S5" si="0">AVERAGE(K2:K4)</f>
        <v>27.333333333333332</v>
      </c>
      <c r="L5" s="12">
        <f t="shared" si="0"/>
        <v>50.075573549257761</v>
      </c>
      <c r="M5" s="11" t="e">
        <f t="shared" si="0"/>
        <v>#DIV/0!</v>
      </c>
      <c r="N5" s="11">
        <f t="shared" si="0"/>
        <v>4</v>
      </c>
      <c r="O5" s="13">
        <f t="shared" si="0"/>
        <v>1.7354788446513354</v>
      </c>
      <c r="P5" s="13">
        <f t="shared" si="0"/>
        <v>0.18048979984373889</v>
      </c>
      <c r="Q5" s="14">
        <f t="shared" si="0"/>
        <v>3.7602041634112273E-3</v>
      </c>
      <c r="R5" s="14">
        <f t="shared" si="0"/>
        <v>2.3901656751499314E-2</v>
      </c>
      <c r="S5" s="14">
        <f t="shared" si="0"/>
        <v>2.7661860914910536E-2</v>
      </c>
    </row>
    <row r="6" spans="1:19" x14ac:dyDescent="0.25">
      <c r="A6" s="5" t="s">
        <v>8</v>
      </c>
      <c r="B6" s="5" t="s">
        <v>277</v>
      </c>
      <c r="C6" s="5" t="s">
        <v>27</v>
      </c>
      <c r="D6" s="5" t="s">
        <v>385</v>
      </c>
      <c r="E6" s="5" t="s">
        <v>387</v>
      </c>
      <c r="F6" s="5" t="s">
        <v>52</v>
      </c>
      <c r="G6" s="5" t="s">
        <v>386</v>
      </c>
      <c r="H6" s="5" t="s">
        <v>58</v>
      </c>
      <c r="I6" s="5" t="s">
        <v>278</v>
      </c>
      <c r="J6" s="15">
        <v>1640</v>
      </c>
      <c r="K6" s="7">
        <v>34.5</v>
      </c>
      <c r="L6" s="7">
        <f t="shared" ref="L6:L37" si="1">J6/K6</f>
        <v>47.536231884057969</v>
      </c>
      <c r="M6" s="5" t="s">
        <v>9</v>
      </c>
      <c r="N6" s="5">
        <v>4</v>
      </c>
      <c r="O6" s="6">
        <f t="shared" ref="O6:O37" si="2">(J6*L6^2)/(1.6*10^6)</f>
        <v>2.316185675278303</v>
      </c>
      <c r="P6" s="6">
        <f t="shared" ref="P6:P37" si="3">(0.104*J6*L6^2)/(1.6*10^6)</f>
        <v>0.24088331022894349</v>
      </c>
      <c r="Q6" s="10">
        <f t="shared" ref="Q6:Q37" si="4">(0.104*O6)/(12*N6)</f>
        <v>5.0184022964363225E-3</v>
      </c>
      <c r="R6" s="10">
        <f t="shared" ref="R6:R37" si="5">0.0159*O6^0.75</f>
        <v>2.9852255693463999E-2</v>
      </c>
      <c r="S6" s="10">
        <f t="shared" ref="S6:S37" si="6">Q6+R6</f>
        <v>3.4870657989900321E-2</v>
      </c>
    </row>
    <row r="7" spans="1:19" x14ac:dyDescent="0.25">
      <c r="A7" s="5" t="s">
        <v>8</v>
      </c>
      <c r="B7" s="5" t="s">
        <v>291</v>
      </c>
      <c r="C7" s="5" t="s">
        <v>27</v>
      </c>
      <c r="D7" s="5" t="s">
        <v>385</v>
      </c>
      <c r="E7" s="5" t="s">
        <v>387</v>
      </c>
      <c r="F7" s="5" t="s">
        <v>52</v>
      </c>
      <c r="G7" s="5" t="s">
        <v>386</v>
      </c>
      <c r="H7" s="5" t="s">
        <v>58</v>
      </c>
      <c r="I7" s="5" t="s">
        <v>278</v>
      </c>
      <c r="J7" s="15">
        <v>1650</v>
      </c>
      <c r="K7" s="7">
        <v>36.5</v>
      </c>
      <c r="L7" s="7">
        <f t="shared" si="1"/>
        <v>45.205479452054796</v>
      </c>
      <c r="M7" s="5" t="s">
        <v>9</v>
      </c>
      <c r="N7" s="5">
        <v>4</v>
      </c>
      <c r="O7" s="6">
        <f t="shared" si="2"/>
        <v>2.1073958528804653</v>
      </c>
      <c r="P7" s="6">
        <f t="shared" si="3"/>
        <v>0.2191691686995684</v>
      </c>
      <c r="Q7" s="10">
        <f t="shared" si="4"/>
        <v>4.5660243479076741E-3</v>
      </c>
      <c r="R7" s="10">
        <f t="shared" si="5"/>
        <v>2.7810366682914086E-2</v>
      </c>
      <c r="S7" s="10">
        <f t="shared" si="6"/>
        <v>3.2376391030821759E-2</v>
      </c>
    </row>
    <row r="8" spans="1:19" x14ac:dyDescent="0.25">
      <c r="A8" s="5" t="s">
        <v>8</v>
      </c>
      <c r="B8" s="5" t="s">
        <v>291</v>
      </c>
      <c r="C8" s="5" t="s">
        <v>27</v>
      </c>
      <c r="D8" s="5" t="s">
        <v>385</v>
      </c>
      <c r="E8" s="5" t="s">
        <v>387</v>
      </c>
      <c r="F8" s="5" t="s">
        <v>52</v>
      </c>
      <c r="G8" s="5" t="s">
        <v>386</v>
      </c>
      <c r="H8" s="5" t="s">
        <v>58</v>
      </c>
      <c r="I8" s="5" t="s">
        <v>257</v>
      </c>
      <c r="J8" s="15">
        <v>3200</v>
      </c>
      <c r="K8" s="7">
        <v>50</v>
      </c>
      <c r="L8" s="7">
        <f t="shared" si="1"/>
        <v>64</v>
      </c>
      <c r="M8" s="5" t="s">
        <v>9</v>
      </c>
      <c r="N8" s="5">
        <v>4</v>
      </c>
      <c r="O8" s="6">
        <f t="shared" si="2"/>
        <v>8.1920000000000002</v>
      </c>
      <c r="P8" s="6">
        <f t="shared" si="3"/>
        <v>0.85196800000000006</v>
      </c>
      <c r="Q8" s="10">
        <f t="shared" si="4"/>
        <v>1.7749333333333332E-2</v>
      </c>
      <c r="R8" s="10">
        <f t="shared" si="5"/>
        <v>7.6990932905730558E-2</v>
      </c>
      <c r="S8" s="10">
        <f t="shared" si="6"/>
        <v>9.4740266239063897E-2</v>
      </c>
    </row>
    <row r="9" spans="1:19" x14ac:dyDescent="0.25">
      <c r="A9" s="5" t="s">
        <v>8</v>
      </c>
      <c r="B9" s="5" t="s">
        <v>291</v>
      </c>
      <c r="C9" s="5" t="s">
        <v>27</v>
      </c>
      <c r="D9" s="5" t="s">
        <v>385</v>
      </c>
      <c r="E9" s="5" t="s">
        <v>387</v>
      </c>
      <c r="F9" s="5" t="s">
        <v>52</v>
      </c>
      <c r="G9" s="5" t="s">
        <v>386</v>
      </c>
      <c r="H9" s="5" t="s">
        <v>58</v>
      </c>
      <c r="I9" s="5" t="s">
        <v>292</v>
      </c>
      <c r="J9" s="15">
        <v>2200</v>
      </c>
      <c r="K9" s="7">
        <v>30.5</v>
      </c>
      <c r="L9" s="7">
        <f t="shared" si="1"/>
        <v>72.131147540983605</v>
      </c>
      <c r="M9" s="5" t="s">
        <v>9</v>
      </c>
      <c r="N9" s="5">
        <v>4</v>
      </c>
      <c r="O9" s="6">
        <f t="shared" si="2"/>
        <v>7.153990862671324</v>
      </c>
      <c r="P9" s="6">
        <f t="shared" si="3"/>
        <v>0.74401504971781773</v>
      </c>
      <c r="Q9" s="10">
        <f t="shared" si="4"/>
        <v>1.5500313535787867E-2</v>
      </c>
      <c r="R9" s="10">
        <f t="shared" si="5"/>
        <v>6.9551805788942461E-2</v>
      </c>
      <c r="S9" s="10">
        <f t="shared" si="6"/>
        <v>8.5052119324730335E-2</v>
      </c>
    </row>
    <row r="10" spans="1:19" x14ac:dyDescent="0.25">
      <c r="A10" s="5" t="s">
        <v>22</v>
      </c>
      <c r="B10" s="5" t="s">
        <v>26</v>
      </c>
      <c r="C10" s="5" t="s">
        <v>27</v>
      </c>
      <c r="D10" s="5" t="s">
        <v>385</v>
      </c>
      <c r="E10" s="5" t="s">
        <v>387</v>
      </c>
      <c r="F10" s="5" t="s">
        <v>52</v>
      </c>
      <c r="G10" s="5" t="s">
        <v>386</v>
      </c>
      <c r="H10" s="5" t="s">
        <v>58</v>
      </c>
      <c r="I10" s="5" t="s">
        <v>59</v>
      </c>
      <c r="J10" s="15">
        <v>1650</v>
      </c>
      <c r="K10" s="7">
        <v>33</v>
      </c>
      <c r="L10" s="7">
        <f t="shared" si="1"/>
        <v>50</v>
      </c>
      <c r="M10" s="5" t="s">
        <v>9</v>
      </c>
      <c r="N10" s="5">
        <v>4</v>
      </c>
      <c r="O10" s="6">
        <f t="shared" si="2"/>
        <v>2.578125</v>
      </c>
      <c r="P10" s="6">
        <f t="shared" si="3"/>
        <v>0.268125</v>
      </c>
      <c r="Q10" s="10">
        <f t="shared" si="4"/>
        <v>5.5859374999999998E-3</v>
      </c>
      <c r="R10" s="10">
        <f t="shared" si="5"/>
        <v>3.2350060856390632E-2</v>
      </c>
      <c r="S10" s="10">
        <f t="shared" si="6"/>
        <v>3.7935998356390631E-2</v>
      </c>
    </row>
    <row r="11" spans="1:19" x14ac:dyDescent="0.25">
      <c r="A11" s="5" t="s">
        <v>8</v>
      </c>
      <c r="B11" s="5" t="s">
        <v>291</v>
      </c>
      <c r="C11" s="5" t="s">
        <v>27</v>
      </c>
      <c r="D11" s="5" t="s">
        <v>385</v>
      </c>
      <c r="E11" s="5" t="s">
        <v>387</v>
      </c>
      <c r="F11" s="5" t="s">
        <v>52</v>
      </c>
      <c r="G11" s="5" t="s">
        <v>386</v>
      </c>
      <c r="H11" s="5" t="s">
        <v>58</v>
      </c>
      <c r="I11" s="5" t="s">
        <v>59</v>
      </c>
      <c r="J11" s="15">
        <v>1650</v>
      </c>
      <c r="K11" s="7">
        <v>33</v>
      </c>
      <c r="L11" s="7">
        <f t="shared" si="1"/>
        <v>50</v>
      </c>
      <c r="M11" s="5" t="s">
        <v>9</v>
      </c>
      <c r="N11" s="5">
        <v>4</v>
      </c>
      <c r="O11" s="6">
        <f t="shared" si="2"/>
        <v>2.578125</v>
      </c>
      <c r="P11" s="6">
        <f t="shared" si="3"/>
        <v>0.268125</v>
      </c>
      <c r="Q11" s="10">
        <f t="shared" si="4"/>
        <v>5.5859374999999998E-3</v>
      </c>
      <c r="R11" s="10">
        <f t="shared" si="5"/>
        <v>3.2350060856390632E-2</v>
      </c>
      <c r="S11" s="10">
        <f t="shared" si="6"/>
        <v>3.7935998356390631E-2</v>
      </c>
    </row>
    <row r="12" spans="1:19" x14ac:dyDescent="0.25">
      <c r="A12" s="5" t="s">
        <v>8</v>
      </c>
      <c r="B12" s="5" t="s">
        <v>291</v>
      </c>
      <c r="C12" s="5" t="s">
        <v>27</v>
      </c>
      <c r="D12" s="5" t="s">
        <v>385</v>
      </c>
      <c r="E12" s="5" t="s">
        <v>387</v>
      </c>
      <c r="F12" s="5" t="s">
        <v>52</v>
      </c>
      <c r="G12" s="5" t="s">
        <v>386</v>
      </c>
      <c r="H12" s="5" t="s">
        <v>58</v>
      </c>
      <c r="I12" s="5" t="s">
        <v>59</v>
      </c>
      <c r="J12" s="15">
        <v>1650</v>
      </c>
      <c r="K12" s="7">
        <v>28</v>
      </c>
      <c r="L12" s="7">
        <f t="shared" si="1"/>
        <v>58.928571428571431</v>
      </c>
      <c r="M12" s="5" t="s">
        <v>9</v>
      </c>
      <c r="N12" s="5">
        <v>4</v>
      </c>
      <c r="O12" s="6">
        <f t="shared" si="2"/>
        <v>3.581094547193878</v>
      </c>
      <c r="P12" s="6">
        <f t="shared" si="3"/>
        <v>0.37243383290816329</v>
      </c>
      <c r="Q12" s="10">
        <f t="shared" si="4"/>
        <v>7.7590381855867354E-3</v>
      </c>
      <c r="R12" s="10">
        <f t="shared" si="5"/>
        <v>4.1391290283335047E-2</v>
      </c>
      <c r="S12" s="10">
        <f t="shared" si="6"/>
        <v>4.9150328468921783E-2</v>
      </c>
    </row>
    <row r="13" spans="1:19" x14ac:dyDescent="0.25">
      <c r="A13" s="5" t="s">
        <v>8</v>
      </c>
      <c r="B13" s="5" t="s">
        <v>291</v>
      </c>
      <c r="C13" s="5" t="s">
        <v>27</v>
      </c>
      <c r="D13" s="5" t="s">
        <v>385</v>
      </c>
      <c r="E13" s="5" t="s">
        <v>387</v>
      </c>
      <c r="F13" s="5" t="s">
        <v>52</v>
      </c>
      <c r="G13" s="5" t="s">
        <v>386</v>
      </c>
      <c r="H13" s="5" t="s">
        <v>58</v>
      </c>
      <c r="I13" s="5" t="s">
        <v>59</v>
      </c>
      <c r="J13" s="15">
        <v>1650</v>
      </c>
      <c r="K13" s="7">
        <v>21</v>
      </c>
      <c r="L13" s="7">
        <f t="shared" si="1"/>
        <v>78.571428571428569</v>
      </c>
      <c r="M13" s="5" t="s">
        <v>9</v>
      </c>
      <c r="N13" s="5">
        <v>4</v>
      </c>
      <c r="O13" s="6">
        <f t="shared" si="2"/>
        <v>6.3663903061224483</v>
      </c>
      <c r="P13" s="6">
        <f t="shared" si="3"/>
        <v>0.66210459183673465</v>
      </c>
      <c r="Q13" s="10">
        <f t="shared" si="4"/>
        <v>1.3793845663265303E-2</v>
      </c>
      <c r="R13" s="10">
        <f t="shared" si="5"/>
        <v>6.3726060232505155E-2</v>
      </c>
      <c r="S13" s="10">
        <f t="shared" si="6"/>
        <v>7.7519905895770458E-2</v>
      </c>
    </row>
    <row r="14" spans="1:19" x14ac:dyDescent="0.25">
      <c r="A14" s="5" t="s">
        <v>8</v>
      </c>
      <c r="B14" s="5" t="s">
        <v>291</v>
      </c>
      <c r="C14" s="5" t="s">
        <v>27</v>
      </c>
      <c r="D14" s="5" t="s">
        <v>385</v>
      </c>
      <c r="E14" s="5" t="s">
        <v>387</v>
      </c>
      <c r="F14" s="5" t="s">
        <v>52</v>
      </c>
      <c r="G14" s="5" t="s">
        <v>386</v>
      </c>
      <c r="H14" s="5" t="s">
        <v>58</v>
      </c>
      <c r="I14" s="5" t="s">
        <v>59</v>
      </c>
      <c r="J14" s="15">
        <v>1800</v>
      </c>
      <c r="K14" s="7">
        <v>35.5</v>
      </c>
      <c r="L14" s="7">
        <f t="shared" si="1"/>
        <v>50.70422535211268</v>
      </c>
      <c r="M14" s="5" t="s">
        <v>9</v>
      </c>
      <c r="N14" s="5">
        <v>4</v>
      </c>
      <c r="O14" s="6">
        <f t="shared" si="2"/>
        <v>2.8922832771275542</v>
      </c>
      <c r="P14" s="6">
        <f t="shared" si="3"/>
        <v>0.30079746082126563</v>
      </c>
      <c r="Q14" s="10">
        <f t="shared" si="4"/>
        <v>6.2666137671097003E-3</v>
      </c>
      <c r="R14" s="10">
        <f t="shared" si="5"/>
        <v>3.526368912472827E-2</v>
      </c>
      <c r="S14" s="10">
        <f t="shared" si="6"/>
        <v>4.153030289183797E-2</v>
      </c>
    </row>
    <row r="15" spans="1:19" x14ac:dyDescent="0.25">
      <c r="A15" s="5" t="s">
        <v>8</v>
      </c>
      <c r="B15" s="5" t="s">
        <v>319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59</v>
      </c>
      <c r="J15" s="15">
        <v>1850</v>
      </c>
      <c r="K15" s="7">
        <v>35</v>
      </c>
      <c r="L15" s="7">
        <f t="shared" si="1"/>
        <v>52.857142857142854</v>
      </c>
      <c r="M15" s="5" t="s">
        <v>9</v>
      </c>
      <c r="N15" s="5">
        <v>4</v>
      </c>
      <c r="O15" s="6">
        <f t="shared" si="2"/>
        <v>3.2304209183673462</v>
      </c>
      <c r="P15" s="6">
        <f t="shared" si="3"/>
        <v>0.33596377551020401</v>
      </c>
      <c r="Q15" s="10">
        <f t="shared" si="4"/>
        <v>6.9992453231292502E-3</v>
      </c>
      <c r="R15" s="10">
        <f t="shared" si="5"/>
        <v>3.8312585381453851E-2</v>
      </c>
      <c r="S15" s="10">
        <f t="shared" si="6"/>
        <v>4.5311830704583098E-2</v>
      </c>
    </row>
    <row r="16" spans="1:19" x14ac:dyDescent="0.25">
      <c r="A16" s="5" t="s">
        <v>8</v>
      </c>
      <c r="B16" s="5" t="s">
        <v>291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295</v>
      </c>
      <c r="J16" s="15">
        <v>2000</v>
      </c>
      <c r="K16" s="7">
        <v>35</v>
      </c>
      <c r="L16" s="7">
        <f t="shared" si="1"/>
        <v>57.142857142857146</v>
      </c>
      <c r="M16" s="5" t="s">
        <v>9</v>
      </c>
      <c r="N16" s="5">
        <v>4</v>
      </c>
      <c r="O16" s="6">
        <f t="shared" si="2"/>
        <v>4.0816326530612246</v>
      </c>
      <c r="P16" s="6">
        <f t="shared" si="3"/>
        <v>0.42448979591836739</v>
      </c>
      <c r="Q16" s="10">
        <f t="shared" si="4"/>
        <v>8.8435374149659855E-3</v>
      </c>
      <c r="R16" s="10">
        <f t="shared" si="5"/>
        <v>4.5658596864765109E-2</v>
      </c>
      <c r="S16" s="10">
        <f t="shared" si="6"/>
        <v>5.4502134279731093E-2</v>
      </c>
    </row>
    <row r="17" spans="1:19" x14ac:dyDescent="0.25">
      <c r="A17" s="5" t="s">
        <v>22</v>
      </c>
      <c r="B17" s="5" t="s">
        <v>26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60</v>
      </c>
      <c r="J17" s="15">
        <v>2050</v>
      </c>
      <c r="K17" s="7">
        <v>33.5</v>
      </c>
      <c r="L17" s="7">
        <f t="shared" si="1"/>
        <v>61.194029850746269</v>
      </c>
      <c r="M17" s="5" t="s">
        <v>9</v>
      </c>
      <c r="N17" s="5">
        <v>4</v>
      </c>
      <c r="O17" s="6">
        <f t="shared" si="2"/>
        <v>4.7979087770104698</v>
      </c>
      <c r="P17" s="6">
        <f t="shared" si="3"/>
        <v>0.4989825128090889</v>
      </c>
      <c r="Q17" s="10">
        <f t="shared" si="4"/>
        <v>1.0395469016856018E-2</v>
      </c>
      <c r="R17" s="10">
        <f t="shared" si="5"/>
        <v>5.1544948987063487E-2</v>
      </c>
      <c r="S17" s="10">
        <f t="shared" si="6"/>
        <v>6.1940418003919501E-2</v>
      </c>
    </row>
    <row r="18" spans="1:19" x14ac:dyDescent="0.25">
      <c r="A18" s="5" t="s">
        <v>8</v>
      </c>
      <c r="B18" s="5" t="s">
        <v>291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60</v>
      </c>
      <c r="J18" s="15">
        <v>1900</v>
      </c>
      <c r="K18" s="7">
        <v>30</v>
      </c>
      <c r="L18" s="7">
        <f t="shared" si="1"/>
        <v>63.333333333333336</v>
      </c>
      <c r="M18" s="5" t="s">
        <v>9</v>
      </c>
      <c r="N18" s="5">
        <v>4</v>
      </c>
      <c r="O18" s="6">
        <f t="shared" si="2"/>
        <v>4.7631944444444452</v>
      </c>
      <c r="P18" s="6">
        <f t="shared" si="3"/>
        <v>0.49537222222222227</v>
      </c>
      <c r="Q18" s="10">
        <f t="shared" si="4"/>
        <v>1.0320254629629631E-2</v>
      </c>
      <c r="R18" s="10">
        <f t="shared" si="5"/>
        <v>5.1264987686204244E-2</v>
      </c>
      <c r="S18" s="10">
        <f t="shared" si="6"/>
        <v>6.1585242315833871E-2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60</v>
      </c>
      <c r="J19" s="15">
        <v>2050</v>
      </c>
      <c r="K19" s="7">
        <v>33.5</v>
      </c>
      <c r="L19" s="7">
        <f t="shared" si="1"/>
        <v>61.194029850746269</v>
      </c>
      <c r="M19" s="5" t="s">
        <v>9</v>
      </c>
      <c r="N19" s="5">
        <v>4</v>
      </c>
      <c r="O19" s="6">
        <f t="shared" si="2"/>
        <v>4.7979087770104698</v>
      </c>
      <c r="P19" s="6">
        <f t="shared" si="3"/>
        <v>0.4989825128090889</v>
      </c>
      <c r="Q19" s="10">
        <f t="shared" si="4"/>
        <v>1.0395469016856018E-2</v>
      </c>
      <c r="R19" s="10">
        <f t="shared" si="5"/>
        <v>5.1544948987063487E-2</v>
      </c>
      <c r="S19" s="10">
        <f t="shared" si="6"/>
        <v>6.1940418003919501E-2</v>
      </c>
    </row>
    <row r="20" spans="1:19" x14ac:dyDescent="0.25">
      <c r="A20" s="5" t="s">
        <v>22</v>
      </c>
      <c r="B20" s="5" t="s">
        <v>26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61</v>
      </c>
      <c r="J20" s="15">
        <v>2550</v>
      </c>
      <c r="K20" s="7">
        <v>35</v>
      </c>
      <c r="L20" s="7">
        <f t="shared" si="1"/>
        <v>72.857142857142861</v>
      </c>
      <c r="M20" s="5" t="s">
        <v>9</v>
      </c>
      <c r="N20" s="5">
        <v>4</v>
      </c>
      <c r="O20" s="6">
        <f t="shared" si="2"/>
        <v>8.459885204081635</v>
      </c>
      <c r="P20" s="6">
        <f t="shared" si="3"/>
        <v>0.87982806122448998</v>
      </c>
      <c r="Q20" s="10">
        <f t="shared" si="4"/>
        <v>1.8329751275510207E-2</v>
      </c>
      <c r="R20" s="10">
        <f t="shared" si="5"/>
        <v>7.8871568346940854E-2</v>
      </c>
      <c r="S20" s="10">
        <f t="shared" si="6"/>
        <v>9.7201319622451057E-2</v>
      </c>
    </row>
    <row r="21" spans="1:19" x14ac:dyDescent="0.25">
      <c r="A21" s="5" t="s">
        <v>8</v>
      </c>
      <c r="B21" s="5" t="s">
        <v>291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61</v>
      </c>
      <c r="J21" s="15">
        <v>2600</v>
      </c>
      <c r="K21" s="7">
        <v>35</v>
      </c>
      <c r="L21" s="7">
        <f t="shared" si="1"/>
        <v>74.285714285714292</v>
      </c>
      <c r="M21" s="5" t="s">
        <v>9</v>
      </c>
      <c r="N21" s="5">
        <v>4</v>
      </c>
      <c r="O21" s="6">
        <f t="shared" si="2"/>
        <v>8.9673469387755116</v>
      </c>
      <c r="P21" s="6">
        <f t="shared" si="3"/>
        <v>0.93260408163265329</v>
      </c>
      <c r="Q21" s="10">
        <f t="shared" si="4"/>
        <v>1.9429251700680276E-2</v>
      </c>
      <c r="R21" s="10">
        <f t="shared" si="5"/>
        <v>8.2393908285298398E-2</v>
      </c>
      <c r="S21" s="10">
        <f t="shared" si="6"/>
        <v>0.10182315998597867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61</v>
      </c>
      <c r="J22" s="15">
        <v>2350</v>
      </c>
      <c r="K22" s="7">
        <v>30</v>
      </c>
      <c r="L22" s="7">
        <f t="shared" si="1"/>
        <v>78.333333333333329</v>
      </c>
      <c r="M22" s="5" t="s">
        <v>9</v>
      </c>
      <c r="N22" s="5">
        <v>4</v>
      </c>
      <c r="O22" s="6">
        <f t="shared" si="2"/>
        <v>9.0124131944444432</v>
      </c>
      <c r="P22" s="6">
        <f t="shared" si="3"/>
        <v>0.93729097222222202</v>
      </c>
      <c r="Q22" s="10">
        <f t="shared" si="4"/>
        <v>1.9526895254629625E-2</v>
      </c>
      <c r="R22" s="10">
        <f t="shared" si="5"/>
        <v>8.2704272421860542E-2</v>
      </c>
      <c r="S22" s="10">
        <f t="shared" si="6"/>
        <v>0.10223116767649017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61</v>
      </c>
      <c r="J23" s="15">
        <v>2600</v>
      </c>
      <c r="K23" s="7">
        <v>30</v>
      </c>
      <c r="L23" s="7">
        <f t="shared" si="1"/>
        <v>86.666666666666671</v>
      </c>
      <c r="M23" s="5" t="s">
        <v>9</v>
      </c>
      <c r="N23" s="5">
        <v>4</v>
      </c>
      <c r="O23" s="6">
        <f t="shared" si="2"/>
        <v>12.205555555555557</v>
      </c>
      <c r="P23" s="6">
        <f t="shared" si="3"/>
        <v>1.2693777777777777</v>
      </c>
      <c r="Q23" s="10">
        <f t="shared" si="4"/>
        <v>2.6445370370370373E-2</v>
      </c>
      <c r="R23" s="10">
        <f t="shared" si="5"/>
        <v>0.10382819119660902</v>
      </c>
      <c r="S23" s="10">
        <f t="shared" si="6"/>
        <v>0.13027356156697939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61</v>
      </c>
      <c r="J24" s="15">
        <v>2550</v>
      </c>
      <c r="K24" s="7">
        <v>35</v>
      </c>
      <c r="L24" s="7">
        <f t="shared" si="1"/>
        <v>72.857142857142861</v>
      </c>
      <c r="M24" s="5" t="s">
        <v>9</v>
      </c>
      <c r="N24" s="5">
        <v>4</v>
      </c>
      <c r="O24" s="6">
        <f t="shared" si="2"/>
        <v>8.459885204081635</v>
      </c>
      <c r="P24" s="6">
        <f t="shared" si="3"/>
        <v>0.87982806122448998</v>
      </c>
      <c r="Q24" s="10">
        <f t="shared" si="4"/>
        <v>1.8329751275510207E-2</v>
      </c>
      <c r="R24" s="10">
        <f t="shared" si="5"/>
        <v>7.8871568346940854E-2</v>
      </c>
      <c r="S24" s="10">
        <f t="shared" si="6"/>
        <v>9.7201319622451057E-2</v>
      </c>
    </row>
    <row r="25" spans="1:19" x14ac:dyDescent="0.25">
      <c r="A25" s="5" t="s">
        <v>8</v>
      </c>
      <c r="B25" s="5" t="s">
        <v>319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61</v>
      </c>
      <c r="J25" s="15">
        <v>2400</v>
      </c>
      <c r="K25" s="7">
        <v>30</v>
      </c>
      <c r="L25" s="7">
        <f t="shared" si="1"/>
        <v>80</v>
      </c>
      <c r="M25" s="5" t="s">
        <v>9</v>
      </c>
      <c r="N25" s="5">
        <v>4</v>
      </c>
      <c r="O25" s="6">
        <f t="shared" si="2"/>
        <v>9.6</v>
      </c>
      <c r="P25" s="6">
        <f t="shared" si="3"/>
        <v>0.99839999999999995</v>
      </c>
      <c r="Q25" s="10">
        <f t="shared" si="4"/>
        <v>2.0799999999999999E-2</v>
      </c>
      <c r="R25" s="10">
        <f t="shared" si="5"/>
        <v>8.671626204879955E-2</v>
      </c>
      <c r="S25" s="10">
        <f t="shared" si="6"/>
        <v>0.10751626204879955</v>
      </c>
    </row>
    <row r="26" spans="1:19" x14ac:dyDescent="0.25">
      <c r="A26" s="5" t="s">
        <v>22</v>
      </c>
      <c r="B26" s="5" t="s">
        <v>63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97</v>
      </c>
      <c r="I26" s="5" t="s">
        <v>61</v>
      </c>
      <c r="J26" s="15">
        <v>2600</v>
      </c>
      <c r="K26" s="7">
        <v>35</v>
      </c>
      <c r="L26" s="7">
        <f t="shared" si="1"/>
        <v>74.285714285714292</v>
      </c>
      <c r="M26" s="5" t="s">
        <v>9</v>
      </c>
      <c r="N26" s="5">
        <v>4</v>
      </c>
      <c r="O26" s="6">
        <f t="shared" si="2"/>
        <v>8.9673469387755116</v>
      </c>
      <c r="P26" s="6">
        <f t="shared" si="3"/>
        <v>0.93260408163265329</v>
      </c>
      <c r="Q26" s="10">
        <f t="shared" si="4"/>
        <v>1.9429251700680276E-2</v>
      </c>
      <c r="R26" s="10">
        <f t="shared" si="5"/>
        <v>8.2393908285298398E-2</v>
      </c>
      <c r="S26" s="10">
        <f t="shared" si="6"/>
        <v>0.10182315998597867</v>
      </c>
    </row>
    <row r="27" spans="1:19" x14ac:dyDescent="0.25">
      <c r="A27" s="5" t="s">
        <v>8</v>
      </c>
      <c r="B27" s="5" t="s">
        <v>287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102</v>
      </c>
      <c r="I27" s="5" t="s">
        <v>218</v>
      </c>
      <c r="J27" s="15">
        <v>2300</v>
      </c>
      <c r="K27" s="7">
        <v>35.700000000000003</v>
      </c>
      <c r="L27" s="7">
        <f t="shared" si="1"/>
        <v>64.425770308123248</v>
      </c>
      <c r="M27" s="5" t="s">
        <v>9</v>
      </c>
      <c r="N27" s="5">
        <v>4</v>
      </c>
      <c r="O27" s="6">
        <f t="shared" si="2"/>
        <v>5.9666023272053916</v>
      </c>
      <c r="P27" s="6">
        <f t="shared" si="3"/>
        <v>0.6205266420293607</v>
      </c>
      <c r="Q27" s="10">
        <f t="shared" si="4"/>
        <v>1.2927638375611681E-2</v>
      </c>
      <c r="R27" s="10">
        <f t="shared" si="5"/>
        <v>6.0700524564906364E-2</v>
      </c>
      <c r="S27" s="10">
        <f t="shared" si="6"/>
        <v>7.3628162940518049E-2</v>
      </c>
    </row>
    <row r="28" spans="1:19" x14ac:dyDescent="0.25">
      <c r="A28" s="5" t="s">
        <v>22</v>
      </c>
      <c r="B28" s="5" t="s">
        <v>63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98</v>
      </c>
      <c r="I28" s="5" t="s">
        <v>99</v>
      </c>
      <c r="J28" s="15">
        <v>2950</v>
      </c>
      <c r="K28" s="7">
        <v>38</v>
      </c>
      <c r="L28" s="7">
        <f t="shared" si="1"/>
        <v>77.631578947368425</v>
      </c>
      <c r="M28" s="5" t="s">
        <v>9</v>
      </c>
      <c r="N28" s="5">
        <v>4</v>
      </c>
      <c r="O28" s="6">
        <f t="shared" si="2"/>
        <v>11.111658154432133</v>
      </c>
      <c r="P28" s="6">
        <f t="shared" si="3"/>
        <v>1.155612448060942</v>
      </c>
      <c r="Q28" s="10">
        <f t="shared" si="4"/>
        <v>2.4075259334602955E-2</v>
      </c>
      <c r="R28" s="10">
        <f t="shared" si="5"/>
        <v>9.6767891534095082E-2</v>
      </c>
      <c r="S28" s="10">
        <f t="shared" si="6"/>
        <v>0.12084315086869804</v>
      </c>
    </row>
    <row r="29" spans="1:19" x14ac:dyDescent="0.25">
      <c r="A29" s="5" t="s">
        <v>8</v>
      </c>
      <c r="B29" s="5" t="s">
        <v>319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98</v>
      </c>
      <c r="I29" s="5" t="s">
        <v>99</v>
      </c>
      <c r="J29" s="15">
        <v>2300</v>
      </c>
      <c r="K29" s="7">
        <v>27.5</v>
      </c>
      <c r="L29" s="7">
        <f t="shared" si="1"/>
        <v>83.63636363636364</v>
      </c>
      <c r="M29" s="5" t="s">
        <v>9</v>
      </c>
      <c r="N29" s="5">
        <v>4</v>
      </c>
      <c r="O29" s="6">
        <f t="shared" si="2"/>
        <v>10.055371900826447</v>
      </c>
      <c r="P29" s="6">
        <f t="shared" si="3"/>
        <v>1.0457586776859504</v>
      </c>
      <c r="Q29" s="10">
        <f t="shared" si="4"/>
        <v>2.17866391184573E-2</v>
      </c>
      <c r="R29" s="10">
        <f t="shared" si="5"/>
        <v>8.9783333841978313E-2</v>
      </c>
      <c r="S29" s="10">
        <f t="shared" si="6"/>
        <v>0.11156997296043561</v>
      </c>
    </row>
    <row r="30" spans="1:19" x14ac:dyDescent="0.25">
      <c r="A30" s="5" t="s">
        <v>8</v>
      </c>
      <c r="B30" s="5" t="s">
        <v>319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98</v>
      </c>
      <c r="I30" s="5" t="s">
        <v>321</v>
      </c>
      <c r="J30" s="15">
        <v>2379</v>
      </c>
      <c r="K30" s="7">
        <v>28</v>
      </c>
      <c r="L30" s="7">
        <f t="shared" si="1"/>
        <v>84.964285714285708</v>
      </c>
      <c r="M30" s="5" t="s">
        <v>9</v>
      </c>
      <c r="N30" s="5">
        <v>4</v>
      </c>
      <c r="O30" s="6">
        <f t="shared" si="2"/>
        <v>10.733646316167091</v>
      </c>
      <c r="P30" s="6">
        <f t="shared" si="3"/>
        <v>1.1162992168813775</v>
      </c>
      <c r="Q30" s="10">
        <f t="shared" si="4"/>
        <v>2.3256233685028698E-2</v>
      </c>
      <c r="R30" s="10">
        <f t="shared" si="5"/>
        <v>9.4288252092691066E-2</v>
      </c>
      <c r="S30" s="10">
        <f t="shared" si="6"/>
        <v>0.11754448577771977</v>
      </c>
    </row>
    <row r="31" spans="1:19" x14ac:dyDescent="0.25">
      <c r="A31" s="5" t="s">
        <v>22</v>
      </c>
      <c r="B31" s="5" t="s">
        <v>63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100</v>
      </c>
      <c r="I31" s="5" t="s">
        <v>101</v>
      </c>
      <c r="J31" s="15">
        <v>2550</v>
      </c>
      <c r="K31" s="7">
        <v>41.5</v>
      </c>
      <c r="L31" s="7">
        <f t="shared" si="1"/>
        <v>61.445783132530117</v>
      </c>
      <c r="M31" s="5" t="s">
        <v>9</v>
      </c>
      <c r="N31" s="5">
        <v>4</v>
      </c>
      <c r="O31" s="6">
        <f t="shared" si="2"/>
        <v>6.0173374219770652</v>
      </c>
      <c r="P31" s="6">
        <f t="shared" si="3"/>
        <v>0.62580309188561467</v>
      </c>
      <c r="Q31" s="10">
        <f t="shared" si="4"/>
        <v>1.3037564414283642E-2</v>
      </c>
      <c r="R31" s="10">
        <f t="shared" si="5"/>
        <v>6.1087225180813873E-2</v>
      </c>
      <c r="S31" s="10">
        <f t="shared" si="6"/>
        <v>7.4124789595097509E-2</v>
      </c>
    </row>
    <row r="32" spans="1:19" x14ac:dyDescent="0.25">
      <c r="A32" s="5" t="s">
        <v>22</v>
      </c>
      <c r="B32" s="5" t="s">
        <v>63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394</v>
      </c>
      <c r="H32" s="5" t="s">
        <v>104</v>
      </c>
      <c r="I32" s="5" t="s">
        <v>105</v>
      </c>
      <c r="J32" s="15">
        <v>1150</v>
      </c>
      <c r="K32" s="7">
        <v>33.5</v>
      </c>
      <c r="L32" s="7">
        <f t="shared" si="1"/>
        <v>34.328358208955223</v>
      </c>
      <c r="M32" s="5" t="s">
        <v>9</v>
      </c>
      <c r="N32" s="5">
        <v>4</v>
      </c>
      <c r="O32" s="6">
        <f t="shared" si="2"/>
        <v>0.8470010024504343</v>
      </c>
      <c r="P32" s="6">
        <f t="shared" si="3"/>
        <v>8.8088104254845159E-2</v>
      </c>
      <c r="Q32" s="10">
        <f t="shared" si="4"/>
        <v>1.8351688386426075E-3</v>
      </c>
      <c r="R32" s="10">
        <f t="shared" si="5"/>
        <v>1.4038156107889724E-2</v>
      </c>
      <c r="S32" s="10">
        <f t="shared" si="6"/>
        <v>1.5873324946532333E-2</v>
      </c>
    </row>
    <row r="33" spans="1:19" x14ac:dyDescent="0.25">
      <c r="A33" s="5" t="s">
        <v>22</v>
      </c>
      <c r="B33" s="5" t="s">
        <v>63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394</v>
      </c>
      <c r="H33" s="5" t="s">
        <v>110</v>
      </c>
      <c r="I33" s="5" t="s">
        <v>111</v>
      </c>
      <c r="J33" s="15">
        <v>3075</v>
      </c>
      <c r="K33" s="7">
        <v>36</v>
      </c>
      <c r="L33" s="7">
        <f t="shared" si="1"/>
        <v>85.416666666666671</v>
      </c>
      <c r="M33" s="5" t="s">
        <v>9</v>
      </c>
      <c r="N33" s="5">
        <v>4</v>
      </c>
      <c r="O33" s="6">
        <f t="shared" si="2"/>
        <v>14.022013346354168</v>
      </c>
      <c r="P33" s="6">
        <f t="shared" si="3"/>
        <v>1.4582893880208334</v>
      </c>
      <c r="Q33" s="10">
        <f t="shared" si="4"/>
        <v>3.0381028917100695E-2</v>
      </c>
      <c r="R33" s="10">
        <f t="shared" si="5"/>
        <v>0.11521390760074078</v>
      </c>
      <c r="S33" s="10">
        <f t="shared" si="6"/>
        <v>0.14559493651784147</v>
      </c>
    </row>
    <row r="34" spans="1:19" x14ac:dyDescent="0.25">
      <c r="A34" s="5" t="s">
        <v>8</v>
      </c>
      <c r="B34" s="5" t="s">
        <v>161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394</v>
      </c>
      <c r="H34" s="5" t="s">
        <v>110</v>
      </c>
      <c r="I34" s="5" t="s">
        <v>162</v>
      </c>
      <c r="J34" s="15">
        <v>2220</v>
      </c>
      <c r="K34" s="7">
        <v>45.5</v>
      </c>
      <c r="L34" s="7">
        <f t="shared" si="1"/>
        <v>48.791208791208788</v>
      </c>
      <c r="M34" s="5" t="s">
        <v>9</v>
      </c>
      <c r="N34" s="5">
        <v>4</v>
      </c>
      <c r="O34" s="6">
        <f t="shared" si="2"/>
        <v>3.3030576017389204</v>
      </c>
      <c r="P34" s="6">
        <f t="shared" si="3"/>
        <v>0.3435179905808477</v>
      </c>
      <c r="Q34" s="10">
        <f t="shared" si="4"/>
        <v>7.1566248037676604E-3</v>
      </c>
      <c r="R34" s="10">
        <f t="shared" si="5"/>
        <v>3.8956886034440183E-2</v>
      </c>
      <c r="S34" s="10">
        <f t="shared" si="6"/>
        <v>4.6113510838207847E-2</v>
      </c>
    </row>
    <row r="35" spans="1:19" x14ac:dyDescent="0.25">
      <c r="A35" s="5" t="s">
        <v>8</v>
      </c>
      <c r="B35" s="5" t="s">
        <v>161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394</v>
      </c>
      <c r="H35" s="5" t="s">
        <v>110</v>
      </c>
      <c r="I35" s="5" t="s">
        <v>162</v>
      </c>
      <c r="J35" s="15">
        <v>2035</v>
      </c>
      <c r="K35" s="7">
        <v>39.5</v>
      </c>
      <c r="L35" s="7">
        <f t="shared" si="1"/>
        <v>51.518987341772153</v>
      </c>
      <c r="M35" s="5" t="s">
        <v>9</v>
      </c>
      <c r="N35" s="5">
        <v>4</v>
      </c>
      <c r="O35" s="6">
        <f t="shared" si="2"/>
        <v>3.3758183283928864</v>
      </c>
      <c r="P35" s="6">
        <f t="shared" si="3"/>
        <v>0.35108510615286009</v>
      </c>
      <c r="Q35" s="10">
        <f t="shared" si="4"/>
        <v>7.3142730448512534E-3</v>
      </c>
      <c r="R35" s="10">
        <f t="shared" si="5"/>
        <v>3.9598745211520084E-2</v>
      </c>
      <c r="S35" s="10">
        <f t="shared" si="6"/>
        <v>4.6913018256371335E-2</v>
      </c>
    </row>
    <row r="36" spans="1:19" x14ac:dyDescent="0.25">
      <c r="A36" s="5" t="s">
        <v>22</v>
      </c>
      <c r="B36" s="5" t="s">
        <v>63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394</v>
      </c>
      <c r="H36" s="5" t="s">
        <v>56</v>
      </c>
      <c r="I36" s="5" t="s">
        <v>103</v>
      </c>
      <c r="J36" s="15">
        <v>1600</v>
      </c>
      <c r="K36" s="7">
        <v>36.5</v>
      </c>
      <c r="L36" s="7">
        <f t="shared" si="1"/>
        <v>43.835616438356162</v>
      </c>
      <c r="M36" s="5" t="s">
        <v>9</v>
      </c>
      <c r="N36" s="5">
        <v>4</v>
      </c>
      <c r="O36" s="6">
        <f t="shared" si="2"/>
        <v>1.9215612685306809</v>
      </c>
      <c r="P36" s="6">
        <f t="shared" si="3"/>
        <v>0.19984237192719084</v>
      </c>
      <c r="Q36" s="10">
        <f t="shared" si="4"/>
        <v>4.163382748483142E-3</v>
      </c>
      <c r="R36" s="10">
        <f t="shared" si="5"/>
        <v>2.5950026257178908E-2</v>
      </c>
      <c r="S36" s="10">
        <f t="shared" si="6"/>
        <v>3.0113409005662048E-2</v>
      </c>
    </row>
    <row r="37" spans="1:19" x14ac:dyDescent="0.25">
      <c r="A37" s="5" t="s">
        <v>8</v>
      </c>
      <c r="B37" s="5" t="s">
        <v>165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394</v>
      </c>
      <c r="H37" s="5" t="s">
        <v>56</v>
      </c>
      <c r="I37" s="5" t="s">
        <v>169</v>
      </c>
      <c r="J37" s="15">
        <v>1980</v>
      </c>
      <c r="K37" s="7">
        <v>32</v>
      </c>
      <c r="L37" s="7">
        <f t="shared" si="1"/>
        <v>61.875</v>
      </c>
      <c r="M37" s="5" t="s">
        <v>9</v>
      </c>
      <c r="N37" s="5">
        <v>4</v>
      </c>
      <c r="O37" s="6">
        <f t="shared" si="2"/>
        <v>4.7377880859374999</v>
      </c>
      <c r="P37" s="6">
        <f t="shared" si="3"/>
        <v>0.49272996093749999</v>
      </c>
      <c r="Q37" s="10">
        <f t="shared" si="4"/>
        <v>1.026520751953125E-2</v>
      </c>
      <c r="R37" s="10">
        <f t="shared" si="5"/>
        <v>5.1059769265745597E-2</v>
      </c>
      <c r="S37" s="10">
        <f t="shared" si="6"/>
        <v>6.1324976785276847E-2</v>
      </c>
    </row>
    <row r="38" spans="1:19" x14ac:dyDescent="0.25">
      <c r="A38" s="5" t="s">
        <v>22</v>
      </c>
      <c r="B38" s="5" t="s">
        <v>26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394</v>
      </c>
      <c r="H38" s="5" t="s">
        <v>56</v>
      </c>
      <c r="I38" s="5" t="s">
        <v>57</v>
      </c>
      <c r="J38" s="15">
        <v>1750</v>
      </c>
      <c r="K38" s="7">
        <v>28.5</v>
      </c>
      <c r="L38" s="7">
        <f t="shared" ref="L38:L65" si="7">J38/K38</f>
        <v>61.403508771929822</v>
      </c>
      <c r="M38" s="5" t="s">
        <v>9</v>
      </c>
      <c r="N38" s="5">
        <v>4</v>
      </c>
      <c r="O38" s="6">
        <f t="shared" ref="O38:O65" si="8">(J38*L38^2)/(1.6*10^6)</f>
        <v>4.1238650353955055</v>
      </c>
      <c r="P38" s="6">
        <f t="shared" ref="P38:P65" si="9">(0.104*J38*L38^2)/(1.6*10^6)</f>
        <v>0.42888196368113263</v>
      </c>
      <c r="Q38" s="10">
        <f t="shared" ref="Q38:Q65" si="10">(0.104*O38)/(12*N38)</f>
        <v>8.9350409100235947E-3</v>
      </c>
      <c r="R38" s="10">
        <f t="shared" ref="R38:R65" si="11">0.0159*O38^0.75</f>
        <v>4.6012460418506596E-2</v>
      </c>
      <c r="S38" s="10">
        <f t="shared" ref="S38:S65" si="12">Q38+R38</f>
        <v>5.4947501328530192E-2</v>
      </c>
    </row>
    <row r="39" spans="1:19" x14ac:dyDescent="0.25">
      <c r="A39" s="5" t="s">
        <v>8</v>
      </c>
      <c r="B39" s="5" t="s">
        <v>187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394</v>
      </c>
      <c r="H39" s="5" t="s">
        <v>56</v>
      </c>
      <c r="I39" s="5" t="s">
        <v>57</v>
      </c>
      <c r="J39" s="15">
        <v>2120</v>
      </c>
      <c r="K39" s="7">
        <v>32.200000000000003</v>
      </c>
      <c r="L39" s="7">
        <f t="shared" si="7"/>
        <v>65.838509316770185</v>
      </c>
      <c r="M39" s="5" t="s">
        <v>9</v>
      </c>
      <c r="N39" s="5">
        <v>4</v>
      </c>
      <c r="O39" s="6">
        <f t="shared" si="8"/>
        <v>5.7434898344971259</v>
      </c>
      <c r="P39" s="6">
        <f t="shared" si="9"/>
        <v>0.59732294278770115</v>
      </c>
      <c r="Q39" s="10">
        <f t="shared" si="10"/>
        <v>1.2444227974743772E-2</v>
      </c>
      <c r="R39" s="10">
        <f t="shared" si="11"/>
        <v>5.89900843101481E-2</v>
      </c>
      <c r="S39" s="10">
        <f t="shared" si="12"/>
        <v>7.1434312284891874E-2</v>
      </c>
    </row>
    <row r="40" spans="1:19" x14ac:dyDescent="0.25">
      <c r="A40" s="5" t="s">
        <v>8</v>
      </c>
      <c r="B40" s="5" t="s">
        <v>187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394</v>
      </c>
      <c r="H40" s="5" t="s">
        <v>56</v>
      </c>
      <c r="I40" s="5" t="s">
        <v>57</v>
      </c>
      <c r="J40" s="15">
        <v>2070</v>
      </c>
      <c r="K40" s="7">
        <v>31.4</v>
      </c>
      <c r="L40" s="7">
        <f t="shared" si="7"/>
        <v>65.923566878980893</v>
      </c>
      <c r="M40" s="5" t="s">
        <v>9</v>
      </c>
      <c r="N40" s="5">
        <v>4</v>
      </c>
      <c r="O40" s="6">
        <f t="shared" si="8"/>
        <v>5.6225296918739085</v>
      </c>
      <c r="P40" s="6">
        <f t="shared" si="9"/>
        <v>0.58474308795488661</v>
      </c>
      <c r="Q40" s="10">
        <f t="shared" si="10"/>
        <v>1.2182147665726803E-2</v>
      </c>
      <c r="R40" s="10">
        <f t="shared" si="11"/>
        <v>5.8055843919859323E-2</v>
      </c>
      <c r="S40" s="10">
        <f t="shared" si="12"/>
        <v>7.0237991585586121E-2</v>
      </c>
    </row>
    <row r="41" spans="1:19" x14ac:dyDescent="0.25">
      <c r="A41" s="5" t="s">
        <v>8</v>
      </c>
      <c r="B41" s="5" t="s">
        <v>187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394</v>
      </c>
      <c r="H41" s="5" t="s">
        <v>56</v>
      </c>
      <c r="I41" s="5" t="s">
        <v>57</v>
      </c>
      <c r="J41" s="15">
        <v>2010</v>
      </c>
      <c r="K41" s="7">
        <v>31.4</v>
      </c>
      <c r="L41" s="7">
        <f t="shared" si="7"/>
        <v>64.012738853503194</v>
      </c>
      <c r="M41" s="5" t="s">
        <v>9</v>
      </c>
      <c r="N41" s="5">
        <v>4</v>
      </c>
      <c r="O41" s="6">
        <f t="shared" si="8"/>
        <v>5.1476486115055389</v>
      </c>
      <c r="P41" s="6">
        <f t="shared" si="9"/>
        <v>0.53535545559657605</v>
      </c>
      <c r="Q41" s="10">
        <f t="shared" si="10"/>
        <v>1.1153238658262002E-2</v>
      </c>
      <c r="R41" s="10">
        <f t="shared" si="11"/>
        <v>5.4338018137809183E-2</v>
      </c>
      <c r="S41" s="10">
        <f t="shared" si="12"/>
        <v>6.5491256796071179E-2</v>
      </c>
    </row>
    <row r="42" spans="1:19" x14ac:dyDescent="0.25">
      <c r="A42" s="5" t="s">
        <v>8</v>
      </c>
      <c r="B42" s="5" t="s">
        <v>187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394</v>
      </c>
      <c r="H42" s="5" t="s">
        <v>56</v>
      </c>
      <c r="I42" s="5" t="s">
        <v>57</v>
      </c>
      <c r="J42" s="15">
        <v>1990</v>
      </c>
      <c r="K42" s="7">
        <v>29.5</v>
      </c>
      <c r="L42" s="7">
        <f t="shared" si="7"/>
        <v>67.457627118644069</v>
      </c>
      <c r="M42" s="5" t="s">
        <v>9</v>
      </c>
      <c r="N42" s="5">
        <v>4</v>
      </c>
      <c r="O42" s="6">
        <f t="shared" si="8"/>
        <v>5.6597234989945413</v>
      </c>
      <c r="P42" s="6">
        <f t="shared" si="9"/>
        <v>0.58861124389543229</v>
      </c>
      <c r="Q42" s="10">
        <f t="shared" si="10"/>
        <v>1.2262734247821505E-2</v>
      </c>
      <c r="R42" s="10">
        <f t="shared" si="11"/>
        <v>5.8343641943083634E-2</v>
      </c>
      <c r="S42" s="10">
        <f t="shared" si="12"/>
        <v>7.0606376190905137E-2</v>
      </c>
    </row>
    <row r="43" spans="1:19" x14ac:dyDescent="0.25">
      <c r="A43" s="5" t="s">
        <v>22</v>
      </c>
      <c r="B43" s="5" t="s">
        <v>63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394</v>
      </c>
      <c r="H43" s="5" t="s">
        <v>56</v>
      </c>
      <c r="I43" s="5" t="s">
        <v>151</v>
      </c>
      <c r="J43" s="15">
        <v>3550</v>
      </c>
      <c r="K43" s="7">
        <v>33.5</v>
      </c>
      <c r="L43" s="7">
        <f t="shared" si="7"/>
        <v>105.97014925373135</v>
      </c>
      <c r="M43" s="5" t="s">
        <v>9</v>
      </c>
      <c r="N43" s="5">
        <v>4</v>
      </c>
      <c r="O43" s="6">
        <f t="shared" si="8"/>
        <v>24.91583593227891</v>
      </c>
      <c r="P43" s="6">
        <f t="shared" si="9"/>
        <v>2.5912469369570066</v>
      </c>
      <c r="Q43" s="10">
        <f t="shared" si="10"/>
        <v>5.3984311186604302E-2</v>
      </c>
      <c r="R43" s="10">
        <f t="shared" si="11"/>
        <v>0.1773183662256573</v>
      </c>
      <c r="S43" s="10">
        <f t="shared" si="12"/>
        <v>0.2313026774122616</v>
      </c>
    </row>
    <row r="44" spans="1:19" x14ac:dyDescent="0.25">
      <c r="A44" s="5" t="s">
        <v>8</v>
      </c>
      <c r="B44" s="5" t="s">
        <v>217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394</v>
      </c>
      <c r="H44" s="5" t="s">
        <v>56</v>
      </c>
      <c r="I44" s="5" t="s">
        <v>151</v>
      </c>
      <c r="J44" s="15">
        <v>3550</v>
      </c>
      <c r="K44" s="7">
        <v>33.5</v>
      </c>
      <c r="L44" s="7">
        <f t="shared" si="7"/>
        <v>105.97014925373135</v>
      </c>
      <c r="M44" s="5" t="s">
        <v>9</v>
      </c>
      <c r="N44" s="5">
        <v>4</v>
      </c>
      <c r="O44" s="6">
        <f t="shared" si="8"/>
        <v>24.91583593227891</v>
      </c>
      <c r="P44" s="6">
        <f t="shared" si="9"/>
        <v>2.5912469369570066</v>
      </c>
      <c r="Q44" s="10">
        <f t="shared" si="10"/>
        <v>5.3984311186604302E-2</v>
      </c>
      <c r="R44" s="10">
        <f t="shared" si="11"/>
        <v>0.1773183662256573</v>
      </c>
      <c r="S44" s="10">
        <f t="shared" si="12"/>
        <v>0.2313026774122616</v>
      </c>
    </row>
    <row r="45" spans="1:19" x14ac:dyDescent="0.25">
      <c r="A45" s="5" t="s">
        <v>22</v>
      </c>
      <c r="B45" s="5" t="s">
        <v>63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394</v>
      </c>
      <c r="H45" s="5" t="s">
        <v>108</v>
      </c>
      <c r="I45" s="5" t="s">
        <v>109</v>
      </c>
      <c r="J45" s="15">
        <v>1600</v>
      </c>
      <c r="K45" s="7">
        <v>36</v>
      </c>
      <c r="L45" s="7">
        <f t="shared" si="7"/>
        <v>44.444444444444443</v>
      </c>
      <c r="M45" s="5" t="s">
        <v>9</v>
      </c>
      <c r="N45" s="5">
        <v>4</v>
      </c>
      <c r="O45" s="6">
        <f t="shared" si="8"/>
        <v>1.9753086419753083</v>
      </c>
      <c r="P45" s="6">
        <f t="shared" si="9"/>
        <v>0.20543209876543209</v>
      </c>
      <c r="Q45" s="10">
        <f t="shared" si="10"/>
        <v>4.2798353909465009E-3</v>
      </c>
      <c r="R45" s="10">
        <f t="shared" si="11"/>
        <v>2.6492524653412002E-2</v>
      </c>
      <c r="S45" s="10">
        <f t="shared" si="12"/>
        <v>3.0772360044358502E-2</v>
      </c>
    </row>
    <row r="46" spans="1:19" x14ac:dyDescent="0.25">
      <c r="A46" s="5" t="s">
        <v>22</v>
      </c>
      <c r="B46" s="5" t="s">
        <v>63</v>
      </c>
      <c r="C46" s="5" t="s">
        <v>27</v>
      </c>
      <c r="D46" s="5" t="s">
        <v>385</v>
      </c>
      <c r="E46" s="5" t="s">
        <v>387</v>
      </c>
      <c r="F46" s="5" t="s">
        <v>112</v>
      </c>
      <c r="G46" s="5" t="s">
        <v>395</v>
      </c>
      <c r="H46" s="5" t="s">
        <v>129</v>
      </c>
      <c r="I46" s="5" t="s">
        <v>130</v>
      </c>
      <c r="J46" s="15">
        <v>2560</v>
      </c>
      <c r="K46" s="7">
        <v>44</v>
      </c>
      <c r="L46" s="7">
        <f t="shared" si="7"/>
        <v>58.18181818181818</v>
      </c>
      <c r="M46" s="5" t="s">
        <v>9</v>
      </c>
      <c r="N46" s="5">
        <v>4</v>
      </c>
      <c r="O46" s="6">
        <f t="shared" si="8"/>
        <v>5.4161983471074375</v>
      </c>
      <c r="P46" s="6">
        <f t="shared" si="9"/>
        <v>0.56328462809917346</v>
      </c>
      <c r="Q46" s="10">
        <f t="shared" si="10"/>
        <v>1.173509641873278E-2</v>
      </c>
      <c r="R46" s="10">
        <f t="shared" si="11"/>
        <v>5.6450532702040132E-2</v>
      </c>
      <c r="S46" s="10">
        <f t="shared" si="12"/>
        <v>6.8185629120772917E-2</v>
      </c>
    </row>
    <row r="47" spans="1:19" x14ac:dyDescent="0.25">
      <c r="A47" s="5" t="s">
        <v>22</v>
      </c>
      <c r="B47" s="5" t="s">
        <v>63</v>
      </c>
      <c r="C47" s="5" t="s">
        <v>27</v>
      </c>
      <c r="D47" s="5" t="s">
        <v>385</v>
      </c>
      <c r="E47" s="5" t="s">
        <v>387</v>
      </c>
      <c r="F47" s="5" t="s">
        <v>112</v>
      </c>
      <c r="G47" s="5" t="s">
        <v>395</v>
      </c>
      <c r="H47" s="5" t="s">
        <v>123</v>
      </c>
      <c r="I47" s="5" t="s">
        <v>124</v>
      </c>
      <c r="J47" s="15">
        <v>1700</v>
      </c>
      <c r="K47" s="7">
        <v>36.5</v>
      </c>
      <c r="L47" s="7">
        <f t="shared" si="7"/>
        <v>46.575342465753423</v>
      </c>
      <c r="M47" s="5" t="s">
        <v>9</v>
      </c>
      <c r="N47" s="5">
        <v>4</v>
      </c>
      <c r="O47" s="6">
        <f t="shared" si="8"/>
        <v>2.3048414336648522</v>
      </c>
      <c r="P47" s="6">
        <f t="shared" si="9"/>
        <v>0.23970350910114463</v>
      </c>
      <c r="Q47" s="10">
        <f t="shared" si="10"/>
        <v>4.9938231062738462E-3</v>
      </c>
      <c r="R47" s="10">
        <f t="shared" si="11"/>
        <v>2.974253037207969E-2</v>
      </c>
      <c r="S47" s="10">
        <f t="shared" si="12"/>
        <v>3.4736353478353535E-2</v>
      </c>
    </row>
    <row r="48" spans="1:19" x14ac:dyDescent="0.25">
      <c r="A48" s="5" t="s">
        <v>22</v>
      </c>
      <c r="B48" s="5" t="s">
        <v>63</v>
      </c>
      <c r="C48" s="5" t="s">
        <v>27</v>
      </c>
      <c r="D48" s="5" t="s">
        <v>385</v>
      </c>
      <c r="E48" s="5" t="s">
        <v>387</v>
      </c>
      <c r="F48" s="5" t="s">
        <v>112</v>
      </c>
      <c r="G48" s="5" t="s">
        <v>395</v>
      </c>
      <c r="H48" s="5" t="s">
        <v>127</v>
      </c>
      <c r="I48" s="5" t="s">
        <v>128</v>
      </c>
      <c r="J48" s="15">
        <v>2495</v>
      </c>
      <c r="K48" s="7">
        <v>37</v>
      </c>
      <c r="L48" s="7">
        <f t="shared" si="7"/>
        <v>67.432432432432435</v>
      </c>
      <c r="M48" s="5" t="s">
        <v>9</v>
      </c>
      <c r="N48" s="5">
        <v>4</v>
      </c>
      <c r="O48" s="6">
        <f t="shared" si="8"/>
        <v>7.090685434167276</v>
      </c>
      <c r="P48" s="6">
        <f t="shared" si="9"/>
        <v>0.73743128515339662</v>
      </c>
      <c r="Q48" s="10">
        <f t="shared" si="10"/>
        <v>1.5363151774029096E-2</v>
      </c>
      <c r="R48" s="10">
        <f t="shared" si="11"/>
        <v>6.9089697094163655E-2</v>
      </c>
      <c r="S48" s="10">
        <f t="shared" si="12"/>
        <v>8.4452848868192751E-2</v>
      </c>
    </row>
    <row r="49" spans="1:19" x14ac:dyDescent="0.25">
      <c r="A49" s="5" t="s">
        <v>8</v>
      </c>
      <c r="B49" s="5" t="s">
        <v>239</v>
      </c>
      <c r="C49" s="5" t="s">
        <v>27</v>
      </c>
      <c r="D49" s="5" t="s">
        <v>385</v>
      </c>
      <c r="E49" s="5" t="s">
        <v>387</v>
      </c>
      <c r="F49" s="5" t="s">
        <v>112</v>
      </c>
      <c r="G49" s="5" t="s">
        <v>395</v>
      </c>
      <c r="H49" s="5" t="s">
        <v>127</v>
      </c>
      <c r="I49" s="5" t="s">
        <v>240</v>
      </c>
      <c r="J49" s="15">
        <v>3180</v>
      </c>
      <c r="K49" s="7">
        <v>49.3</v>
      </c>
      <c r="L49" s="7">
        <f t="shared" si="7"/>
        <v>64.503042596348891</v>
      </c>
      <c r="M49" s="5" t="s">
        <v>9</v>
      </c>
      <c r="N49" s="5">
        <v>4</v>
      </c>
      <c r="O49" s="6">
        <f t="shared" si="8"/>
        <v>8.2692769770704686</v>
      </c>
      <c r="P49" s="6">
        <f t="shared" si="9"/>
        <v>0.86000480561532866</v>
      </c>
      <c r="Q49" s="10">
        <f t="shared" si="10"/>
        <v>1.7916766783652682E-2</v>
      </c>
      <c r="R49" s="10">
        <f t="shared" si="11"/>
        <v>7.7534997706638811E-2</v>
      </c>
      <c r="S49" s="10">
        <f t="shared" si="12"/>
        <v>9.5451764490291496E-2</v>
      </c>
    </row>
    <row r="50" spans="1:19" x14ac:dyDescent="0.25">
      <c r="A50" s="5" t="s">
        <v>8</v>
      </c>
      <c r="B50" s="5" t="s">
        <v>333</v>
      </c>
      <c r="C50" s="5" t="s">
        <v>27</v>
      </c>
      <c r="D50" s="5" t="s">
        <v>385</v>
      </c>
      <c r="E50" s="5" t="s">
        <v>387</v>
      </c>
      <c r="F50" s="5" t="s">
        <v>112</v>
      </c>
      <c r="G50" s="5" t="s">
        <v>395</v>
      </c>
      <c r="H50" s="5" t="s">
        <v>127</v>
      </c>
      <c r="I50" s="5" t="s">
        <v>240</v>
      </c>
      <c r="J50" s="15">
        <v>2290</v>
      </c>
      <c r="K50" s="7">
        <v>25.4</v>
      </c>
      <c r="L50" s="7">
        <f t="shared" si="7"/>
        <v>90.157480314960637</v>
      </c>
      <c r="M50" s="5" t="s">
        <v>9</v>
      </c>
      <c r="N50" s="5">
        <v>4</v>
      </c>
      <c r="O50" s="6">
        <f t="shared" si="8"/>
        <v>11.633731361212723</v>
      </c>
      <c r="P50" s="6">
        <f t="shared" si="9"/>
        <v>1.2099080615661233</v>
      </c>
      <c r="Q50" s="10">
        <f t="shared" si="10"/>
        <v>2.5206417949294232E-2</v>
      </c>
      <c r="R50" s="10">
        <f t="shared" si="11"/>
        <v>0.10015817386585321</v>
      </c>
      <c r="S50" s="10">
        <f t="shared" si="12"/>
        <v>0.12536459181514745</v>
      </c>
    </row>
    <row r="51" spans="1:19" x14ac:dyDescent="0.25">
      <c r="A51" s="5" t="s">
        <v>8</v>
      </c>
      <c r="B51" s="5" t="s">
        <v>333</v>
      </c>
      <c r="C51" s="5" t="s">
        <v>27</v>
      </c>
      <c r="D51" s="5" t="s">
        <v>385</v>
      </c>
      <c r="E51" s="5" t="s">
        <v>387</v>
      </c>
      <c r="F51" s="5" t="s">
        <v>112</v>
      </c>
      <c r="G51" s="5" t="s">
        <v>395</v>
      </c>
      <c r="H51" s="5" t="s">
        <v>127</v>
      </c>
      <c r="I51" s="5" t="s">
        <v>334</v>
      </c>
      <c r="J51" s="15">
        <v>1900</v>
      </c>
      <c r="K51" s="7">
        <v>34.200000000000003</v>
      </c>
      <c r="L51" s="7">
        <f t="shared" si="7"/>
        <v>55.55555555555555</v>
      </c>
      <c r="M51" s="5" t="s">
        <v>9</v>
      </c>
      <c r="N51" s="5">
        <v>4</v>
      </c>
      <c r="O51" s="6">
        <f t="shared" si="8"/>
        <v>3.6651234567901225</v>
      </c>
      <c r="P51" s="6">
        <f t="shared" si="9"/>
        <v>0.38117283950617276</v>
      </c>
      <c r="Q51" s="10">
        <f t="shared" si="10"/>
        <v>7.9411008230452652E-3</v>
      </c>
      <c r="R51" s="10">
        <f t="shared" si="11"/>
        <v>4.2117596577025559E-2</v>
      </c>
      <c r="S51" s="10">
        <f t="shared" si="12"/>
        <v>5.0058697400070823E-2</v>
      </c>
    </row>
    <row r="52" spans="1:19" x14ac:dyDescent="0.25">
      <c r="A52" s="5" t="s">
        <v>8</v>
      </c>
      <c r="B52" s="5" t="s">
        <v>350</v>
      </c>
      <c r="C52" s="5" t="s">
        <v>27</v>
      </c>
      <c r="D52" s="5" t="s">
        <v>385</v>
      </c>
      <c r="E52" s="5" t="s">
        <v>387</v>
      </c>
      <c r="F52" s="5" t="s">
        <v>112</v>
      </c>
      <c r="G52" s="5" t="s">
        <v>391</v>
      </c>
      <c r="H52" s="5" t="s">
        <v>53</v>
      </c>
      <c r="I52" s="5" t="s">
        <v>349</v>
      </c>
      <c r="J52" s="15">
        <v>2700</v>
      </c>
      <c r="K52" s="7">
        <v>40.5</v>
      </c>
      <c r="L52" s="7">
        <f t="shared" si="7"/>
        <v>66.666666666666671</v>
      </c>
      <c r="M52" s="5" t="s">
        <v>9</v>
      </c>
      <c r="N52" s="5">
        <v>4</v>
      </c>
      <c r="O52" s="6">
        <f t="shared" si="8"/>
        <v>7.5000000000000009</v>
      </c>
      <c r="P52" s="6">
        <f t="shared" si="9"/>
        <v>0.78000000000000014</v>
      </c>
      <c r="Q52" s="10">
        <f t="shared" si="10"/>
        <v>1.6250000000000001E-2</v>
      </c>
      <c r="R52" s="10">
        <f t="shared" si="11"/>
        <v>7.2059803226958916E-2</v>
      </c>
      <c r="S52" s="10">
        <f t="shared" si="12"/>
        <v>8.8309803226958916E-2</v>
      </c>
    </row>
    <row r="53" spans="1:19" x14ac:dyDescent="0.25">
      <c r="A53" s="5" t="s">
        <v>8</v>
      </c>
      <c r="B53" s="5" t="s">
        <v>347</v>
      </c>
      <c r="C53" s="5" t="s">
        <v>27</v>
      </c>
      <c r="D53" s="5" t="s">
        <v>385</v>
      </c>
      <c r="E53" s="5" t="s">
        <v>387</v>
      </c>
      <c r="F53" s="5" t="s">
        <v>112</v>
      </c>
      <c r="G53" s="5" t="s">
        <v>391</v>
      </c>
      <c r="H53" s="5" t="s">
        <v>53</v>
      </c>
      <c r="I53" s="5" t="s">
        <v>349</v>
      </c>
      <c r="J53" s="15">
        <v>2500</v>
      </c>
      <c r="K53" s="7">
        <v>31</v>
      </c>
      <c r="L53" s="7">
        <f t="shared" si="7"/>
        <v>80.645161290322577</v>
      </c>
      <c r="M53" s="5" t="s">
        <v>9</v>
      </c>
      <c r="N53" s="5">
        <v>4</v>
      </c>
      <c r="O53" s="6">
        <f t="shared" si="8"/>
        <v>10.161940686784598</v>
      </c>
      <c r="P53" s="6">
        <f t="shared" si="9"/>
        <v>1.0568418314255983</v>
      </c>
      <c r="Q53" s="10">
        <f t="shared" si="10"/>
        <v>2.2017538154699964E-2</v>
      </c>
      <c r="R53" s="10">
        <f t="shared" si="11"/>
        <v>9.0496048477232735E-2</v>
      </c>
      <c r="S53" s="10">
        <f t="shared" si="12"/>
        <v>0.1125135866319327</v>
      </c>
    </row>
    <row r="54" spans="1:19" x14ac:dyDescent="0.25">
      <c r="A54" s="5" t="s">
        <v>22</v>
      </c>
      <c r="B54" s="5" t="s">
        <v>63</v>
      </c>
      <c r="C54" s="5" t="s">
        <v>27</v>
      </c>
      <c r="D54" s="5" t="s">
        <v>385</v>
      </c>
      <c r="E54" s="5" t="s">
        <v>387</v>
      </c>
      <c r="F54" s="5" t="s">
        <v>112</v>
      </c>
      <c r="G54" s="5" t="s">
        <v>391</v>
      </c>
      <c r="H54" s="5" t="s">
        <v>53</v>
      </c>
      <c r="I54" s="5" t="s">
        <v>145</v>
      </c>
      <c r="J54" s="15">
        <v>2200</v>
      </c>
      <c r="K54" s="7">
        <v>42.5</v>
      </c>
      <c r="L54" s="7">
        <f t="shared" si="7"/>
        <v>51.764705882352942</v>
      </c>
      <c r="M54" s="5" t="s">
        <v>9</v>
      </c>
      <c r="N54" s="5">
        <v>4</v>
      </c>
      <c r="O54" s="6">
        <f t="shared" si="8"/>
        <v>3.6844290657439451</v>
      </c>
      <c r="P54" s="6">
        <f t="shared" si="9"/>
        <v>0.38318062283737025</v>
      </c>
      <c r="Q54" s="10">
        <f t="shared" si="10"/>
        <v>7.9829296424452131E-3</v>
      </c>
      <c r="R54" s="10">
        <f t="shared" si="11"/>
        <v>4.2283874397514749E-2</v>
      </c>
      <c r="S54" s="10">
        <f t="shared" si="12"/>
        <v>5.0266804039959964E-2</v>
      </c>
    </row>
    <row r="55" spans="1:19" x14ac:dyDescent="0.25">
      <c r="A55" s="5" t="s">
        <v>8</v>
      </c>
      <c r="B55" s="5" t="s">
        <v>303</v>
      </c>
      <c r="C55" s="5" t="s">
        <v>27</v>
      </c>
      <c r="D55" s="5" t="s">
        <v>385</v>
      </c>
      <c r="E55" s="5" t="s">
        <v>387</v>
      </c>
      <c r="F55" s="5" t="s">
        <v>112</v>
      </c>
      <c r="G55" s="5" t="s">
        <v>391</v>
      </c>
      <c r="H55" s="5" t="s">
        <v>53</v>
      </c>
      <c r="I55" s="5" t="s">
        <v>305</v>
      </c>
      <c r="J55" s="15">
        <v>2710</v>
      </c>
      <c r="K55" s="7">
        <v>38</v>
      </c>
      <c r="L55" s="7">
        <f t="shared" si="7"/>
        <v>71.315789473684205</v>
      </c>
      <c r="M55" s="5" t="s">
        <v>9</v>
      </c>
      <c r="N55" s="5">
        <v>4</v>
      </c>
      <c r="O55" s="6">
        <f t="shared" si="8"/>
        <v>8.6143139716066468</v>
      </c>
      <c r="P55" s="6">
        <f t="shared" si="9"/>
        <v>0.8958886530470912</v>
      </c>
      <c r="Q55" s="10">
        <f t="shared" si="10"/>
        <v>1.8664346938481065E-2</v>
      </c>
      <c r="R55" s="10">
        <f t="shared" si="11"/>
        <v>7.9948928370579042E-2</v>
      </c>
      <c r="S55" s="10">
        <f t="shared" si="12"/>
        <v>9.8613275309060111E-2</v>
      </c>
    </row>
    <row r="56" spans="1:19" x14ac:dyDescent="0.25">
      <c r="A56" s="5" t="s">
        <v>8</v>
      </c>
      <c r="B56" s="5" t="s">
        <v>303</v>
      </c>
      <c r="C56" s="5" t="s">
        <v>27</v>
      </c>
      <c r="D56" s="5" t="s">
        <v>385</v>
      </c>
      <c r="E56" s="5" t="s">
        <v>387</v>
      </c>
      <c r="F56" s="5" t="s">
        <v>112</v>
      </c>
      <c r="G56" s="5" t="s">
        <v>391</v>
      </c>
      <c r="H56" s="5" t="s">
        <v>53</v>
      </c>
      <c r="I56" s="5" t="s">
        <v>305</v>
      </c>
      <c r="J56" s="15">
        <v>2500</v>
      </c>
      <c r="K56" s="7">
        <v>35</v>
      </c>
      <c r="L56" s="7">
        <f t="shared" si="7"/>
        <v>71.428571428571431</v>
      </c>
      <c r="M56" s="5" t="s">
        <v>9</v>
      </c>
      <c r="N56" s="5">
        <v>4</v>
      </c>
      <c r="O56" s="6">
        <f t="shared" si="8"/>
        <v>7.9719387755102051</v>
      </c>
      <c r="P56" s="6">
        <f t="shared" si="9"/>
        <v>0.82908163265306123</v>
      </c>
      <c r="Q56" s="10">
        <f t="shared" si="10"/>
        <v>1.7272534013605446E-2</v>
      </c>
      <c r="R56" s="10">
        <f t="shared" si="11"/>
        <v>7.5434512896593864E-2</v>
      </c>
      <c r="S56" s="10">
        <f t="shared" si="12"/>
        <v>9.2707046910199306E-2</v>
      </c>
    </row>
    <row r="57" spans="1:19" x14ac:dyDescent="0.25">
      <c r="A57" s="5" t="s">
        <v>8</v>
      </c>
      <c r="B57" s="5" t="s">
        <v>228</v>
      </c>
      <c r="C57" s="5" t="s">
        <v>27</v>
      </c>
      <c r="D57" s="5" t="s">
        <v>385</v>
      </c>
      <c r="E57" s="5" t="s">
        <v>387</v>
      </c>
      <c r="F57" s="5" t="s">
        <v>112</v>
      </c>
      <c r="G57" s="5" t="s">
        <v>391</v>
      </c>
      <c r="H57" s="5" t="s">
        <v>53</v>
      </c>
      <c r="I57" s="5" t="s">
        <v>230</v>
      </c>
      <c r="J57" s="15">
        <v>2600</v>
      </c>
      <c r="K57" s="7">
        <v>39.5</v>
      </c>
      <c r="L57" s="7">
        <f t="shared" si="7"/>
        <v>65.822784810126578</v>
      </c>
      <c r="M57" s="5" t="s">
        <v>9</v>
      </c>
      <c r="N57" s="5">
        <v>4</v>
      </c>
      <c r="O57" s="6">
        <f t="shared" si="8"/>
        <v>7.0405383752603745</v>
      </c>
      <c r="P57" s="6">
        <f t="shared" si="9"/>
        <v>0.73221599102707891</v>
      </c>
      <c r="Q57" s="10">
        <f t="shared" si="10"/>
        <v>1.5254499813064143E-2</v>
      </c>
      <c r="R57" s="10">
        <f t="shared" si="11"/>
        <v>6.8722907763020355E-2</v>
      </c>
      <c r="S57" s="10">
        <f t="shared" si="12"/>
        <v>8.3977407576084503E-2</v>
      </c>
    </row>
    <row r="58" spans="1:19" x14ac:dyDescent="0.25">
      <c r="A58" s="5" t="s">
        <v>8</v>
      </c>
      <c r="B58" s="5" t="s">
        <v>284</v>
      </c>
      <c r="C58" s="5" t="s">
        <v>27</v>
      </c>
      <c r="D58" s="5" t="s">
        <v>385</v>
      </c>
      <c r="E58" s="5" t="s">
        <v>387</v>
      </c>
      <c r="F58" s="5" t="s">
        <v>112</v>
      </c>
      <c r="G58" s="5" t="s">
        <v>391</v>
      </c>
      <c r="H58" s="5" t="s">
        <v>53</v>
      </c>
      <c r="I58" s="5" t="s">
        <v>285</v>
      </c>
      <c r="J58" s="15">
        <v>3000</v>
      </c>
      <c r="K58" s="7">
        <v>46.3</v>
      </c>
      <c r="L58" s="7">
        <f t="shared" si="7"/>
        <v>64.794816414686835</v>
      </c>
      <c r="M58" s="5" t="s">
        <v>9</v>
      </c>
      <c r="N58" s="5">
        <v>4</v>
      </c>
      <c r="O58" s="6">
        <f t="shared" si="8"/>
        <v>7.8719404391493191</v>
      </c>
      <c r="P58" s="6">
        <f t="shared" si="9"/>
        <v>0.81868180567152926</v>
      </c>
      <c r="Q58" s="10">
        <f t="shared" si="10"/>
        <v>1.7055870951490189E-2</v>
      </c>
      <c r="R58" s="10">
        <f t="shared" si="11"/>
        <v>7.4723718195041214E-2</v>
      </c>
      <c r="S58" s="10">
        <f t="shared" si="12"/>
        <v>9.1779589146531407E-2</v>
      </c>
    </row>
    <row r="59" spans="1:19" x14ac:dyDescent="0.25">
      <c r="A59" s="5" t="s">
        <v>8</v>
      </c>
      <c r="B59" s="5" t="s">
        <v>303</v>
      </c>
      <c r="C59" s="5" t="s">
        <v>27</v>
      </c>
      <c r="D59" s="5" t="s">
        <v>385</v>
      </c>
      <c r="E59" s="5" t="s">
        <v>387</v>
      </c>
      <c r="F59" s="5" t="s">
        <v>112</v>
      </c>
      <c r="G59" s="5" t="s">
        <v>391</v>
      </c>
      <c r="H59" s="5" t="s">
        <v>53</v>
      </c>
      <c r="I59" s="5" t="s">
        <v>304</v>
      </c>
      <c r="J59" s="15">
        <v>2330</v>
      </c>
      <c r="K59" s="7">
        <v>32</v>
      </c>
      <c r="L59" s="7">
        <f t="shared" si="7"/>
        <v>72.8125</v>
      </c>
      <c r="M59" s="5" t="s">
        <v>9</v>
      </c>
      <c r="N59" s="5">
        <v>4</v>
      </c>
      <c r="O59" s="6">
        <f t="shared" si="8"/>
        <v>7.7205426025390622</v>
      </c>
      <c r="P59" s="6">
        <f t="shared" si="9"/>
        <v>0.80293643066406251</v>
      </c>
      <c r="Q59" s="10">
        <f t="shared" si="10"/>
        <v>1.6727842305501301E-2</v>
      </c>
      <c r="R59" s="10">
        <f t="shared" si="11"/>
        <v>7.3643257759382366E-2</v>
      </c>
      <c r="S59" s="10">
        <f t="shared" si="12"/>
        <v>9.0371100064883664E-2</v>
      </c>
    </row>
    <row r="60" spans="1:19" x14ac:dyDescent="0.25">
      <c r="A60" s="5" t="s">
        <v>22</v>
      </c>
      <c r="B60" s="5" t="s">
        <v>63</v>
      </c>
      <c r="C60" s="5" t="s">
        <v>27</v>
      </c>
      <c r="D60" s="5" t="s">
        <v>385</v>
      </c>
      <c r="E60" s="5" t="s">
        <v>387</v>
      </c>
      <c r="F60" s="5" t="s">
        <v>112</v>
      </c>
      <c r="G60" s="5" t="s">
        <v>391</v>
      </c>
      <c r="H60" s="5" t="s">
        <v>53</v>
      </c>
      <c r="I60" s="5" t="s">
        <v>147</v>
      </c>
      <c r="J60" s="15">
        <v>2200</v>
      </c>
      <c r="K60" s="7">
        <v>33</v>
      </c>
      <c r="L60" s="7">
        <f t="shared" si="7"/>
        <v>66.666666666666671</v>
      </c>
      <c r="M60" s="5" t="s">
        <v>9</v>
      </c>
      <c r="N60" s="5">
        <v>4</v>
      </c>
      <c r="O60" s="6">
        <f t="shared" si="8"/>
        <v>6.1111111111111125</v>
      </c>
      <c r="P60" s="6">
        <f t="shared" si="9"/>
        <v>0.63555555555555565</v>
      </c>
      <c r="Q60" s="10">
        <f t="shared" si="10"/>
        <v>1.3240740740740742E-2</v>
      </c>
      <c r="R60" s="10">
        <f t="shared" si="11"/>
        <v>6.1799827002558427E-2</v>
      </c>
      <c r="S60" s="10">
        <f t="shared" si="12"/>
        <v>7.5040567743299175E-2</v>
      </c>
    </row>
    <row r="61" spans="1:19" x14ac:dyDescent="0.25">
      <c r="A61" s="5" t="s">
        <v>8</v>
      </c>
      <c r="B61" s="5" t="s">
        <v>228</v>
      </c>
      <c r="C61" s="5" t="s">
        <v>27</v>
      </c>
      <c r="D61" s="5" t="s">
        <v>385</v>
      </c>
      <c r="E61" s="5" t="s">
        <v>387</v>
      </c>
      <c r="F61" s="5" t="s">
        <v>112</v>
      </c>
      <c r="G61" s="5" t="s">
        <v>391</v>
      </c>
      <c r="H61" s="5" t="s">
        <v>53</v>
      </c>
      <c r="I61" s="5" t="s">
        <v>229</v>
      </c>
      <c r="J61" s="15">
        <v>2100</v>
      </c>
      <c r="K61" s="7">
        <v>34</v>
      </c>
      <c r="L61" s="7">
        <f t="shared" si="7"/>
        <v>61.764705882352942</v>
      </c>
      <c r="M61" s="5" t="s">
        <v>9</v>
      </c>
      <c r="N61" s="5">
        <v>4</v>
      </c>
      <c r="O61" s="6">
        <f t="shared" si="8"/>
        <v>5.0070285467128031</v>
      </c>
      <c r="P61" s="6">
        <f t="shared" si="9"/>
        <v>0.52073096885813142</v>
      </c>
      <c r="Q61" s="10">
        <f t="shared" si="10"/>
        <v>1.0848561851211073E-2</v>
      </c>
      <c r="R61" s="10">
        <f t="shared" si="11"/>
        <v>5.3220895151738591E-2</v>
      </c>
      <c r="S61" s="10">
        <f t="shared" si="12"/>
        <v>6.4069457002949665E-2</v>
      </c>
    </row>
    <row r="62" spans="1:19" x14ac:dyDescent="0.25">
      <c r="A62" s="5" t="s">
        <v>22</v>
      </c>
      <c r="B62" s="5" t="s">
        <v>26</v>
      </c>
      <c r="C62" s="5" t="s">
        <v>27</v>
      </c>
      <c r="D62" s="5" t="s">
        <v>385</v>
      </c>
      <c r="E62" s="5" t="s">
        <v>387</v>
      </c>
      <c r="F62" s="5" t="s">
        <v>112</v>
      </c>
      <c r="G62" s="5" t="s">
        <v>391</v>
      </c>
      <c r="H62" s="5" t="s">
        <v>53</v>
      </c>
      <c r="I62" s="5" t="s">
        <v>55</v>
      </c>
      <c r="J62" s="15">
        <v>3400</v>
      </c>
      <c r="K62" s="7">
        <v>37.5</v>
      </c>
      <c r="L62" s="7">
        <f t="shared" si="7"/>
        <v>90.666666666666671</v>
      </c>
      <c r="M62" s="5" t="s">
        <v>9</v>
      </c>
      <c r="N62" s="5">
        <v>4</v>
      </c>
      <c r="O62" s="6">
        <f t="shared" si="8"/>
        <v>17.468444444444447</v>
      </c>
      <c r="P62" s="6">
        <f t="shared" si="9"/>
        <v>1.8167182222222222</v>
      </c>
      <c r="Q62" s="10">
        <f t="shared" si="10"/>
        <v>3.7848296296296303E-2</v>
      </c>
      <c r="R62" s="10">
        <f t="shared" si="11"/>
        <v>0.13585880775908216</v>
      </c>
      <c r="S62" s="10">
        <f t="shared" si="12"/>
        <v>0.17370710405537845</v>
      </c>
    </row>
    <row r="63" spans="1:19" x14ac:dyDescent="0.25">
      <c r="A63" s="5" t="s">
        <v>8</v>
      </c>
      <c r="B63" s="5" t="s">
        <v>372</v>
      </c>
      <c r="C63" s="5" t="s">
        <v>27</v>
      </c>
      <c r="D63" s="5" t="s">
        <v>385</v>
      </c>
      <c r="E63" s="5" t="s">
        <v>387</v>
      </c>
      <c r="F63" s="5" t="s">
        <v>112</v>
      </c>
      <c r="G63" s="5" t="s">
        <v>391</v>
      </c>
      <c r="H63" s="5" t="s">
        <v>53</v>
      </c>
      <c r="I63" s="5" t="s">
        <v>374</v>
      </c>
      <c r="J63" s="15">
        <v>3460</v>
      </c>
      <c r="K63" s="7">
        <v>50.7</v>
      </c>
      <c r="L63" s="7">
        <f t="shared" si="7"/>
        <v>68.244575936883621</v>
      </c>
      <c r="M63" s="5" t="s">
        <v>9</v>
      </c>
      <c r="N63" s="5">
        <v>4</v>
      </c>
      <c r="O63" s="6">
        <f t="shared" si="8"/>
        <v>10.071459138140973</v>
      </c>
      <c r="P63" s="6">
        <f t="shared" si="9"/>
        <v>1.0474317503666613</v>
      </c>
      <c r="Q63" s="10">
        <f t="shared" si="10"/>
        <v>2.1821494799305442E-2</v>
      </c>
      <c r="R63" s="10">
        <f t="shared" si="11"/>
        <v>8.9891043220326733E-2</v>
      </c>
      <c r="S63" s="10">
        <f t="shared" si="12"/>
        <v>0.11171253801963217</v>
      </c>
    </row>
    <row r="64" spans="1:19" x14ac:dyDescent="0.25">
      <c r="A64" s="5" t="s">
        <v>22</v>
      </c>
      <c r="B64" s="5" t="s">
        <v>63</v>
      </c>
      <c r="C64" s="5" t="s">
        <v>27</v>
      </c>
      <c r="D64" s="5" t="s">
        <v>385</v>
      </c>
      <c r="E64" s="5" t="s">
        <v>387</v>
      </c>
      <c r="F64" s="5" t="s">
        <v>112</v>
      </c>
      <c r="G64" s="5" t="s">
        <v>391</v>
      </c>
      <c r="H64" s="5" t="s">
        <v>53</v>
      </c>
      <c r="I64" s="5" t="s">
        <v>114</v>
      </c>
      <c r="J64" s="15">
        <v>1700</v>
      </c>
      <c r="K64" s="7">
        <v>28</v>
      </c>
      <c r="L64" s="7">
        <f t="shared" si="7"/>
        <v>60.714285714285715</v>
      </c>
      <c r="M64" s="5" t="s">
        <v>9</v>
      </c>
      <c r="N64" s="5">
        <v>4</v>
      </c>
      <c r="O64" s="6">
        <f t="shared" si="8"/>
        <v>3.9166135204081631</v>
      </c>
      <c r="P64" s="6">
        <f t="shared" si="9"/>
        <v>0.40732780612244895</v>
      </c>
      <c r="Q64" s="10">
        <f t="shared" si="10"/>
        <v>8.4859959608843526E-3</v>
      </c>
      <c r="R64" s="10">
        <f t="shared" si="11"/>
        <v>4.4267007423098879E-2</v>
      </c>
      <c r="S64" s="10">
        <f t="shared" si="12"/>
        <v>5.2753003383983234E-2</v>
      </c>
    </row>
    <row r="65" spans="1:19" x14ac:dyDescent="0.25">
      <c r="A65" s="5" t="s">
        <v>22</v>
      </c>
      <c r="B65" s="5" t="s">
        <v>63</v>
      </c>
      <c r="C65" s="5" t="s">
        <v>27</v>
      </c>
      <c r="D65" s="5" t="s">
        <v>385</v>
      </c>
      <c r="E65" s="5" t="s">
        <v>387</v>
      </c>
      <c r="F65" s="5" t="s">
        <v>112</v>
      </c>
      <c r="G65" s="5" t="s">
        <v>391</v>
      </c>
      <c r="H65" s="5" t="s">
        <v>115</v>
      </c>
      <c r="I65" s="5" t="s">
        <v>116</v>
      </c>
      <c r="J65" s="15">
        <v>750</v>
      </c>
      <c r="K65" s="7">
        <v>23</v>
      </c>
      <c r="L65" s="7">
        <f t="shared" si="7"/>
        <v>32.608695652173914</v>
      </c>
      <c r="M65" s="5" t="s">
        <v>9</v>
      </c>
      <c r="N65" s="5">
        <v>4</v>
      </c>
      <c r="O65" s="6">
        <f t="shared" si="8"/>
        <v>0.49843454631379974</v>
      </c>
      <c r="P65" s="6">
        <f t="shared" si="9"/>
        <v>5.1837192816635173E-2</v>
      </c>
      <c r="Q65" s="10">
        <f t="shared" si="10"/>
        <v>1.0799415170132329E-3</v>
      </c>
      <c r="R65" s="10">
        <f t="shared" si="11"/>
        <v>9.431987704294223E-3</v>
      </c>
      <c r="S65" s="10">
        <f t="shared" si="12"/>
        <v>1.0511929221307456E-2</v>
      </c>
    </row>
    <row r="66" spans="1:19" x14ac:dyDescent="0.25">
      <c r="J66" s="16">
        <f t="shared" ref="J66:S66" si="13">AVERAGE(J6:J65)</f>
        <v>2267.4</v>
      </c>
      <c r="K66" s="12">
        <f t="shared" si="13"/>
        <v>34.768333333333338</v>
      </c>
      <c r="L66" s="12">
        <f t="shared" si="13"/>
        <v>65.654946144323759</v>
      </c>
      <c r="M66" s="11" t="e">
        <f t="shared" si="13"/>
        <v>#DIV/0!</v>
      </c>
      <c r="N66" s="11">
        <f t="shared" si="13"/>
        <v>4</v>
      </c>
      <c r="O66" s="13">
        <f t="shared" si="13"/>
        <v>6.9553962382238828</v>
      </c>
      <c r="P66" s="13">
        <f t="shared" si="13"/>
        <v>0.72336120877528376</v>
      </c>
      <c r="Q66" s="14">
        <f t="shared" si="13"/>
        <v>1.5070025182818414E-2</v>
      </c>
      <c r="R66" s="14">
        <f t="shared" si="13"/>
        <v>6.5576374007567606E-2</v>
      </c>
      <c r="S66" s="14">
        <f t="shared" si="13"/>
        <v>8.064639919038602E-2</v>
      </c>
    </row>
    <row r="67" spans="1:19" x14ac:dyDescent="0.25">
      <c r="A67" s="5" t="s">
        <v>8</v>
      </c>
      <c r="B67" s="5" t="s">
        <v>372</v>
      </c>
      <c r="C67" s="5" t="s">
        <v>27</v>
      </c>
      <c r="D67" s="5" t="s">
        <v>385</v>
      </c>
      <c r="E67" s="5" t="s">
        <v>384</v>
      </c>
      <c r="F67" s="5" t="s">
        <v>91</v>
      </c>
      <c r="G67" s="5" t="s">
        <v>393</v>
      </c>
      <c r="H67" s="5" t="s">
        <v>92</v>
      </c>
      <c r="I67" s="5" t="s">
        <v>373</v>
      </c>
      <c r="J67" s="15">
        <v>2510</v>
      </c>
      <c r="K67" s="7">
        <v>41.4</v>
      </c>
      <c r="L67" s="7">
        <f t="shared" ref="L67:L97" si="14">J67/K67</f>
        <v>60.628019323671502</v>
      </c>
      <c r="M67" s="5" t="s">
        <v>9</v>
      </c>
      <c r="N67" s="5">
        <v>4</v>
      </c>
      <c r="O67" s="6">
        <f t="shared" ref="O67:O97" si="15">(J67*L67^2)/(1.6*10^6)</f>
        <v>5.7663433656561418</v>
      </c>
      <c r="P67" s="6">
        <f t="shared" ref="P67:P97" si="16">(0.104*J67*L67^2)/(1.6*10^6)</f>
        <v>0.59969971002823874</v>
      </c>
      <c r="Q67" s="10">
        <f t="shared" ref="Q67:Q97" si="17">(0.104*O67)/(12*N67)</f>
        <v>1.249374395892164E-2</v>
      </c>
      <c r="R67" s="10">
        <f t="shared" ref="R67:R97" si="18">0.0159*O67^0.75</f>
        <v>5.9166039480103155E-2</v>
      </c>
      <c r="S67" s="10">
        <f t="shared" ref="S67:S97" si="19">Q67+R67</f>
        <v>7.1659783439024793E-2</v>
      </c>
    </row>
    <row r="68" spans="1:19" x14ac:dyDescent="0.25">
      <c r="A68" s="5" t="s">
        <v>22</v>
      </c>
      <c r="B68" s="5" t="s">
        <v>63</v>
      </c>
      <c r="C68" s="5" t="s">
        <v>27</v>
      </c>
      <c r="D68" s="5" t="s">
        <v>385</v>
      </c>
      <c r="E68" s="5" t="s">
        <v>384</v>
      </c>
      <c r="F68" s="5" t="s">
        <v>91</v>
      </c>
      <c r="G68" s="5" t="s">
        <v>393</v>
      </c>
      <c r="H68" s="5" t="s">
        <v>92</v>
      </c>
      <c r="I68" s="5" t="s">
        <v>19</v>
      </c>
      <c r="J68" s="15">
        <v>1585</v>
      </c>
      <c r="K68" s="7">
        <v>66</v>
      </c>
      <c r="L68" s="7">
        <f t="shared" si="14"/>
        <v>24.015151515151516</v>
      </c>
      <c r="M68" s="5" t="s">
        <v>9</v>
      </c>
      <c r="N68" s="5">
        <v>4</v>
      </c>
      <c r="O68" s="6">
        <f t="shared" si="15"/>
        <v>0.57132068196166208</v>
      </c>
      <c r="P68" s="6">
        <f t="shared" si="16"/>
        <v>5.941735092401286E-2</v>
      </c>
      <c r="Q68" s="10">
        <f t="shared" si="17"/>
        <v>1.2378614775836012E-3</v>
      </c>
      <c r="R68" s="10">
        <f t="shared" si="18"/>
        <v>1.0448575464998765E-2</v>
      </c>
      <c r="S68" s="10">
        <f t="shared" si="19"/>
        <v>1.1686436942582366E-2</v>
      </c>
    </row>
    <row r="69" spans="1:19" x14ac:dyDescent="0.25">
      <c r="A69" s="5" t="s">
        <v>8</v>
      </c>
      <c r="B69" s="5" t="s">
        <v>308</v>
      </c>
      <c r="C69" s="5" t="s">
        <v>27</v>
      </c>
      <c r="D69" s="5" t="s">
        <v>385</v>
      </c>
      <c r="E69" s="5" t="s">
        <v>384</v>
      </c>
      <c r="F69" s="5" t="s">
        <v>91</v>
      </c>
      <c r="G69" s="5" t="s">
        <v>393</v>
      </c>
      <c r="H69" s="5" t="s">
        <v>92</v>
      </c>
      <c r="I69" s="5" t="s">
        <v>309</v>
      </c>
      <c r="J69" s="15">
        <v>1215</v>
      </c>
      <c r="K69" s="7">
        <v>41</v>
      </c>
      <c r="L69" s="7">
        <f t="shared" si="14"/>
        <v>29.634146341463413</v>
      </c>
      <c r="M69" s="5" t="s">
        <v>9</v>
      </c>
      <c r="N69" s="5">
        <v>4</v>
      </c>
      <c r="O69" s="6">
        <f t="shared" si="15"/>
        <v>0.66686993419095775</v>
      </c>
      <c r="P69" s="6">
        <f t="shared" si="16"/>
        <v>6.9354473155859603E-2</v>
      </c>
      <c r="Q69" s="10">
        <f t="shared" si="17"/>
        <v>1.4448848574137418E-3</v>
      </c>
      <c r="R69" s="10">
        <f t="shared" si="18"/>
        <v>1.1733510805087846E-2</v>
      </c>
      <c r="S69" s="10">
        <f t="shared" si="19"/>
        <v>1.3178395662501587E-2</v>
      </c>
    </row>
    <row r="70" spans="1:19" x14ac:dyDescent="0.25">
      <c r="A70" s="5" t="s">
        <v>22</v>
      </c>
      <c r="B70" s="5" t="s">
        <v>63</v>
      </c>
      <c r="C70" s="5" t="s">
        <v>27</v>
      </c>
      <c r="D70" s="5" t="s">
        <v>385</v>
      </c>
      <c r="E70" s="5" t="s">
        <v>384</v>
      </c>
      <c r="F70" s="5" t="s">
        <v>91</v>
      </c>
      <c r="G70" s="5" t="s">
        <v>393</v>
      </c>
      <c r="H70" s="5" t="s">
        <v>93</v>
      </c>
      <c r="I70" s="5" t="s">
        <v>94</v>
      </c>
      <c r="J70" s="15">
        <v>2400</v>
      </c>
      <c r="K70" s="7">
        <v>30</v>
      </c>
      <c r="L70" s="7">
        <f t="shared" si="14"/>
        <v>80</v>
      </c>
      <c r="M70" s="5" t="s">
        <v>9</v>
      </c>
      <c r="N70" s="5">
        <v>4</v>
      </c>
      <c r="O70" s="6">
        <f t="shared" si="15"/>
        <v>9.6</v>
      </c>
      <c r="P70" s="6">
        <f t="shared" si="16"/>
        <v>0.99839999999999995</v>
      </c>
      <c r="Q70" s="10">
        <f t="shared" si="17"/>
        <v>2.0799999999999999E-2</v>
      </c>
      <c r="R70" s="10">
        <f t="shared" si="18"/>
        <v>8.671626204879955E-2</v>
      </c>
      <c r="S70" s="10">
        <f t="shared" si="19"/>
        <v>0.10751626204879955</v>
      </c>
    </row>
    <row r="71" spans="1:19" x14ac:dyDescent="0.25">
      <c r="A71" s="5" t="s">
        <v>8</v>
      </c>
      <c r="B71" s="5" t="s">
        <v>336</v>
      </c>
      <c r="C71" s="5" t="s">
        <v>27</v>
      </c>
      <c r="D71" s="5" t="s">
        <v>385</v>
      </c>
      <c r="E71" s="5" t="s">
        <v>384</v>
      </c>
      <c r="F71" s="5" t="s">
        <v>91</v>
      </c>
      <c r="G71" s="5" t="s">
        <v>393</v>
      </c>
      <c r="H71" s="5" t="s">
        <v>93</v>
      </c>
      <c r="I71" s="5" t="s">
        <v>94</v>
      </c>
      <c r="J71" s="15">
        <v>2840</v>
      </c>
      <c r="K71" s="7">
        <v>30</v>
      </c>
      <c r="L71" s="7">
        <f t="shared" si="14"/>
        <v>94.666666666666671</v>
      </c>
      <c r="M71" s="5" t="s">
        <v>9</v>
      </c>
      <c r="N71" s="5">
        <v>4</v>
      </c>
      <c r="O71" s="6">
        <f t="shared" si="15"/>
        <v>15.907155555555557</v>
      </c>
      <c r="P71" s="6">
        <f t="shared" si="16"/>
        <v>1.6543441777777783</v>
      </c>
      <c r="Q71" s="10">
        <f t="shared" si="17"/>
        <v>3.4465503703703708E-2</v>
      </c>
      <c r="R71" s="10">
        <f t="shared" si="18"/>
        <v>0.12664601248462076</v>
      </c>
      <c r="S71" s="10">
        <f t="shared" si="19"/>
        <v>0.16111151618832448</v>
      </c>
    </row>
    <row r="72" spans="1:19" x14ac:dyDescent="0.25">
      <c r="A72" s="5" t="s">
        <v>8</v>
      </c>
      <c r="B72" s="5" t="s">
        <v>336</v>
      </c>
      <c r="C72" s="5" t="s">
        <v>27</v>
      </c>
      <c r="D72" s="5" t="s">
        <v>385</v>
      </c>
      <c r="E72" s="5" t="s">
        <v>384</v>
      </c>
      <c r="F72" s="5" t="s">
        <v>91</v>
      </c>
      <c r="G72" s="5" t="s">
        <v>393</v>
      </c>
      <c r="H72" s="5" t="s">
        <v>93</v>
      </c>
      <c r="I72" s="5" t="s">
        <v>338</v>
      </c>
      <c r="J72" s="15">
        <v>2620</v>
      </c>
      <c r="K72" s="7">
        <v>30.5</v>
      </c>
      <c r="L72" s="7">
        <f t="shared" si="14"/>
        <v>85.901639344262293</v>
      </c>
      <c r="M72" s="5" t="s">
        <v>9</v>
      </c>
      <c r="N72" s="5">
        <v>4</v>
      </c>
      <c r="O72" s="6">
        <f t="shared" si="15"/>
        <v>12.083262563826928</v>
      </c>
      <c r="P72" s="6">
        <f t="shared" si="16"/>
        <v>1.2566593066380003</v>
      </c>
      <c r="Q72" s="10">
        <f t="shared" si="17"/>
        <v>2.6180402221625012E-2</v>
      </c>
      <c r="R72" s="10">
        <f t="shared" si="18"/>
        <v>0.10304698364299147</v>
      </c>
      <c r="S72" s="10">
        <f t="shared" si="19"/>
        <v>0.12922738586461649</v>
      </c>
    </row>
    <row r="73" spans="1:19" x14ac:dyDescent="0.25">
      <c r="A73" s="5" t="s">
        <v>8</v>
      </c>
      <c r="B73" s="5" t="s">
        <v>165</v>
      </c>
      <c r="C73" s="5" t="s">
        <v>27</v>
      </c>
      <c r="D73" s="5" t="s">
        <v>385</v>
      </c>
      <c r="E73" s="5" t="s">
        <v>384</v>
      </c>
      <c r="F73" s="5" t="s">
        <v>30</v>
      </c>
      <c r="G73" s="5" t="s">
        <v>397</v>
      </c>
      <c r="H73" s="5" t="s">
        <v>36</v>
      </c>
      <c r="I73" s="5" t="s">
        <v>173</v>
      </c>
      <c r="J73" s="15">
        <v>3000</v>
      </c>
      <c r="K73" s="7">
        <v>21.5</v>
      </c>
      <c r="L73" s="7">
        <f t="shared" si="14"/>
        <v>139.53488372093022</v>
      </c>
      <c r="M73" s="5" t="s">
        <v>9</v>
      </c>
      <c r="N73" s="5">
        <v>4</v>
      </c>
      <c r="O73" s="6">
        <f t="shared" si="15"/>
        <v>36.50621957815035</v>
      </c>
      <c r="P73" s="6">
        <f t="shared" si="16"/>
        <v>3.7966468361276364</v>
      </c>
      <c r="Q73" s="10">
        <f t="shared" si="17"/>
        <v>7.9096809085992426E-2</v>
      </c>
      <c r="R73" s="10">
        <f t="shared" si="18"/>
        <v>0.23614147442789565</v>
      </c>
      <c r="S73" s="10">
        <f t="shared" si="19"/>
        <v>0.31523828351388805</v>
      </c>
    </row>
    <row r="74" spans="1:19" x14ac:dyDescent="0.25">
      <c r="A74" s="5" t="s">
        <v>8</v>
      </c>
      <c r="B74" s="5" t="s">
        <v>165</v>
      </c>
      <c r="C74" s="5" t="s">
        <v>27</v>
      </c>
      <c r="D74" s="5" t="s">
        <v>385</v>
      </c>
      <c r="E74" s="5" t="s">
        <v>384</v>
      </c>
      <c r="F74" s="5" t="s">
        <v>30</v>
      </c>
      <c r="G74" s="5" t="s">
        <v>397</v>
      </c>
      <c r="H74" s="5" t="s">
        <v>36</v>
      </c>
      <c r="I74" s="5" t="s">
        <v>174</v>
      </c>
      <c r="J74" s="15">
        <v>4700</v>
      </c>
      <c r="K74" s="7">
        <v>37</v>
      </c>
      <c r="L74" s="7">
        <f t="shared" si="14"/>
        <v>127.02702702702703</v>
      </c>
      <c r="M74" s="5" t="s">
        <v>9</v>
      </c>
      <c r="N74" s="5">
        <v>4</v>
      </c>
      <c r="O74" s="6">
        <f t="shared" si="15"/>
        <v>47.399105186267356</v>
      </c>
      <c r="P74" s="6">
        <f t="shared" si="16"/>
        <v>4.9295069393718043</v>
      </c>
      <c r="Q74" s="10">
        <f t="shared" si="17"/>
        <v>0.10269806123691261</v>
      </c>
      <c r="R74" s="10">
        <f t="shared" si="18"/>
        <v>0.28722664908804313</v>
      </c>
      <c r="S74" s="10">
        <f t="shared" si="19"/>
        <v>0.38992471032495574</v>
      </c>
    </row>
    <row r="75" spans="1:19" x14ac:dyDescent="0.25">
      <c r="A75" s="5" t="s">
        <v>22</v>
      </c>
      <c r="B75" s="5" t="s">
        <v>26</v>
      </c>
      <c r="C75" s="5" t="s">
        <v>27</v>
      </c>
      <c r="D75" s="5" t="s">
        <v>385</v>
      </c>
      <c r="E75" s="5" t="s">
        <v>384</v>
      </c>
      <c r="F75" s="5" t="s">
        <v>30</v>
      </c>
      <c r="G75" s="5" t="s">
        <v>397</v>
      </c>
      <c r="H75" s="5" t="s">
        <v>36</v>
      </c>
      <c r="I75" s="5" t="s">
        <v>18</v>
      </c>
      <c r="J75" s="15">
        <v>1850</v>
      </c>
      <c r="K75" s="7">
        <v>29</v>
      </c>
      <c r="L75" s="7">
        <f t="shared" si="14"/>
        <v>63.793103448275865</v>
      </c>
      <c r="M75" s="5" t="s">
        <v>9</v>
      </c>
      <c r="N75" s="5">
        <v>4</v>
      </c>
      <c r="O75" s="6">
        <f t="shared" si="15"/>
        <v>4.7054288049940549</v>
      </c>
      <c r="P75" s="6">
        <f t="shared" si="16"/>
        <v>0.48936459571938168</v>
      </c>
      <c r="Q75" s="10">
        <f t="shared" si="17"/>
        <v>1.0195095744153785E-2</v>
      </c>
      <c r="R75" s="10">
        <f t="shared" si="18"/>
        <v>5.0797990133562676E-2</v>
      </c>
      <c r="S75" s="10">
        <f t="shared" si="19"/>
        <v>6.0993085877716458E-2</v>
      </c>
    </row>
    <row r="76" spans="1:19" x14ac:dyDescent="0.25">
      <c r="A76" s="5" t="s">
        <v>8</v>
      </c>
      <c r="B76" s="5" t="s">
        <v>165</v>
      </c>
      <c r="C76" s="5" t="s">
        <v>27</v>
      </c>
      <c r="D76" s="5" t="s">
        <v>385</v>
      </c>
      <c r="E76" s="5" t="s">
        <v>384</v>
      </c>
      <c r="F76" s="5" t="s">
        <v>30</v>
      </c>
      <c r="G76" s="5" t="s">
        <v>397</v>
      </c>
      <c r="H76" s="5" t="s">
        <v>36</v>
      </c>
      <c r="I76" s="5" t="s">
        <v>18</v>
      </c>
      <c r="J76" s="15">
        <v>1600</v>
      </c>
      <c r="K76" s="7">
        <v>29</v>
      </c>
      <c r="L76" s="7">
        <f t="shared" si="14"/>
        <v>55.172413793103445</v>
      </c>
      <c r="M76" s="5" t="s">
        <v>9</v>
      </c>
      <c r="N76" s="5">
        <v>4</v>
      </c>
      <c r="O76" s="6">
        <f t="shared" si="15"/>
        <v>3.0439952437574314</v>
      </c>
      <c r="P76" s="6">
        <f t="shared" si="16"/>
        <v>0.31657550535077283</v>
      </c>
      <c r="Q76" s="10">
        <f t="shared" si="17"/>
        <v>6.5953230281411007E-3</v>
      </c>
      <c r="R76" s="10">
        <f t="shared" si="18"/>
        <v>3.6642078556231465E-2</v>
      </c>
      <c r="S76" s="10">
        <f t="shared" si="19"/>
        <v>4.3237401584372566E-2</v>
      </c>
    </row>
    <row r="77" spans="1:19" x14ac:dyDescent="0.25">
      <c r="A77" s="5" t="s">
        <v>8</v>
      </c>
      <c r="B77" s="5" t="s">
        <v>165</v>
      </c>
      <c r="C77" s="5" t="s">
        <v>27</v>
      </c>
      <c r="D77" s="5" t="s">
        <v>385</v>
      </c>
      <c r="E77" s="5" t="s">
        <v>384</v>
      </c>
      <c r="F77" s="5" t="s">
        <v>30</v>
      </c>
      <c r="G77" s="5" t="s">
        <v>397</v>
      </c>
      <c r="H77" s="5" t="s">
        <v>36</v>
      </c>
      <c r="I77" s="5" t="s">
        <v>180</v>
      </c>
      <c r="J77" s="15">
        <v>3850</v>
      </c>
      <c r="K77" s="7">
        <v>31</v>
      </c>
      <c r="L77" s="7">
        <f t="shared" si="14"/>
        <v>124.19354838709677</v>
      </c>
      <c r="M77" s="5" t="s">
        <v>9</v>
      </c>
      <c r="N77" s="5">
        <v>4</v>
      </c>
      <c r="O77" s="6">
        <f t="shared" si="15"/>
        <v>37.114090140478666</v>
      </c>
      <c r="P77" s="6">
        <f t="shared" si="16"/>
        <v>3.8598653746097806</v>
      </c>
      <c r="Q77" s="10">
        <f t="shared" si="17"/>
        <v>8.0413861971037101E-2</v>
      </c>
      <c r="R77" s="10">
        <f t="shared" si="18"/>
        <v>0.23908439899747766</v>
      </c>
      <c r="S77" s="10">
        <f t="shared" si="19"/>
        <v>0.31949826096851475</v>
      </c>
    </row>
    <row r="78" spans="1:19" x14ac:dyDescent="0.25">
      <c r="A78" s="5" t="s">
        <v>8</v>
      </c>
      <c r="B78" s="5" t="s">
        <v>165</v>
      </c>
      <c r="C78" s="5" t="s">
        <v>27</v>
      </c>
      <c r="D78" s="5" t="s">
        <v>385</v>
      </c>
      <c r="E78" s="5" t="s">
        <v>384</v>
      </c>
      <c r="F78" s="5" t="s">
        <v>30</v>
      </c>
      <c r="G78" s="5" t="s">
        <v>397</v>
      </c>
      <c r="H78" s="5" t="s">
        <v>36</v>
      </c>
      <c r="I78" s="5" t="s">
        <v>71</v>
      </c>
      <c r="J78" s="15">
        <v>2850</v>
      </c>
      <c r="K78" s="7">
        <v>31.5</v>
      </c>
      <c r="L78" s="7">
        <f t="shared" si="14"/>
        <v>90.476190476190482</v>
      </c>
      <c r="M78" s="5" t="s">
        <v>9</v>
      </c>
      <c r="N78" s="5">
        <v>4</v>
      </c>
      <c r="O78" s="6">
        <f t="shared" si="15"/>
        <v>14.5812074829932</v>
      </c>
      <c r="P78" s="6">
        <f t="shared" si="16"/>
        <v>1.5164455782312927</v>
      </c>
      <c r="Q78" s="10">
        <f t="shared" si="17"/>
        <v>3.1592616213151931E-2</v>
      </c>
      <c r="R78" s="10">
        <f t="shared" si="18"/>
        <v>0.11864303331746644</v>
      </c>
      <c r="S78" s="10">
        <f t="shared" si="19"/>
        <v>0.15023564953061835</v>
      </c>
    </row>
    <row r="79" spans="1:19" x14ac:dyDescent="0.25">
      <c r="A79" s="5" t="s">
        <v>22</v>
      </c>
      <c r="B79" s="5" t="s">
        <v>26</v>
      </c>
      <c r="C79" s="5" t="s">
        <v>27</v>
      </c>
      <c r="D79" s="5" t="s">
        <v>385</v>
      </c>
      <c r="E79" s="5" t="s">
        <v>384</v>
      </c>
      <c r="F79" s="5" t="s">
        <v>30</v>
      </c>
      <c r="G79" s="5" t="s">
        <v>397</v>
      </c>
      <c r="H79" s="5" t="s">
        <v>36</v>
      </c>
      <c r="I79" s="5" t="s">
        <v>37</v>
      </c>
      <c r="J79" s="15">
        <v>3100</v>
      </c>
      <c r="K79" s="7">
        <v>36</v>
      </c>
      <c r="L79" s="7">
        <f t="shared" si="14"/>
        <v>86.111111111111114</v>
      </c>
      <c r="M79" s="5" t="s">
        <v>9</v>
      </c>
      <c r="N79" s="5">
        <v>4</v>
      </c>
      <c r="O79" s="6">
        <f t="shared" si="15"/>
        <v>14.366801697530866</v>
      </c>
      <c r="P79" s="6">
        <f t="shared" si="16"/>
        <v>1.4941473765432098</v>
      </c>
      <c r="Q79" s="10">
        <f t="shared" si="17"/>
        <v>3.1128070344650208E-2</v>
      </c>
      <c r="R79" s="10">
        <f t="shared" si="18"/>
        <v>0.11733219553044927</v>
      </c>
      <c r="S79" s="10">
        <f t="shared" si="19"/>
        <v>0.14846026587509947</v>
      </c>
    </row>
    <row r="80" spans="1:19" x14ac:dyDescent="0.25">
      <c r="A80" s="5" t="s">
        <v>8</v>
      </c>
      <c r="B80" s="5" t="s">
        <v>165</v>
      </c>
      <c r="C80" s="5" t="s">
        <v>27</v>
      </c>
      <c r="D80" s="5" t="s">
        <v>385</v>
      </c>
      <c r="E80" s="5" t="s">
        <v>384</v>
      </c>
      <c r="F80" s="5" t="s">
        <v>30</v>
      </c>
      <c r="G80" s="5" t="s">
        <v>397</v>
      </c>
      <c r="H80" s="5" t="s">
        <v>36</v>
      </c>
      <c r="I80" s="5" t="s">
        <v>37</v>
      </c>
      <c r="J80" s="15">
        <v>3000</v>
      </c>
      <c r="K80" s="7">
        <v>34</v>
      </c>
      <c r="L80" s="7">
        <f t="shared" si="14"/>
        <v>88.235294117647058</v>
      </c>
      <c r="M80" s="5" t="s">
        <v>9</v>
      </c>
      <c r="N80" s="5">
        <v>4</v>
      </c>
      <c r="O80" s="6">
        <f t="shared" si="15"/>
        <v>14.597750865051902</v>
      </c>
      <c r="P80" s="6">
        <f t="shared" si="16"/>
        <v>1.5181660899653979</v>
      </c>
      <c r="Q80" s="10">
        <f t="shared" si="17"/>
        <v>3.1628460207612452E-2</v>
      </c>
      <c r="R80" s="10">
        <f t="shared" si="18"/>
        <v>0.11874397551321185</v>
      </c>
      <c r="S80" s="10">
        <f t="shared" si="19"/>
        <v>0.15037243572082432</v>
      </c>
    </row>
    <row r="81" spans="1:19" x14ac:dyDescent="0.25">
      <c r="A81" s="5" t="s">
        <v>8</v>
      </c>
      <c r="B81" s="5" t="s">
        <v>165</v>
      </c>
      <c r="C81" s="5" t="s">
        <v>27</v>
      </c>
      <c r="D81" s="5" t="s">
        <v>385</v>
      </c>
      <c r="E81" s="5" t="s">
        <v>384</v>
      </c>
      <c r="F81" s="5" t="s">
        <v>30</v>
      </c>
      <c r="G81" s="5" t="s">
        <v>397</v>
      </c>
      <c r="H81" s="5" t="s">
        <v>36</v>
      </c>
      <c r="I81" s="5" t="s">
        <v>182</v>
      </c>
      <c r="J81" s="15">
        <v>1450</v>
      </c>
      <c r="K81" s="7">
        <v>32</v>
      </c>
      <c r="L81" s="7">
        <f t="shared" si="14"/>
        <v>45.3125</v>
      </c>
      <c r="M81" s="5" t="s">
        <v>9</v>
      </c>
      <c r="N81" s="5">
        <v>4</v>
      </c>
      <c r="O81" s="6">
        <f t="shared" si="15"/>
        <v>1.8607330322265625</v>
      </c>
      <c r="P81" s="6">
        <f t="shared" si="16"/>
        <v>0.19351623535156245</v>
      </c>
      <c r="Q81" s="10">
        <f t="shared" si="17"/>
        <v>4.031588236490885E-3</v>
      </c>
      <c r="R81" s="10">
        <f t="shared" si="18"/>
        <v>2.5331457284123761E-2</v>
      </c>
      <c r="S81" s="10">
        <f t="shared" si="19"/>
        <v>2.9363045520614646E-2</v>
      </c>
    </row>
    <row r="82" spans="1:19" x14ac:dyDescent="0.25">
      <c r="A82" s="5" t="s">
        <v>8</v>
      </c>
      <c r="B82" s="5" t="s">
        <v>165</v>
      </c>
      <c r="C82" s="5" t="s">
        <v>27</v>
      </c>
      <c r="D82" s="5" t="s">
        <v>385</v>
      </c>
      <c r="E82" s="5" t="s">
        <v>384</v>
      </c>
      <c r="F82" s="5" t="s">
        <v>30</v>
      </c>
      <c r="G82" s="5" t="s">
        <v>397</v>
      </c>
      <c r="H82" s="5" t="s">
        <v>36</v>
      </c>
      <c r="I82" s="5" t="s">
        <v>184</v>
      </c>
      <c r="J82" s="15">
        <v>5250</v>
      </c>
      <c r="K82" s="7">
        <v>42.5</v>
      </c>
      <c r="L82" s="7">
        <f t="shared" si="14"/>
        <v>123.52941176470588</v>
      </c>
      <c r="M82" s="5" t="s">
        <v>9</v>
      </c>
      <c r="N82" s="5">
        <v>4</v>
      </c>
      <c r="O82" s="6">
        <f t="shared" si="15"/>
        <v>50.070285467128031</v>
      </c>
      <c r="P82" s="6">
        <f t="shared" si="16"/>
        <v>5.207309688581315</v>
      </c>
      <c r="Q82" s="10">
        <f t="shared" si="17"/>
        <v>0.10848561851211073</v>
      </c>
      <c r="R82" s="10">
        <f t="shared" si="18"/>
        <v>0.29928308707445306</v>
      </c>
      <c r="S82" s="10">
        <f t="shared" si="19"/>
        <v>0.40776870558656381</v>
      </c>
    </row>
    <row r="83" spans="1:19" x14ac:dyDescent="0.25">
      <c r="A83" s="5" t="s">
        <v>8</v>
      </c>
      <c r="B83" s="5" t="s">
        <v>165</v>
      </c>
      <c r="C83" s="5" t="s">
        <v>27</v>
      </c>
      <c r="D83" s="5" t="s">
        <v>385</v>
      </c>
      <c r="E83" s="5" t="s">
        <v>384</v>
      </c>
      <c r="F83" s="5" t="s">
        <v>30</v>
      </c>
      <c r="G83" s="5" t="s">
        <v>397</v>
      </c>
      <c r="H83" s="5" t="s">
        <v>36</v>
      </c>
      <c r="I83" s="5" t="s">
        <v>185</v>
      </c>
      <c r="J83" s="15">
        <v>3800</v>
      </c>
      <c r="K83" s="7">
        <v>19.5</v>
      </c>
      <c r="L83" s="7">
        <f t="shared" si="14"/>
        <v>194.87179487179486</v>
      </c>
      <c r="M83" s="5" t="s">
        <v>9</v>
      </c>
      <c r="N83" s="5">
        <v>4</v>
      </c>
      <c r="O83" s="6">
        <f t="shared" si="15"/>
        <v>90.190664036817864</v>
      </c>
      <c r="P83" s="6">
        <f t="shared" si="16"/>
        <v>9.3798290598290581</v>
      </c>
      <c r="Q83" s="10">
        <f t="shared" si="17"/>
        <v>0.19541310541310539</v>
      </c>
      <c r="R83" s="10">
        <f t="shared" si="18"/>
        <v>0.4653377789945094</v>
      </c>
      <c r="S83" s="10">
        <f t="shared" si="19"/>
        <v>0.66075088440761476</v>
      </c>
    </row>
    <row r="84" spans="1:19" x14ac:dyDescent="0.25">
      <c r="A84" s="5" t="s">
        <v>22</v>
      </c>
      <c r="B84" s="5" t="s">
        <v>26</v>
      </c>
      <c r="C84" s="5" t="s">
        <v>27</v>
      </c>
      <c r="D84" s="5" t="s">
        <v>385</v>
      </c>
      <c r="E84" s="5" t="s">
        <v>384</v>
      </c>
      <c r="F84" s="5" t="s">
        <v>30</v>
      </c>
      <c r="G84" s="5" t="s">
        <v>397</v>
      </c>
      <c r="H84" s="5" t="s">
        <v>36</v>
      </c>
      <c r="I84" s="5" t="s">
        <v>39</v>
      </c>
      <c r="J84" s="15">
        <v>1950</v>
      </c>
      <c r="K84" s="7">
        <v>38.5</v>
      </c>
      <c r="L84" s="7">
        <f t="shared" si="14"/>
        <v>50.649350649350652</v>
      </c>
      <c r="M84" s="5" t="s">
        <v>9</v>
      </c>
      <c r="N84" s="5">
        <v>4</v>
      </c>
      <c r="O84" s="6">
        <f t="shared" si="15"/>
        <v>3.1265285039635695</v>
      </c>
      <c r="P84" s="6">
        <f t="shared" si="16"/>
        <v>0.3251589644122112</v>
      </c>
      <c r="Q84" s="10">
        <f t="shared" si="17"/>
        <v>6.7741450919210668E-3</v>
      </c>
      <c r="R84" s="10">
        <f t="shared" si="18"/>
        <v>3.7384701610242169E-2</v>
      </c>
      <c r="S84" s="10">
        <f t="shared" si="19"/>
        <v>4.4158846702163232E-2</v>
      </c>
    </row>
    <row r="85" spans="1:19" x14ac:dyDescent="0.25">
      <c r="A85" s="5" t="s">
        <v>22</v>
      </c>
      <c r="B85" s="5" t="s">
        <v>63</v>
      </c>
      <c r="C85" s="5" t="s">
        <v>27</v>
      </c>
      <c r="D85" s="5" t="s">
        <v>385</v>
      </c>
      <c r="E85" s="5" t="s">
        <v>384</v>
      </c>
      <c r="F85" s="5" t="s">
        <v>30</v>
      </c>
      <c r="G85" s="5" t="s">
        <v>397</v>
      </c>
      <c r="H85" s="5" t="s">
        <v>36</v>
      </c>
      <c r="I85" s="5" t="s">
        <v>39</v>
      </c>
      <c r="J85" s="15">
        <v>1950</v>
      </c>
      <c r="K85" s="7">
        <v>38.5</v>
      </c>
      <c r="L85" s="7">
        <f t="shared" si="14"/>
        <v>50.649350649350652</v>
      </c>
      <c r="M85" s="5" t="s">
        <v>9</v>
      </c>
      <c r="N85" s="5">
        <v>4</v>
      </c>
      <c r="O85" s="6">
        <f t="shared" si="15"/>
        <v>3.1265285039635695</v>
      </c>
      <c r="P85" s="6">
        <f t="shared" si="16"/>
        <v>0.3251589644122112</v>
      </c>
      <c r="Q85" s="10">
        <f t="shared" si="17"/>
        <v>6.7741450919210668E-3</v>
      </c>
      <c r="R85" s="10">
        <f t="shared" si="18"/>
        <v>3.7384701610242169E-2</v>
      </c>
      <c r="S85" s="10">
        <f t="shared" si="19"/>
        <v>4.4158846702163232E-2</v>
      </c>
    </row>
    <row r="86" spans="1:19" x14ac:dyDescent="0.25">
      <c r="A86" s="5" t="s">
        <v>8</v>
      </c>
      <c r="B86" s="5" t="s">
        <v>165</v>
      </c>
      <c r="C86" s="5" t="s">
        <v>27</v>
      </c>
      <c r="D86" s="5" t="s">
        <v>385</v>
      </c>
      <c r="E86" s="5" t="s">
        <v>384</v>
      </c>
      <c r="F86" s="5" t="s">
        <v>30</v>
      </c>
      <c r="G86" s="5" t="s">
        <v>397</v>
      </c>
      <c r="H86" s="5" t="s">
        <v>36</v>
      </c>
      <c r="I86" s="5" t="s">
        <v>39</v>
      </c>
      <c r="J86" s="15">
        <v>1800</v>
      </c>
      <c r="K86" s="7">
        <v>38</v>
      </c>
      <c r="L86" s="7">
        <f t="shared" si="14"/>
        <v>47.368421052631582</v>
      </c>
      <c r="M86" s="5" t="s">
        <v>9</v>
      </c>
      <c r="N86" s="5">
        <v>4</v>
      </c>
      <c r="O86" s="6">
        <f t="shared" si="15"/>
        <v>2.5242382271468147</v>
      </c>
      <c r="P86" s="6">
        <f t="shared" si="16"/>
        <v>0.2625207756232687</v>
      </c>
      <c r="Q86" s="10">
        <f t="shared" si="17"/>
        <v>5.4691828254847643E-3</v>
      </c>
      <c r="R86" s="10">
        <f t="shared" si="18"/>
        <v>3.1841599745227871E-2</v>
      </c>
      <c r="S86" s="10">
        <f t="shared" si="19"/>
        <v>3.7310782570712638E-2</v>
      </c>
    </row>
    <row r="87" spans="1:19" x14ac:dyDescent="0.25">
      <c r="A87" s="5" t="s">
        <v>8</v>
      </c>
      <c r="B87" s="5" t="s">
        <v>165</v>
      </c>
      <c r="C87" s="5" t="s">
        <v>27</v>
      </c>
      <c r="D87" s="5" t="s">
        <v>385</v>
      </c>
      <c r="E87" s="5" t="s">
        <v>384</v>
      </c>
      <c r="F87" s="5" t="s">
        <v>30</v>
      </c>
      <c r="G87" s="5" t="s">
        <v>397</v>
      </c>
      <c r="H87" s="5" t="s">
        <v>36</v>
      </c>
      <c r="I87" s="5" t="s">
        <v>39</v>
      </c>
      <c r="J87" s="15">
        <v>1850</v>
      </c>
      <c r="K87" s="7">
        <v>38.5</v>
      </c>
      <c r="L87" s="7">
        <f t="shared" si="14"/>
        <v>48.051948051948052</v>
      </c>
      <c r="M87" s="5" t="s">
        <v>9</v>
      </c>
      <c r="N87" s="5">
        <v>4</v>
      </c>
      <c r="O87" s="6">
        <f t="shared" si="15"/>
        <v>2.6697693540226006</v>
      </c>
      <c r="P87" s="6">
        <f t="shared" si="16"/>
        <v>0.27765601281835045</v>
      </c>
      <c r="Q87" s="10">
        <f t="shared" si="17"/>
        <v>5.7845002670489677E-3</v>
      </c>
      <c r="R87" s="10">
        <f t="shared" si="18"/>
        <v>3.3208742598630749E-2</v>
      </c>
      <c r="S87" s="10">
        <f t="shared" si="19"/>
        <v>3.899324286567972E-2</v>
      </c>
    </row>
    <row r="88" spans="1:19" x14ac:dyDescent="0.25">
      <c r="A88" s="5" t="s">
        <v>8</v>
      </c>
      <c r="B88" s="5" t="s">
        <v>165</v>
      </c>
      <c r="C88" s="5" t="s">
        <v>27</v>
      </c>
      <c r="D88" s="5" t="s">
        <v>385</v>
      </c>
      <c r="E88" s="5" t="s">
        <v>384</v>
      </c>
      <c r="F88" s="5" t="s">
        <v>30</v>
      </c>
      <c r="G88" s="5" t="s">
        <v>397</v>
      </c>
      <c r="H88" s="5" t="s">
        <v>36</v>
      </c>
      <c r="I88" s="5" t="s">
        <v>186</v>
      </c>
      <c r="J88" s="15">
        <v>1250</v>
      </c>
      <c r="K88" s="7">
        <v>34</v>
      </c>
      <c r="L88" s="7">
        <f t="shared" si="14"/>
        <v>36.764705882352942</v>
      </c>
      <c r="M88" s="5" t="s">
        <v>9</v>
      </c>
      <c r="N88" s="5">
        <v>4</v>
      </c>
      <c r="O88" s="6">
        <f t="shared" si="15"/>
        <v>1.0559715614186851</v>
      </c>
      <c r="P88" s="6">
        <f t="shared" si="16"/>
        <v>0.10982104238754326</v>
      </c>
      <c r="Q88" s="10">
        <f t="shared" si="17"/>
        <v>2.2879383830738177E-3</v>
      </c>
      <c r="R88" s="10">
        <f t="shared" si="18"/>
        <v>1.65628966155872E-2</v>
      </c>
      <c r="S88" s="10">
        <f t="shared" si="19"/>
        <v>1.8850834998661019E-2</v>
      </c>
    </row>
    <row r="89" spans="1:19" x14ac:dyDescent="0.25">
      <c r="A89" s="5" t="s">
        <v>8</v>
      </c>
      <c r="B89" s="5" t="s">
        <v>220</v>
      </c>
      <c r="C89" s="5" t="s">
        <v>27</v>
      </c>
      <c r="D89" s="5" t="s">
        <v>385</v>
      </c>
      <c r="E89" s="5" t="s">
        <v>384</v>
      </c>
      <c r="F89" s="5" t="s">
        <v>30</v>
      </c>
      <c r="G89" s="5" t="s">
        <v>397</v>
      </c>
      <c r="H89" s="5" t="s">
        <v>64</v>
      </c>
      <c r="I89" s="5" t="s">
        <v>221</v>
      </c>
      <c r="J89" s="15">
        <v>4675</v>
      </c>
      <c r="K89" s="7">
        <v>30</v>
      </c>
      <c r="L89" s="7">
        <f t="shared" si="14"/>
        <v>155.83333333333334</v>
      </c>
      <c r="M89" s="5" t="s">
        <v>9</v>
      </c>
      <c r="N89" s="5">
        <v>4</v>
      </c>
      <c r="O89" s="6">
        <f t="shared" si="15"/>
        <v>70.954893663194454</v>
      </c>
      <c r="P89" s="6">
        <f t="shared" si="16"/>
        <v>7.3793089409722228</v>
      </c>
      <c r="Q89" s="10">
        <f t="shared" si="17"/>
        <v>0.15373560293692132</v>
      </c>
      <c r="R89" s="10">
        <f t="shared" si="18"/>
        <v>0.38871731788170716</v>
      </c>
      <c r="S89" s="10">
        <f t="shared" si="19"/>
        <v>0.5424529208186285</v>
      </c>
    </row>
    <row r="90" spans="1:19" x14ac:dyDescent="0.25">
      <c r="A90" s="5" t="s">
        <v>8</v>
      </c>
      <c r="B90" s="5" t="s">
        <v>220</v>
      </c>
      <c r="C90" s="5" t="s">
        <v>27</v>
      </c>
      <c r="D90" s="5" t="s">
        <v>385</v>
      </c>
      <c r="E90" s="5" t="s">
        <v>384</v>
      </c>
      <c r="F90" s="5" t="s">
        <v>30</v>
      </c>
      <c r="G90" s="5" t="s">
        <v>397</v>
      </c>
      <c r="H90" s="5" t="s">
        <v>64</v>
      </c>
      <c r="I90" s="5" t="s">
        <v>222</v>
      </c>
      <c r="J90" s="15">
        <v>7318</v>
      </c>
      <c r="K90" s="7">
        <v>42</v>
      </c>
      <c r="L90" s="7">
        <f t="shared" si="14"/>
        <v>174.23809523809524</v>
      </c>
      <c r="M90" s="5" t="s">
        <v>9</v>
      </c>
      <c r="N90" s="5">
        <v>4</v>
      </c>
      <c r="O90" s="6">
        <f t="shared" si="15"/>
        <v>138.85408214002268</v>
      </c>
      <c r="P90" s="6">
        <f t="shared" si="16"/>
        <v>14.440824542562359</v>
      </c>
      <c r="Q90" s="10">
        <f t="shared" si="17"/>
        <v>0.30085051130338247</v>
      </c>
      <c r="R90" s="10">
        <f t="shared" si="18"/>
        <v>0.64315568574253767</v>
      </c>
      <c r="S90" s="10">
        <f t="shared" si="19"/>
        <v>0.94400619704592015</v>
      </c>
    </row>
    <row r="91" spans="1:19" x14ac:dyDescent="0.25">
      <c r="A91" s="5" t="s">
        <v>8</v>
      </c>
      <c r="B91" s="5" t="s">
        <v>220</v>
      </c>
      <c r="C91" s="5" t="s">
        <v>27</v>
      </c>
      <c r="D91" s="5" t="s">
        <v>385</v>
      </c>
      <c r="E91" s="5" t="s">
        <v>384</v>
      </c>
      <c r="F91" s="5" t="s">
        <v>30</v>
      </c>
      <c r="G91" s="5" t="s">
        <v>397</v>
      </c>
      <c r="H91" s="5" t="s">
        <v>64</v>
      </c>
      <c r="I91" s="5" t="s">
        <v>222</v>
      </c>
      <c r="J91" s="15">
        <v>7175</v>
      </c>
      <c r="K91" s="7">
        <v>38</v>
      </c>
      <c r="L91" s="7">
        <f t="shared" si="14"/>
        <v>188.81578947368422</v>
      </c>
      <c r="M91" s="5" t="s">
        <v>9</v>
      </c>
      <c r="N91" s="5">
        <v>4</v>
      </c>
      <c r="O91" s="6">
        <f t="shared" si="15"/>
        <v>159.87425743377773</v>
      </c>
      <c r="P91" s="6">
        <f t="shared" si="16"/>
        <v>16.626922773112884</v>
      </c>
      <c r="Q91" s="10">
        <f t="shared" si="17"/>
        <v>0.34639422443985174</v>
      </c>
      <c r="R91" s="10">
        <f t="shared" si="18"/>
        <v>0.71487651439725008</v>
      </c>
      <c r="S91" s="10">
        <f t="shared" si="19"/>
        <v>1.0612707388371019</v>
      </c>
    </row>
    <row r="92" spans="1:19" x14ac:dyDescent="0.25">
      <c r="A92" s="5" t="s">
        <v>8</v>
      </c>
      <c r="B92" s="5" t="s">
        <v>220</v>
      </c>
      <c r="C92" s="5" t="s">
        <v>27</v>
      </c>
      <c r="D92" s="5" t="s">
        <v>385</v>
      </c>
      <c r="E92" s="5" t="s">
        <v>384</v>
      </c>
      <c r="F92" s="5" t="s">
        <v>30</v>
      </c>
      <c r="G92" s="5" t="s">
        <v>397</v>
      </c>
      <c r="H92" s="5" t="s">
        <v>64</v>
      </c>
      <c r="I92" s="5" t="s">
        <v>223</v>
      </c>
      <c r="J92" s="15">
        <v>2448</v>
      </c>
      <c r="K92" s="7">
        <v>17</v>
      </c>
      <c r="L92" s="7">
        <f t="shared" si="14"/>
        <v>144</v>
      </c>
      <c r="M92" s="5" t="s">
        <v>9</v>
      </c>
      <c r="N92" s="5">
        <v>4</v>
      </c>
      <c r="O92" s="6">
        <f t="shared" si="15"/>
        <v>31.72608</v>
      </c>
      <c r="P92" s="6">
        <f t="shared" si="16"/>
        <v>3.2995123199999994</v>
      </c>
      <c r="Q92" s="10">
        <f t="shared" si="17"/>
        <v>6.8739839999999997E-2</v>
      </c>
      <c r="R92" s="10">
        <f t="shared" si="18"/>
        <v>0.21254918085556765</v>
      </c>
      <c r="S92" s="10">
        <f t="shared" si="19"/>
        <v>0.28128902085556762</v>
      </c>
    </row>
    <row r="93" spans="1:19" x14ac:dyDescent="0.25">
      <c r="A93" s="5" t="s">
        <v>22</v>
      </c>
      <c r="B93" s="5" t="s">
        <v>26</v>
      </c>
      <c r="C93" s="5" t="s">
        <v>27</v>
      </c>
      <c r="D93" s="5" t="s">
        <v>385</v>
      </c>
      <c r="E93" s="5" t="s">
        <v>384</v>
      </c>
      <c r="F93" s="5" t="s">
        <v>30</v>
      </c>
      <c r="G93" s="5" t="s">
        <v>392</v>
      </c>
      <c r="H93" s="5" t="s">
        <v>31</v>
      </c>
      <c r="I93" s="5" t="s">
        <v>33</v>
      </c>
      <c r="J93" s="15">
        <v>1250</v>
      </c>
      <c r="K93" s="7">
        <v>25</v>
      </c>
      <c r="L93" s="7">
        <f t="shared" si="14"/>
        <v>50</v>
      </c>
      <c r="M93" s="5" t="s">
        <v>9</v>
      </c>
      <c r="N93" s="5">
        <v>4</v>
      </c>
      <c r="O93" s="6">
        <f t="shared" si="15"/>
        <v>1.953125</v>
      </c>
      <c r="P93" s="6">
        <f t="shared" si="16"/>
        <v>0.203125</v>
      </c>
      <c r="Q93" s="10">
        <f t="shared" si="17"/>
        <v>4.231770833333333E-3</v>
      </c>
      <c r="R93" s="10">
        <f t="shared" si="18"/>
        <v>2.6269067326101514E-2</v>
      </c>
      <c r="S93" s="10">
        <f t="shared" si="19"/>
        <v>3.0500838159434846E-2</v>
      </c>
    </row>
    <row r="94" spans="1:19" x14ac:dyDescent="0.25">
      <c r="A94" s="5" t="s">
        <v>22</v>
      </c>
      <c r="B94" s="5" t="s">
        <v>63</v>
      </c>
      <c r="C94" s="5" t="s">
        <v>27</v>
      </c>
      <c r="D94" s="5" t="s">
        <v>385</v>
      </c>
      <c r="E94" s="5" t="s">
        <v>384</v>
      </c>
      <c r="F94" s="5" t="s">
        <v>30</v>
      </c>
      <c r="G94" s="5" t="s">
        <v>392</v>
      </c>
      <c r="H94" s="5" t="s">
        <v>31</v>
      </c>
      <c r="I94" s="5" t="s">
        <v>33</v>
      </c>
      <c r="J94" s="15">
        <v>1050</v>
      </c>
      <c r="K94" s="7">
        <v>24.5</v>
      </c>
      <c r="L94" s="7">
        <f t="shared" si="14"/>
        <v>42.857142857142854</v>
      </c>
      <c r="M94" s="5" t="s">
        <v>9</v>
      </c>
      <c r="N94" s="5">
        <v>4</v>
      </c>
      <c r="O94" s="6">
        <f t="shared" si="15"/>
        <v>1.2053571428571428</v>
      </c>
      <c r="P94" s="6">
        <f t="shared" si="16"/>
        <v>0.12535714285714283</v>
      </c>
      <c r="Q94" s="10">
        <f t="shared" si="17"/>
        <v>2.6116071428571425E-3</v>
      </c>
      <c r="R94" s="10">
        <f t="shared" si="18"/>
        <v>1.8290851916478671E-2</v>
      </c>
      <c r="S94" s="10">
        <f t="shared" si="19"/>
        <v>2.0902459059335812E-2</v>
      </c>
    </row>
    <row r="95" spans="1:19" x14ac:dyDescent="0.25">
      <c r="A95" s="5" t="s">
        <v>8</v>
      </c>
      <c r="B95" s="5" t="s">
        <v>287</v>
      </c>
      <c r="C95" s="5" t="s">
        <v>27</v>
      </c>
      <c r="D95" s="5" t="s">
        <v>385</v>
      </c>
      <c r="E95" s="5" t="s">
        <v>384</v>
      </c>
      <c r="F95" s="5" t="s">
        <v>30</v>
      </c>
      <c r="G95" s="5" t="s">
        <v>392</v>
      </c>
      <c r="H95" s="5" t="s">
        <v>31</v>
      </c>
      <c r="I95" s="5" t="s">
        <v>33</v>
      </c>
      <c r="J95" s="15">
        <v>1000</v>
      </c>
      <c r="K95" s="7">
        <v>26.5</v>
      </c>
      <c r="L95" s="7">
        <f t="shared" si="14"/>
        <v>37.735849056603776</v>
      </c>
      <c r="M95" s="5" t="s">
        <v>9</v>
      </c>
      <c r="N95" s="5">
        <v>4</v>
      </c>
      <c r="O95" s="6">
        <f t="shared" si="15"/>
        <v>0.88999644001424005</v>
      </c>
      <c r="P95" s="6">
        <f t="shared" si="16"/>
        <v>9.2559629761480952E-2</v>
      </c>
      <c r="Q95" s="10">
        <f t="shared" si="17"/>
        <v>1.9283256200308535E-3</v>
      </c>
      <c r="R95" s="10">
        <f t="shared" si="18"/>
        <v>1.4569287935358966E-2</v>
      </c>
      <c r="S95" s="10">
        <f t="shared" si="19"/>
        <v>1.6497613555389819E-2</v>
      </c>
    </row>
    <row r="96" spans="1:19" x14ac:dyDescent="0.25">
      <c r="A96" s="5" t="s">
        <v>22</v>
      </c>
      <c r="B96" s="5" t="s">
        <v>63</v>
      </c>
      <c r="C96" s="5" t="s">
        <v>27</v>
      </c>
      <c r="D96" s="5" t="s">
        <v>385</v>
      </c>
      <c r="E96" s="5" t="s">
        <v>384</v>
      </c>
      <c r="F96" s="5" t="s">
        <v>30</v>
      </c>
      <c r="G96" s="5" t="s">
        <v>392</v>
      </c>
      <c r="H96" s="5" t="s">
        <v>31</v>
      </c>
      <c r="I96" s="5" t="s">
        <v>141</v>
      </c>
      <c r="J96" s="15">
        <v>3070</v>
      </c>
      <c r="K96" s="7">
        <v>32.5</v>
      </c>
      <c r="L96" s="7">
        <f t="shared" si="14"/>
        <v>94.461538461538467</v>
      </c>
      <c r="M96" s="5" t="s">
        <v>9</v>
      </c>
      <c r="N96" s="5">
        <v>4</v>
      </c>
      <c r="O96" s="6">
        <f t="shared" si="15"/>
        <v>17.120972189349114</v>
      </c>
      <c r="P96" s="6">
        <f t="shared" si="16"/>
        <v>1.7805811076923079</v>
      </c>
      <c r="Q96" s="10">
        <f t="shared" si="17"/>
        <v>3.7095439743589746E-2</v>
      </c>
      <c r="R96" s="10">
        <f t="shared" si="18"/>
        <v>0.13382690699889258</v>
      </c>
      <c r="S96" s="10">
        <f t="shared" si="19"/>
        <v>0.17092234674248233</v>
      </c>
    </row>
    <row r="97" spans="1:19" x14ac:dyDescent="0.25">
      <c r="A97" s="5" t="s">
        <v>8</v>
      </c>
      <c r="B97" s="5" t="s">
        <v>370</v>
      </c>
      <c r="C97" s="5" t="s">
        <v>27</v>
      </c>
      <c r="D97" s="5" t="s">
        <v>385</v>
      </c>
      <c r="E97" s="5" t="s">
        <v>384</v>
      </c>
      <c r="F97" s="5" t="s">
        <v>30</v>
      </c>
      <c r="G97" s="5" t="s">
        <v>392</v>
      </c>
      <c r="H97" s="5" t="s">
        <v>34</v>
      </c>
      <c r="I97" s="5" t="s">
        <v>371</v>
      </c>
      <c r="J97" s="15">
        <v>799</v>
      </c>
      <c r="K97" s="7">
        <v>21.8</v>
      </c>
      <c r="L97" s="7">
        <f t="shared" si="14"/>
        <v>36.651376146788991</v>
      </c>
      <c r="M97" s="5" t="s">
        <v>9</v>
      </c>
      <c r="N97" s="5">
        <v>4</v>
      </c>
      <c r="O97" s="6">
        <f t="shared" si="15"/>
        <v>0.67082210961829813</v>
      </c>
      <c r="P97" s="6">
        <f t="shared" si="16"/>
        <v>6.9765499400302994E-2</v>
      </c>
      <c r="Q97" s="10">
        <f t="shared" si="17"/>
        <v>1.4534479041729794E-3</v>
      </c>
      <c r="R97" s="10">
        <f t="shared" si="18"/>
        <v>1.1785625867435959E-2</v>
      </c>
      <c r="S97" s="10">
        <f t="shared" si="19"/>
        <v>1.3239073771608939E-2</v>
      </c>
    </row>
    <row r="98" spans="1:19" x14ac:dyDescent="0.25">
      <c r="A98" s="5" t="s">
        <v>8</v>
      </c>
      <c r="B98" s="5" t="s">
        <v>370</v>
      </c>
      <c r="C98" s="5" t="s">
        <v>27</v>
      </c>
      <c r="D98" s="5" t="s">
        <v>385</v>
      </c>
      <c r="E98" s="5" t="s">
        <v>384</v>
      </c>
      <c r="F98" s="5" t="s">
        <v>30</v>
      </c>
      <c r="G98" s="5" t="s">
        <v>392</v>
      </c>
      <c r="H98" s="5" t="s">
        <v>34</v>
      </c>
      <c r="I98" s="5" t="s">
        <v>371</v>
      </c>
      <c r="J98" s="15">
        <v>695</v>
      </c>
      <c r="K98" s="7">
        <v>19.5</v>
      </c>
      <c r="L98" s="7">
        <f t="shared" ref="L98:L129" si="20">J98/K98</f>
        <v>35.641025641025642</v>
      </c>
      <c r="M98" s="5" t="s">
        <v>9</v>
      </c>
      <c r="N98" s="5">
        <v>4</v>
      </c>
      <c r="O98" s="6">
        <f t="shared" ref="O98:O129" si="21">(J98*L98^2)/(1.6*10^6)</f>
        <v>0.55177905161078245</v>
      </c>
      <c r="P98" s="6">
        <f t="shared" ref="P98:P129" si="22">(0.104*J98*L98^2)/(1.6*10^6)</f>
        <v>5.7385021367521369E-2</v>
      </c>
      <c r="Q98" s="10">
        <f t="shared" ref="Q98:Q129" si="23">(0.104*O98)/(12*N98)</f>
        <v>1.1955212784900285E-3</v>
      </c>
      <c r="R98" s="10">
        <f t="shared" ref="R98:R129" si="24">0.0159*O98^0.75</f>
        <v>1.0179373052067059E-2</v>
      </c>
      <c r="S98" s="10">
        <f t="shared" ref="S98:S129" si="25">Q98+R98</f>
        <v>1.1374894330557089E-2</v>
      </c>
    </row>
    <row r="99" spans="1:19" x14ac:dyDescent="0.25">
      <c r="A99" s="5" t="s">
        <v>8</v>
      </c>
      <c r="B99" s="5" t="s">
        <v>270</v>
      </c>
      <c r="C99" s="5" t="s">
        <v>27</v>
      </c>
      <c r="D99" s="5" t="s">
        <v>385</v>
      </c>
      <c r="E99" s="5" t="s">
        <v>384</v>
      </c>
      <c r="F99" s="5" t="s">
        <v>30</v>
      </c>
      <c r="G99" s="5" t="s">
        <v>392</v>
      </c>
      <c r="H99" s="5" t="s">
        <v>34</v>
      </c>
      <c r="I99" s="5" t="s">
        <v>274</v>
      </c>
      <c r="J99" s="15">
        <v>3450</v>
      </c>
      <c r="K99" s="7">
        <v>45</v>
      </c>
      <c r="L99" s="7">
        <f t="shared" si="20"/>
        <v>76.666666666666671</v>
      </c>
      <c r="M99" s="5" t="s">
        <v>9</v>
      </c>
      <c r="N99" s="5">
        <v>4</v>
      </c>
      <c r="O99" s="6">
        <f t="shared" si="21"/>
        <v>12.673958333333335</v>
      </c>
      <c r="P99" s="6">
        <f t="shared" si="22"/>
        <v>1.3180916666666669</v>
      </c>
      <c r="Q99" s="10">
        <f t="shared" si="23"/>
        <v>2.7460243055555559E-2</v>
      </c>
      <c r="R99" s="10">
        <f t="shared" si="24"/>
        <v>0.10680247834350282</v>
      </c>
      <c r="S99" s="10">
        <f t="shared" si="25"/>
        <v>0.13426272139905837</v>
      </c>
    </row>
    <row r="100" spans="1:19" x14ac:dyDescent="0.25">
      <c r="A100" s="5" t="s">
        <v>8</v>
      </c>
      <c r="B100" s="5" t="s">
        <v>270</v>
      </c>
      <c r="C100" s="5" t="s">
        <v>27</v>
      </c>
      <c r="D100" s="5" t="s">
        <v>385</v>
      </c>
      <c r="E100" s="5" t="s">
        <v>384</v>
      </c>
      <c r="F100" s="5" t="s">
        <v>30</v>
      </c>
      <c r="G100" s="5" t="s">
        <v>392</v>
      </c>
      <c r="H100" s="5" t="s">
        <v>34</v>
      </c>
      <c r="I100" s="5" t="s">
        <v>271</v>
      </c>
      <c r="J100" s="15">
        <v>3400</v>
      </c>
      <c r="K100" s="7">
        <v>38</v>
      </c>
      <c r="L100" s="7">
        <f t="shared" si="20"/>
        <v>89.473684210526315</v>
      </c>
      <c r="M100" s="5" t="s">
        <v>9</v>
      </c>
      <c r="N100" s="5">
        <v>4</v>
      </c>
      <c r="O100" s="6">
        <f t="shared" si="21"/>
        <v>17.011772853185594</v>
      </c>
      <c r="P100" s="6">
        <f t="shared" si="22"/>
        <v>1.7692243767313018</v>
      </c>
      <c r="Q100" s="10">
        <f t="shared" si="23"/>
        <v>3.6858841181902115E-2</v>
      </c>
      <c r="R100" s="10">
        <f t="shared" si="24"/>
        <v>0.13318622383409978</v>
      </c>
      <c r="S100" s="10">
        <f t="shared" si="25"/>
        <v>0.17004506501600189</v>
      </c>
    </row>
    <row r="101" spans="1:19" x14ac:dyDescent="0.25">
      <c r="A101" s="5" t="s">
        <v>8</v>
      </c>
      <c r="B101" s="5" t="s">
        <v>270</v>
      </c>
      <c r="C101" s="5" t="s">
        <v>27</v>
      </c>
      <c r="D101" s="5" t="s">
        <v>385</v>
      </c>
      <c r="E101" s="5" t="s">
        <v>384</v>
      </c>
      <c r="F101" s="5" t="s">
        <v>30</v>
      </c>
      <c r="G101" s="5" t="s">
        <v>392</v>
      </c>
      <c r="H101" s="5" t="s">
        <v>34</v>
      </c>
      <c r="I101" s="5" t="s">
        <v>276</v>
      </c>
      <c r="J101" s="15">
        <v>1900</v>
      </c>
      <c r="K101" s="7">
        <v>29.8</v>
      </c>
      <c r="L101" s="7">
        <f t="shared" si="20"/>
        <v>63.758389261744966</v>
      </c>
      <c r="M101" s="5" t="s">
        <v>9</v>
      </c>
      <c r="N101" s="5">
        <v>4</v>
      </c>
      <c r="O101" s="6">
        <f t="shared" si="21"/>
        <v>4.8273444889869825</v>
      </c>
      <c r="P101" s="6">
        <f t="shared" si="22"/>
        <v>0.50204382685464621</v>
      </c>
      <c r="Q101" s="10">
        <f t="shared" si="23"/>
        <v>1.0459246392805129E-2</v>
      </c>
      <c r="R101" s="10">
        <f t="shared" si="24"/>
        <v>5.1781943123725895E-2</v>
      </c>
      <c r="S101" s="10">
        <f t="shared" si="25"/>
        <v>6.2241189516531022E-2</v>
      </c>
    </row>
    <row r="102" spans="1:19" x14ac:dyDescent="0.25">
      <c r="A102" s="5" t="s">
        <v>8</v>
      </c>
      <c r="B102" s="5" t="s">
        <v>270</v>
      </c>
      <c r="C102" s="5" t="s">
        <v>27</v>
      </c>
      <c r="D102" s="5" t="s">
        <v>385</v>
      </c>
      <c r="E102" s="5" t="s">
        <v>384</v>
      </c>
      <c r="F102" s="5" t="s">
        <v>30</v>
      </c>
      <c r="G102" s="5" t="s">
        <v>392</v>
      </c>
      <c r="H102" s="5" t="s">
        <v>34</v>
      </c>
      <c r="I102" s="5" t="s">
        <v>275</v>
      </c>
      <c r="J102" s="15">
        <v>2390</v>
      </c>
      <c r="K102" s="7">
        <v>31.7</v>
      </c>
      <c r="L102" s="7">
        <f t="shared" si="20"/>
        <v>75.394321766561518</v>
      </c>
      <c r="M102" s="5" t="s">
        <v>9</v>
      </c>
      <c r="N102" s="5">
        <v>4</v>
      </c>
      <c r="O102" s="6">
        <f t="shared" si="21"/>
        <v>8.4909287334932184</v>
      </c>
      <c r="P102" s="6">
        <f t="shared" si="22"/>
        <v>0.88305658828329481</v>
      </c>
      <c r="Q102" s="10">
        <f t="shared" si="23"/>
        <v>1.8397012255901974E-2</v>
      </c>
      <c r="R102" s="10">
        <f t="shared" si="24"/>
        <v>7.9088533214020734E-2</v>
      </c>
      <c r="S102" s="10">
        <f t="shared" si="25"/>
        <v>9.7485545469922705E-2</v>
      </c>
    </row>
    <row r="103" spans="1:19" x14ac:dyDescent="0.25">
      <c r="A103" s="5" t="s">
        <v>8</v>
      </c>
      <c r="B103" s="5" t="s">
        <v>270</v>
      </c>
      <c r="C103" s="5" t="s">
        <v>27</v>
      </c>
      <c r="D103" s="5" t="s">
        <v>385</v>
      </c>
      <c r="E103" s="5" t="s">
        <v>384</v>
      </c>
      <c r="F103" s="5" t="s">
        <v>30</v>
      </c>
      <c r="G103" s="5" t="s">
        <v>392</v>
      </c>
      <c r="H103" s="5" t="s">
        <v>34</v>
      </c>
      <c r="I103" s="5" t="s">
        <v>272</v>
      </c>
      <c r="J103" s="15">
        <v>3180</v>
      </c>
      <c r="K103" s="7">
        <v>35</v>
      </c>
      <c r="L103" s="7">
        <f t="shared" si="20"/>
        <v>90.857142857142861</v>
      </c>
      <c r="M103" s="5" t="s">
        <v>9</v>
      </c>
      <c r="N103" s="5">
        <v>4</v>
      </c>
      <c r="O103" s="6">
        <f t="shared" si="21"/>
        <v>16.406853061224488</v>
      </c>
      <c r="P103" s="6">
        <f t="shared" si="22"/>
        <v>1.706312718367347</v>
      </c>
      <c r="Q103" s="10">
        <f t="shared" si="23"/>
        <v>3.554818163265306E-2</v>
      </c>
      <c r="R103" s="10">
        <f t="shared" si="24"/>
        <v>0.12961823122752753</v>
      </c>
      <c r="S103" s="10">
        <f t="shared" si="25"/>
        <v>0.16516641286018058</v>
      </c>
    </row>
    <row r="104" spans="1:19" x14ac:dyDescent="0.25">
      <c r="A104" s="5" t="s">
        <v>8</v>
      </c>
      <c r="B104" s="5" t="s">
        <v>270</v>
      </c>
      <c r="C104" s="5" t="s">
        <v>27</v>
      </c>
      <c r="D104" s="5" t="s">
        <v>385</v>
      </c>
      <c r="E104" s="5" t="s">
        <v>384</v>
      </c>
      <c r="F104" s="5" t="s">
        <v>30</v>
      </c>
      <c r="G104" s="5" t="s">
        <v>392</v>
      </c>
      <c r="H104" s="5" t="s">
        <v>34</v>
      </c>
      <c r="I104" s="5" t="s">
        <v>272</v>
      </c>
      <c r="J104" s="15">
        <v>3510</v>
      </c>
      <c r="K104" s="7">
        <v>38.200000000000003</v>
      </c>
      <c r="L104" s="7">
        <f t="shared" si="20"/>
        <v>91.8848167539267</v>
      </c>
      <c r="M104" s="5" t="s">
        <v>9</v>
      </c>
      <c r="N104" s="5">
        <v>4</v>
      </c>
      <c r="O104" s="6">
        <f t="shared" si="21"/>
        <v>18.52143538759902</v>
      </c>
      <c r="P104" s="6">
        <f t="shared" si="22"/>
        <v>1.9262292803102978</v>
      </c>
      <c r="Q104" s="10">
        <f t="shared" si="23"/>
        <v>4.0129776673131209E-2</v>
      </c>
      <c r="R104" s="10">
        <f t="shared" si="24"/>
        <v>0.14195578806050616</v>
      </c>
      <c r="S104" s="10">
        <f t="shared" si="25"/>
        <v>0.18208556473363735</v>
      </c>
    </row>
    <row r="105" spans="1:19" x14ac:dyDescent="0.25">
      <c r="A105" s="5" t="s">
        <v>8</v>
      </c>
      <c r="B105" s="5" t="s">
        <v>357</v>
      </c>
      <c r="C105" s="5" t="s">
        <v>27</v>
      </c>
      <c r="D105" s="5" t="s">
        <v>385</v>
      </c>
      <c r="E105" s="5" t="s">
        <v>384</v>
      </c>
      <c r="F105" s="5" t="s">
        <v>30</v>
      </c>
      <c r="G105" s="5" t="s">
        <v>392</v>
      </c>
      <c r="H105" s="5" t="s">
        <v>34</v>
      </c>
      <c r="I105" s="5" t="s">
        <v>318</v>
      </c>
      <c r="J105" s="15">
        <v>1800</v>
      </c>
      <c r="K105" s="7">
        <v>32</v>
      </c>
      <c r="L105" s="7">
        <f t="shared" si="20"/>
        <v>56.25</v>
      </c>
      <c r="M105" s="5" t="s">
        <v>9</v>
      </c>
      <c r="N105" s="5">
        <v>4</v>
      </c>
      <c r="O105" s="6">
        <f t="shared" si="21"/>
        <v>3.5595703125</v>
      </c>
      <c r="P105" s="6">
        <f t="shared" si="22"/>
        <v>0.37019531249999998</v>
      </c>
      <c r="Q105" s="10">
        <f t="shared" si="23"/>
        <v>7.71240234375E-3</v>
      </c>
      <c r="R105" s="10">
        <f t="shared" si="24"/>
        <v>4.1204562411128992E-2</v>
      </c>
      <c r="S105" s="10">
        <f t="shared" si="25"/>
        <v>4.8916964754878993E-2</v>
      </c>
    </row>
    <row r="106" spans="1:19" x14ac:dyDescent="0.25">
      <c r="A106" s="5" t="s">
        <v>22</v>
      </c>
      <c r="B106" s="5" t="s">
        <v>26</v>
      </c>
      <c r="C106" s="5" t="s">
        <v>27</v>
      </c>
      <c r="D106" s="5" t="s">
        <v>385</v>
      </c>
      <c r="E106" s="5" t="s">
        <v>384</v>
      </c>
      <c r="F106" s="5" t="s">
        <v>30</v>
      </c>
      <c r="G106" s="5" t="s">
        <v>392</v>
      </c>
      <c r="H106" s="5" t="s">
        <v>34</v>
      </c>
      <c r="I106" s="5" t="s">
        <v>35</v>
      </c>
      <c r="J106" s="15">
        <v>2500</v>
      </c>
      <c r="K106" s="7">
        <v>29.5</v>
      </c>
      <c r="L106" s="7">
        <f t="shared" si="20"/>
        <v>84.745762711864401</v>
      </c>
      <c r="M106" s="5" t="s">
        <v>9</v>
      </c>
      <c r="N106" s="5">
        <v>4</v>
      </c>
      <c r="O106" s="6">
        <f t="shared" si="21"/>
        <v>11.221631715024417</v>
      </c>
      <c r="P106" s="6">
        <f t="shared" si="22"/>
        <v>1.1670496983625394</v>
      </c>
      <c r="Q106" s="10">
        <f t="shared" si="23"/>
        <v>2.4313535382552903E-2</v>
      </c>
      <c r="R106" s="10">
        <f t="shared" si="24"/>
        <v>9.7485300079983322E-2</v>
      </c>
      <c r="S106" s="10">
        <f t="shared" si="25"/>
        <v>0.12179883546253623</v>
      </c>
    </row>
    <row r="107" spans="1:19" x14ac:dyDescent="0.25">
      <c r="A107" s="5" t="s">
        <v>8</v>
      </c>
      <c r="B107" s="5" t="s">
        <v>366</v>
      </c>
      <c r="C107" s="5" t="s">
        <v>27</v>
      </c>
      <c r="D107" s="5" t="s">
        <v>385</v>
      </c>
      <c r="E107" s="5" t="s">
        <v>384</v>
      </c>
      <c r="F107" s="5" t="s">
        <v>30</v>
      </c>
      <c r="G107" s="5" t="s">
        <v>392</v>
      </c>
      <c r="H107" s="5" t="s">
        <v>232</v>
      </c>
      <c r="I107" s="5" t="s">
        <v>367</v>
      </c>
      <c r="J107" s="15">
        <v>2530</v>
      </c>
      <c r="K107" s="7">
        <v>31.5</v>
      </c>
      <c r="L107" s="7">
        <f t="shared" si="20"/>
        <v>80.317460317460316</v>
      </c>
      <c r="M107" s="5" t="s">
        <v>9</v>
      </c>
      <c r="N107" s="5">
        <v>4</v>
      </c>
      <c r="O107" s="6">
        <f t="shared" si="21"/>
        <v>10.200476820357773</v>
      </c>
      <c r="P107" s="6">
        <f t="shared" si="22"/>
        <v>1.0608495893172085</v>
      </c>
      <c r="Q107" s="10">
        <f t="shared" si="23"/>
        <v>2.2101033110775173E-2</v>
      </c>
      <c r="R107" s="10">
        <f t="shared" si="24"/>
        <v>9.07533111467419E-2</v>
      </c>
      <c r="S107" s="10">
        <f t="shared" si="25"/>
        <v>0.11285434425751707</v>
      </c>
    </row>
    <row r="108" spans="1:19" x14ac:dyDescent="0.25">
      <c r="A108" s="5" t="s">
        <v>8</v>
      </c>
      <c r="B108" s="5" t="s">
        <v>346</v>
      </c>
      <c r="C108" s="5" t="s">
        <v>27</v>
      </c>
      <c r="D108" s="5" t="s">
        <v>385</v>
      </c>
      <c r="E108" s="5" t="s">
        <v>384</v>
      </c>
      <c r="F108" s="5" t="s">
        <v>30</v>
      </c>
      <c r="G108" s="5" t="s">
        <v>392</v>
      </c>
      <c r="H108" s="5" t="s">
        <v>232</v>
      </c>
      <c r="I108" s="5" t="s">
        <v>345</v>
      </c>
      <c r="J108" s="15">
        <v>3230</v>
      </c>
      <c r="K108" s="7">
        <v>33</v>
      </c>
      <c r="L108" s="7">
        <f t="shared" si="20"/>
        <v>97.878787878787875</v>
      </c>
      <c r="M108" s="5" t="s">
        <v>9</v>
      </c>
      <c r="N108" s="5">
        <v>4</v>
      </c>
      <c r="O108" s="6">
        <f t="shared" si="21"/>
        <v>19.340144054178143</v>
      </c>
      <c r="P108" s="6">
        <f t="shared" si="22"/>
        <v>2.0113749816345265</v>
      </c>
      <c r="Q108" s="10">
        <f t="shared" si="23"/>
        <v>4.1903645450719312E-2</v>
      </c>
      <c r="R108" s="10">
        <f t="shared" si="24"/>
        <v>0.14663643809535123</v>
      </c>
      <c r="S108" s="10">
        <f t="shared" si="25"/>
        <v>0.18854008354607055</v>
      </c>
    </row>
    <row r="109" spans="1:19" x14ac:dyDescent="0.25">
      <c r="A109" s="5" t="s">
        <v>8</v>
      </c>
      <c r="B109" s="5" t="s">
        <v>346</v>
      </c>
      <c r="C109" s="5" t="s">
        <v>27</v>
      </c>
      <c r="D109" s="5" t="s">
        <v>385</v>
      </c>
      <c r="E109" s="5" t="s">
        <v>384</v>
      </c>
      <c r="F109" s="5" t="s">
        <v>30</v>
      </c>
      <c r="G109" s="5" t="s">
        <v>392</v>
      </c>
      <c r="H109" s="5" t="s">
        <v>232</v>
      </c>
      <c r="I109" s="5" t="s">
        <v>345</v>
      </c>
      <c r="J109" s="15">
        <v>2950</v>
      </c>
      <c r="K109" s="7">
        <v>27.5</v>
      </c>
      <c r="L109" s="7">
        <f t="shared" si="20"/>
        <v>107.27272727272727</v>
      </c>
      <c r="M109" s="5" t="s">
        <v>9</v>
      </c>
      <c r="N109" s="5">
        <v>4</v>
      </c>
      <c r="O109" s="6">
        <f t="shared" si="21"/>
        <v>21.216838842975204</v>
      </c>
      <c r="P109" s="6">
        <f t="shared" si="22"/>
        <v>2.2065512396694213</v>
      </c>
      <c r="Q109" s="10">
        <f t="shared" si="23"/>
        <v>4.5969817493112936E-2</v>
      </c>
      <c r="R109" s="10">
        <f t="shared" si="24"/>
        <v>0.15718374523111669</v>
      </c>
      <c r="S109" s="10">
        <f t="shared" si="25"/>
        <v>0.20315356272422963</v>
      </c>
    </row>
    <row r="110" spans="1:19" x14ac:dyDescent="0.25">
      <c r="A110" s="5" t="s">
        <v>8</v>
      </c>
      <c r="B110" s="5" t="s">
        <v>344</v>
      </c>
      <c r="C110" s="5" t="s">
        <v>27</v>
      </c>
      <c r="D110" s="5" t="s">
        <v>385</v>
      </c>
      <c r="E110" s="5" t="s">
        <v>384</v>
      </c>
      <c r="F110" s="5" t="s">
        <v>30</v>
      </c>
      <c r="G110" s="5" t="s">
        <v>392</v>
      </c>
      <c r="H110" s="5" t="s">
        <v>232</v>
      </c>
      <c r="I110" s="5" t="s">
        <v>345</v>
      </c>
      <c r="J110" s="15">
        <v>3320</v>
      </c>
      <c r="K110" s="7">
        <v>30.8</v>
      </c>
      <c r="L110" s="7">
        <f t="shared" si="20"/>
        <v>107.79220779220779</v>
      </c>
      <c r="M110" s="5" t="s">
        <v>9</v>
      </c>
      <c r="N110" s="5">
        <v>4</v>
      </c>
      <c r="O110" s="6">
        <f t="shared" si="21"/>
        <v>24.109757125990889</v>
      </c>
      <c r="P110" s="6">
        <f t="shared" si="22"/>
        <v>2.5074147411030521</v>
      </c>
      <c r="Q110" s="10">
        <f t="shared" si="23"/>
        <v>5.2237807106313594E-2</v>
      </c>
      <c r="R110" s="10">
        <f t="shared" si="24"/>
        <v>0.17299826631519027</v>
      </c>
      <c r="S110" s="10">
        <f t="shared" si="25"/>
        <v>0.22523607342150387</v>
      </c>
    </row>
    <row r="111" spans="1:19" x14ac:dyDescent="0.25">
      <c r="A111" s="5" t="s">
        <v>8</v>
      </c>
      <c r="B111" s="5" t="s">
        <v>231</v>
      </c>
      <c r="C111" s="5" t="s">
        <v>27</v>
      </c>
      <c r="D111" s="5" t="s">
        <v>385</v>
      </c>
      <c r="E111" s="5" t="s">
        <v>384</v>
      </c>
      <c r="F111" s="5" t="s">
        <v>30</v>
      </c>
      <c r="G111" s="5" t="s">
        <v>392</v>
      </c>
      <c r="H111" s="5" t="s">
        <v>232</v>
      </c>
      <c r="I111" s="5" t="s">
        <v>67</v>
      </c>
      <c r="J111" s="15">
        <v>2290</v>
      </c>
      <c r="K111" s="7">
        <v>29</v>
      </c>
      <c r="L111" s="7">
        <f t="shared" si="20"/>
        <v>78.965517241379317</v>
      </c>
      <c r="M111" s="5" t="s">
        <v>9</v>
      </c>
      <c r="N111" s="5">
        <v>4</v>
      </c>
      <c r="O111" s="6">
        <f t="shared" si="21"/>
        <v>8.9246351070154581</v>
      </c>
      <c r="P111" s="6">
        <f t="shared" si="22"/>
        <v>0.9281620511296077</v>
      </c>
      <c r="Q111" s="10">
        <f t="shared" si="23"/>
        <v>1.9336709398533491E-2</v>
      </c>
      <c r="R111" s="10">
        <f t="shared" si="24"/>
        <v>8.2099398588030822E-2</v>
      </c>
      <c r="S111" s="10">
        <f t="shared" si="25"/>
        <v>0.10143610798656431</v>
      </c>
    </row>
    <row r="112" spans="1:19" x14ac:dyDescent="0.25">
      <c r="A112" s="5" t="s">
        <v>8</v>
      </c>
      <c r="B112" s="5" t="s">
        <v>366</v>
      </c>
      <c r="C112" s="5" t="s">
        <v>27</v>
      </c>
      <c r="D112" s="5" t="s">
        <v>385</v>
      </c>
      <c r="E112" s="5" t="s">
        <v>384</v>
      </c>
      <c r="F112" s="5" t="s">
        <v>30</v>
      </c>
      <c r="G112" s="5" t="s">
        <v>392</v>
      </c>
      <c r="H112" s="5" t="s">
        <v>232</v>
      </c>
      <c r="I112" s="5" t="s">
        <v>368</v>
      </c>
      <c r="J112" s="15">
        <v>2450</v>
      </c>
      <c r="K112" s="7">
        <v>30.5</v>
      </c>
      <c r="L112" s="7">
        <f t="shared" si="20"/>
        <v>80.327868852459019</v>
      </c>
      <c r="M112" s="5" t="s">
        <v>9</v>
      </c>
      <c r="N112" s="5">
        <v>4</v>
      </c>
      <c r="O112" s="6">
        <f t="shared" si="21"/>
        <v>9.880492475141093</v>
      </c>
      <c r="P112" s="6">
        <f t="shared" si="22"/>
        <v>1.0275712174146734</v>
      </c>
      <c r="Q112" s="10">
        <f t="shared" si="23"/>
        <v>2.1407733696139034E-2</v>
      </c>
      <c r="R112" s="10">
        <f t="shared" si="24"/>
        <v>8.8609659587763734E-2</v>
      </c>
      <c r="S112" s="10">
        <f t="shared" si="25"/>
        <v>0.11001739328390277</v>
      </c>
    </row>
    <row r="113" spans="1:19" x14ac:dyDescent="0.25">
      <c r="A113" s="5" t="s">
        <v>8</v>
      </c>
      <c r="B113" s="5" t="s">
        <v>366</v>
      </c>
      <c r="C113" s="5" t="s">
        <v>27</v>
      </c>
      <c r="D113" s="5" t="s">
        <v>385</v>
      </c>
      <c r="E113" s="5" t="s">
        <v>384</v>
      </c>
      <c r="F113" s="5" t="s">
        <v>30</v>
      </c>
      <c r="G113" s="5" t="s">
        <v>392</v>
      </c>
      <c r="H113" s="5" t="s">
        <v>232</v>
      </c>
      <c r="I113" s="5" t="s">
        <v>368</v>
      </c>
      <c r="J113" s="15">
        <v>2753</v>
      </c>
      <c r="K113" s="7">
        <v>32.799999999999997</v>
      </c>
      <c r="L113" s="7">
        <f t="shared" si="20"/>
        <v>83.932926829268297</v>
      </c>
      <c r="M113" s="5" t="s">
        <v>9</v>
      </c>
      <c r="N113" s="5">
        <v>4</v>
      </c>
      <c r="O113" s="6">
        <f t="shared" si="21"/>
        <v>12.121349234667795</v>
      </c>
      <c r="P113" s="6">
        <f t="shared" si="22"/>
        <v>1.2606203204054509</v>
      </c>
      <c r="Q113" s="10">
        <f t="shared" si="23"/>
        <v>2.6262923341780223E-2</v>
      </c>
      <c r="R113" s="10">
        <f t="shared" si="24"/>
        <v>0.10329049231083934</v>
      </c>
      <c r="S113" s="10">
        <f t="shared" si="25"/>
        <v>0.12955341565261957</v>
      </c>
    </row>
    <row r="114" spans="1:19" x14ac:dyDescent="0.25">
      <c r="A114" s="5" t="s">
        <v>8</v>
      </c>
      <c r="B114" s="5" t="s">
        <v>366</v>
      </c>
      <c r="C114" s="5" t="s">
        <v>27</v>
      </c>
      <c r="D114" s="5" t="s">
        <v>385</v>
      </c>
      <c r="E114" s="5" t="s">
        <v>384</v>
      </c>
      <c r="F114" s="5" t="s">
        <v>30</v>
      </c>
      <c r="G114" s="5" t="s">
        <v>392</v>
      </c>
      <c r="H114" s="5" t="s">
        <v>232</v>
      </c>
      <c r="I114" s="5" t="s">
        <v>35</v>
      </c>
      <c r="J114" s="15">
        <v>2748</v>
      </c>
      <c r="K114" s="7">
        <v>36.6</v>
      </c>
      <c r="L114" s="7">
        <f t="shared" si="20"/>
        <v>75.081967213114751</v>
      </c>
      <c r="M114" s="5" t="s">
        <v>9</v>
      </c>
      <c r="N114" s="5">
        <v>4</v>
      </c>
      <c r="O114" s="6">
        <f t="shared" si="21"/>
        <v>9.6820658425154509</v>
      </c>
      <c r="P114" s="6">
        <f t="shared" si="22"/>
        <v>1.0069348476216069</v>
      </c>
      <c r="Q114" s="10">
        <f t="shared" si="23"/>
        <v>2.0977809325450143E-2</v>
      </c>
      <c r="R114" s="10">
        <f t="shared" si="24"/>
        <v>8.7271642179623674E-2</v>
      </c>
      <c r="S114" s="10">
        <f t="shared" si="25"/>
        <v>0.10824945150507381</v>
      </c>
    </row>
    <row r="115" spans="1:19" x14ac:dyDescent="0.25">
      <c r="A115" s="5" t="s">
        <v>22</v>
      </c>
      <c r="B115" s="5" t="s">
        <v>63</v>
      </c>
      <c r="C115" s="5" t="s">
        <v>27</v>
      </c>
      <c r="D115" s="5" t="s">
        <v>385</v>
      </c>
      <c r="E115" s="5" t="s">
        <v>384</v>
      </c>
      <c r="F115" s="5" t="s">
        <v>30</v>
      </c>
      <c r="G115" s="5" t="s">
        <v>392</v>
      </c>
      <c r="H115" s="5" t="s">
        <v>66</v>
      </c>
      <c r="I115" s="5" t="s">
        <v>67</v>
      </c>
      <c r="J115" s="15">
        <v>2280</v>
      </c>
      <c r="K115" s="7">
        <v>29</v>
      </c>
      <c r="L115" s="7">
        <f t="shared" si="20"/>
        <v>78.620689655172413</v>
      </c>
      <c r="M115" s="5" t="s">
        <v>9</v>
      </c>
      <c r="N115" s="5">
        <v>4</v>
      </c>
      <c r="O115" s="6">
        <f t="shared" si="21"/>
        <v>8.8082282996432824</v>
      </c>
      <c r="P115" s="6">
        <f t="shared" si="22"/>
        <v>0.91605574316290117</v>
      </c>
      <c r="Q115" s="10">
        <f t="shared" si="23"/>
        <v>1.908449464922711E-2</v>
      </c>
      <c r="R115" s="10">
        <f t="shared" si="24"/>
        <v>8.1294945871818847E-2</v>
      </c>
      <c r="S115" s="10">
        <f t="shared" si="25"/>
        <v>0.10037944052104596</v>
      </c>
    </row>
    <row r="116" spans="1:19" x14ac:dyDescent="0.25">
      <c r="A116" s="5" t="s">
        <v>8</v>
      </c>
      <c r="B116" s="5" t="s">
        <v>241</v>
      </c>
      <c r="C116" s="5" t="s">
        <v>27</v>
      </c>
      <c r="D116" s="5" t="s">
        <v>385</v>
      </c>
      <c r="E116" s="5" t="s">
        <v>384</v>
      </c>
      <c r="F116" s="5" t="s">
        <v>30</v>
      </c>
      <c r="G116" s="5" t="s">
        <v>392</v>
      </c>
      <c r="H116" s="5" t="s">
        <v>40</v>
      </c>
      <c r="I116" s="5" t="s">
        <v>190</v>
      </c>
      <c r="J116" s="15">
        <v>2720</v>
      </c>
      <c r="K116" s="7">
        <v>30.3</v>
      </c>
      <c r="L116" s="7">
        <f t="shared" si="20"/>
        <v>89.768976897689768</v>
      </c>
      <c r="M116" s="5" t="s">
        <v>9</v>
      </c>
      <c r="N116" s="5">
        <v>4</v>
      </c>
      <c r="O116" s="6">
        <f t="shared" si="21"/>
        <v>13.69939766253853</v>
      </c>
      <c r="P116" s="6">
        <f t="shared" si="22"/>
        <v>1.4247373569040074</v>
      </c>
      <c r="Q116" s="10">
        <f t="shared" si="23"/>
        <v>2.9682028268833482E-2</v>
      </c>
      <c r="R116" s="10">
        <f t="shared" si="24"/>
        <v>0.11322002036146131</v>
      </c>
      <c r="S116" s="10">
        <f t="shared" si="25"/>
        <v>0.14290204863029479</v>
      </c>
    </row>
    <row r="117" spans="1:19" x14ac:dyDescent="0.25">
      <c r="A117" s="5" t="s">
        <v>8</v>
      </c>
      <c r="B117" s="5" t="s">
        <v>241</v>
      </c>
      <c r="C117" s="5" t="s">
        <v>27</v>
      </c>
      <c r="D117" s="5" t="s">
        <v>385</v>
      </c>
      <c r="E117" s="5" t="s">
        <v>384</v>
      </c>
      <c r="F117" s="5" t="s">
        <v>30</v>
      </c>
      <c r="G117" s="5" t="s">
        <v>392</v>
      </c>
      <c r="H117" s="5" t="s">
        <v>40</v>
      </c>
      <c r="I117" s="5" t="s">
        <v>258</v>
      </c>
      <c r="J117" s="15">
        <v>2320</v>
      </c>
      <c r="K117" s="7">
        <v>27.8</v>
      </c>
      <c r="L117" s="7">
        <f t="shared" si="20"/>
        <v>83.453237410071935</v>
      </c>
      <c r="M117" s="5" t="s">
        <v>9</v>
      </c>
      <c r="N117" s="5">
        <v>4</v>
      </c>
      <c r="O117" s="6">
        <f t="shared" si="21"/>
        <v>10.098442109621653</v>
      </c>
      <c r="P117" s="6">
        <f t="shared" si="22"/>
        <v>1.050237979400652</v>
      </c>
      <c r="Q117" s="10">
        <f t="shared" si="23"/>
        <v>2.1879957904180247E-2</v>
      </c>
      <c r="R117" s="10">
        <f t="shared" si="24"/>
        <v>9.0071606634706189E-2</v>
      </c>
      <c r="S117" s="10">
        <f t="shared" si="25"/>
        <v>0.11195156453888644</v>
      </c>
    </row>
    <row r="118" spans="1:19" x14ac:dyDescent="0.25">
      <c r="A118" s="5" t="s">
        <v>8</v>
      </c>
      <c r="B118" s="5" t="s">
        <v>241</v>
      </c>
      <c r="C118" s="5" t="s">
        <v>27</v>
      </c>
      <c r="D118" s="5" t="s">
        <v>385</v>
      </c>
      <c r="E118" s="5" t="s">
        <v>384</v>
      </c>
      <c r="F118" s="5" t="s">
        <v>30</v>
      </c>
      <c r="G118" s="5" t="s">
        <v>392</v>
      </c>
      <c r="H118" s="5" t="s">
        <v>40</v>
      </c>
      <c r="I118" s="5" t="s">
        <v>251</v>
      </c>
      <c r="J118" s="15">
        <v>1810</v>
      </c>
      <c r="K118" s="7">
        <v>26.5</v>
      </c>
      <c r="L118" s="7">
        <f t="shared" si="20"/>
        <v>68.301886792452834</v>
      </c>
      <c r="M118" s="5" t="s">
        <v>9</v>
      </c>
      <c r="N118" s="5">
        <v>4</v>
      </c>
      <c r="O118" s="6">
        <f t="shared" si="21"/>
        <v>5.2774483802064802</v>
      </c>
      <c r="P118" s="6">
        <f t="shared" si="22"/>
        <v>0.54885463154147374</v>
      </c>
      <c r="Q118" s="10">
        <f t="shared" si="23"/>
        <v>1.1434471490447374E-2</v>
      </c>
      <c r="R118" s="10">
        <f t="shared" si="24"/>
        <v>5.536242690304656E-2</v>
      </c>
      <c r="S118" s="10">
        <f t="shared" si="25"/>
        <v>6.6796898393493939E-2</v>
      </c>
    </row>
    <row r="119" spans="1:19" x14ac:dyDescent="0.25">
      <c r="A119" s="5" t="s">
        <v>8</v>
      </c>
      <c r="B119" s="5" t="s">
        <v>241</v>
      </c>
      <c r="C119" s="5" t="s">
        <v>27</v>
      </c>
      <c r="D119" s="5" t="s">
        <v>385</v>
      </c>
      <c r="E119" s="5" t="s">
        <v>384</v>
      </c>
      <c r="F119" s="5" t="s">
        <v>30</v>
      </c>
      <c r="G119" s="5" t="s">
        <v>392</v>
      </c>
      <c r="H119" s="5" t="s">
        <v>40</v>
      </c>
      <c r="I119" s="5" t="s">
        <v>261</v>
      </c>
      <c r="J119" s="15">
        <v>2450</v>
      </c>
      <c r="K119" s="7">
        <v>28</v>
      </c>
      <c r="L119" s="7">
        <f t="shared" si="20"/>
        <v>87.5</v>
      </c>
      <c r="M119" s="5" t="s">
        <v>9</v>
      </c>
      <c r="N119" s="5">
        <v>4</v>
      </c>
      <c r="O119" s="6">
        <f t="shared" si="21"/>
        <v>11.7236328125</v>
      </c>
      <c r="P119" s="6">
        <f t="shared" si="22"/>
        <v>1.2192578124999998</v>
      </c>
      <c r="Q119" s="10">
        <f t="shared" si="23"/>
        <v>2.5401204427083334E-2</v>
      </c>
      <c r="R119" s="10">
        <f t="shared" si="24"/>
        <v>0.10073810572305898</v>
      </c>
      <c r="S119" s="10">
        <f t="shared" si="25"/>
        <v>0.12613931015014232</v>
      </c>
    </row>
    <row r="120" spans="1:19" x14ac:dyDescent="0.25">
      <c r="A120" s="5" t="s">
        <v>8</v>
      </c>
      <c r="B120" s="5" t="s">
        <v>241</v>
      </c>
      <c r="C120" s="5" t="s">
        <v>27</v>
      </c>
      <c r="D120" s="5" t="s">
        <v>385</v>
      </c>
      <c r="E120" s="5" t="s">
        <v>384</v>
      </c>
      <c r="F120" s="5" t="s">
        <v>30</v>
      </c>
      <c r="G120" s="5" t="s">
        <v>392</v>
      </c>
      <c r="H120" s="5" t="s">
        <v>40</v>
      </c>
      <c r="I120" s="5" t="s">
        <v>243</v>
      </c>
      <c r="J120" s="15">
        <v>4550</v>
      </c>
      <c r="K120" s="7">
        <v>36</v>
      </c>
      <c r="L120" s="7">
        <f t="shared" si="20"/>
        <v>126.38888888888889</v>
      </c>
      <c r="M120" s="5" t="s">
        <v>9</v>
      </c>
      <c r="N120" s="5">
        <v>4</v>
      </c>
      <c r="O120" s="6">
        <f t="shared" si="21"/>
        <v>45.426492573302461</v>
      </c>
      <c r="P120" s="6">
        <f t="shared" si="22"/>
        <v>4.7243552276234562</v>
      </c>
      <c r="Q120" s="10">
        <f t="shared" si="23"/>
        <v>9.8424067242155341E-2</v>
      </c>
      <c r="R120" s="10">
        <f t="shared" si="24"/>
        <v>0.27821403095946923</v>
      </c>
      <c r="S120" s="10">
        <f t="shared" si="25"/>
        <v>0.37663809820162458</v>
      </c>
    </row>
    <row r="121" spans="1:19" x14ac:dyDescent="0.25">
      <c r="A121" s="5" t="s">
        <v>22</v>
      </c>
      <c r="B121" s="5" t="s">
        <v>63</v>
      </c>
      <c r="C121" s="5" t="s">
        <v>27</v>
      </c>
      <c r="D121" s="5" t="s">
        <v>385</v>
      </c>
      <c r="E121" s="5" t="s">
        <v>384</v>
      </c>
      <c r="F121" s="5" t="s">
        <v>30</v>
      </c>
      <c r="G121" s="5" t="s">
        <v>392</v>
      </c>
      <c r="H121" s="5" t="s">
        <v>40</v>
      </c>
      <c r="I121" s="5" t="s">
        <v>65</v>
      </c>
      <c r="J121" s="15">
        <v>2330</v>
      </c>
      <c r="K121" s="7">
        <v>27.5</v>
      </c>
      <c r="L121" s="7">
        <f t="shared" si="20"/>
        <v>84.727272727272734</v>
      </c>
      <c r="M121" s="5" t="s">
        <v>9</v>
      </c>
      <c r="N121" s="5">
        <v>4</v>
      </c>
      <c r="O121" s="6">
        <f t="shared" si="21"/>
        <v>10.453997520661158</v>
      </c>
      <c r="P121" s="6">
        <f t="shared" si="22"/>
        <v>1.0872157421487605</v>
      </c>
      <c r="Q121" s="10">
        <f t="shared" si="23"/>
        <v>2.2650327961432504E-2</v>
      </c>
      <c r="R121" s="10">
        <f t="shared" si="24"/>
        <v>9.2439783335974496E-2</v>
      </c>
      <c r="S121" s="10">
        <f t="shared" si="25"/>
        <v>0.115090111297407</v>
      </c>
    </row>
    <row r="122" spans="1:19" x14ac:dyDescent="0.25">
      <c r="A122" s="5" t="s">
        <v>22</v>
      </c>
      <c r="B122" s="5" t="s">
        <v>26</v>
      </c>
      <c r="C122" s="5" t="s">
        <v>27</v>
      </c>
      <c r="D122" s="5" t="s">
        <v>385</v>
      </c>
      <c r="E122" s="5" t="s">
        <v>384</v>
      </c>
      <c r="F122" s="5" t="s">
        <v>30</v>
      </c>
      <c r="G122" s="5" t="s">
        <v>392</v>
      </c>
      <c r="H122" s="5" t="s">
        <v>40</v>
      </c>
      <c r="I122" s="5" t="s">
        <v>42</v>
      </c>
      <c r="J122" s="15">
        <v>2100</v>
      </c>
      <c r="K122" s="7">
        <v>36</v>
      </c>
      <c r="L122" s="7">
        <f t="shared" si="20"/>
        <v>58.333333333333336</v>
      </c>
      <c r="M122" s="5" t="s">
        <v>9</v>
      </c>
      <c r="N122" s="5">
        <v>4</v>
      </c>
      <c r="O122" s="6">
        <f t="shared" si="21"/>
        <v>4.466145833333333</v>
      </c>
      <c r="P122" s="6">
        <f t="shared" si="22"/>
        <v>0.46447916666666667</v>
      </c>
      <c r="Q122" s="10">
        <f t="shared" si="23"/>
        <v>9.6766493055555538E-3</v>
      </c>
      <c r="R122" s="10">
        <f t="shared" si="24"/>
        <v>4.8848001391821147E-2</v>
      </c>
      <c r="S122" s="10">
        <f t="shared" si="25"/>
        <v>5.8524650697376703E-2</v>
      </c>
    </row>
    <row r="123" spans="1:19" x14ac:dyDescent="0.25">
      <c r="A123" s="5" t="s">
        <v>8</v>
      </c>
      <c r="B123" s="5" t="s">
        <v>241</v>
      </c>
      <c r="C123" s="5" t="s">
        <v>27</v>
      </c>
      <c r="D123" s="5" t="s">
        <v>385</v>
      </c>
      <c r="E123" s="5" t="s">
        <v>384</v>
      </c>
      <c r="F123" s="5" t="s">
        <v>30</v>
      </c>
      <c r="G123" s="5" t="s">
        <v>392</v>
      </c>
      <c r="H123" s="5" t="s">
        <v>40</v>
      </c>
      <c r="I123" s="5" t="s">
        <v>42</v>
      </c>
      <c r="J123" s="15">
        <v>2200</v>
      </c>
      <c r="K123" s="7">
        <v>36.5</v>
      </c>
      <c r="L123" s="7">
        <f t="shared" si="20"/>
        <v>60.273972602739725</v>
      </c>
      <c r="M123" s="5" t="s">
        <v>9</v>
      </c>
      <c r="N123" s="5">
        <v>4</v>
      </c>
      <c r="O123" s="6">
        <f t="shared" si="21"/>
        <v>4.995308688309251</v>
      </c>
      <c r="P123" s="6">
        <f t="shared" si="22"/>
        <v>0.51951210358416211</v>
      </c>
      <c r="Q123" s="10">
        <f t="shared" si="23"/>
        <v>1.0823168824670043E-2</v>
      </c>
      <c r="R123" s="10">
        <f t="shared" si="24"/>
        <v>5.3127437920794114E-2</v>
      </c>
      <c r="S123" s="10">
        <f t="shared" si="25"/>
        <v>6.3950606745464156E-2</v>
      </c>
    </row>
    <row r="124" spans="1:19" x14ac:dyDescent="0.25">
      <c r="A124" s="5" t="s">
        <v>8</v>
      </c>
      <c r="B124" s="5" t="s">
        <v>241</v>
      </c>
      <c r="C124" s="5" t="s">
        <v>27</v>
      </c>
      <c r="D124" s="5" t="s">
        <v>385</v>
      </c>
      <c r="E124" s="5" t="s">
        <v>384</v>
      </c>
      <c r="F124" s="5" t="s">
        <v>30</v>
      </c>
      <c r="G124" s="5" t="s">
        <v>392</v>
      </c>
      <c r="H124" s="5" t="s">
        <v>40</v>
      </c>
      <c r="I124" s="5" t="s">
        <v>259</v>
      </c>
      <c r="J124" s="15">
        <v>2340</v>
      </c>
      <c r="K124" s="7">
        <v>34.200000000000003</v>
      </c>
      <c r="L124" s="7">
        <f t="shared" si="20"/>
        <v>68.421052631578945</v>
      </c>
      <c r="M124" s="5" t="s">
        <v>9</v>
      </c>
      <c r="N124" s="5">
        <v>4</v>
      </c>
      <c r="O124" s="6">
        <f t="shared" si="21"/>
        <v>6.8466066481994456</v>
      </c>
      <c r="P124" s="6">
        <f t="shared" si="22"/>
        <v>0.71204709141274225</v>
      </c>
      <c r="Q124" s="10">
        <f t="shared" si="23"/>
        <v>1.4834314404432133E-2</v>
      </c>
      <c r="R124" s="10">
        <f t="shared" si="24"/>
        <v>6.7298232379061906E-2</v>
      </c>
      <c r="S124" s="10">
        <f t="shared" si="25"/>
        <v>8.2132546783494034E-2</v>
      </c>
    </row>
    <row r="125" spans="1:19" x14ac:dyDescent="0.25">
      <c r="A125" s="5" t="s">
        <v>8</v>
      </c>
      <c r="B125" s="5" t="s">
        <v>241</v>
      </c>
      <c r="C125" s="5" t="s">
        <v>27</v>
      </c>
      <c r="D125" s="5" t="s">
        <v>385</v>
      </c>
      <c r="E125" s="5" t="s">
        <v>384</v>
      </c>
      <c r="F125" s="5" t="s">
        <v>30</v>
      </c>
      <c r="G125" s="5" t="s">
        <v>392</v>
      </c>
      <c r="H125" s="5" t="s">
        <v>40</v>
      </c>
      <c r="I125" s="5" t="s">
        <v>50</v>
      </c>
      <c r="J125" s="15">
        <v>1915</v>
      </c>
      <c r="K125" s="7">
        <v>30</v>
      </c>
      <c r="L125" s="7">
        <f t="shared" si="20"/>
        <v>63.833333333333336</v>
      </c>
      <c r="M125" s="5" t="s">
        <v>9</v>
      </c>
      <c r="N125" s="5">
        <v>4</v>
      </c>
      <c r="O125" s="6">
        <f t="shared" si="21"/>
        <v>4.8768999131944453</v>
      </c>
      <c r="P125" s="6">
        <f t="shared" si="22"/>
        <v>0.50719759097222228</v>
      </c>
      <c r="Q125" s="10">
        <f t="shared" si="23"/>
        <v>1.0566616478587964E-2</v>
      </c>
      <c r="R125" s="10">
        <f t="shared" si="24"/>
        <v>5.2180111939267297E-2</v>
      </c>
      <c r="S125" s="10">
        <f t="shared" si="25"/>
        <v>6.2746728417855266E-2</v>
      </c>
    </row>
    <row r="126" spans="1:19" x14ac:dyDescent="0.25">
      <c r="A126" s="5" t="s">
        <v>8</v>
      </c>
      <c r="B126" s="5" t="s">
        <v>241</v>
      </c>
      <c r="C126" s="5" t="s">
        <v>27</v>
      </c>
      <c r="D126" s="5" t="s">
        <v>385</v>
      </c>
      <c r="E126" s="5" t="s">
        <v>384</v>
      </c>
      <c r="F126" s="5" t="s">
        <v>30</v>
      </c>
      <c r="G126" s="5" t="s">
        <v>392</v>
      </c>
      <c r="H126" s="5" t="s">
        <v>40</v>
      </c>
      <c r="I126" s="5" t="s">
        <v>262</v>
      </c>
      <c r="J126" s="15">
        <v>2100</v>
      </c>
      <c r="K126" s="7">
        <v>32</v>
      </c>
      <c r="L126" s="7">
        <f t="shared" si="20"/>
        <v>65.625</v>
      </c>
      <c r="M126" s="5" t="s">
        <v>9</v>
      </c>
      <c r="N126" s="5">
        <v>4</v>
      </c>
      <c r="O126" s="6">
        <f t="shared" si="21"/>
        <v>5.6524658203125</v>
      </c>
      <c r="P126" s="6">
        <f t="shared" si="22"/>
        <v>0.58785644531249992</v>
      </c>
      <c r="Q126" s="10">
        <f t="shared" si="23"/>
        <v>1.2247009277343748E-2</v>
      </c>
      <c r="R126" s="10">
        <f t="shared" si="24"/>
        <v>5.8287520740768706E-2</v>
      </c>
      <c r="S126" s="10">
        <f t="shared" si="25"/>
        <v>7.0534530018112454E-2</v>
      </c>
    </row>
    <row r="127" spans="1:19" x14ac:dyDescent="0.25">
      <c r="A127" s="5" t="s">
        <v>22</v>
      </c>
      <c r="B127" s="5" t="s">
        <v>26</v>
      </c>
      <c r="C127" s="5" t="s">
        <v>27</v>
      </c>
      <c r="D127" s="5" t="s">
        <v>385</v>
      </c>
      <c r="E127" s="5" t="s">
        <v>384</v>
      </c>
      <c r="F127" s="5" t="s">
        <v>30</v>
      </c>
      <c r="G127" s="5" t="s">
        <v>392</v>
      </c>
      <c r="H127" s="5" t="s">
        <v>40</v>
      </c>
      <c r="I127" s="5" t="s">
        <v>43</v>
      </c>
      <c r="J127" s="15">
        <v>2200</v>
      </c>
      <c r="K127" s="7">
        <v>36</v>
      </c>
      <c r="L127" s="7">
        <f t="shared" si="20"/>
        <v>61.111111111111114</v>
      </c>
      <c r="M127" s="5" t="s">
        <v>9</v>
      </c>
      <c r="N127" s="5">
        <v>4</v>
      </c>
      <c r="O127" s="6">
        <f t="shared" si="21"/>
        <v>5.1350308641975309</v>
      </c>
      <c r="P127" s="6">
        <f t="shared" si="22"/>
        <v>0.53404320987654319</v>
      </c>
      <c r="Q127" s="10">
        <f t="shared" si="23"/>
        <v>1.1125900205761317E-2</v>
      </c>
      <c r="R127" s="10">
        <f t="shared" si="24"/>
        <v>5.4238093824659765E-2</v>
      </c>
      <c r="S127" s="10">
        <f t="shared" si="25"/>
        <v>6.5363994030421077E-2</v>
      </c>
    </row>
    <row r="128" spans="1:19" x14ac:dyDescent="0.25">
      <c r="A128" s="5" t="s">
        <v>8</v>
      </c>
      <c r="B128" s="5" t="s">
        <v>241</v>
      </c>
      <c r="C128" s="5" t="s">
        <v>27</v>
      </c>
      <c r="D128" s="5" t="s">
        <v>385</v>
      </c>
      <c r="E128" s="5" t="s">
        <v>384</v>
      </c>
      <c r="F128" s="5" t="s">
        <v>30</v>
      </c>
      <c r="G128" s="5" t="s">
        <v>392</v>
      </c>
      <c r="H128" s="5" t="s">
        <v>40</v>
      </c>
      <c r="I128" s="5" t="s">
        <v>43</v>
      </c>
      <c r="J128" s="15">
        <v>2200</v>
      </c>
      <c r="K128" s="7">
        <v>33</v>
      </c>
      <c r="L128" s="7">
        <f t="shared" si="20"/>
        <v>66.666666666666671</v>
      </c>
      <c r="M128" s="5" t="s">
        <v>9</v>
      </c>
      <c r="N128" s="5">
        <v>4</v>
      </c>
      <c r="O128" s="6">
        <f t="shared" si="21"/>
        <v>6.1111111111111125</v>
      </c>
      <c r="P128" s="6">
        <f t="shared" si="22"/>
        <v>0.63555555555555565</v>
      </c>
      <c r="Q128" s="10">
        <f t="shared" si="23"/>
        <v>1.3240740740740742E-2</v>
      </c>
      <c r="R128" s="10">
        <f t="shared" si="24"/>
        <v>6.1799827002558427E-2</v>
      </c>
      <c r="S128" s="10">
        <f t="shared" si="25"/>
        <v>7.5040567743299175E-2</v>
      </c>
    </row>
    <row r="129" spans="1:19" x14ac:dyDescent="0.25">
      <c r="A129" s="5" t="s">
        <v>8</v>
      </c>
      <c r="B129" s="5" t="s">
        <v>241</v>
      </c>
      <c r="C129" s="5" t="s">
        <v>27</v>
      </c>
      <c r="D129" s="5" t="s">
        <v>385</v>
      </c>
      <c r="E129" s="5" t="s">
        <v>384</v>
      </c>
      <c r="F129" s="5" t="s">
        <v>30</v>
      </c>
      <c r="G129" s="5" t="s">
        <v>392</v>
      </c>
      <c r="H129" s="5" t="s">
        <v>40</v>
      </c>
      <c r="I129" s="5" t="s">
        <v>263</v>
      </c>
      <c r="J129" s="15">
        <v>2340</v>
      </c>
      <c r="K129" s="7">
        <v>42.5</v>
      </c>
      <c r="L129" s="7">
        <f t="shared" si="20"/>
        <v>55.058823529411768</v>
      </c>
      <c r="M129" s="5" t="s">
        <v>9</v>
      </c>
      <c r="N129" s="5">
        <v>4</v>
      </c>
      <c r="O129" s="6">
        <f t="shared" si="21"/>
        <v>4.4335307958477514</v>
      </c>
      <c r="P129" s="6">
        <f t="shared" si="22"/>
        <v>0.46108720276816617</v>
      </c>
      <c r="Q129" s="10">
        <f t="shared" si="23"/>
        <v>9.6059833910034607E-3</v>
      </c>
      <c r="R129" s="10">
        <f t="shared" si="24"/>
        <v>4.8580213759297074E-2</v>
      </c>
      <c r="S129" s="10">
        <f t="shared" si="25"/>
        <v>5.8186197150300531E-2</v>
      </c>
    </row>
    <row r="130" spans="1:19" x14ac:dyDescent="0.25">
      <c r="A130" s="5" t="s">
        <v>22</v>
      </c>
      <c r="B130" s="5" t="s">
        <v>26</v>
      </c>
      <c r="C130" s="5" t="s">
        <v>27</v>
      </c>
      <c r="D130" s="5" t="s">
        <v>385</v>
      </c>
      <c r="E130" s="5" t="s">
        <v>384</v>
      </c>
      <c r="F130" s="5" t="s">
        <v>30</v>
      </c>
      <c r="G130" s="5" t="s">
        <v>392</v>
      </c>
      <c r="H130" s="5" t="s">
        <v>40</v>
      </c>
      <c r="I130" s="5" t="s">
        <v>44</v>
      </c>
      <c r="J130" s="15">
        <v>3100</v>
      </c>
      <c r="K130" s="7">
        <v>40</v>
      </c>
      <c r="L130" s="7">
        <f t="shared" ref="L130:L155" si="26">J130/K130</f>
        <v>77.5</v>
      </c>
      <c r="M130" s="5" t="s">
        <v>9</v>
      </c>
      <c r="N130" s="5">
        <v>4</v>
      </c>
      <c r="O130" s="6">
        <f t="shared" ref="O130:O155" si="27">(J130*L130^2)/(1.6*10^6)</f>
        <v>11.637109375</v>
      </c>
      <c r="P130" s="6">
        <f t="shared" ref="P130:P155" si="28">(0.104*J130*L130^2)/(1.6*10^6)</f>
        <v>1.2102593749999999</v>
      </c>
      <c r="Q130" s="10">
        <f t="shared" ref="Q130:Q155" si="29">(0.104*O130)/(12*N130)</f>
        <v>2.5213736979166665E-2</v>
      </c>
      <c r="R130" s="10">
        <f t="shared" ref="R130:R155" si="30">0.0159*O130^0.75</f>
        <v>0.10017998480100093</v>
      </c>
      <c r="S130" s="10">
        <f t="shared" ref="S130:S155" si="31">Q130+R130</f>
        <v>0.12539372178016761</v>
      </c>
    </row>
    <row r="131" spans="1:19" x14ac:dyDescent="0.25">
      <c r="A131" s="5" t="s">
        <v>8</v>
      </c>
      <c r="B131" s="5" t="s">
        <v>241</v>
      </c>
      <c r="C131" s="5" t="s">
        <v>27</v>
      </c>
      <c r="D131" s="5" t="s">
        <v>385</v>
      </c>
      <c r="E131" s="5" t="s">
        <v>384</v>
      </c>
      <c r="F131" s="5" t="s">
        <v>30</v>
      </c>
      <c r="G131" s="5" t="s">
        <v>392</v>
      </c>
      <c r="H131" s="5" t="s">
        <v>40</v>
      </c>
      <c r="I131" s="5" t="s">
        <v>44</v>
      </c>
      <c r="J131" s="15">
        <v>3100</v>
      </c>
      <c r="K131" s="7">
        <v>42.5</v>
      </c>
      <c r="L131" s="7">
        <f t="shared" si="26"/>
        <v>72.941176470588232</v>
      </c>
      <c r="M131" s="5" t="s">
        <v>9</v>
      </c>
      <c r="N131" s="5">
        <v>4</v>
      </c>
      <c r="O131" s="6">
        <f t="shared" si="27"/>
        <v>10.308304498269894</v>
      </c>
      <c r="P131" s="6">
        <f t="shared" si="28"/>
        <v>1.072063667820069</v>
      </c>
      <c r="Q131" s="10">
        <f t="shared" si="29"/>
        <v>2.2334659746251439E-2</v>
      </c>
      <c r="R131" s="10">
        <f t="shared" si="30"/>
        <v>9.1471869100578224E-2</v>
      </c>
      <c r="S131" s="10">
        <f t="shared" si="31"/>
        <v>0.11380652884682967</v>
      </c>
    </row>
    <row r="132" spans="1:19" x14ac:dyDescent="0.25">
      <c r="A132" s="5" t="s">
        <v>8</v>
      </c>
      <c r="B132" s="5" t="s">
        <v>241</v>
      </c>
      <c r="C132" s="5" t="s">
        <v>27</v>
      </c>
      <c r="D132" s="5" t="s">
        <v>385</v>
      </c>
      <c r="E132" s="5" t="s">
        <v>384</v>
      </c>
      <c r="F132" s="5" t="s">
        <v>30</v>
      </c>
      <c r="G132" s="5" t="s">
        <v>392</v>
      </c>
      <c r="H132" s="5" t="s">
        <v>40</v>
      </c>
      <c r="I132" s="5" t="s">
        <v>247</v>
      </c>
      <c r="J132" s="15">
        <v>2470</v>
      </c>
      <c r="K132" s="7">
        <v>33.5</v>
      </c>
      <c r="L132" s="7">
        <f t="shared" si="26"/>
        <v>73.731343283582092</v>
      </c>
      <c r="M132" s="5" t="s">
        <v>9</v>
      </c>
      <c r="N132" s="5">
        <v>4</v>
      </c>
      <c r="O132" s="6">
        <f t="shared" si="27"/>
        <v>8.3923050790822025</v>
      </c>
      <c r="P132" s="6">
        <f t="shared" si="28"/>
        <v>0.87279972822454899</v>
      </c>
      <c r="Q132" s="10">
        <f t="shared" si="29"/>
        <v>1.8183327671344771E-2</v>
      </c>
      <c r="R132" s="10">
        <f t="shared" si="30"/>
        <v>7.8398557442714095E-2</v>
      </c>
      <c r="S132" s="10">
        <f t="shared" si="31"/>
        <v>9.6581885114058866E-2</v>
      </c>
    </row>
    <row r="133" spans="1:19" x14ac:dyDescent="0.25">
      <c r="A133" s="5" t="s">
        <v>8</v>
      </c>
      <c r="B133" s="5" t="s">
        <v>241</v>
      </c>
      <c r="C133" s="5" t="s">
        <v>27</v>
      </c>
      <c r="D133" s="5" t="s">
        <v>385</v>
      </c>
      <c r="E133" s="5" t="s">
        <v>384</v>
      </c>
      <c r="F133" s="5" t="s">
        <v>30</v>
      </c>
      <c r="G133" s="5" t="s">
        <v>392</v>
      </c>
      <c r="H133" s="5" t="s">
        <v>40</v>
      </c>
      <c r="I133" s="5" t="s">
        <v>245</v>
      </c>
      <c r="J133" s="15">
        <v>1200</v>
      </c>
      <c r="K133" s="7">
        <v>18</v>
      </c>
      <c r="L133" s="7">
        <f t="shared" si="26"/>
        <v>66.666666666666671</v>
      </c>
      <c r="M133" s="5" t="s">
        <v>9</v>
      </c>
      <c r="N133" s="5">
        <v>4</v>
      </c>
      <c r="O133" s="6">
        <f t="shared" si="27"/>
        <v>3.3333333333333339</v>
      </c>
      <c r="P133" s="6">
        <f t="shared" si="28"/>
        <v>0.34666666666666673</v>
      </c>
      <c r="Q133" s="10">
        <f t="shared" si="29"/>
        <v>7.2222222222222236E-3</v>
      </c>
      <c r="R133" s="10">
        <f t="shared" si="30"/>
        <v>3.9224388638091127E-2</v>
      </c>
      <c r="S133" s="10">
        <f t="shared" si="31"/>
        <v>4.6446610860313348E-2</v>
      </c>
    </row>
    <row r="134" spans="1:19" x14ac:dyDescent="0.25">
      <c r="A134" s="5" t="s">
        <v>22</v>
      </c>
      <c r="B134" s="5" t="s">
        <v>63</v>
      </c>
      <c r="C134" s="5" t="s">
        <v>27</v>
      </c>
      <c r="D134" s="5" t="s">
        <v>385</v>
      </c>
      <c r="E134" s="5" t="s">
        <v>384</v>
      </c>
      <c r="F134" s="5" t="s">
        <v>45</v>
      </c>
      <c r="G134" s="5" t="s">
        <v>390</v>
      </c>
      <c r="H134" s="5" t="s">
        <v>79</v>
      </c>
      <c r="I134" s="5" t="s">
        <v>80</v>
      </c>
      <c r="J134" s="15">
        <v>1225</v>
      </c>
      <c r="K134" s="7">
        <v>45</v>
      </c>
      <c r="L134" s="7">
        <f t="shared" si="26"/>
        <v>27.222222222222221</v>
      </c>
      <c r="M134" s="5" t="s">
        <v>9</v>
      </c>
      <c r="N134" s="5">
        <v>4</v>
      </c>
      <c r="O134" s="6">
        <f t="shared" si="27"/>
        <v>0.5673659336419753</v>
      </c>
      <c r="P134" s="6">
        <f t="shared" si="28"/>
        <v>5.900605709876542E-2</v>
      </c>
      <c r="Q134" s="10">
        <f t="shared" si="29"/>
        <v>1.2292928562242797E-3</v>
      </c>
      <c r="R134" s="10">
        <f t="shared" si="30"/>
        <v>1.0394283700610837E-2</v>
      </c>
      <c r="S134" s="10">
        <f t="shared" si="31"/>
        <v>1.1623576556835116E-2</v>
      </c>
    </row>
    <row r="135" spans="1:19" x14ac:dyDescent="0.25">
      <c r="A135" s="5" t="s">
        <v>22</v>
      </c>
      <c r="B135" s="5" t="s">
        <v>63</v>
      </c>
      <c r="C135" s="5" t="s">
        <v>27</v>
      </c>
      <c r="D135" s="5" t="s">
        <v>385</v>
      </c>
      <c r="E135" s="5" t="s">
        <v>384</v>
      </c>
      <c r="F135" s="5" t="s">
        <v>45</v>
      </c>
      <c r="G135" s="5" t="s">
        <v>390</v>
      </c>
      <c r="H135" s="5" t="s">
        <v>75</v>
      </c>
      <c r="I135" s="5" t="s">
        <v>76</v>
      </c>
      <c r="J135" s="15">
        <v>1450</v>
      </c>
      <c r="K135" s="7">
        <v>48.5</v>
      </c>
      <c r="L135" s="7">
        <f t="shared" si="26"/>
        <v>29.896907216494846</v>
      </c>
      <c r="M135" s="5" t="s">
        <v>9</v>
      </c>
      <c r="N135" s="5">
        <v>4</v>
      </c>
      <c r="O135" s="6">
        <f t="shared" si="27"/>
        <v>0.81002896163247951</v>
      </c>
      <c r="P135" s="6">
        <f t="shared" si="28"/>
        <v>8.4243012009777865E-2</v>
      </c>
      <c r="Q135" s="10">
        <f t="shared" si="29"/>
        <v>1.7550627502037055E-3</v>
      </c>
      <c r="R135" s="10">
        <f t="shared" si="30"/>
        <v>1.3576022042751284E-2</v>
      </c>
      <c r="S135" s="10">
        <f t="shared" si="31"/>
        <v>1.5331084792954988E-2</v>
      </c>
    </row>
    <row r="136" spans="1:19" x14ac:dyDescent="0.25">
      <c r="A136" s="5" t="s">
        <v>8</v>
      </c>
      <c r="B136" s="5" t="s">
        <v>206</v>
      </c>
      <c r="C136" s="5" t="s">
        <v>27</v>
      </c>
      <c r="D136" s="5" t="s">
        <v>385</v>
      </c>
      <c r="E136" s="5" t="s">
        <v>384</v>
      </c>
      <c r="F136" s="5" t="s">
        <v>45</v>
      </c>
      <c r="G136" s="5" t="s">
        <v>390</v>
      </c>
      <c r="H136" s="5" t="s">
        <v>46</v>
      </c>
      <c r="I136" s="5" t="s">
        <v>207</v>
      </c>
      <c r="J136" s="15">
        <v>1100</v>
      </c>
      <c r="K136" s="7">
        <v>32</v>
      </c>
      <c r="L136" s="7">
        <f t="shared" si="26"/>
        <v>34.375</v>
      </c>
      <c r="M136" s="5" t="s">
        <v>9</v>
      </c>
      <c r="N136" s="5">
        <v>4</v>
      </c>
      <c r="O136" s="6">
        <f t="shared" si="27"/>
        <v>0.8123779296875</v>
      </c>
      <c r="P136" s="6">
        <f t="shared" si="28"/>
        <v>8.4487304687500001E-2</v>
      </c>
      <c r="Q136" s="10">
        <f t="shared" si="29"/>
        <v>1.7601521809895834E-3</v>
      </c>
      <c r="R136" s="10">
        <f t="shared" si="30"/>
        <v>1.3605537743536752E-2</v>
      </c>
      <c r="S136" s="10">
        <f t="shared" si="31"/>
        <v>1.5365689924526336E-2</v>
      </c>
    </row>
    <row r="137" spans="1:19" x14ac:dyDescent="0.25">
      <c r="A137" s="5" t="s">
        <v>8</v>
      </c>
      <c r="B137" s="5" t="s">
        <v>209</v>
      </c>
      <c r="C137" s="5" t="s">
        <v>27</v>
      </c>
      <c r="D137" s="5" t="s">
        <v>385</v>
      </c>
      <c r="E137" s="5" t="s">
        <v>384</v>
      </c>
      <c r="F137" s="5" t="s">
        <v>45</v>
      </c>
      <c r="G137" s="5" t="s">
        <v>390</v>
      </c>
      <c r="H137" s="5" t="s">
        <v>46</v>
      </c>
      <c r="I137" s="5" t="s">
        <v>207</v>
      </c>
      <c r="J137" s="15">
        <v>1580</v>
      </c>
      <c r="K137" s="7">
        <v>52.7</v>
      </c>
      <c r="L137" s="7">
        <f t="shared" si="26"/>
        <v>29.981024667931688</v>
      </c>
      <c r="M137" s="5" t="s">
        <v>9</v>
      </c>
      <c r="N137" s="5">
        <v>4</v>
      </c>
      <c r="O137" s="6">
        <f t="shared" si="27"/>
        <v>0.88762606713738934</v>
      </c>
      <c r="P137" s="6">
        <f t="shared" si="28"/>
        <v>9.231311098228849E-2</v>
      </c>
      <c r="Q137" s="10">
        <f t="shared" si="29"/>
        <v>1.9231898121310103E-3</v>
      </c>
      <c r="R137" s="10">
        <f t="shared" si="30"/>
        <v>1.4540175890565775E-2</v>
      </c>
      <c r="S137" s="10">
        <f t="shared" si="31"/>
        <v>1.6463365702696783E-2</v>
      </c>
    </row>
    <row r="138" spans="1:19" x14ac:dyDescent="0.25">
      <c r="A138" s="5" t="s">
        <v>22</v>
      </c>
      <c r="B138" s="5" t="s">
        <v>26</v>
      </c>
      <c r="C138" s="5" t="s">
        <v>27</v>
      </c>
      <c r="D138" s="5" t="s">
        <v>385</v>
      </c>
      <c r="E138" s="5" t="s">
        <v>384</v>
      </c>
      <c r="F138" s="5" t="s">
        <v>45</v>
      </c>
      <c r="G138" s="5" t="s">
        <v>390</v>
      </c>
      <c r="H138" s="5" t="s">
        <v>46</v>
      </c>
      <c r="I138" s="5" t="s">
        <v>16</v>
      </c>
      <c r="J138" s="15">
        <v>1350</v>
      </c>
      <c r="K138" s="7">
        <v>35</v>
      </c>
      <c r="L138" s="7">
        <f t="shared" si="26"/>
        <v>38.571428571428569</v>
      </c>
      <c r="M138" s="5" t="s">
        <v>9</v>
      </c>
      <c r="N138" s="5">
        <v>4</v>
      </c>
      <c r="O138" s="6">
        <f t="shared" si="27"/>
        <v>1.2552933673469386</v>
      </c>
      <c r="P138" s="6">
        <f t="shared" si="28"/>
        <v>0.13055051020408162</v>
      </c>
      <c r="Q138" s="10">
        <f t="shared" si="29"/>
        <v>2.719802295918367E-3</v>
      </c>
      <c r="R138" s="10">
        <f t="shared" si="30"/>
        <v>1.8856281365180333E-2</v>
      </c>
      <c r="S138" s="10">
        <f t="shared" si="31"/>
        <v>2.1576083661098699E-2</v>
      </c>
    </row>
    <row r="139" spans="1:19" x14ac:dyDescent="0.25">
      <c r="A139" s="5" t="s">
        <v>22</v>
      </c>
      <c r="B139" s="5" t="s">
        <v>26</v>
      </c>
      <c r="C139" s="5" t="s">
        <v>27</v>
      </c>
      <c r="D139" s="5" t="s">
        <v>385</v>
      </c>
      <c r="E139" s="5" t="s">
        <v>384</v>
      </c>
      <c r="F139" s="5" t="s">
        <v>45</v>
      </c>
      <c r="G139" s="5" t="s">
        <v>390</v>
      </c>
      <c r="H139" s="5" t="s">
        <v>46</v>
      </c>
      <c r="I139" s="5" t="s">
        <v>47</v>
      </c>
      <c r="J139" s="15">
        <v>1150</v>
      </c>
      <c r="K139" s="7">
        <v>30</v>
      </c>
      <c r="L139" s="7">
        <f t="shared" si="26"/>
        <v>38.333333333333336</v>
      </c>
      <c r="M139" s="5" t="s">
        <v>9</v>
      </c>
      <c r="N139" s="5">
        <v>4</v>
      </c>
      <c r="O139" s="6">
        <f t="shared" si="27"/>
        <v>1.0561631944444445</v>
      </c>
      <c r="P139" s="6">
        <f t="shared" si="28"/>
        <v>0.10984097222222222</v>
      </c>
      <c r="Q139" s="10">
        <f t="shared" si="29"/>
        <v>2.288353587962963E-3</v>
      </c>
      <c r="R139" s="10">
        <f t="shared" si="30"/>
        <v>1.6565150885101746E-2</v>
      </c>
      <c r="S139" s="10">
        <f t="shared" si="31"/>
        <v>1.8853504473064709E-2</v>
      </c>
    </row>
    <row r="140" spans="1:19" x14ac:dyDescent="0.25">
      <c r="A140" s="5" t="s">
        <v>8</v>
      </c>
      <c r="B140" s="5" t="s">
        <v>202</v>
      </c>
      <c r="C140" s="5" t="s">
        <v>27</v>
      </c>
      <c r="D140" s="5" t="s">
        <v>385</v>
      </c>
      <c r="E140" s="5" t="s">
        <v>384</v>
      </c>
      <c r="F140" s="5" t="s">
        <v>45</v>
      </c>
      <c r="G140" s="5" t="s">
        <v>390</v>
      </c>
      <c r="H140" s="5" t="s">
        <v>46</v>
      </c>
      <c r="I140" s="5" t="s">
        <v>203</v>
      </c>
      <c r="J140" s="15">
        <v>1220</v>
      </c>
      <c r="K140" s="7">
        <v>29.6</v>
      </c>
      <c r="L140" s="7">
        <f t="shared" si="26"/>
        <v>41.216216216216218</v>
      </c>
      <c r="M140" s="5" t="s">
        <v>9</v>
      </c>
      <c r="N140" s="5">
        <v>4</v>
      </c>
      <c r="O140" s="6">
        <f t="shared" si="27"/>
        <v>1.2953170653761872</v>
      </c>
      <c r="P140" s="6">
        <f t="shared" si="28"/>
        <v>0.13471297479912345</v>
      </c>
      <c r="Q140" s="10">
        <f t="shared" si="29"/>
        <v>2.8065203083150717E-3</v>
      </c>
      <c r="R140" s="10">
        <f t="shared" si="30"/>
        <v>1.930541712752341E-2</v>
      </c>
      <c r="S140" s="10">
        <f t="shared" si="31"/>
        <v>2.2111937435838482E-2</v>
      </c>
    </row>
    <row r="141" spans="1:19" x14ac:dyDescent="0.25">
      <c r="A141" s="5" t="s">
        <v>8</v>
      </c>
      <c r="B141" s="5" t="s">
        <v>204</v>
      </c>
      <c r="C141" s="5" t="s">
        <v>27</v>
      </c>
      <c r="D141" s="5" t="s">
        <v>385</v>
      </c>
      <c r="E141" s="5" t="s">
        <v>384</v>
      </c>
      <c r="F141" s="5" t="s">
        <v>45</v>
      </c>
      <c r="G141" s="5" t="s">
        <v>390</v>
      </c>
      <c r="H141" s="5" t="s">
        <v>46</v>
      </c>
      <c r="I141" s="5" t="s">
        <v>203</v>
      </c>
      <c r="J141" s="15">
        <v>850</v>
      </c>
      <c r="K141" s="7">
        <v>32</v>
      </c>
      <c r="L141" s="7">
        <f t="shared" si="26"/>
        <v>26.5625</v>
      </c>
      <c r="M141" s="5" t="s">
        <v>9</v>
      </c>
      <c r="N141" s="5">
        <v>4</v>
      </c>
      <c r="O141" s="6">
        <f t="shared" si="27"/>
        <v>0.3748321533203125</v>
      </c>
      <c r="P141" s="6">
        <f t="shared" si="28"/>
        <v>3.8982543945312496E-2</v>
      </c>
      <c r="Q141" s="10">
        <f t="shared" si="29"/>
        <v>8.1213633219401034E-4</v>
      </c>
      <c r="R141" s="10">
        <f t="shared" si="30"/>
        <v>7.6168385941915153E-3</v>
      </c>
      <c r="S141" s="10">
        <f t="shared" si="31"/>
        <v>8.4289749263855261E-3</v>
      </c>
    </row>
    <row r="142" spans="1:19" x14ac:dyDescent="0.25">
      <c r="A142" s="5" t="s">
        <v>8</v>
      </c>
      <c r="B142" s="5" t="s">
        <v>201</v>
      </c>
      <c r="C142" s="5" t="s">
        <v>27</v>
      </c>
      <c r="D142" s="5" t="s">
        <v>385</v>
      </c>
      <c r="E142" s="5" t="s">
        <v>384</v>
      </c>
      <c r="F142" s="5" t="s">
        <v>45</v>
      </c>
      <c r="G142" s="5" t="s">
        <v>390</v>
      </c>
      <c r="H142" s="5" t="s">
        <v>46</v>
      </c>
      <c r="I142" s="5" t="s">
        <v>203</v>
      </c>
      <c r="J142" s="15">
        <v>965</v>
      </c>
      <c r="K142" s="7">
        <v>26.5</v>
      </c>
      <c r="L142" s="7">
        <f t="shared" si="26"/>
        <v>36.415094339622641</v>
      </c>
      <c r="M142" s="5" t="s">
        <v>9</v>
      </c>
      <c r="N142" s="5">
        <v>4</v>
      </c>
      <c r="O142" s="6">
        <f t="shared" si="27"/>
        <v>0.79977939213243143</v>
      </c>
      <c r="P142" s="6">
        <f t="shared" si="28"/>
        <v>8.3177056781772868E-2</v>
      </c>
      <c r="Q142" s="10">
        <f t="shared" si="29"/>
        <v>1.732855349620268E-3</v>
      </c>
      <c r="R142" s="10">
        <f t="shared" si="30"/>
        <v>1.3446980696864171E-2</v>
      </c>
      <c r="S142" s="10">
        <f t="shared" si="31"/>
        <v>1.517983604648444E-2</v>
      </c>
    </row>
    <row r="143" spans="1:19" x14ac:dyDescent="0.25">
      <c r="A143" s="5" t="s">
        <v>22</v>
      </c>
      <c r="B143" s="5" t="s">
        <v>26</v>
      </c>
      <c r="C143" s="5" t="s">
        <v>27</v>
      </c>
      <c r="D143" s="5" t="s">
        <v>385</v>
      </c>
      <c r="E143" s="5" t="s">
        <v>384</v>
      </c>
      <c r="F143" s="5" t="s">
        <v>45</v>
      </c>
      <c r="G143" s="5" t="s">
        <v>390</v>
      </c>
      <c r="H143" s="5" t="s">
        <v>46</v>
      </c>
      <c r="I143" s="5" t="s">
        <v>11</v>
      </c>
      <c r="J143" s="15">
        <v>1450</v>
      </c>
      <c r="K143" s="7">
        <v>29</v>
      </c>
      <c r="L143" s="7">
        <f t="shared" si="26"/>
        <v>50</v>
      </c>
      <c r="M143" s="5" t="s">
        <v>9</v>
      </c>
      <c r="N143" s="5">
        <v>4</v>
      </c>
      <c r="O143" s="6">
        <f t="shared" si="27"/>
        <v>2.265625</v>
      </c>
      <c r="P143" s="6">
        <f t="shared" si="28"/>
        <v>0.23562499999999997</v>
      </c>
      <c r="Q143" s="10">
        <f t="shared" si="29"/>
        <v>4.9088541666666664E-3</v>
      </c>
      <c r="R143" s="10">
        <f t="shared" si="30"/>
        <v>2.9362169777582138E-2</v>
      </c>
      <c r="S143" s="10">
        <f t="shared" si="31"/>
        <v>3.4271023944248802E-2</v>
      </c>
    </row>
    <row r="144" spans="1:19" x14ac:dyDescent="0.25">
      <c r="A144" s="5" t="s">
        <v>8</v>
      </c>
      <c r="B144" s="5" t="s">
        <v>339</v>
      </c>
      <c r="C144" s="5" t="s">
        <v>27</v>
      </c>
      <c r="D144" s="5" t="s">
        <v>385</v>
      </c>
      <c r="E144" s="5" t="s">
        <v>384</v>
      </c>
      <c r="F144" s="5" t="s">
        <v>45</v>
      </c>
      <c r="G144" s="5" t="s">
        <v>390</v>
      </c>
      <c r="H144" s="5" t="s">
        <v>46</v>
      </c>
      <c r="I144" s="5" t="s">
        <v>216</v>
      </c>
      <c r="J144" s="15">
        <v>801</v>
      </c>
      <c r="K144" s="7">
        <v>28.6</v>
      </c>
      <c r="L144" s="7">
        <f t="shared" si="26"/>
        <v>28.006993006993007</v>
      </c>
      <c r="M144" s="5" t="s">
        <v>9</v>
      </c>
      <c r="N144" s="5">
        <v>4</v>
      </c>
      <c r="O144" s="6">
        <f t="shared" si="27"/>
        <v>0.39268607343268619</v>
      </c>
      <c r="P144" s="6">
        <f t="shared" si="28"/>
        <v>4.0839351636999366E-2</v>
      </c>
      <c r="Q144" s="10">
        <f t="shared" si="29"/>
        <v>8.5081982577081994E-4</v>
      </c>
      <c r="R144" s="10">
        <f t="shared" si="30"/>
        <v>7.8873524666107624E-3</v>
      </c>
      <c r="S144" s="10">
        <f t="shared" si="31"/>
        <v>8.7381722923815831E-3</v>
      </c>
    </row>
    <row r="145" spans="1:19" x14ac:dyDescent="0.25">
      <c r="A145" s="5" t="s">
        <v>22</v>
      </c>
      <c r="B145" s="5" t="s">
        <v>63</v>
      </c>
      <c r="C145" s="5" t="s">
        <v>27</v>
      </c>
      <c r="D145" s="5" t="s">
        <v>385</v>
      </c>
      <c r="E145" s="5" t="s">
        <v>384</v>
      </c>
      <c r="F145" s="5" t="s">
        <v>45</v>
      </c>
      <c r="G145" s="5" t="s">
        <v>390</v>
      </c>
      <c r="H145" s="5" t="s">
        <v>46</v>
      </c>
      <c r="I145" s="5" t="s">
        <v>152</v>
      </c>
      <c r="J145" s="15">
        <v>1900</v>
      </c>
      <c r="K145" s="7">
        <v>49.5</v>
      </c>
      <c r="L145" s="7">
        <f t="shared" si="26"/>
        <v>38.383838383838381</v>
      </c>
      <c r="M145" s="5" t="s">
        <v>9</v>
      </c>
      <c r="N145" s="5">
        <v>4</v>
      </c>
      <c r="O145" s="6">
        <f t="shared" si="27"/>
        <v>1.7495663707784919</v>
      </c>
      <c r="P145" s="6">
        <f t="shared" si="28"/>
        <v>0.18195490256096314</v>
      </c>
      <c r="Q145" s="10">
        <f t="shared" si="29"/>
        <v>3.7907271366867321E-3</v>
      </c>
      <c r="R145" s="10">
        <f t="shared" si="30"/>
        <v>2.4187720476462712E-2</v>
      </c>
      <c r="S145" s="10">
        <f t="shared" si="31"/>
        <v>2.7978447613149444E-2</v>
      </c>
    </row>
    <row r="146" spans="1:19" x14ac:dyDescent="0.25">
      <c r="A146" s="5" t="s">
        <v>8</v>
      </c>
      <c r="B146" s="5" t="s">
        <v>375</v>
      </c>
      <c r="C146" s="5" t="s">
        <v>27</v>
      </c>
      <c r="D146" s="5" t="s">
        <v>385</v>
      </c>
      <c r="E146" s="5" t="s">
        <v>384</v>
      </c>
      <c r="F146" s="5" t="s">
        <v>45</v>
      </c>
      <c r="G146" s="5" t="s">
        <v>390</v>
      </c>
      <c r="H146" s="5" t="s">
        <v>46</v>
      </c>
      <c r="I146" s="5" t="s">
        <v>152</v>
      </c>
      <c r="J146" s="15">
        <v>1900</v>
      </c>
      <c r="K146" s="7">
        <v>50</v>
      </c>
      <c r="L146" s="7">
        <f t="shared" si="26"/>
        <v>38</v>
      </c>
      <c r="M146" s="5" t="s">
        <v>9</v>
      </c>
      <c r="N146" s="5">
        <v>4</v>
      </c>
      <c r="O146" s="6">
        <f t="shared" si="27"/>
        <v>1.71475</v>
      </c>
      <c r="P146" s="6">
        <f t="shared" si="28"/>
        <v>0.17833399999999996</v>
      </c>
      <c r="Q146" s="10">
        <f t="shared" si="29"/>
        <v>3.7152916666666667E-3</v>
      </c>
      <c r="R146" s="10">
        <f t="shared" si="30"/>
        <v>2.3825813226263679E-2</v>
      </c>
      <c r="S146" s="10">
        <f t="shared" si="31"/>
        <v>2.7541104892930345E-2</v>
      </c>
    </row>
    <row r="147" spans="1:19" x14ac:dyDescent="0.25">
      <c r="A147" s="5" t="s">
        <v>22</v>
      </c>
      <c r="B147" s="5" t="s">
        <v>26</v>
      </c>
      <c r="C147" s="5" t="s">
        <v>27</v>
      </c>
      <c r="D147" s="5" t="s">
        <v>385</v>
      </c>
      <c r="E147" s="5" t="s">
        <v>384</v>
      </c>
      <c r="F147" s="5" t="s">
        <v>45</v>
      </c>
      <c r="G147" s="5" t="s">
        <v>390</v>
      </c>
      <c r="H147" s="5" t="s">
        <v>46</v>
      </c>
      <c r="I147" s="5" t="s">
        <v>48</v>
      </c>
      <c r="J147" s="15">
        <v>1150</v>
      </c>
      <c r="K147" s="7">
        <v>34</v>
      </c>
      <c r="L147" s="7">
        <f t="shared" si="26"/>
        <v>33.823529411764703</v>
      </c>
      <c r="M147" s="5" t="s">
        <v>9</v>
      </c>
      <c r="N147" s="5">
        <v>4</v>
      </c>
      <c r="O147" s="6">
        <f t="shared" si="27"/>
        <v>0.8222723832179929</v>
      </c>
      <c r="P147" s="6">
        <f t="shared" si="28"/>
        <v>8.5516327854671254E-2</v>
      </c>
      <c r="Q147" s="10">
        <f t="shared" si="29"/>
        <v>1.7815901636389845E-3</v>
      </c>
      <c r="R147" s="10">
        <f t="shared" si="30"/>
        <v>1.3729632180540055E-2</v>
      </c>
      <c r="S147" s="10">
        <f t="shared" si="31"/>
        <v>1.5511222344179039E-2</v>
      </c>
    </row>
    <row r="148" spans="1:19" x14ac:dyDescent="0.25">
      <c r="A148" s="5" t="s">
        <v>22</v>
      </c>
      <c r="B148" s="5" t="s">
        <v>26</v>
      </c>
      <c r="C148" s="5" t="s">
        <v>27</v>
      </c>
      <c r="D148" s="5" t="s">
        <v>385</v>
      </c>
      <c r="E148" s="5" t="s">
        <v>384</v>
      </c>
      <c r="F148" s="5" t="s">
        <v>45</v>
      </c>
      <c r="G148" s="5" t="s">
        <v>390</v>
      </c>
      <c r="H148" s="5" t="s">
        <v>46</v>
      </c>
      <c r="I148" s="5" t="s">
        <v>49</v>
      </c>
      <c r="J148" s="15">
        <v>1400</v>
      </c>
      <c r="K148" s="7">
        <v>37.5</v>
      </c>
      <c r="L148" s="7">
        <f t="shared" si="26"/>
        <v>37.333333333333336</v>
      </c>
      <c r="M148" s="5" t="s">
        <v>9</v>
      </c>
      <c r="N148" s="5">
        <v>4</v>
      </c>
      <c r="O148" s="6">
        <f t="shared" si="27"/>
        <v>1.2195555555555557</v>
      </c>
      <c r="P148" s="6">
        <f t="shared" si="28"/>
        <v>0.1268337777777778</v>
      </c>
      <c r="Q148" s="10">
        <f t="shared" si="29"/>
        <v>2.6423703703703709E-3</v>
      </c>
      <c r="R148" s="10">
        <f t="shared" si="30"/>
        <v>1.8452206917572135E-2</v>
      </c>
      <c r="S148" s="10">
        <f t="shared" si="31"/>
        <v>2.1094577287942506E-2</v>
      </c>
    </row>
    <row r="149" spans="1:19" x14ac:dyDescent="0.25">
      <c r="A149" s="5" t="s">
        <v>22</v>
      </c>
      <c r="B149" s="5" t="s">
        <v>26</v>
      </c>
      <c r="C149" s="5" t="s">
        <v>27</v>
      </c>
      <c r="D149" s="5" t="s">
        <v>385</v>
      </c>
      <c r="E149" s="5" t="s">
        <v>384</v>
      </c>
      <c r="F149" s="5" t="s">
        <v>45</v>
      </c>
      <c r="G149" s="5" t="s">
        <v>390</v>
      </c>
      <c r="H149" s="5" t="s">
        <v>46</v>
      </c>
      <c r="I149" s="5" t="s">
        <v>50</v>
      </c>
      <c r="J149" s="15">
        <v>1650</v>
      </c>
      <c r="K149" s="7">
        <v>30</v>
      </c>
      <c r="L149" s="7">
        <f t="shared" si="26"/>
        <v>55</v>
      </c>
      <c r="M149" s="5" t="s">
        <v>9</v>
      </c>
      <c r="N149" s="5">
        <v>4</v>
      </c>
      <c r="O149" s="6">
        <f t="shared" si="27"/>
        <v>3.1195312500000001</v>
      </c>
      <c r="P149" s="6">
        <f t="shared" si="28"/>
        <v>0.32443125</v>
      </c>
      <c r="Q149" s="10">
        <f t="shared" si="29"/>
        <v>6.7589843749999998E-3</v>
      </c>
      <c r="R149" s="10">
        <f t="shared" si="30"/>
        <v>3.7321933071527903E-2</v>
      </c>
      <c r="S149" s="10">
        <f t="shared" si="31"/>
        <v>4.4080917446527902E-2</v>
      </c>
    </row>
    <row r="150" spans="1:19" x14ac:dyDescent="0.25">
      <c r="A150" s="5" t="s">
        <v>8</v>
      </c>
      <c r="B150" s="5" t="s">
        <v>233</v>
      </c>
      <c r="C150" s="5" t="s">
        <v>27</v>
      </c>
      <c r="D150" s="5" t="s">
        <v>385</v>
      </c>
      <c r="E150" s="5" t="s">
        <v>384</v>
      </c>
      <c r="F150" s="5" t="s">
        <v>45</v>
      </c>
      <c r="G150" s="5" t="s">
        <v>390</v>
      </c>
      <c r="H150" s="5" t="s">
        <v>46</v>
      </c>
      <c r="I150" s="5" t="s">
        <v>234</v>
      </c>
      <c r="J150" s="15">
        <v>1350</v>
      </c>
      <c r="K150" s="7">
        <v>40</v>
      </c>
      <c r="L150" s="7">
        <f t="shared" si="26"/>
        <v>33.75</v>
      </c>
      <c r="M150" s="5" t="s">
        <v>9</v>
      </c>
      <c r="N150" s="5">
        <v>4</v>
      </c>
      <c r="O150" s="6">
        <f t="shared" si="27"/>
        <v>0.96108398437499998</v>
      </c>
      <c r="P150" s="6">
        <f t="shared" si="28"/>
        <v>9.9952734375000005E-2</v>
      </c>
      <c r="Q150" s="10">
        <f t="shared" si="29"/>
        <v>2.0823486328124998E-3</v>
      </c>
      <c r="R150" s="10">
        <f t="shared" si="30"/>
        <v>1.5433631599993865E-2</v>
      </c>
      <c r="S150" s="10">
        <f t="shared" si="31"/>
        <v>1.7515980232806365E-2</v>
      </c>
    </row>
    <row r="151" spans="1:19" x14ac:dyDescent="0.25">
      <c r="A151" s="5" t="s">
        <v>22</v>
      </c>
      <c r="B151" s="5" t="s">
        <v>26</v>
      </c>
      <c r="C151" s="5" t="s">
        <v>27</v>
      </c>
      <c r="D151" s="5" t="s">
        <v>385</v>
      </c>
      <c r="E151" s="5" t="s">
        <v>384</v>
      </c>
      <c r="F151" s="5" t="s">
        <v>45</v>
      </c>
      <c r="G151" s="5" t="s">
        <v>390</v>
      </c>
      <c r="H151" s="5" t="s">
        <v>46</v>
      </c>
      <c r="I151" s="5" t="s">
        <v>51</v>
      </c>
      <c r="J151" s="15">
        <v>1400</v>
      </c>
      <c r="K151" s="7">
        <v>40</v>
      </c>
      <c r="L151" s="7">
        <f t="shared" si="26"/>
        <v>35</v>
      </c>
      <c r="M151" s="5" t="s">
        <v>9</v>
      </c>
      <c r="N151" s="5">
        <v>4</v>
      </c>
      <c r="O151" s="6">
        <f t="shared" si="27"/>
        <v>1.0718749999999999</v>
      </c>
      <c r="P151" s="6">
        <f t="shared" si="28"/>
        <v>0.111475</v>
      </c>
      <c r="Q151" s="10">
        <f t="shared" si="29"/>
        <v>2.322395833333333E-3</v>
      </c>
      <c r="R151" s="10">
        <f t="shared" si="30"/>
        <v>1.6749630490436755E-2</v>
      </c>
      <c r="S151" s="10">
        <f t="shared" si="31"/>
        <v>1.9072026323770089E-2</v>
      </c>
    </row>
    <row r="152" spans="1:19" x14ac:dyDescent="0.25">
      <c r="A152" s="5" t="s">
        <v>8</v>
      </c>
      <c r="B152" s="5" t="s">
        <v>192</v>
      </c>
      <c r="C152" s="5" t="s">
        <v>27</v>
      </c>
      <c r="D152" s="5" t="s">
        <v>385</v>
      </c>
      <c r="E152" s="5" t="s">
        <v>384</v>
      </c>
      <c r="F152" s="5" t="s">
        <v>45</v>
      </c>
      <c r="G152" s="5" t="s">
        <v>390</v>
      </c>
      <c r="H152" s="5" t="s">
        <v>46</v>
      </c>
      <c r="I152" s="5" t="s">
        <v>213</v>
      </c>
      <c r="J152" s="15">
        <v>960</v>
      </c>
      <c r="K152" s="7">
        <v>25.9</v>
      </c>
      <c r="L152" s="7">
        <f t="shared" si="26"/>
        <v>37.06563706563707</v>
      </c>
      <c r="M152" s="5" t="s">
        <v>9</v>
      </c>
      <c r="N152" s="5">
        <v>4</v>
      </c>
      <c r="O152" s="6">
        <f t="shared" si="27"/>
        <v>0.82431687064891723</v>
      </c>
      <c r="P152" s="6">
        <f t="shared" si="28"/>
        <v>8.5728954547487371E-2</v>
      </c>
      <c r="Q152" s="10">
        <f t="shared" si="29"/>
        <v>1.7860198864059873E-3</v>
      </c>
      <c r="R152" s="10">
        <f t="shared" si="30"/>
        <v>1.3755227116500256E-2</v>
      </c>
      <c r="S152" s="10">
        <f t="shared" si="31"/>
        <v>1.5541247002906242E-2</v>
      </c>
    </row>
    <row r="153" spans="1:19" x14ac:dyDescent="0.25">
      <c r="A153" s="5" t="s">
        <v>22</v>
      </c>
      <c r="B153" s="5" t="s">
        <v>63</v>
      </c>
      <c r="C153" s="5" t="s">
        <v>27</v>
      </c>
      <c r="D153" s="5" t="s">
        <v>385</v>
      </c>
      <c r="E153" s="5" t="s">
        <v>384</v>
      </c>
      <c r="F153" s="5" t="s">
        <v>45</v>
      </c>
      <c r="G153" s="5" t="s">
        <v>390</v>
      </c>
      <c r="H153" s="5" t="s">
        <v>46</v>
      </c>
      <c r="I153" s="5" t="s">
        <v>153</v>
      </c>
      <c r="J153" s="15">
        <v>1620</v>
      </c>
      <c r="K153" s="7">
        <v>41</v>
      </c>
      <c r="L153" s="7">
        <f t="shared" si="26"/>
        <v>39.512195121951223</v>
      </c>
      <c r="M153" s="5" t="s">
        <v>9</v>
      </c>
      <c r="N153" s="5">
        <v>4</v>
      </c>
      <c r="O153" s="6">
        <f t="shared" si="27"/>
        <v>1.5807287328970852</v>
      </c>
      <c r="P153" s="6">
        <f t="shared" si="28"/>
        <v>0.16439578822129686</v>
      </c>
      <c r="Q153" s="10">
        <f t="shared" si="29"/>
        <v>3.424912254610351E-3</v>
      </c>
      <c r="R153" s="10">
        <f t="shared" si="30"/>
        <v>2.241507183266496E-2</v>
      </c>
      <c r="S153" s="10">
        <f t="shared" si="31"/>
        <v>2.5839984087275312E-2</v>
      </c>
    </row>
    <row r="154" spans="1:19" x14ac:dyDescent="0.25">
      <c r="A154" s="5" t="s">
        <v>8</v>
      </c>
      <c r="B154" s="5" t="s">
        <v>375</v>
      </c>
      <c r="C154" s="5" t="s">
        <v>27</v>
      </c>
      <c r="D154" s="5" t="s">
        <v>385</v>
      </c>
      <c r="E154" s="5" t="s">
        <v>384</v>
      </c>
      <c r="F154" s="5" t="s">
        <v>45</v>
      </c>
      <c r="G154" s="5" t="s">
        <v>390</v>
      </c>
      <c r="H154" s="5" t="s">
        <v>46</v>
      </c>
      <c r="I154" s="5" t="s">
        <v>153</v>
      </c>
      <c r="J154" s="15">
        <v>1570</v>
      </c>
      <c r="K154" s="7">
        <v>41.7</v>
      </c>
      <c r="L154" s="7">
        <f t="shared" si="26"/>
        <v>37.649880095923258</v>
      </c>
      <c r="M154" s="5" t="s">
        <v>9</v>
      </c>
      <c r="N154" s="5">
        <v>4</v>
      </c>
      <c r="O154" s="6">
        <f t="shared" si="27"/>
        <v>1.3909350936516971</v>
      </c>
      <c r="P154" s="6">
        <f t="shared" si="28"/>
        <v>0.14465724973977651</v>
      </c>
      <c r="Q154" s="10">
        <f t="shared" si="29"/>
        <v>3.01369270291201E-3</v>
      </c>
      <c r="R154" s="10">
        <f t="shared" si="30"/>
        <v>2.0364665116242991E-2</v>
      </c>
      <c r="S154" s="10">
        <f t="shared" si="31"/>
        <v>2.3378357819155003E-2</v>
      </c>
    </row>
    <row r="155" spans="1:19" x14ac:dyDescent="0.25">
      <c r="A155" s="5" t="s">
        <v>22</v>
      </c>
      <c r="B155" s="5" t="s">
        <v>63</v>
      </c>
      <c r="C155" s="5" t="s">
        <v>27</v>
      </c>
      <c r="D155" s="5" t="s">
        <v>385</v>
      </c>
      <c r="E155" s="5" t="s">
        <v>384</v>
      </c>
      <c r="F155" s="5" t="s">
        <v>45</v>
      </c>
      <c r="G155" s="5" t="s">
        <v>390</v>
      </c>
      <c r="H155" s="5" t="s">
        <v>74</v>
      </c>
      <c r="I155" s="5" t="s">
        <v>24</v>
      </c>
      <c r="J155" s="15">
        <v>1200</v>
      </c>
      <c r="K155" s="7">
        <v>33</v>
      </c>
      <c r="L155" s="7">
        <f t="shared" si="26"/>
        <v>36.363636363636367</v>
      </c>
      <c r="M155" s="5" t="s">
        <v>9</v>
      </c>
      <c r="N155" s="5">
        <v>4</v>
      </c>
      <c r="O155" s="6">
        <f t="shared" si="27"/>
        <v>0.99173553719008278</v>
      </c>
      <c r="P155" s="6">
        <f t="shared" si="28"/>
        <v>0.10314049586776862</v>
      </c>
      <c r="Q155" s="10">
        <f t="shared" si="29"/>
        <v>2.1487603305785125E-3</v>
      </c>
      <c r="R155" s="10">
        <f t="shared" si="30"/>
        <v>1.5801344117068697E-2</v>
      </c>
      <c r="S155" s="10">
        <f t="shared" si="31"/>
        <v>1.7950104447647209E-2</v>
      </c>
    </row>
    <row r="156" spans="1:19" x14ac:dyDescent="0.25">
      <c r="J156" s="16">
        <f t="shared" ref="J156:S156" si="32">AVERAGE(J67:J155)</f>
        <v>2306.370786516854</v>
      </c>
      <c r="K156" s="12">
        <f t="shared" si="32"/>
        <v>33.796629213483136</v>
      </c>
      <c r="L156" s="12">
        <f t="shared" si="32"/>
        <v>70.323677273928865</v>
      </c>
      <c r="M156" s="11" t="e">
        <f t="shared" si="32"/>
        <v>#DIV/0!</v>
      </c>
      <c r="N156" s="11">
        <f t="shared" si="32"/>
        <v>4</v>
      </c>
      <c r="O156" s="13">
        <f t="shared" si="32"/>
        <v>13.60858569191986</v>
      </c>
      <c r="P156" s="13">
        <f t="shared" si="32"/>
        <v>1.4152929119596658</v>
      </c>
      <c r="Q156" s="14">
        <f t="shared" si="32"/>
        <v>2.9485268999159691E-2</v>
      </c>
      <c r="R156" s="14">
        <f t="shared" si="32"/>
        <v>9.4214137257443251E-2</v>
      </c>
      <c r="S156" s="14">
        <f t="shared" si="32"/>
        <v>0.12369940625660296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2"/>
  <sheetViews>
    <sheetView topLeftCell="E1" workbookViewId="0">
      <pane ySplit="1" topLeftCell="A179" activePane="bottomLeft" state="frozen"/>
      <selection pane="bottomLeft" activeCell="E188" sqref="A188:XFD188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905</v>
      </c>
      <c r="K2" s="7">
        <v>17.5</v>
      </c>
      <c r="L2" s="7">
        <f>J2/K2</f>
        <v>51.714285714285715</v>
      </c>
      <c r="M2" s="5" t="s">
        <v>10</v>
      </c>
      <c r="N2" s="5">
        <v>4</v>
      </c>
      <c r="O2" s="6">
        <f>(J2*L2^2)/(1.6*10^6)</f>
        <v>1.5126890306122449</v>
      </c>
      <c r="P2" s="6">
        <f>(0.104*J2*L2^2)/(1.6*10^6)</f>
        <v>0.15731965918367344</v>
      </c>
      <c r="Q2" s="10">
        <f>(0.104*O2)/(12*N2)</f>
        <v>3.2774928996598639E-3</v>
      </c>
      <c r="R2" s="10">
        <f>0.0159*O2^0.75</f>
        <v>2.16874937766043E-2</v>
      </c>
      <c r="S2" s="10">
        <f>Q2+R2</f>
        <v>2.4964986676264164E-2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1000</v>
      </c>
      <c r="K3" s="7">
        <v>18</v>
      </c>
      <c r="L3" s="7">
        <f>J3/K3</f>
        <v>55.555555555555557</v>
      </c>
      <c r="M3" s="5" t="s">
        <v>10</v>
      </c>
      <c r="N3" s="5">
        <v>4</v>
      </c>
      <c r="O3" s="6">
        <f>(J3*L3^2)/(1.6*10^6)</f>
        <v>1.9290123456790123</v>
      </c>
      <c r="P3" s="6">
        <f>(0.104*J3*L3^2)/(1.6*10^6)</f>
        <v>0.20061728395061729</v>
      </c>
      <c r="Q3" s="10">
        <f>(0.104*O3)/(12*N3)</f>
        <v>4.1795267489711926E-3</v>
      </c>
      <c r="R3" s="10">
        <f>0.0159*O3^0.75</f>
        <v>2.602545791867154E-2</v>
      </c>
      <c r="S3" s="10">
        <f>Q3+R3</f>
        <v>3.0204984667642733E-2</v>
      </c>
    </row>
    <row r="4" spans="1:19" x14ac:dyDescent="0.25">
      <c r="A4" s="5" t="s">
        <v>8</v>
      </c>
      <c r="B4" s="5" t="s">
        <v>322</v>
      </c>
      <c r="C4" s="5" t="s">
        <v>27</v>
      </c>
      <c r="D4" s="5" t="s">
        <v>389</v>
      </c>
      <c r="E4" s="5" t="s">
        <v>388</v>
      </c>
      <c r="F4" s="5" t="s">
        <v>135</v>
      </c>
      <c r="G4" s="5" t="s">
        <v>407</v>
      </c>
      <c r="H4" s="5" t="s">
        <v>29</v>
      </c>
      <c r="I4" s="5" t="s">
        <v>13</v>
      </c>
      <c r="J4" s="15">
        <v>1100</v>
      </c>
      <c r="K4" s="7">
        <v>34</v>
      </c>
      <c r="L4" s="7">
        <f>J4/K4</f>
        <v>32.352941176470587</v>
      </c>
      <c r="M4" s="5" t="s">
        <v>10</v>
      </c>
      <c r="N4" s="5">
        <v>4</v>
      </c>
      <c r="O4" s="6">
        <f>(J4*L4^2)/(1.6*10^6)</f>
        <v>0.71961505190311426</v>
      </c>
      <c r="P4" s="6">
        <f>(0.104*J4*L4^2)/(1.6*10^6)</f>
        <v>7.4839965397923869E-2</v>
      </c>
      <c r="Q4" s="10">
        <f>(0.104*O4)/(12*N4)</f>
        <v>1.559165945790081E-3</v>
      </c>
      <c r="R4" s="10">
        <f>0.0159*O4^0.75</f>
        <v>1.2422880378669576E-2</v>
      </c>
      <c r="S4" s="10">
        <f>Q4+R4</f>
        <v>1.3982046324459657E-2</v>
      </c>
    </row>
    <row r="5" spans="1:19" x14ac:dyDescent="0.25">
      <c r="A5" s="5" t="s">
        <v>22</v>
      </c>
      <c r="B5" s="5" t="s">
        <v>63</v>
      </c>
      <c r="C5" s="5" t="s">
        <v>27</v>
      </c>
      <c r="D5" s="5" t="s">
        <v>389</v>
      </c>
      <c r="E5" s="5" t="s">
        <v>388</v>
      </c>
      <c r="F5" s="5" t="s">
        <v>28</v>
      </c>
      <c r="G5" s="5" t="s">
        <v>398</v>
      </c>
      <c r="H5" s="5" t="s">
        <v>133</v>
      </c>
      <c r="I5" s="5" t="s">
        <v>134</v>
      </c>
      <c r="J5" s="15">
        <v>1075</v>
      </c>
      <c r="K5" s="7">
        <v>42</v>
      </c>
      <c r="L5" s="7">
        <f>J5/K5</f>
        <v>25.595238095238095</v>
      </c>
      <c r="M5" s="5" t="s">
        <v>10</v>
      </c>
      <c r="N5" s="5">
        <v>4</v>
      </c>
      <c r="O5" s="6">
        <f>(J5*L5^2)/(1.6*10^6)</f>
        <v>0.44015620571145125</v>
      </c>
      <c r="P5" s="6">
        <f>(0.104*J5*L5^2)/(1.6*10^6)</f>
        <v>4.577624539399093E-2</v>
      </c>
      <c r="Q5" s="10">
        <f>(0.104*O5)/(12*N5)</f>
        <v>9.5367177904147771E-4</v>
      </c>
      <c r="R5" s="10">
        <f>0.0159*O5^0.75</f>
        <v>8.5921578355539034E-3</v>
      </c>
      <c r="S5" s="10">
        <f>Q5+R5</f>
        <v>9.5458296145953803E-3</v>
      </c>
    </row>
    <row r="6" spans="1:19" x14ac:dyDescent="0.25">
      <c r="A6" s="5" t="s">
        <v>22</v>
      </c>
      <c r="B6" s="5" t="s">
        <v>63</v>
      </c>
      <c r="C6" s="5" t="s">
        <v>27</v>
      </c>
      <c r="D6" s="5" t="s">
        <v>389</v>
      </c>
      <c r="E6" s="5" t="s">
        <v>388</v>
      </c>
      <c r="F6" s="5" t="s">
        <v>28</v>
      </c>
      <c r="G6" s="5" t="s">
        <v>398</v>
      </c>
      <c r="H6" s="5" t="s">
        <v>133</v>
      </c>
      <c r="I6" s="5" t="s">
        <v>25</v>
      </c>
      <c r="J6" s="15">
        <v>2100</v>
      </c>
      <c r="K6" s="7">
        <v>49</v>
      </c>
      <c r="L6" s="7">
        <f>J6/K6</f>
        <v>42.857142857142854</v>
      </c>
      <c r="M6" s="5" t="s">
        <v>10</v>
      </c>
      <c r="N6" s="5">
        <v>4</v>
      </c>
      <c r="O6" s="6">
        <f>(J6*L6^2)/(1.6*10^6)</f>
        <v>2.4107142857142856</v>
      </c>
      <c r="P6" s="6">
        <f>(0.104*J6*L6^2)/(1.6*10^6)</f>
        <v>0.25071428571428567</v>
      </c>
      <c r="Q6" s="10">
        <f>(0.104*O6)/(12*N6)</f>
        <v>5.223214285714285E-3</v>
      </c>
      <c r="R6" s="10">
        <f>0.0159*O6^0.75</f>
        <v>3.0761423617006903E-2</v>
      </c>
      <c r="S6" s="10">
        <f>Q6+R6</f>
        <v>3.5984637902721189E-2</v>
      </c>
    </row>
    <row r="7" spans="1:19" x14ac:dyDescent="0.25">
      <c r="J7" s="16">
        <f>AVERAGE(J2:J6)</f>
        <v>1236</v>
      </c>
      <c r="K7" s="12">
        <f t="shared" ref="K7:S7" si="0">AVERAGE(K2:K6)</f>
        <v>32.1</v>
      </c>
      <c r="L7" s="12">
        <f t="shared" si="0"/>
        <v>41.615032679738562</v>
      </c>
      <c r="M7" s="11" t="e">
        <f t="shared" si="0"/>
        <v>#DIV/0!</v>
      </c>
      <c r="N7" s="11">
        <f t="shared" si="0"/>
        <v>4</v>
      </c>
      <c r="O7" s="13">
        <f t="shared" si="0"/>
        <v>1.4024373839240216</v>
      </c>
      <c r="P7" s="13">
        <f t="shared" si="0"/>
        <v>0.14585348792809824</v>
      </c>
      <c r="Q7" s="14">
        <f t="shared" si="0"/>
        <v>3.0386143318353797E-3</v>
      </c>
      <c r="R7" s="14">
        <f t="shared" si="0"/>
        <v>1.9897882705301247E-2</v>
      </c>
      <c r="S7" s="14">
        <f t="shared" si="0"/>
        <v>2.2936497037136624E-2</v>
      </c>
    </row>
    <row r="8" spans="1:19" x14ac:dyDescent="0.25">
      <c r="A8" s="5" t="s">
        <v>22</v>
      </c>
      <c r="B8" s="5" t="s">
        <v>63</v>
      </c>
      <c r="C8" s="5" t="s">
        <v>27</v>
      </c>
      <c r="D8" s="5" t="s">
        <v>389</v>
      </c>
      <c r="E8" s="5" t="s">
        <v>396</v>
      </c>
      <c r="F8" s="5" t="s">
        <v>136</v>
      </c>
      <c r="G8" s="5" t="s">
        <v>399</v>
      </c>
      <c r="H8" s="5" t="s">
        <v>137</v>
      </c>
      <c r="I8" s="5" t="s">
        <v>138</v>
      </c>
      <c r="J8" s="15">
        <v>1110</v>
      </c>
      <c r="K8" s="7">
        <v>29</v>
      </c>
      <c r="L8" s="7">
        <f t="shared" ref="L8:L13" si="1">J8/K8</f>
        <v>38.275862068965516</v>
      </c>
      <c r="M8" s="5" t="s">
        <v>10</v>
      </c>
      <c r="N8" s="5">
        <v>4</v>
      </c>
      <c r="O8" s="6">
        <f t="shared" ref="O8:O13" si="2">(J8*L8^2)/(1.6*10^6)</f>
        <v>1.0163726218787157</v>
      </c>
      <c r="P8" s="6">
        <f t="shared" ref="P8:P13" si="3">(0.104*J8*L8^2)/(1.6*10^6)</f>
        <v>0.10570275267538644</v>
      </c>
      <c r="Q8" s="10">
        <f t="shared" ref="Q8:Q13" si="4">(0.104*O8)/(12*N8)</f>
        <v>2.202140680737217E-3</v>
      </c>
      <c r="R8" s="10">
        <f t="shared" ref="R8:R13" si="5">0.0159*O8^0.75</f>
        <v>1.609484663594286E-2</v>
      </c>
      <c r="S8" s="10">
        <f t="shared" ref="S8:S13" si="6">Q8+R8</f>
        <v>1.8296987316680079E-2</v>
      </c>
    </row>
    <row r="9" spans="1:19" x14ac:dyDescent="0.25">
      <c r="A9" s="5" t="s">
        <v>22</v>
      </c>
      <c r="B9" s="5" t="s">
        <v>63</v>
      </c>
      <c r="C9" s="5" t="s">
        <v>27</v>
      </c>
      <c r="D9" s="5" t="s">
        <v>389</v>
      </c>
      <c r="E9" s="5" t="s">
        <v>396</v>
      </c>
      <c r="F9" s="5" t="s">
        <v>136</v>
      </c>
      <c r="G9" s="5" t="s">
        <v>399</v>
      </c>
      <c r="H9" s="5" t="s">
        <v>139</v>
      </c>
      <c r="I9" s="5" t="s">
        <v>17</v>
      </c>
      <c r="J9" s="15">
        <v>935</v>
      </c>
      <c r="K9" s="7">
        <v>26</v>
      </c>
      <c r="L9" s="7">
        <f t="shared" si="1"/>
        <v>35.96153846153846</v>
      </c>
      <c r="M9" s="5" t="s">
        <v>10</v>
      </c>
      <c r="N9" s="5">
        <v>4</v>
      </c>
      <c r="O9" s="6">
        <f t="shared" si="2"/>
        <v>0.75573259522928993</v>
      </c>
      <c r="P9" s="6">
        <f t="shared" si="3"/>
        <v>7.8596189903846134E-2</v>
      </c>
      <c r="Q9" s="10">
        <f t="shared" si="4"/>
        <v>1.6374206229967947E-3</v>
      </c>
      <c r="R9" s="10">
        <f t="shared" si="5"/>
        <v>1.2887635362542798E-2</v>
      </c>
      <c r="S9" s="10">
        <f t="shared" si="6"/>
        <v>1.4525055985539593E-2</v>
      </c>
    </row>
    <row r="10" spans="1:19" x14ac:dyDescent="0.25">
      <c r="A10" s="5" t="s">
        <v>8</v>
      </c>
      <c r="B10" s="5" t="s">
        <v>224</v>
      </c>
      <c r="C10" s="5" t="s">
        <v>27</v>
      </c>
      <c r="D10" s="5" t="s">
        <v>389</v>
      </c>
      <c r="E10" s="5" t="s">
        <v>396</v>
      </c>
      <c r="F10" s="5" t="s">
        <v>136</v>
      </c>
      <c r="G10" s="5" t="s">
        <v>399</v>
      </c>
      <c r="H10" s="5" t="s">
        <v>139</v>
      </c>
      <c r="I10" s="5" t="s">
        <v>17</v>
      </c>
      <c r="J10" s="15">
        <v>800</v>
      </c>
      <c r="K10" s="7">
        <v>25.3</v>
      </c>
      <c r="L10" s="7">
        <f t="shared" si="1"/>
        <v>31.620553359683793</v>
      </c>
      <c r="M10" s="5" t="s">
        <v>10</v>
      </c>
      <c r="N10" s="5">
        <v>4</v>
      </c>
      <c r="O10" s="6">
        <f t="shared" si="2"/>
        <v>0.49992969738630499</v>
      </c>
      <c r="P10" s="6">
        <f t="shared" si="3"/>
        <v>5.1992688528175721E-2</v>
      </c>
      <c r="Q10" s="10">
        <f t="shared" si="4"/>
        <v>1.0831810110036608E-3</v>
      </c>
      <c r="R10" s="10">
        <f t="shared" si="5"/>
        <v>9.4531995646547125E-3</v>
      </c>
      <c r="S10" s="10">
        <f t="shared" si="6"/>
        <v>1.0536380575658373E-2</v>
      </c>
    </row>
    <row r="11" spans="1:19" x14ac:dyDescent="0.25">
      <c r="A11" s="5" t="s">
        <v>22</v>
      </c>
      <c r="B11" s="5" t="s">
        <v>63</v>
      </c>
      <c r="C11" s="5" t="s">
        <v>27</v>
      </c>
      <c r="D11" s="5" t="s">
        <v>389</v>
      </c>
      <c r="E11" s="5" t="s">
        <v>396</v>
      </c>
      <c r="F11" s="5" t="s">
        <v>136</v>
      </c>
      <c r="G11" s="5" t="s">
        <v>399</v>
      </c>
      <c r="H11" s="5" t="s">
        <v>139</v>
      </c>
      <c r="I11" s="5" t="s">
        <v>140</v>
      </c>
      <c r="J11" s="15">
        <v>940</v>
      </c>
      <c r="K11" s="7">
        <v>26.5</v>
      </c>
      <c r="L11" s="7">
        <f t="shared" si="1"/>
        <v>35.471698113207545</v>
      </c>
      <c r="M11" s="5" t="s">
        <v>10</v>
      </c>
      <c r="N11" s="5">
        <v>4</v>
      </c>
      <c r="O11" s="6">
        <f t="shared" si="2"/>
        <v>0.73921680313278748</v>
      </c>
      <c r="P11" s="6">
        <f t="shared" si="3"/>
        <v>7.6878547525809887E-2</v>
      </c>
      <c r="Q11" s="10">
        <f t="shared" si="4"/>
        <v>1.6016364067877062E-3</v>
      </c>
      <c r="R11" s="10">
        <f t="shared" si="5"/>
        <v>1.2675818060723713E-2</v>
      </c>
      <c r="S11" s="10">
        <f t="shared" si="6"/>
        <v>1.4277454467511419E-2</v>
      </c>
    </row>
    <row r="12" spans="1:19" x14ac:dyDescent="0.25">
      <c r="A12" s="5" t="s">
        <v>8</v>
      </c>
      <c r="B12" s="5" t="s">
        <v>224</v>
      </c>
      <c r="C12" s="5" t="s">
        <v>27</v>
      </c>
      <c r="D12" s="5" t="s">
        <v>389</v>
      </c>
      <c r="E12" s="5" t="s">
        <v>396</v>
      </c>
      <c r="F12" s="5" t="s">
        <v>136</v>
      </c>
      <c r="G12" s="5" t="s">
        <v>399</v>
      </c>
      <c r="H12" s="5" t="s">
        <v>139</v>
      </c>
      <c r="I12" s="5" t="s">
        <v>140</v>
      </c>
      <c r="J12" s="15">
        <v>970</v>
      </c>
      <c r="K12" s="7">
        <v>26.7</v>
      </c>
      <c r="L12" s="7">
        <f t="shared" si="1"/>
        <v>36.329588014981276</v>
      </c>
      <c r="M12" s="5" t="s">
        <v>10</v>
      </c>
      <c r="N12" s="5">
        <v>4</v>
      </c>
      <c r="O12" s="6">
        <f t="shared" si="2"/>
        <v>0.80015237273632689</v>
      </c>
      <c r="P12" s="6">
        <f t="shared" si="3"/>
        <v>8.3215846764577994E-2</v>
      </c>
      <c r="Q12" s="10">
        <f t="shared" si="4"/>
        <v>1.7336634742620416E-3</v>
      </c>
      <c r="R12" s="10">
        <f t="shared" si="5"/>
        <v>1.3451683716266281E-2</v>
      </c>
      <c r="S12" s="10">
        <f t="shared" si="6"/>
        <v>1.5185347190528322E-2</v>
      </c>
    </row>
    <row r="13" spans="1:19" x14ac:dyDescent="0.25">
      <c r="A13" s="5" t="s">
        <v>8</v>
      </c>
      <c r="B13" s="5" t="s">
        <v>224</v>
      </c>
      <c r="C13" s="5" t="s">
        <v>27</v>
      </c>
      <c r="D13" s="5" t="s">
        <v>389</v>
      </c>
      <c r="E13" s="5" t="s">
        <v>396</v>
      </c>
      <c r="F13" s="5" t="s">
        <v>136</v>
      </c>
      <c r="G13" s="5" t="s">
        <v>399</v>
      </c>
      <c r="H13" s="5" t="s">
        <v>139</v>
      </c>
      <c r="I13" s="5" t="s">
        <v>225</v>
      </c>
      <c r="J13" s="15">
        <v>820</v>
      </c>
      <c r="K13" s="7">
        <v>19.8</v>
      </c>
      <c r="L13" s="7">
        <f t="shared" si="1"/>
        <v>41.414141414141412</v>
      </c>
      <c r="M13" s="5" t="s">
        <v>10</v>
      </c>
      <c r="N13" s="5">
        <v>4</v>
      </c>
      <c r="O13" s="6">
        <f t="shared" si="2"/>
        <v>0.87900469339863263</v>
      </c>
      <c r="P13" s="6">
        <f t="shared" si="3"/>
        <v>9.1416488113457803E-2</v>
      </c>
      <c r="Q13" s="10">
        <f t="shared" si="4"/>
        <v>1.9045101690303705E-3</v>
      </c>
      <c r="R13" s="10">
        <f t="shared" si="5"/>
        <v>1.4434126921592894E-2</v>
      </c>
      <c r="S13" s="10">
        <f t="shared" si="6"/>
        <v>1.6338637090623265E-2</v>
      </c>
    </row>
    <row r="14" spans="1:19" x14ac:dyDescent="0.25">
      <c r="J14" s="16">
        <f>AVERAGE(J8:J13)</f>
        <v>929.16666666666663</v>
      </c>
      <c r="K14" s="12">
        <f t="shared" ref="K14:S14" si="7">AVERAGE(K8:K13)</f>
        <v>25.55</v>
      </c>
      <c r="L14" s="12">
        <f t="shared" si="7"/>
        <v>36.512230238753006</v>
      </c>
      <c r="M14" s="11" t="e">
        <f t="shared" si="7"/>
        <v>#DIV/0!</v>
      </c>
      <c r="N14" s="11">
        <f t="shared" si="7"/>
        <v>4</v>
      </c>
      <c r="O14" s="13">
        <f t="shared" si="7"/>
        <v>0.78173479729367623</v>
      </c>
      <c r="P14" s="13">
        <f t="shared" si="7"/>
        <v>8.1300418918542325E-2</v>
      </c>
      <c r="Q14" s="14">
        <f t="shared" si="7"/>
        <v>1.6937587274696317E-3</v>
      </c>
      <c r="R14" s="14">
        <f t="shared" si="7"/>
        <v>1.3166218376953876E-2</v>
      </c>
      <c r="S14" s="14">
        <f t="shared" si="7"/>
        <v>1.4859977104423508E-2</v>
      </c>
    </row>
    <row r="15" spans="1:19" x14ac:dyDescent="0.25">
      <c r="A15" s="5" t="s">
        <v>8</v>
      </c>
      <c r="B15" s="5" t="s">
        <v>277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278</v>
      </c>
      <c r="J15" s="15">
        <v>1640</v>
      </c>
      <c r="K15" s="7">
        <v>30.3</v>
      </c>
      <c r="L15" s="7">
        <f t="shared" ref="L15:L46" si="8">J15/K15</f>
        <v>54.125412541254121</v>
      </c>
      <c r="M15" s="5" t="s">
        <v>10</v>
      </c>
      <c r="N15" s="5">
        <v>4</v>
      </c>
      <c r="O15" s="6">
        <f t="shared" ref="O15:O46" si="9">(J15*L15^2)/(1.6*10^6)</f>
        <v>3.0027992898299734</v>
      </c>
      <c r="P15" s="6">
        <f t="shared" ref="P15:P46" si="10">(0.104*J15*L15^2)/(1.6*10^6)</f>
        <v>0.31229112614231719</v>
      </c>
      <c r="Q15" s="10">
        <f t="shared" ref="Q15:Q46" si="11">(0.104*O15)/(12*N15)</f>
        <v>6.5060651279649417E-3</v>
      </c>
      <c r="R15" s="10">
        <f t="shared" ref="R15:R46" si="12">0.0159*O15^0.75</f>
        <v>3.6269523726956437E-2</v>
      </c>
      <c r="S15" s="10">
        <f t="shared" ref="S15:S46" si="13">Q15+R15</f>
        <v>4.277558885492138E-2</v>
      </c>
    </row>
    <row r="16" spans="1:19" x14ac:dyDescent="0.25">
      <c r="A16" s="5" t="s">
        <v>8</v>
      </c>
      <c r="B16" s="5" t="s">
        <v>291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278</v>
      </c>
      <c r="J16" s="15">
        <v>1650</v>
      </c>
      <c r="K16" s="7">
        <v>31</v>
      </c>
      <c r="L16" s="7">
        <f t="shared" si="8"/>
        <v>53.225806451612904</v>
      </c>
      <c r="M16" s="5" t="s">
        <v>10</v>
      </c>
      <c r="N16" s="5">
        <v>4</v>
      </c>
      <c r="O16" s="6">
        <f t="shared" si="9"/>
        <v>2.9215172996878254</v>
      </c>
      <c r="P16" s="6">
        <f t="shared" si="10"/>
        <v>0.30383779916753384</v>
      </c>
      <c r="Q16" s="10">
        <f t="shared" si="11"/>
        <v>6.3299541493236217E-3</v>
      </c>
      <c r="R16" s="10">
        <f t="shared" si="12"/>
        <v>3.5530676056027069E-2</v>
      </c>
      <c r="S16" s="10">
        <f t="shared" si="13"/>
        <v>4.1860630205350691E-2</v>
      </c>
    </row>
    <row r="17" spans="1:19" x14ac:dyDescent="0.25">
      <c r="A17" s="5" t="s">
        <v>8</v>
      </c>
      <c r="B17" s="5" t="s">
        <v>291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257</v>
      </c>
      <c r="J17" s="15">
        <v>3850</v>
      </c>
      <c r="K17" s="7">
        <v>49</v>
      </c>
      <c r="L17" s="7">
        <f t="shared" si="8"/>
        <v>78.571428571428569</v>
      </c>
      <c r="M17" s="5" t="s">
        <v>10</v>
      </c>
      <c r="N17" s="5">
        <v>4</v>
      </c>
      <c r="O17" s="6">
        <f t="shared" si="9"/>
        <v>14.854910714285714</v>
      </c>
      <c r="P17" s="6">
        <f t="shared" si="10"/>
        <v>1.5449107142857141</v>
      </c>
      <c r="Q17" s="10">
        <f t="shared" si="11"/>
        <v>3.2185639880952376E-2</v>
      </c>
      <c r="R17" s="10">
        <f t="shared" si="12"/>
        <v>0.12030942708411221</v>
      </c>
      <c r="S17" s="10">
        <f t="shared" si="13"/>
        <v>0.1524950669650646</v>
      </c>
    </row>
    <row r="18" spans="1:19" x14ac:dyDescent="0.25">
      <c r="A18" s="5" t="s">
        <v>8</v>
      </c>
      <c r="B18" s="5" t="s">
        <v>291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292</v>
      </c>
      <c r="J18" s="15">
        <v>2300</v>
      </c>
      <c r="K18" s="7">
        <v>32.5</v>
      </c>
      <c r="L18" s="7">
        <f t="shared" si="8"/>
        <v>70.769230769230774</v>
      </c>
      <c r="M18" s="5" t="s">
        <v>10</v>
      </c>
      <c r="N18" s="5">
        <v>4</v>
      </c>
      <c r="O18" s="6">
        <f t="shared" si="9"/>
        <v>7.1994082840236695</v>
      </c>
      <c r="P18" s="6">
        <f t="shared" si="10"/>
        <v>0.74873846153846157</v>
      </c>
      <c r="Q18" s="10">
        <f t="shared" si="11"/>
        <v>1.5598717948717949E-2</v>
      </c>
      <c r="R18" s="10">
        <f t="shared" si="12"/>
        <v>6.9882708172427616E-2</v>
      </c>
      <c r="S18" s="10">
        <f t="shared" si="13"/>
        <v>8.5481426121145565E-2</v>
      </c>
    </row>
    <row r="19" spans="1:19" x14ac:dyDescent="0.25">
      <c r="A19" s="5" t="s">
        <v>8</v>
      </c>
      <c r="B19" s="5" t="s">
        <v>319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320</v>
      </c>
      <c r="J19" s="15">
        <v>2815</v>
      </c>
      <c r="K19" s="7">
        <v>31.3</v>
      </c>
      <c r="L19" s="7">
        <f t="shared" si="8"/>
        <v>89.936102236421718</v>
      </c>
      <c r="M19" s="5" t="s">
        <v>10</v>
      </c>
      <c r="N19" s="5">
        <v>4</v>
      </c>
      <c r="O19" s="6">
        <f t="shared" si="9"/>
        <v>14.23070906039155</v>
      </c>
      <c r="P19" s="6">
        <f t="shared" si="10"/>
        <v>1.4799937422807212</v>
      </c>
      <c r="Q19" s="10">
        <f t="shared" si="11"/>
        <v>3.0833202964181693E-2</v>
      </c>
      <c r="R19" s="10">
        <f t="shared" si="12"/>
        <v>0.11649761361336987</v>
      </c>
      <c r="S19" s="10">
        <f t="shared" si="13"/>
        <v>0.14733081657755157</v>
      </c>
    </row>
    <row r="20" spans="1:19" x14ac:dyDescent="0.25">
      <c r="A20" s="5" t="s">
        <v>22</v>
      </c>
      <c r="B20" s="5" t="s">
        <v>26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59</v>
      </c>
      <c r="J20" s="15">
        <v>1800</v>
      </c>
      <c r="K20" s="7">
        <v>32</v>
      </c>
      <c r="L20" s="7">
        <f t="shared" si="8"/>
        <v>56.25</v>
      </c>
      <c r="M20" s="5" t="s">
        <v>10</v>
      </c>
      <c r="N20" s="5">
        <v>4</v>
      </c>
      <c r="O20" s="6">
        <f t="shared" si="9"/>
        <v>3.5595703125</v>
      </c>
      <c r="P20" s="6">
        <f t="shared" si="10"/>
        <v>0.37019531249999998</v>
      </c>
      <c r="Q20" s="10">
        <f t="shared" si="11"/>
        <v>7.71240234375E-3</v>
      </c>
      <c r="R20" s="10">
        <f t="shared" si="12"/>
        <v>4.1204562411128992E-2</v>
      </c>
      <c r="S20" s="10">
        <f t="shared" si="13"/>
        <v>4.8916964754878993E-2</v>
      </c>
    </row>
    <row r="21" spans="1:19" x14ac:dyDescent="0.25">
      <c r="A21" s="5" t="s">
        <v>8</v>
      </c>
      <c r="B21" s="5" t="s">
        <v>291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59</v>
      </c>
      <c r="J21" s="15">
        <v>1800</v>
      </c>
      <c r="K21" s="7">
        <v>32</v>
      </c>
      <c r="L21" s="7">
        <f t="shared" si="8"/>
        <v>56.25</v>
      </c>
      <c r="M21" s="5" t="s">
        <v>10</v>
      </c>
      <c r="N21" s="5">
        <v>4</v>
      </c>
      <c r="O21" s="6">
        <f t="shared" si="9"/>
        <v>3.5595703125</v>
      </c>
      <c r="P21" s="6">
        <f t="shared" si="10"/>
        <v>0.37019531249999998</v>
      </c>
      <c r="Q21" s="10">
        <f t="shared" si="11"/>
        <v>7.71240234375E-3</v>
      </c>
      <c r="R21" s="10">
        <f t="shared" si="12"/>
        <v>4.1204562411128992E-2</v>
      </c>
      <c r="S21" s="10">
        <f t="shared" si="13"/>
        <v>4.8916964754878993E-2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59</v>
      </c>
      <c r="J22" s="15">
        <v>1700</v>
      </c>
      <c r="K22" s="7">
        <v>28</v>
      </c>
      <c r="L22" s="7">
        <f t="shared" si="8"/>
        <v>60.714285714285715</v>
      </c>
      <c r="M22" s="5" t="s">
        <v>10</v>
      </c>
      <c r="N22" s="5">
        <v>4</v>
      </c>
      <c r="O22" s="6">
        <f t="shared" si="9"/>
        <v>3.9166135204081631</v>
      </c>
      <c r="P22" s="6">
        <f t="shared" si="10"/>
        <v>0.40732780612244895</v>
      </c>
      <c r="Q22" s="10">
        <f t="shared" si="11"/>
        <v>8.4859959608843526E-3</v>
      </c>
      <c r="R22" s="10">
        <f t="shared" si="12"/>
        <v>4.4267007423098879E-2</v>
      </c>
      <c r="S22" s="10">
        <f t="shared" si="13"/>
        <v>5.2753003383983234E-2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59</v>
      </c>
      <c r="J23" s="15">
        <v>1750</v>
      </c>
      <c r="K23" s="7">
        <v>22</v>
      </c>
      <c r="L23" s="7">
        <f t="shared" si="8"/>
        <v>79.545454545454547</v>
      </c>
      <c r="M23" s="5" t="s">
        <v>10</v>
      </c>
      <c r="N23" s="5">
        <v>4</v>
      </c>
      <c r="O23" s="6">
        <f t="shared" si="9"/>
        <v>6.9206805268595044</v>
      </c>
      <c r="P23" s="6">
        <f t="shared" si="10"/>
        <v>0.71975077479338845</v>
      </c>
      <c r="Q23" s="10">
        <f t="shared" si="11"/>
        <v>1.4994807808195593E-2</v>
      </c>
      <c r="R23" s="10">
        <f t="shared" si="12"/>
        <v>6.7843575117162297E-2</v>
      </c>
      <c r="S23" s="10">
        <f t="shared" si="13"/>
        <v>8.283838292535789E-2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59</v>
      </c>
      <c r="J24" s="15">
        <v>1850</v>
      </c>
      <c r="K24" s="7">
        <v>29.5</v>
      </c>
      <c r="L24" s="7">
        <f t="shared" si="8"/>
        <v>62.711864406779661</v>
      </c>
      <c r="M24" s="5" t="s">
        <v>10</v>
      </c>
      <c r="N24" s="5">
        <v>4</v>
      </c>
      <c r="O24" s="6">
        <f t="shared" si="9"/>
        <v>4.5472744900890554</v>
      </c>
      <c r="P24" s="6">
        <f t="shared" si="10"/>
        <v>0.47291654696926166</v>
      </c>
      <c r="Q24" s="10">
        <f t="shared" si="11"/>
        <v>9.8524280618596197E-3</v>
      </c>
      <c r="R24" s="10">
        <f t="shared" si="12"/>
        <v>4.9512003714677087E-2</v>
      </c>
      <c r="S24" s="10">
        <f t="shared" si="13"/>
        <v>5.9364431776536705E-2</v>
      </c>
    </row>
    <row r="25" spans="1:19" x14ac:dyDescent="0.25">
      <c r="A25" s="5" t="s">
        <v>8</v>
      </c>
      <c r="B25" s="5" t="s">
        <v>319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59</v>
      </c>
      <c r="J25" s="15">
        <v>1870</v>
      </c>
      <c r="K25" s="7">
        <v>29.2</v>
      </c>
      <c r="L25" s="7">
        <f t="shared" si="8"/>
        <v>64.041095890410958</v>
      </c>
      <c r="M25" s="5" t="s">
        <v>10</v>
      </c>
      <c r="N25" s="5">
        <v>4</v>
      </c>
      <c r="O25" s="6">
        <f t="shared" si="9"/>
        <v>4.7933499190748732</v>
      </c>
      <c r="P25" s="6">
        <f t="shared" si="10"/>
        <v>0.49850839158378674</v>
      </c>
      <c r="Q25" s="10">
        <f t="shared" si="11"/>
        <v>1.0385591491328892E-2</v>
      </c>
      <c r="R25" s="10">
        <f t="shared" si="12"/>
        <v>5.1508212041113E-2</v>
      </c>
      <c r="S25" s="10">
        <f t="shared" si="13"/>
        <v>6.1893803532441893E-2</v>
      </c>
    </row>
    <row r="26" spans="1:19" x14ac:dyDescent="0.25">
      <c r="A26" s="5" t="s">
        <v>8</v>
      </c>
      <c r="B26" s="5" t="s">
        <v>291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293</v>
      </c>
      <c r="J26" s="15">
        <v>2500</v>
      </c>
      <c r="K26" s="7">
        <v>32.5</v>
      </c>
      <c r="L26" s="7">
        <f t="shared" si="8"/>
        <v>76.92307692307692</v>
      </c>
      <c r="M26" s="5" t="s">
        <v>10</v>
      </c>
      <c r="N26" s="5">
        <v>4</v>
      </c>
      <c r="O26" s="6">
        <f t="shared" si="9"/>
        <v>9.2455621301775128</v>
      </c>
      <c r="P26" s="6">
        <f t="shared" si="10"/>
        <v>0.96153846153846145</v>
      </c>
      <c r="Q26" s="10">
        <f t="shared" si="11"/>
        <v>2.0032051282051277E-2</v>
      </c>
      <c r="R26" s="10">
        <f t="shared" si="12"/>
        <v>8.4303793099258367E-2</v>
      </c>
      <c r="S26" s="10">
        <f t="shared" si="13"/>
        <v>0.10433584438130965</v>
      </c>
    </row>
    <row r="27" spans="1:19" x14ac:dyDescent="0.25">
      <c r="A27" s="5" t="s">
        <v>8</v>
      </c>
      <c r="B27" s="5" t="s">
        <v>311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58</v>
      </c>
      <c r="I27" s="5" t="s">
        <v>293</v>
      </c>
      <c r="J27" s="15">
        <v>2700</v>
      </c>
      <c r="K27" s="7">
        <v>34</v>
      </c>
      <c r="L27" s="7">
        <f t="shared" si="8"/>
        <v>79.411764705882348</v>
      </c>
      <c r="M27" s="5" t="s">
        <v>10</v>
      </c>
      <c r="N27" s="5">
        <v>4</v>
      </c>
      <c r="O27" s="6">
        <f t="shared" si="9"/>
        <v>10.641760380622838</v>
      </c>
      <c r="P27" s="6">
        <f t="shared" si="10"/>
        <v>1.106743079584775</v>
      </c>
      <c r="Q27" s="10">
        <f t="shared" si="11"/>
        <v>2.3057147491349479E-2</v>
      </c>
      <c r="R27" s="10">
        <f t="shared" si="12"/>
        <v>9.3682232382394676E-2</v>
      </c>
      <c r="S27" s="10">
        <f t="shared" si="13"/>
        <v>0.11673937987374415</v>
      </c>
    </row>
    <row r="28" spans="1:19" x14ac:dyDescent="0.25">
      <c r="A28" s="5" t="s">
        <v>8</v>
      </c>
      <c r="B28" s="5" t="s">
        <v>291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58</v>
      </c>
      <c r="I28" s="5" t="s">
        <v>294</v>
      </c>
      <c r="J28" s="15">
        <v>1800</v>
      </c>
      <c r="K28" s="7">
        <v>30</v>
      </c>
      <c r="L28" s="7">
        <f t="shared" si="8"/>
        <v>60</v>
      </c>
      <c r="M28" s="5" t="s">
        <v>10</v>
      </c>
      <c r="N28" s="5">
        <v>4</v>
      </c>
      <c r="O28" s="6">
        <f t="shared" si="9"/>
        <v>4.05</v>
      </c>
      <c r="P28" s="6">
        <f t="shared" si="10"/>
        <v>0.42120000000000002</v>
      </c>
      <c r="Q28" s="10">
        <f t="shared" si="11"/>
        <v>8.7749999999999998E-3</v>
      </c>
      <c r="R28" s="10">
        <f t="shared" si="12"/>
        <v>4.5392948339503428E-2</v>
      </c>
      <c r="S28" s="10">
        <f t="shared" si="13"/>
        <v>5.4167948339503426E-2</v>
      </c>
    </row>
    <row r="29" spans="1:19" x14ac:dyDescent="0.25">
      <c r="A29" s="5" t="s">
        <v>8</v>
      </c>
      <c r="B29" s="5" t="s">
        <v>299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58</v>
      </c>
      <c r="I29" s="5" t="s">
        <v>294</v>
      </c>
      <c r="J29" s="15">
        <v>1973</v>
      </c>
      <c r="K29" s="7">
        <v>28.4</v>
      </c>
      <c r="L29" s="7">
        <f t="shared" si="8"/>
        <v>69.471830985915503</v>
      </c>
      <c r="M29" s="5" t="s">
        <v>10</v>
      </c>
      <c r="N29" s="5">
        <v>4</v>
      </c>
      <c r="O29" s="6">
        <f t="shared" si="9"/>
        <v>5.9514747174729736</v>
      </c>
      <c r="P29" s="6">
        <f t="shared" si="10"/>
        <v>0.61895337061718914</v>
      </c>
      <c r="Q29" s="10">
        <f t="shared" si="11"/>
        <v>1.2894861887858109E-2</v>
      </c>
      <c r="R29" s="10">
        <f t="shared" si="12"/>
        <v>6.0585063731535917E-2</v>
      </c>
      <c r="S29" s="10">
        <f t="shared" si="13"/>
        <v>7.3479925619394024E-2</v>
      </c>
    </row>
    <row r="30" spans="1:19" x14ac:dyDescent="0.25">
      <c r="A30" s="5" t="s">
        <v>8</v>
      </c>
      <c r="B30" s="5" t="s">
        <v>291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58</v>
      </c>
      <c r="I30" s="5" t="s">
        <v>295</v>
      </c>
      <c r="J30" s="15">
        <v>2000</v>
      </c>
      <c r="K30" s="7">
        <v>27</v>
      </c>
      <c r="L30" s="7">
        <f t="shared" si="8"/>
        <v>74.074074074074076</v>
      </c>
      <c r="M30" s="5" t="s">
        <v>10</v>
      </c>
      <c r="N30" s="5">
        <v>4</v>
      </c>
      <c r="O30" s="6">
        <f t="shared" si="9"/>
        <v>6.8587105624142675</v>
      </c>
      <c r="P30" s="6">
        <f t="shared" si="10"/>
        <v>0.71330589849108383</v>
      </c>
      <c r="Q30" s="10">
        <f t="shared" si="11"/>
        <v>1.486053955189758E-2</v>
      </c>
      <c r="R30" s="10">
        <f t="shared" si="12"/>
        <v>6.7387443596961277E-2</v>
      </c>
      <c r="S30" s="10">
        <f t="shared" si="13"/>
        <v>8.2247983148858853E-2</v>
      </c>
    </row>
    <row r="31" spans="1:19" x14ac:dyDescent="0.25">
      <c r="A31" s="5" t="s">
        <v>22</v>
      </c>
      <c r="B31" s="5" t="s">
        <v>26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58</v>
      </c>
      <c r="I31" s="5" t="s">
        <v>60</v>
      </c>
      <c r="J31" s="15">
        <v>2600</v>
      </c>
      <c r="K31" s="7">
        <v>34</v>
      </c>
      <c r="L31" s="7">
        <f t="shared" si="8"/>
        <v>76.470588235294116</v>
      </c>
      <c r="M31" s="5" t="s">
        <v>10</v>
      </c>
      <c r="N31" s="5">
        <v>4</v>
      </c>
      <c r="O31" s="6">
        <f t="shared" si="9"/>
        <v>9.5025951557093435</v>
      </c>
      <c r="P31" s="6">
        <f t="shared" si="10"/>
        <v>0.98826989619377159</v>
      </c>
      <c r="Q31" s="10">
        <f t="shared" si="11"/>
        <v>2.0588956170703578E-2</v>
      </c>
      <c r="R31" s="10">
        <f t="shared" si="12"/>
        <v>8.6055532182463049E-2</v>
      </c>
      <c r="S31" s="10">
        <f t="shared" si="13"/>
        <v>0.10664448835316663</v>
      </c>
    </row>
    <row r="32" spans="1:19" x14ac:dyDescent="0.25">
      <c r="A32" s="5" t="s">
        <v>8</v>
      </c>
      <c r="B32" s="5" t="s">
        <v>291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58</v>
      </c>
      <c r="I32" s="5" t="s">
        <v>60</v>
      </c>
      <c r="J32" s="15">
        <v>2050</v>
      </c>
      <c r="K32" s="7">
        <v>29</v>
      </c>
      <c r="L32" s="7">
        <f t="shared" si="8"/>
        <v>70.689655172413794</v>
      </c>
      <c r="M32" s="5" t="s">
        <v>10</v>
      </c>
      <c r="N32" s="5">
        <v>4</v>
      </c>
      <c r="O32" s="6">
        <f t="shared" si="9"/>
        <v>6.4024412901307972</v>
      </c>
      <c r="P32" s="6">
        <f t="shared" si="10"/>
        <v>0.66585389417360286</v>
      </c>
      <c r="Q32" s="10">
        <f t="shared" si="11"/>
        <v>1.3871956128616726E-2</v>
      </c>
      <c r="R32" s="10">
        <f t="shared" si="12"/>
        <v>6.3996515472610566E-2</v>
      </c>
      <c r="S32" s="10">
        <f t="shared" si="13"/>
        <v>7.7868471601227285E-2</v>
      </c>
    </row>
    <row r="33" spans="1:19" x14ac:dyDescent="0.25">
      <c r="A33" s="5" t="s">
        <v>8</v>
      </c>
      <c r="B33" s="5" t="s">
        <v>291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386</v>
      </c>
      <c r="H33" s="5" t="s">
        <v>58</v>
      </c>
      <c r="I33" s="5" t="s">
        <v>60</v>
      </c>
      <c r="J33" s="15">
        <v>2600</v>
      </c>
      <c r="K33" s="7">
        <v>34</v>
      </c>
      <c r="L33" s="7">
        <f t="shared" si="8"/>
        <v>76.470588235294116</v>
      </c>
      <c r="M33" s="5" t="s">
        <v>10</v>
      </c>
      <c r="N33" s="5">
        <v>4</v>
      </c>
      <c r="O33" s="6">
        <f t="shared" si="9"/>
        <v>9.5025951557093435</v>
      </c>
      <c r="P33" s="6">
        <f t="shared" si="10"/>
        <v>0.98826989619377159</v>
      </c>
      <c r="Q33" s="10">
        <f t="shared" si="11"/>
        <v>2.0588956170703578E-2</v>
      </c>
      <c r="R33" s="10">
        <f t="shared" si="12"/>
        <v>8.6055532182463049E-2</v>
      </c>
      <c r="S33" s="10">
        <f t="shared" si="13"/>
        <v>0.10664448835316663</v>
      </c>
    </row>
    <row r="34" spans="1:19" x14ac:dyDescent="0.25">
      <c r="A34" s="5" t="s">
        <v>22</v>
      </c>
      <c r="B34" s="5" t="s">
        <v>26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386</v>
      </c>
      <c r="H34" s="5" t="s">
        <v>58</v>
      </c>
      <c r="I34" s="5" t="s">
        <v>61</v>
      </c>
      <c r="J34" s="15">
        <v>3100</v>
      </c>
      <c r="K34" s="7">
        <v>32.5</v>
      </c>
      <c r="L34" s="7">
        <f t="shared" si="8"/>
        <v>95.384615384615387</v>
      </c>
      <c r="M34" s="5" t="s">
        <v>10</v>
      </c>
      <c r="N34" s="5">
        <v>4</v>
      </c>
      <c r="O34" s="6">
        <f t="shared" si="9"/>
        <v>17.627810650887572</v>
      </c>
      <c r="P34" s="6">
        <f t="shared" si="10"/>
        <v>1.8332923076923076</v>
      </c>
      <c r="Q34" s="10">
        <f t="shared" si="11"/>
        <v>3.8193589743589738E-2</v>
      </c>
      <c r="R34" s="10">
        <f t="shared" si="12"/>
        <v>0.13678734086635241</v>
      </c>
      <c r="S34" s="10">
        <f t="shared" si="13"/>
        <v>0.17498093060994216</v>
      </c>
    </row>
    <row r="35" spans="1:19" x14ac:dyDescent="0.25">
      <c r="A35" s="5" t="s">
        <v>8</v>
      </c>
      <c r="B35" s="5" t="s">
        <v>291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386</v>
      </c>
      <c r="H35" s="5" t="s">
        <v>58</v>
      </c>
      <c r="I35" s="5" t="s">
        <v>61</v>
      </c>
      <c r="J35" s="15">
        <v>2800</v>
      </c>
      <c r="K35" s="7">
        <v>40</v>
      </c>
      <c r="L35" s="7">
        <f t="shared" si="8"/>
        <v>70</v>
      </c>
      <c r="M35" s="5" t="s">
        <v>10</v>
      </c>
      <c r="N35" s="5">
        <v>4</v>
      </c>
      <c r="O35" s="6">
        <f t="shared" si="9"/>
        <v>8.5749999999999993</v>
      </c>
      <c r="P35" s="6">
        <f t="shared" si="10"/>
        <v>0.89180000000000004</v>
      </c>
      <c r="Q35" s="10">
        <f t="shared" si="11"/>
        <v>1.8579166666666664E-2</v>
      </c>
      <c r="R35" s="10">
        <f t="shared" si="12"/>
        <v>7.9675119011575646E-2</v>
      </c>
      <c r="S35" s="10">
        <f t="shared" si="13"/>
        <v>9.8254285678242306E-2</v>
      </c>
    </row>
    <row r="36" spans="1:19" x14ac:dyDescent="0.25">
      <c r="A36" s="5" t="s">
        <v>8</v>
      </c>
      <c r="B36" s="5" t="s">
        <v>291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386</v>
      </c>
      <c r="H36" s="5" t="s">
        <v>58</v>
      </c>
      <c r="I36" s="5" t="s">
        <v>61</v>
      </c>
      <c r="J36" s="15">
        <v>2450</v>
      </c>
      <c r="K36" s="7">
        <v>29.1</v>
      </c>
      <c r="L36" s="7">
        <f t="shared" si="8"/>
        <v>84.192439862542955</v>
      </c>
      <c r="M36" s="5" t="s">
        <v>10</v>
      </c>
      <c r="N36" s="5">
        <v>4</v>
      </c>
      <c r="O36" s="6">
        <f t="shared" si="9"/>
        <v>10.854061861574614</v>
      </c>
      <c r="P36" s="6">
        <f t="shared" si="10"/>
        <v>1.1288224336037598</v>
      </c>
      <c r="Q36" s="10">
        <f t="shared" si="11"/>
        <v>2.3517134033411661E-2</v>
      </c>
      <c r="R36" s="10">
        <f t="shared" si="12"/>
        <v>9.508047521319099E-2</v>
      </c>
      <c r="S36" s="10">
        <f t="shared" si="13"/>
        <v>0.11859760924660265</v>
      </c>
    </row>
    <row r="37" spans="1:19" x14ac:dyDescent="0.25">
      <c r="A37" s="5" t="s">
        <v>8</v>
      </c>
      <c r="B37" s="5" t="s">
        <v>291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386</v>
      </c>
      <c r="H37" s="5" t="s">
        <v>58</v>
      </c>
      <c r="I37" s="5" t="s">
        <v>61</v>
      </c>
      <c r="J37" s="15">
        <v>3200</v>
      </c>
      <c r="K37" s="7">
        <v>33.5</v>
      </c>
      <c r="L37" s="7">
        <f t="shared" si="8"/>
        <v>95.522388059701498</v>
      </c>
      <c r="M37" s="5" t="s">
        <v>10</v>
      </c>
      <c r="N37" s="5">
        <v>4</v>
      </c>
      <c r="O37" s="6">
        <f t="shared" si="9"/>
        <v>18.249053241256405</v>
      </c>
      <c r="P37" s="6">
        <f t="shared" si="10"/>
        <v>1.8979015370906662</v>
      </c>
      <c r="Q37" s="10">
        <f t="shared" si="11"/>
        <v>3.9539615356055539E-2</v>
      </c>
      <c r="R37" s="10">
        <f t="shared" si="12"/>
        <v>0.14038715662039813</v>
      </c>
      <c r="S37" s="10">
        <f t="shared" si="13"/>
        <v>0.17992677197645368</v>
      </c>
    </row>
    <row r="38" spans="1:19" x14ac:dyDescent="0.25">
      <c r="A38" s="5" t="s">
        <v>8</v>
      </c>
      <c r="B38" s="5" t="s">
        <v>291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386</v>
      </c>
      <c r="H38" s="5" t="s">
        <v>58</v>
      </c>
      <c r="I38" s="5" t="s">
        <v>61</v>
      </c>
      <c r="J38" s="15">
        <v>2550</v>
      </c>
      <c r="K38" s="7">
        <v>31</v>
      </c>
      <c r="L38" s="7">
        <f t="shared" si="8"/>
        <v>82.258064516129039</v>
      </c>
      <c r="M38" s="5" t="s">
        <v>10</v>
      </c>
      <c r="N38" s="5">
        <v>4</v>
      </c>
      <c r="O38" s="6">
        <f t="shared" si="9"/>
        <v>10.783932752341313</v>
      </c>
      <c r="P38" s="6">
        <f t="shared" si="10"/>
        <v>1.1215290062434964</v>
      </c>
      <c r="Q38" s="10">
        <f t="shared" si="11"/>
        <v>2.336518763007284E-2</v>
      </c>
      <c r="R38" s="10">
        <f t="shared" si="12"/>
        <v>9.4619359210078843E-2</v>
      </c>
      <c r="S38" s="10">
        <f t="shared" si="13"/>
        <v>0.11798454684015168</v>
      </c>
    </row>
    <row r="39" spans="1:19" x14ac:dyDescent="0.25">
      <c r="A39" s="5" t="s">
        <v>8</v>
      </c>
      <c r="B39" s="5" t="s">
        <v>291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386</v>
      </c>
      <c r="H39" s="5" t="s">
        <v>58</v>
      </c>
      <c r="I39" s="5" t="s">
        <v>61</v>
      </c>
      <c r="J39" s="15">
        <v>2700</v>
      </c>
      <c r="K39" s="7">
        <v>29</v>
      </c>
      <c r="L39" s="7">
        <f t="shared" si="8"/>
        <v>93.103448275862064</v>
      </c>
      <c r="M39" s="5" t="s">
        <v>10</v>
      </c>
      <c r="N39" s="5">
        <v>4</v>
      </c>
      <c r="O39" s="6">
        <f t="shared" si="9"/>
        <v>14.627675386444706</v>
      </c>
      <c r="P39" s="6">
        <f t="shared" si="10"/>
        <v>1.5212782401902496</v>
      </c>
      <c r="Q39" s="10">
        <f t="shared" si="11"/>
        <v>3.1693296670630193E-2</v>
      </c>
      <c r="R39" s="10">
        <f t="shared" si="12"/>
        <v>0.11892649234015015</v>
      </c>
      <c r="S39" s="10">
        <f t="shared" si="13"/>
        <v>0.15061978901078035</v>
      </c>
    </row>
    <row r="40" spans="1:19" x14ac:dyDescent="0.25">
      <c r="A40" s="5" t="s">
        <v>8</v>
      </c>
      <c r="B40" s="5" t="s">
        <v>291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386</v>
      </c>
      <c r="H40" s="5" t="s">
        <v>58</v>
      </c>
      <c r="I40" s="5" t="s">
        <v>61</v>
      </c>
      <c r="J40" s="15">
        <v>2900</v>
      </c>
      <c r="K40" s="7">
        <v>29.5</v>
      </c>
      <c r="L40" s="7">
        <f t="shared" si="8"/>
        <v>98.305084745762713</v>
      </c>
      <c r="M40" s="5" t="s">
        <v>10</v>
      </c>
      <c r="N40" s="5">
        <v>4</v>
      </c>
      <c r="O40" s="6">
        <f t="shared" si="9"/>
        <v>17.515800057454758</v>
      </c>
      <c r="P40" s="6">
        <f t="shared" si="10"/>
        <v>1.8216432059752945</v>
      </c>
      <c r="Q40" s="10">
        <f t="shared" si="11"/>
        <v>3.7950900124485307E-2</v>
      </c>
      <c r="R40" s="10">
        <f t="shared" si="12"/>
        <v>0.13613494136615276</v>
      </c>
      <c r="S40" s="10">
        <f t="shared" si="13"/>
        <v>0.17408584149063805</v>
      </c>
    </row>
    <row r="41" spans="1:19" x14ac:dyDescent="0.25">
      <c r="A41" s="5" t="s">
        <v>8</v>
      </c>
      <c r="B41" s="5" t="s">
        <v>291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386</v>
      </c>
      <c r="H41" s="5" t="s">
        <v>58</v>
      </c>
      <c r="I41" s="5" t="s">
        <v>61</v>
      </c>
      <c r="J41" s="15">
        <v>3100</v>
      </c>
      <c r="K41" s="7">
        <v>32.5</v>
      </c>
      <c r="L41" s="7">
        <f t="shared" si="8"/>
        <v>95.384615384615387</v>
      </c>
      <c r="M41" s="5" t="s">
        <v>10</v>
      </c>
      <c r="N41" s="5">
        <v>4</v>
      </c>
      <c r="O41" s="6">
        <f t="shared" si="9"/>
        <v>17.627810650887572</v>
      </c>
      <c r="P41" s="6">
        <f t="shared" si="10"/>
        <v>1.8332923076923076</v>
      </c>
      <c r="Q41" s="10">
        <f t="shared" si="11"/>
        <v>3.8193589743589738E-2</v>
      </c>
      <c r="R41" s="10">
        <f t="shared" si="12"/>
        <v>0.13678734086635241</v>
      </c>
      <c r="S41" s="10">
        <f t="shared" si="13"/>
        <v>0.17498093060994216</v>
      </c>
    </row>
    <row r="42" spans="1:19" x14ac:dyDescent="0.25">
      <c r="A42" s="5" t="s">
        <v>8</v>
      </c>
      <c r="B42" s="5" t="s">
        <v>291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386</v>
      </c>
      <c r="H42" s="5" t="s">
        <v>58</v>
      </c>
      <c r="I42" s="5" t="s">
        <v>61</v>
      </c>
      <c r="J42" s="15">
        <v>2500</v>
      </c>
      <c r="K42" s="7">
        <v>34.5</v>
      </c>
      <c r="L42" s="7">
        <f t="shared" si="8"/>
        <v>72.463768115942031</v>
      </c>
      <c r="M42" s="5" t="s">
        <v>10</v>
      </c>
      <c r="N42" s="5">
        <v>4</v>
      </c>
      <c r="O42" s="6">
        <f t="shared" si="9"/>
        <v>8.2046838899390888</v>
      </c>
      <c r="P42" s="6">
        <f t="shared" si="10"/>
        <v>0.8532871245536654</v>
      </c>
      <c r="Q42" s="10">
        <f t="shared" si="11"/>
        <v>1.7776815094868025E-2</v>
      </c>
      <c r="R42" s="10">
        <f t="shared" si="12"/>
        <v>7.708032093428592E-2</v>
      </c>
      <c r="S42" s="10">
        <f t="shared" si="13"/>
        <v>9.4857136029153938E-2</v>
      </c>
    </row>
    <row r="43" spans="1:19" x14ac:dyDescent="0.25">
      <c r="A43" s="5" t="s">
        <v>8</v>
      </c>
      <c r="B43" s="5" t="s">
        <v>319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386</v>
      </c>
      <c r="H43" s="5" t="s">
        <v>58</v>
      </c>
      <c r="I43" s="5" t="s">
        <v>61</v>
      </c>
      <c r="J43" s="15">
        <v>2626</v>
      </c>
      <c r="K43" s="7">
        <v>31.5</v>
      </c>
      <c r="L43" s="7">
        <f t="shared" si="8"/>
        <v>83.365079365079367</v>
      </c>
      <c r="M43" s="5" t="s">
        <v>10</v>
      </c>
      <c r="N43" s="5">
        <v>4</v>
      </c>
      <c r="O43" s="6">
        <f t="shared" si="9"/>
        <v>11.406254960947342</v>
      </c>
      <c r="P43" s="6">
        <f t="shared" si="10"/>
        <v>1.1862505159385235</v>
      </c>
      <c r="Q43" s="10">
        <f t="shared" si="11"/>
        <v>2.4713552415385906E-2</v>
      </c>
      <c r="R43" s="10">
        <f t="shared" si="12"/>
        <v>9.8685746486399897E-2</v>
      </c>
      <c r="S43" s="10">
        <f t="shared" si="13"/>
        <v>0.1233992989017858</v>
      </c>
    </row>
    <row r="44" spans="1:19" x14ac:dyDescent="0.25">
      <c r="A44" s="5" t="s">
        <v>22</v>
      </c>
      <c r="B44" s="5" t="s">
        <v>63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386</v>
      </c>
      <c r="H44" s="5" t="s">
        <v>97</v>
      </c>
      <c r="I44" s="5" t="s">
        <v>61</v>
      </c>
      <c r="J44" s="15">
        <v>3200</v>
      </c>
      <c r="K44" s="7">
        <v>33.5</v>
      </c>
      <c r="L44" s="7">
        <f t="shared" si="8"/>
        <v>95.522388059701498</v>
      </c>
      <c r="M44" s="5" t="s">
        <v>10</v>
      </c>
      <c r="N44" s="5">
        <v>4</v>
      </c>
      <c r="O44" s="6">
        <f t="shared" si="9"/>
        <v>18.249053241256405</v>
      </c>
      <c r="P44" s="6">
        <f t="shared" si="10"/>
        <v>1.8979015370906662</v>
      </c>
      <c r="Q44" s="10">
        <f t="shared" si="11"/>
        <v>3.9539615356055539E-2</v>
      </c>
      <c r="R44" s="10">
        <f t="shared" si="12"/>
        <v>0.14038715662039813</v>
      </c>
      <c r="S44" s="10">
        <f t="shared" si="13"/>
        <v>0.17992677197645368</v>
      </c>
    </row>
    <row r="45" spans="1:19" x14ac:dyDescent="0.25">
      <c r="A45" s="5" t="s">
        <v>8</v>
      </c>
      <c r="B45" s="5" t="s">
        <v>287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386</v>
      </c>
      <c r="H45" s="5" t="s">
        <v>102</v>
      </c>
      <c r="I45" s="5" t="s">
        <v>218</v>
      </c>
      <c r="J45" s="15">
        <v>2600</v>
      </c>
      <c r="K45" s="7">
        <v>37.1</v>
      </c>
      <c r="L45" s="7">
        <f t="shared" si="8"/>
        <v>70.080862533692724</v>
      </c>
      <c r="M45" s="5" t="s">
        <v>10</v>
      </c>
      <c r="N45" s="5">
        <v>4</v>
      </c>
      <c r="O45" s="6">
        <f t="shared" si="9"/>
        <v>7.9809068518827972</v>
      </c>
      <c r="P45" s="6">
        <f t="shared" si="10"/>
        <v>0.83001431259581082</v>
      </c>
      <c r="Q45" s="10">
        <f t="shared" si="11"/>
        <v>1.729196484574606E-2</v>
      </c>
      <c r="R45" s="10">
        <f t="shared" si="12"/>
        <v>7.5498149303652243E-2</v>
      </c>
      <c r="S45" s="10">
        <f t="shared" si="13"/>
        <v>9.2790114149398306E-2</v>
      </c>
    </row>
    <row r="46" spans="1:19" x14ac:dyDescent="0.25">
      <c r="A46" s="5" t="s">
        <v>22</v>
      </c>
      <c r="B46" s="5" t="s">
        <v>63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386</v>
      </c>
      <c r="H46" s="5" t="s">
        <v>102</v>
      </c>
      <c r="I46" s="5" t="s">
        <v>73</v>
      </c>
      <c r="J46" s="15">
        <v>2190</v>
      </c>
      <c r="K46" s="7">
        <v>26.5</v>
      </c>
      <c r="L46" s="7">
        <f t="shared" si="8"/>
        <v>82.64150943396227</v>
      </c>
      <c r="M46" s="5" t="s">
        <v>10</v>
      </c>
      <c r="N46" s="5">
        <v>4</v>
      </c>
      <c r="O46" s="6">
        <f t="shared" si="9"/>
        <v>9.34804111783553</v>
      </c>
      <c r="P46" s="6">
        <f t="shared" si="10"/>
        <v>0.97219627625489502</v>
      </c>
      <c r="Q46" s="10">
        <f t="shared" si="11"/>
        <v>2.0254089088643647E-2</v>
      </c>
      <c r="R46" s="10">
        <f t="shared" si="12"/>
        <v>8.5003652032378002E-2</v>
      </c>
      <c r="S46" s="10">
        <f t="shared" si="13"/>
        <v>0.10525774112102165</v>
      </c>
    </row>
    <row r="47" spans="1:19" x14ac:dyDescent="0.25">
      <c r="A47" s="5" t="s">
        <v>8</v>
      </c>
      <c r="B47" s="5" t="s">
        <v>287</v>
      </c>
      <c r="C47" s="5" t="s">
        <v>27</v>
      </c>
      <c r="D47" s="5" t="s">
        <v>385</v>
      </c>
      <c r="E47" s="5" t="s">
        <v>387</v>
      </c>
      <c r="F47" s="5" t="s">
        <v>52</v>
      </c>
      <c r="G47" s="5" t="s">
        <v>386</v>
      </c>
      <c r="H47" s="5" t="s">
        <v>102</v>
      </c>
      <c r="I47" s="5" t="s">
        <v>288</v>
      </c>
      <c r="J47" s="15">
        <v>2300</v>
      </c>
      <c r="K47" s="7">
        <v>33.700000000000003</v>
      </c>
      <c r="L47" s="7">
        <f t="shared" ref="L47:L77" si="14">J47/K47</f>
        <v>68.249258160237389</v>
      </c>
      <c r="M47" s="5" t="s">
        <v>10</v>
      </c>
      <c r="N47" s="5">
        <v>4</v>
      </c>
      <c r="O47" s="6">
        <f t="shared" ref="O47:O77" si="15">(J47*L47^2)/(1.6*10^6)</f>
        <v>6.6958192816701745</v>
      </c>
      <c r="P47" s="6">
        <f t="shared" ref="P47:P77" si="16">(0.104*J47*L47^2)/(1.6*10^6)</f>
        <v>0.69636520529369805</v>
      </c>
      <c r="Q47" s="10">
        <f t="shared" ref="Q47:Q77" si="17">(0.104*O47)/(12*N47)</f>
        <v>1.4507608443618711E-2</v>
      </c>
      <c r="R47" s="10">
        <f t="shared" ref="R47:R77" si="18">0.0159*O47^0.75</f>
        <v>6.6183528454387561E-2</v>
      </c>
      <c r="S47" s="10">
        <f t="shared" ref="S47:S77" si="19">Q47+R47</f>
        <v>8.0691136898006277E-2</v>
      </c>
    </row>
    <row r="48" spans="1:19" x14ac:dyDescent="0.25">
      <c r="A48" s="5" t="s">
        <v>22</v>
      </c>
      <c r="B48" s="5" t="s">
        <v>63</v>
      </c>
      <c r="C48" s="5" t="s">
        <v>27</v>
      </c>
      <c r="D48" s="5" t="s">
        <v>385</v>
      </c>
      <c r="E48" s="5" t="s">
        <v>387</v>
      </c>
      <c r="F48" s="5" t="s">
        <v>52</v>
      </c>
      <c r="G48" s="5" t="s">
        <v>386</v>
      </c>
      <c r="H48" s="5" t="s">
        <v>98</v>
      </c>
      <c r="I48" s="5" t="s">
        <v>99</v>
      </c>
      <c r="J48" s="15">
        <v>2450</v>
      </c>
      <c r="K48" s="7">
        <v>31</v>
      </c>
      <c r="L48" s="7">
        <f t="shared" si="14"/>
        <v>79.032258064516128</v>
      </c>
      <c r="M48" s="5" t="s">
        <v>10</v>
      </c>
      <c r="N48" s="5">
        <v>4</v>
      </c>
      <c r="O48" s="6">
        <f t="shared" si="15"/>
        <v>9.5643372788761702</v>
      </c>
      <c r="P48" s="6">
        <f t="shared" si="16"/>
        <v>0.99469107700312165</v>
      </c>
      <c r="Q48" s="10">
        <f t="shared" si="17"/>
        <v>2.0722730770898368E-2</v>
      </c>
      <c r="R48" s="10">
        <f t="shared" si="18"/>
        <v>8.6474545162582434E-2</v>
      </c>
      <c r="S48" s="10">
        <f t="shared" si="19"/>
        <v>0.1071972759334808</v>
      </c>
    </row>
    <row r="49" spans="1:19" x14ac:dyDescent="0.25">
      <c r="A49" s="5" t="s">
        <v>8</v>
      </c>
      <c r="B49" s="5" t="s">
        <v>319</v>
      </c>
      <c r="C49" s="5" t="s">
        <v>27</v>
      </c>
      <c r="D49" s="5" t="s">
        <v>385</v>
      </c>
      <c r="E49" s="5" t="s">
        <v>387</v>
      </c>
      <c r="F49" s="5" t="s">
        <v>52</v>
      </c>
      <c r="G49" s="5" t="s">
        <v>386</v>
      </c>
      <c r="H49" s="5" t="s">
        <v>98</v>
      </c>
      <c r="I49" s="5" t="s">
        <v>99</v>
      </c>
      <c r="J49" s="15">
        <v>2431</v>
      </c>
      <c r="K49" s="7">
        <v>31</v>
      </c>
      <c r="L49" s="7">
        <f t="shared" si="14"/>
        <v>78.41935483870968</v>
      </c>
      <c r="M49" s="5" t="s">
        <v>10</v>
      </c>
      <c r="N49" s="5">
        <v>4</v>
      </c>
      <c r="O49" s="6">
        <f t="shared" si="15"/>
        <v>9.3435412272372531</v>
      </c>
      <c r="P49" s="6">
        <f t="shared" si="16"/>
        <v>0.97172828763267438</v>
      </c>
      <c r="Q49" s="10">
        <f t="shared" si="17"/>
        <v>2.0244339325680715E-2</v>
      </c>
      <c r="R49" s="10">
        <f t="shared" si="18"/>
        <v>8.497296136544169E-2</v>
      </c>
      <c r="S49" s="10">
        <f t="shared" si="19"/>
        <v>0.10521730069112241</v>
      </c>
    </row>
    <row r="50" spans="1:19" x14ac:dyDescent="0.25">
      <c r="A50" s="5" t="s">
        <v>8</v>
      </c>
      <c r="B50" s="5" t="s">
        <v>319</v>
      </c>
      <c r="C50" s="5" t="s">
        <v>27</v>
      </c>
      <c r="D50" s="5" t="s">
        <v>385</v>
      </c>
      <c r="E50" s="5" t="s">
        <v>387</v>
      </c>
      <c r="F50" s="5" t="s">
        <v>52</v>
      </c>
      <c r="G50" s="5" t="s">
        <v>386</v>
      </c>
      <c r="H50" s="5" t="s">
        <v>98</v>
      </c>
      <c r="I50" s="5" t="s">
        <v>321</v>
      </c>
      <c r="J50" s="15">
        <v>2650</v>
      </c>
      <c r="K50" s="7">
        <v>28</v>
      </c>
      <c r="L50" s="7">
        <f t="shared" si="14"/>
        <v>94.642857142857139</v>
      </c>
      <c r="M50" s="5" t="s">
        <v>10</v>
      </c>
      <c r="N50" s="5">
        <v>4</v>
      </c>
      <c r="O50" s="6">
        <f t="shared" si="15"/>
        <v>14.835479113520405</v>
      </c>
      <c r="P50" s="6">
        <f t="shared" si="16"/>
        <v>1.5428898278061218</v>
      </c>
      <c r="Q50" s="10">
        <f t="shared" si="17"/>
        <v>3.2143538079294209E-2</v>
      </c>
      <c r="R50" s="10">
        <f t="shared" si="18"/>
        <v>0.12019137585847466</v>
      </c>
      <c r="S50" s="10">
        <f t="shared" si="19"/>
        <v>0.15233491393776888</v>
      </c>
    </row>
    <row r="51" spans="1:19" x14ac:dyDescent="0.25">
      <c r="A51" s="5" t="s">
        <v>22</v>
      </c>
      <c r="B51" s="5" t="s">
        <v>63</v>
      </c>
      <c r="C51" s="5" t="s">
        <v>27</v>
      </c>
      <c r="D51" s="5" t="s">
        <v>385</v>
      </c>
      <c r="E51" s="5" t="s">
        <v>387</v>
      </c>
      <c r="F51" s="5" t="s">
        <v>52</v>
      </c>
      <c r="G51" s="5" t="s">
        <v>386</v>
      </c>
      <c r="H51" s="5" t="s">
        <v>100</v>
      </c>
      <c r="I51" s="5" t="s">
        <v>101</v>
      </c>
      <c r="J51" s="15">
        <v>2700</v>
      </c>
      <c r="K51" s="7">
        <v>41</v>
      </c>
      <c r="L51" s="7">
        <f t="shared" si="14"/>
        <v>65.853658536585371</v>
      </c>
      <c r="M51" s="5" t="s">
        <v>10</v>
      </c>
      <c r="N51" s="5">
        <v>4</v>
      </c>
      <c r="O51" s="6">
        <f t="shared" si="15"/>
        <v>7.3181885782272476</v>
      </c>
      <c r="P51" s="6">
        <f t="shared" si="16"/>
        <v>0.76109161213563381</v>
      </c>
      <c r="Q51" s="10">
        <f t="shared" si="17"/>
        <v>1.5856075252825702E-2</v>
      </c>
      <c r="R51" s="10">
        <f t="shared" si="18"/>
        <v>7.0745663102872419E-2</v>
      </c>
      <c r="S51" s="10">
        <f t="shared" si="19"/>
        <v>8.6601738355698121E-2</v>
      </c>
    </row>
    <row r="52" spans="1:19" x14ac:dyDescent="0.25">
      <c r="A52" s="5" t="s">
        <v>22</v>
      </c>
      <c r="B52" s="5" t="s">
        <v>63</v>
      </c>
      <c r="C52" s="5" t="s">
        <v>27</v>
      </c>
      <c r="D52" s="5" t="s">
        <v>385</v>
      </c>
      <c r="E52" s="5" t="s">
        <v>387</v>
      </c>
      <c r="F52" s="5" t="s">
        <v>52</v>
      </c>
      <c r="G52" s="5" t="s">
        <v>394</v>
      </c>
      <c r="H52" s="5" t="s">
        <v>104</v>
      </c>
      <c r="I52" s="5" t="s">
        <v>105</v>
      </c>
      <c r="J52" s="15">
        <v>1050</v>
      </c>
      <c r="K52" s="7">
        <v>35</v>
      </c>
      <c r="L52" s="7">
        <f t="shared" si="14"/>
        <v>30</v>
      </c>
      <c r="M52" s="5" t="s">
        <v>10</v>
      </c>
      <c r="N52" s="5">
        <v>4</v>
      </c>
      <c r="O52" s="6">
        <f t="shared" si="15"/>
        <v>0.59062499999999996</v>
      </c>
      <c r="P52" s="6">
        <f t="shared" si="16"/>
        <v>6.1424999999999993E-2</v>
      </c>
      <c r="Q52" s="10">
        <f t="shared" si="17"/>
        <v>1.2796874999999998E-3</v>
      </c>
      <c r="R52" s="10">
        <f t="shared" si="18"/>
        <v>1.0712257254840325E-2</v>
      </c>
      <c r="S52" s="10">
        <f t="shared" si="19"/>
        <v>1.1991944754840325E-2</v>
      </c>
    </row>
    <row r="53" spans="1:19" x14ac:dyDescent="0.25">
      <c r="A53" s="5" t="s">
        <v>8</v>
      </c>
      <c r="B53" s="5" t="s">
        <v>161</v>
      </c>
      <c r="C53" s="5" t="s">
        <v>27</v>
      </c>
      <c r="D53" s="5" t="s">
        <v>385</v>
      </c>
      <c r="E53" s="5" t="s">
        <v>387</v>
      </c>
      <c r="F53" s="5" t="s">
        <v>52</v>
      </c>
      <c r="G53" s="5" t="s">
        <v>394</v>
      </c>
      <c r="H53" s="5" t="s">
        <v>104</v>
      </c>
      <c r="I53" s="5" t="s">
        <v>105</v>
      </c>
      <c r="J53" s="15">
        <v>920</v>
      </c>
      <c r="K53" s="7">
        <v>27</v>
      </c>
      <c r="L53" s="7">
        <f t="shared" si="14"/>
        <v>34.074074074074076</v>
      </c>
      <c r="M53" s="5" t="s">
        <v>10</v>
      </c>
      <c r="N53" s="5">
        <v>4</v>
      </c>
      <c r="O53" s="6">
        <f t="shared" si="15"/>
        <v>0.66759945130315512</v>
      </c>
      <c r="P53" s="6">
        <f t="shared" si="16"/>
        <v>6.9430342935528119E-2</v>
      </c>
      <c r="Q53" s="10">
        <f t="shared" si="17"/>
        <v>1.4464654778235028E-3</v>
      </c>
      <c r="R53" s="10">
        <f t="shared" si="18"/>
        <v>1.1743136325585789E-2</v>
      </c>
      <c r="S53" s="10">
        <f t="shared" si="19"/>
        <v>1.3189601803409291E-2</v>
      </c>
    </row>
    <row r="54" spans="1:19" x14ac:dyDescent="0.25">
      <c r="A54" s="5" t="s">
        <v>22</v>
      </c>
      <c r="B54" s="5" t="s">
        <v>63</v>
      </c>
      <c r="C54" s="5" t="s">
        <v>27</v>
      </c>
      <c r="D54" s="5" t="s">
        <v>385</v>
      </c>
      <c r="E54" s="5" t="s">
        <v>387</v>
      </c>
      <c r="F54" s="5" t="s">
        <v>52</v>
      </c>
      <c r="G54" s="5" t="s">
        <v>394</v>
      </c>
      <c r="H54" s="5" t="s">
        <v>110</v>
      </c>
      <c r="I54" s="5" t="s">
        <v>111</v>
      </c>
      <c r="J54" s="15">
        <v>3420</v>
      </c>
      <c r="K54" s="7">
        <v>39.5</v>
      </c>
      <c r="L54" s="7">
        <f t="shared" si="14"/>
        <v>86.582278481012665</v>
      </c>
      <c r="M54" s="5" t="s">
        <v>10</v>
      </c>
      <c r="N54" s="5">
        <v>4</v>
      </c>
      <c r="O54" s="6">
        <f t="shared" si="15"/>
        <v>16.023749399134758</v>
      </c>
      <c r="P54" s="6">
        <f t="shared" si="16"/>
        <v>1.6664699375100145</v>
      </c>
      <c r="Q54" s="10">
        <f t="shared" si="17"/>
        <v>3.4718123698125304E-2</v>
      </c>
      <c r="R54" s="10">
        <f t="shared" si="18"/>
        <v>0.1273415795347296</v>
      </c>
      <c r="S54" s="10">
        <f t="shared" si="19"/>
        <v>0.1620597032328549</v>
      </c>
    </row>
    <row r="55" spans="1:19" x14ac:dyDescent="0.25">
      <c r="A55" s="5" t="s">
        <v>8</v>
      </c>
      <c r="B55" s="5" t="s">
        <v>161</v>
      </c>
      <c r="C55" s="5" t="s">
        <v>27</v>
      </c>
      <c r="D55" s="5" t="s">
        <v>385</v>
      </c>
      <c r="E55" s="5" t="s">
        <v>387</v>
      </c>
      <c r="F55" s="5" t="s">
        <v>52</v>
      </c>
      <c r="G55" s="5" t="s">
        <v>394</v>
      </c>
      <c r="H55" s="5" t="s">
        <v>110</v>
      </c>
      <c r="I55" s="5" t="s">
        <v>162</v>
      </c>
      <c r="J55" s="15">
        <v>2300</v>
      </c>
      <c r="K55" s="7">
        <v>44</v>
      </c>
      <c r="L55" s="7">
        <f t="shared" si="14"/>
        <v>52.272727272727273</v>
      </c>
      <c r="M55" s="5" t="s">
        <v>10</v>
      </c>
      <c r="N55" s="5">
        <v>4</v>
      </c>
      <c r="O55" s="6">
        <f t="shared" si="15"/>
        <v>3.9278796487603307</v>
      </c>
      <c r="P55" s="6">
        <f t="shared" si="16"/>
        <v>0.4084994834710744</v>
      </c>
      <c r="Q55" s="10">
        <f t="shared" si="17"/>
        <v>8.5104059056473839E-3</v>
      </c>
      <c r="R55" s="10">
        <f t="shared" si="18"/>
        <v>4.4362473572488702E-2</v>
      </c>
      <c r="S55" s="10">
        <f t="shared" si="19"/>
        <v>5.2872879478136084E-2</v>
      </c>
    </row>
    <row r="56" spans="1:19" x14ac:dyDescent="0.25">
      <c r="A56" s="5" t="s">
        <v>8</v>
      </c>
      <c r="B56" s="5" t="s">
        <v>161</v>
      </c>
      <c r="C56" s="5" t="s">
        <v>27</v>
      </c>
      <c r="D56" s="5" t="s">
        <v>385</v>
      </c>
      <c r="E56" s="5" t="s">
        <v>387</v>
      </c>
      <c r="F56" s="5" t="s">
        <v>52</v>
      </c>
      <c r="G56" s="5" t="s">
        <v>394</v>
      </c>
      <c r="H56" s="5" t="s">
        <v>110</v>
      </c>
      <c r="I56" s="5" t="s">
        <v>162</v>
      </c>
      <c r="J56" s="15">
        <v>2630</v>
      </c>
      <c r="K56" s="7">
        <v>45</v>
      </c>
      <c r="L56" s="7">
        <f t="shared" si="14"/>
        <v>58.444444444444443</v>
      </c>
      <c r="M56" s="5" t="s">
        <v>10</v>
      </c>
      <c r="N56" s="5">
        <v>4</v>
      </c>
      <c r="O56" s="6">
        <f t="shared" si="15"/>
        <v>5.6146441358024681</v>
      </c>
      <c r="P56" s="6">
        <f t="shared" si="16"/>
        <v>0.58392299012345672</v>
      </c>
      <c r="Q56" s="10">
        <f t="shared" si="17"/>
        <v>1.2165062294238679E-2</v>
      </c>
      <c r="R56" s="10">
        <f t="shared" si="18"/>
        <v>5.799476604086666E-2</v>
      </c>
      <c r="S56" s="10">
        <f t="shared" si="19"/>
        <v>7.015982833510534E-2</v>
      </c>
    </row>
    <row r="57" spans="1:19" x14ac:dyDescent="0.25">
      <c r="A57" s="5" t="s">
        <v>22</v>
      </c>
      <c r="B57" s="5" t="s">
        <v>63</v>
      </c>
      <c r="C57" s="5" t="s">
        <v>27</v>
      </c>
      <c r="D57" s="5" t="s">
        <v>385</v>
      </c>
      <c r="E57" s="5" t="s">
        <v>387</v>
      </c>
      <c r="F57" s="5" t="s">
        <v>52</v>
      </c>
      <c r="G57" s="5" t="s">
        <v>394</v>
      </c>
      <c r="H57" s="5" t="s">
        <v>56</v>
      </c>
      <c r="I57" s="5" t="s">
        <v>148</v>
      </c>
      <c r="J57" s="15">
        <v>2950</v>
      </c>
      <c r="K57" s="7">
        <v>29.5</v>
      </c>
      <c r="L57" s="7">
        <f t="shared" si="14"/>
        <v>100</v>
      </c>
      <c r="M57" s="5" t="s">
        <v>10</v>
      </c>
      <c r="N57" s="5">
        <v>4</v>
      </c>
      <c r="O57" s="6">
        <f t="shared" si="15"/>
        <v>18.4375</v>
      </c>
      <c r="P57" s="6">
        <f t="shared" si="16"/>
        <v>1.9175</v>
      </c>
      <c r="Q57" s="10">
        <f t="shared" si="17"/>
        <v>3.9947916666666666E-2</v>
      </c>
      <c r="R57" s="10">
        <f t="shared" si="18"/>
        <v>0.14147302810302484</v>
      </c>
      <c r="S57" s="10">
        <f t="shared" si="19"/>
        <v>0.18142094476969151</v>
      </c>
    </row>
    <row r="58" spans="1:19" x14ac:dyDescent="0.25">
      <c r="A58" s="5" t="s">
        <v>22</v>
      </c>
      <c r="B58" s="5" t="s">
        <v>63</v>
      </c>
      <c r="C58" s="5" t="s">
        <v>27</v>
      </c>
      <c r="D58" s="5" t="s">
        <v>385</v>
      </c>
      <c r="E58" s="5" t="s">
        <v>387</v>
      </c>
      <c r="F58" s="5" t="s">
        <v>52</v>
      </c>
      <c r="G58" s="5" t="s">
        <v>394</v>
      </c>
      <c r="H58" s="5" t="s">
        <v>56</v>
      </c>
      <c r="I58" s="5" t="s">
        <v>149</v>
      </c>
      <c r="J58" s="15">
        <v>2150</v>
      </c>
      <c r="K58" s="7">
        <v>39</v>
      </c>
      <c r="L58" s="7">
        <f t="shared" si="14"/>
        <v>55.128205128205131</v>
      </c>
      <c r="M58" s="5" t="s">
        <v>10</v>
      </c>
      <c r="N58" s="5">
        <v>4</v>
      </c>
      <c r="O58" s="6">
        <f t="shared" si="15"/>
        <v>4.083816157133465</v>
      </c>
      <c r="P58" s="6">
        <f t="shared" si="16"/>
        <v>0.42471688034188038</v>
      </c>
      <c r="Q58" s="10">
        <f t="shared" si="17"/>
        <v>8.84826834045584E-3</v>
      </c>
      <c r="R58" s="10">
        <f t="shared" si="18"/>
        <v>4.5676914730833268E-2</v>
      </c>
      <c r="S58" s="10">
        <f t="shared" si="19"/>
        <v>5.4525183071289104E-2</v>
      </c>
    </row>
    <row r="59" spans="1:19" x14ac:dyDescent="0.25">
      <c r="A59" s="5" t="s">
        <v>22</v>
      </c>
      <c r="B59" s="5" t="s">
        <v>63</v>
      </c>
      <c r="C59" s="5" t="s">
        <v>27</v>
      </c>
      <c r="D59" s="5" t="s">
        <v>385</v>
      </c>
      <c r="E59" s="5" t="s">
        <v>387</v>
      </c>
      <c r="F59" s="5" t="s">
        <v>52</v>
      </c>
      <c r="G59" s="5" t="s">
        <v>394</v>
      </c>
      <c r="H59" s="5" t="s">
        <v>56</v>
      </c>
      <c r="I59" s="5" t="s">
        <v>103</v>
      </c>
      <c r="J59" s="15">
        <v>1650</v>
      </c>
      <c r="K59" s="7">
        <v>30.5</v>
      </c>
      <c r="L59" s="7">
        <f t="shared" si="14"/>
        <v>54.098360655737707</v>
      </c>
      <c r="M59" s="5" t="s">
        <v>10</v>
      </c>
      <c r="N59" s="5">
        <v>4</v>
      </c>
      <c r="O59" s="6">
        <f t="shared" si="15"/>
        <v>3.0180898951894655</v>
      </c>
      <c r="P59" s="6">
        <f t="shared" si="16"/>
        <v>0.31388134909970439</v>
      </c>
      <c r="Q59" s="10">
        <f t="shared" si="17"/>
        <v>6.5391947729105081E-3</v>
      </c>
      <c r="R59" s="10">
        <f t="shared" si="18"/>
        <v>3.6407952239914915E-2</v>
      </c>
      <c r="S59" s="10">
        <f t="shared" si="19"/>
        <v>4.2947147012825426E-2</v>
      </c>
    </row>
    <row r="60" spans="1:19" x14ac:dyDescent="0.25">
      <c r="A60" s="5" t="s">
        <v>8</v>
      </c>
      <c r="B60" s="5" t="s">
        <v>329</v>
      </c>
      <c r="C60" s="5" t="s">
        <v>27</v>
      </c>
      <c r="D60" s="5" t="s">
        <v>385</v>
      </c>
      <c r="E60" s="5" t="s">
        <v>387</v>
      </c>
      <c r="F60" s="5" t="s">
        <v>52</v>
      </c>
      <c r="G60" s="5" t="s">
        <v>394</v>
      </c>
      <c r="H60" s="5" t="s">
        <v>56</v>
      </c>
      <c r="I60" s="5" t="s">
        <v>103</v>
      </c>
      <c r="J60" s="15">
        <v>1260</v>
      </c>
      <c r="K60" s="7">
        <v>34</v>
      </c>
      <c r="L60" s="7">
        <f t="shared" si="14"/>
        <v>37.058823529411768</v>
      </c>
      <c r="M60" s="5" t="s">
        <v>10</v>
      </c>
      <c r="N60" s="5">
        <v>4</v>
      </c>
      <c r="O60" s="6">
        <f t="shared" si="15"/>
        <v>1.0815181660899655</v>
      </c>
      <c r="P60" s="6">
        <f t="shared" si="16"/>
        <v>0.11247788927335642</v>
      </c>
      <c r="Q60" s="10">
        <f t="shared" si="17"/>
        <v>2.3432893598615916E-3</v>
      </c>
      <c r="R60" s="10">
        <f t="shared" si="18"/>
        <v>1.6862520407650464E-2</v>
      </c>
      <c r="S60" s="10">
        <f t="shared" si="19"/>
        <v>1.9205809767512055E-2</v>
      </c>
    </row>
    <row r="61" spans="1:19" x14ac:dyDescent="0.25">
      <c r="A61" s="5" t="s">
        <v>8</v>
      </c>
      <c r="B61" s="5" t="s">
        <v>296</v>
      </c>
      <c r="C61" s="5" t="s">
        <v>27</v>
      </c>
      <c r="D61" s="5" t="s">
        <v>385</v>
      </c>
      <c r="E61" s="5" t="s">
        <v>387</v>
      </c>
      <c r="F61" s="5" t="s">
        <v>52</v>
      </c>
      <c r="G61" s="5" t="s">
        <v>394</v>
      </c>
      <c r="H61" s="5" t="s">
        <v>56</v>
      </c>
      <c r="I61" s="5" t="s">
        <v>298</v>
      </c>
      <c r="J61" s="15">
        <v>1540</v>
      </c>
      <c r="K61" s="7">
        <v>22</v>
      </c>
      <c r="L61" s="7">
        <f t="shared" si="14"/>
        <v>70</v>
      </c>
      <c r="M61" s="5" t="s">
        <v>10</v>
      </c>
      <c r="N61" s="5">
        <v>4</v>
      </c>
      <c r="O61" s="6">
        <f t="shared" si="15"/>
        <v>4.7162499999999996</v>
      </c>
      <c r="P61" s="6">
        <f t="shared" si="16"/>
        <v>0.49048999999999998</v>
      </c>
      <c r="Q61" s="10">
        <f t="shared" si="17"/>
        <v>1.0218541666666666E-2</v>
      </c>
      <c r="R61" s="10">
        <f t="shared" si="18"/>
        <v>5.0885581049188403E-2</v>
      </c>
      <c r="S61" s="10">
        <f t="shared" si="19"/>
        <v>6.1104122715855066E-2</v>
      </c>
    </row>
    <row r="62" spans="1:19" x14ac:dyDescent="0.25">
      <c r="A62" s="5" t="s">
        <v>8</v>
      </c>
      <c r="B62" s="5" t="s">
        <v>231</v>
      </c>
      <c r="C62" s="5" t="s">
        <v>27</v>
      </c>
      <c r="D62" s="5" t="s">
        <v>385</v>
      </c>
      <c r="E62" s="5" t="s">
        <v>387</v>
      </c>
      <c r="F62" s="5" t="s">
        <v>52</v>
      </c>
      <c r="G62" s="5" t="s">
        <v>394</v>
      </c>
      <c r="H62" s="5" t="s">
        <v>56</v>
      </c>
      <c r="I62" s="5" t="s">
        <v>218</v>
      </c>
      <c r="J62" s="15">
        <v>1510</v>
      </c>
      <c r="K62" s="7">
        <v>26</v>
      </c>
      <c r="L62" s="7">
        <f t="shared" si="14"/>
        <v>58.07692307692308</v>
      </c>
      <c r="M62" s="5" t="s">
        <v>10</v>
      </c>
      <c r="N62" s="5">
        <v>4</v>
      </c>
      <c r="O62" s="6">
        <f t="shared" si="15"/>
        <v>3.183201738165681</v>
      </c>
      <c r="P62" s="6">
        <f t="shared" si="16"/>
        <v>0.33105298076923079</v>
      </c>
      <c r="Q62" s="10">
        <f t="shared" si="17"/>
        <v>6.8969370993589747E-3</v>
      </c>
      <c r="R62" s="10">
        <f t="shared" si="18"/>
        <v>3.7891800910019258E-2</v>
      </c>
      <c r="S62" s="10">
        <f t="shared" si="19"/>
        <v>4.4788738009378229E-2</v>
      </c>
    </row>
    <row r="63" spans="1:19" x14ac:dyDescent="0.25">
      <c r="A63" s="5" t="s">
        <v>8</v>
      </c>
      <c r="B63" s="5" t="s">
        <v>165</v>
      </c>
      <c r="C63" s="5" t="s">
        <v>27</v>
      </c>
      <c r="D63" s="5" t="s">
        <v>385</v>
      </c>
      <c r="E63" s="5" t="s">
        <v>387</v>
      </c>
      <c r="F63" s="5" t="s">
        <v>52</v>
      </c>
      <c r="G63" s="5" t="s">
        <v>394</v>
      </c>
      <c r="H63" s="5" t="s">
        <v>56</v>
      </c>
      <c r="I63" s="5" t="s">
        <v>169</v>
      </c>
      <c r="J63" s="15">
        <v>2160</v>
      </c>
      <c r="K63" s="7">
        <v>31</v>
      </c>
      <c r="L63" s="7">
        <f t="shared" si="14"/>
        <v>69.677419354838705</v>
      </c>
      <c r="M63" s="5" t="s">
        <v>10</v>
      </c>
      <c r="N63" s="5">
        <v>4</v>
      </c>
      <c r="O63" s="6">
        <f t="shared" si="15"/>
        <v>6.5541727367325695</v>
      </c>
      <c r="P63" s="6">
        <f t="shared" si="16"/>
        <v>0.68163396462018722</v>
      </c>
      <c r="Q63" s="10">
        <f t="shared" si="17"/>
        <v>1.42007075962539E-2</v>
      </c>
      <c r="R63" s="10">
        <f t="shared" si="18"/>
        <v>6.5130668631830216E-2</v>
      </c>
      <c r="S63" s="10">
        <f t="shared" si="19"/>
        <v>7.9331376228084116E-2</v>
      </c>
    </row>
    <row r="64" spans="1:19" x14ac:dyDescent="0.25">
      <c r="A64" s="5" t="s">
        <v>8</v>
      </c>
      <c r="B64" s="5" t="s">
        <v>161</v>
      </c>
      <c r="C64" s="5" t="s">
        <v>27</v>
      </c>
      <c r="D64" s="5" t="s">
        <v>385</v>
      </c>
      <c r="E64" s="5" t="s">
        <v>387</v>
      </c>
      <c r="F64" s="5" t="s">
        <v>52</v>
      </c>
      <c r="G64" s="5" t="s">
        <v>394</v>
      </c>
      <c r="H64" s="5" t="s">
        <v>56</v>
      </c>
      <c r="I64" s="5" t="s">
        <v>164</v>
      </c>
      <c r="J64" s="15">
        <v>2010</v>
      </c>
      <c r="K64" s="7">
        <v>25</v>
      </c>
      <c r="L64" s="7">
        <f t="shared" si="14"/>
        <v>80.400000000000006</v>
      </c>
      <c r="M64" s="5" t="s">
        <v>10</v>
      </c>
      <c r="N64" s="5">
        <v>4</v>
      </c>
      <c r="O64" s="6">
        <f t="shared" si="15"/>
        <v>8.1206010000000006</v>
      </c>
      <c r="P64" s="6">
        <f t="shared" si="16"/>
        <v>0.84454250400000008</v>
      </c>
      <c r="Q64" s="10">
        <f t="shared" si="17"/>
        <v>1.7594635500000001E-2</v>
      </c>
      <c r="R64" s="10">
        <f t="shared" si="18"/>
        <v>7.6487110304618008E-2</v>
      </c>
      <c r="S64" s="10">
        <f t="shared" si="19"/>
        <v>9.4081745804618006E-2</v>
      </c>
    </row>
    <row r="65" spans="1:19" x14ac:dyDescent="0.25">
      <c r="A65" s="5" t="s">
        <v>22</v>
      </c>
      <c r="B65" s="5" t="s">
        <v>63</v>
      </c>
      <c r="C65" s="5" t="s">
        <v>27</v>
      </c>
      <c r="D65" s="5" t="s">
        <v>385</v>
      </c>
      <c r="E65" s="5" t="s">
        <v>387</v>
      </c>
      <c r="F65" s="5" t="s">
        <v>52</v>
      </c>
      <c r="G65" s="5" t="s">
        <v>394</v>
      </c>
      <c r="H65" s="5" t="s">
        <v>56</v>
      </c>
      <c r="I65" s="5" t="s">
        <v>150</v>
      </c>
      <c r="J65" s="15">
        <v>1795</v>
      </c>
      <c r="K65" s="7">
        <v>26</v>
      </c>
      <c r="L65" s="7">
        <f t="shared" si="14"/>
        <v>69.038461538461533</v>
      </c>
      <c r="M65" s="5" t="s">
        <v>10</v>
      </c>
      <c r="N65" s="5">
        <v>4</v>
      </c>
      <c r="O65" s="6">
        <f t="shared" si="15"/>
        <v>5.3472031018860937</v>
      </c>
      <c r="P65" s="6">
        <f t="shared" si="16"/>
        <v>0.55610912259615364</v>
      </c>
      <c r="Q65" s="10">
        <f t="shared" si="17"/>
        <v>1.1585606720753204E-2</v>
      </c>
      <c r="R65" s="10">
        <f t="shared" si="18"/>
        <v>5.5910340147592871E-2</v>
      </c>
      <c r="S65" s="10">
        <f t="shared" si="19"/>
        <v>6.7495946868346077E-2</v>
      </c>
    </row>
    <row r="66" spans="1:19" x14ac:dyDescent="0.25">
      <c r="A66" s="5" t="s">
        <v>22</v>
      </c>
      <c r="B66" s="5" t="s">
        <v>26</v>
      </c>
      <c r="C66" s="5" t="s">
        <v>27</v>
      </c>
      <c r="D66" s="5" t="s">
        <v>385</v>
      </c>
      <c r="E66" s="5" t="s">
        <v>387</v>
      </c>
      <c r="F66" s="5" t="s">
        <v>52</v>
      </c>
      <c r="G66" s="5" t="s">
        <v>394</v>
      </c>
      <c r="H66" s="5" t="s">
        <v>56</v>
      </c>
      <c r="I66" s="5" t="s">
        <v>57</v>
      </c>
      <c r="J66" s="15">
        <v>1800</v>
      </c>
      <c r="K66" s="7">
        <v>31</v>
      </c>
      <c r="L66" s="7">
        <f t="shared" si="14"/>
        <v>58.064516129032256</v>
      </c>
      <c r="M66" s="5" t="s">
        <v>10</v>
      </c>
      <c r="N66" s="5">
        <v>4</v>
      </c>
      <c r="O66" s="6">
        <f t="shared" si="15"/>
        <v>3.7929240374609781</v>
      </c>
      <c r="P66" s="6">
        <f t="shared" si="16"/>
        <v>0.39446409989594167</v>
      </c>
      <c r="Q66" s="10">
        <f t="shared" si="17"/>
        <v>8.2180020811654531E-3</v>
      </c>
      <c r="R66" s="10">
        <f t="shared" si="18"/>
        <v>4.3214324927592522E-2</v>
      </c>
      <c r="S66" s="10">
        <f t="shared" si="19"/>
        <v>5.1432327008757973E-2</v>
      </c>
    </row>
    <row r="67" spans="1:19" x14ac:dyDescent="0.25">
      <c r="A67" s="5" t="s">
        <v>8</v>
      </c>
      <c r="B67" s="5" t="s">
        <v>187</v>
      </c>
      <c r="C67" s="5" t="s">
        <v>27</v>
      </c>
      <c r="D67" s="5" t="s">
        <v>385</v>
      </c>
      <c r="E67" s="5" t="s">
        <v>387</v>
      </c>
      <c r="F67" s="5" t="s">
        <v>52</v>
      </c>
      <c r="G67" s="5" t="s">
        <v>394</v>
      </c>
      <c r="H67" s="5" t="s">
        <v>56</v>
      </c>
      <c r="I67" s="5" t="s">
        <v>57</v>
      </c>
      <c r="J67" s="15">
        <v>2110</v>
      </c>
      <c r="K67" s="7">
        <v>31.7</v>
      </c>
      <c r="L67" s="7">
        <f t="shared" si="14"/>
        <v>66.561514195583598</v>
      </c>
      <c r="M67" s="5" t="s">
        <v>10</v>
      </c>
      <c r="N67" s="5">
        <v>4</v>
      </c>
      <c r="O67" s="6">
        <f t="shared" si="15"/>
        <v>5.842636383086707</v>
      </c>
      <c r="P67" s="6">
        <f t="shared" si="16"/>
        <v>0.60763418384101753</v>
      </c>
      <c r="Q67" s="10">
        <f t="shared" si="17"/>
        <v>1.2659045496687865E-2</v>
      </c>
      <c r="R67" s="10">
        <f t="shared" si="18"/>
        <v>5.9752181885174414E-2</v>
      </c>
      <c r="S67" s="10">
        <f t="shared" si="19"/>
        <v>7.2411227381862286E-2</v>
      </c>
    </row>
    <row r="68" spans="1:19" x14ac:dyDescent="0.25">
      <c r="A68" s="5" t="s">
        <v>8</v>
      </c>
      <c r="B68" s="5" t="s">
        <v>187</v>
      </c>
      <c r="C68" s="5" t="s">
        <v>27</v>
      </c>
      <c r="D68" s="5" t="s">
        <v>385</v>
      </c>
      <c r="E68" s="5" t="s">
        <v>387</v>
      </c>
      <c r="F68" s="5" t="s">
        <v>52</v>
      </c>
      <c r="G68" s="5" t="s">
        <v>394</v>
      </c>
      <c r="H68" s="5" t="s">
        <v>56</v>
      </c>
      <c r="I68" s="5" t="s">
        <v>57</v>
      </c>
      <c r="J68" s="15">
        <v>2090</v>
      </c>
      <c r="K68" s="7">
        <v>30</v>
      </c>
      <c r="L68" s="7">
        <f t="shared" si="14"/>
        <v>69.666666666666671</v>
      </c>
      <c r="M68" s="5" t="s">
        <v>10</v>
      </c>
      <c r="N68" s="5">
        <v>4</v>
      </c>
      <c r="O68" s="6">
        <f t="shared" si="15"/>
        <v>6.3398118055555566</v>
      </c>
      <c r="P68" s="6">
        <f t="shared" si="16"/>
        <v>0.65934042777777779</v>
      </c>
      <c r="Q68" s="10">
        <f t="shared" si="17"/>
        <v>1.3736258912037039E-2</v>
      </c>
      <c r="R68" s="10">
        <f t="shared" si="18"/>
        <v>6.3526422548826608E-2</v>
      </c>
      <c r="S68" s="10">
        <f t="shared" si="19"/>
        <v>7.7262681460863653E-2</v>
      </c>
    </row>
    <row r="69" spans="1:19" x14ac:dyDescent="0.25">
      <c r="A69" s="5" t="s">
        <v>8</v>
      </c>
      <c r="B69" s="5" t="s">
        <v>187</v>
      </c>
      <c r="C69" s="5" t="s">
        <v>27</v>
      </c>
      <c r="D69" s="5" t="s">
        <v>385</v>
      </c>
      <c r="E69" s="5" t="s">
        <v>387</v>
      </c>
      <c r="F69" s="5" t="s">
        <v>52</v>
      </c>
      <c r="G69" s="5" t="s">
        <v>394</v>
      </c>
      <c r="H69" s="5" t="s">
        <v>56</v>
      </c>
      <c r="I69" s="5" t="s">
        <v>57</v>
      </c>
      <c r="J69" s="15">
        <v>1980</v>
      </c>
      <c r="K69" s="7">
        <v>30.4</v>
      </c>
      <c r="L69" s="7">
        <f t="shared" si="14"/>
        <v>65.131578947368425</v>
      </c>
      <c r="M69" s="5" t="s">
        <v>10</v>
      </c>
      <c r="N69" s="5">
        <v>4</v>
      </c>
      <c r="O69" s="6">
        <f t="shared" si="15"/>
        <v>5.2496266880193909</v>
      </c>
      <c r="P69" s="6">
        <f t="shared" si="16"/>
        <v>0.54596117555401669</v>
      </c>
      <c r="Q69" s="10">
        <f t="shared" si="17"/>
        <v>1.1374191157375346E-2</v>
      </c>
      <c r="R69" s="10">
        <f t="shared" si="18"/>
        <v>5.5143387293808285E-2</v>
      </c>
      <c r="S69" s="10">
        <f t="shared" si="19"/>
        <v>6.6517578451183626E-2</v>
      </c>
    </row>
    <row r="70" spans="1:19" x14ac:dyDescent="0.25">
      <c r="A70" s="5" t="s">
        <v>8</v>
      </c>
      <c r="B70" s="5" t="s">
        <v>187</v>
      </c>
      <c r="C70" s="5" t="s">
        <v>27</v>
      </c>
      <c r="D70" s="5" t="s">
        <v>385</v>
      </c>
      <c r="E70" s="5" t="s">
        <v>387</v>
      </c>
      <c r="F70" s="5" t="s">
        <v>52</v>
      </c>
      <c r="G70" s="5" t="s">
        <v>394</v>
      </c>
      <c r="H70" s="5" t="s">
        <v>56</v>
      </c>
      <c r="I70" s="5" t="s">
        <v>57</v>
      </c>
      <c r="J70" s="15">
        <v>1980</v>
      </c>
      <c r="K70" s="7">
        <v>31.2</v>
      </c>
      <c r="L70" s="7">
        <f t="shared" si="14"/>
        <v>63.46153846153846</v>
      </c>
      <c r="M70" s="5" t="s">
        <v>10</v>
      </c>
      <c r="N70" s="5">
        <v>4</v>
      </c>
      <c r="O70" s="6">
        <f t="shared" si="15"/>
        <v>4.9838664940828403</v>
      </c>
      <c r="P70" s="6">
        <f t="shared" si="16"/>
        <v>0.51832211538461537</v>
      </c>
      <c r="Q70" s="10">
        <f t="shared" si="17"/>
        <v>1.0798377403846154E-2</v>
      </c>
      <c r="R70" s="10">
        <f t="shared" si="18"/>
        <v>5.3036141958594116E-2</v>
      </c>
      <c r="S70" s="10">
        <f t="shared" si="19"/>
        <v>6.3834519362440265E-2</v>
      </c>
    </row>
    <row r="71" spans="1:19" x14ac:dyDescent="0.25">
      <c r="A71" s="5" t="s">
        <v>8</v>
      </c>
      <c r="B71" s="5" t="s">
        <v>187</v>
      </c>
      <c r="C71" s="5" t="s">
        <v>27</v>
      </c>
      <c r="D71" s="5" t="s">
        <v>385</v>
      </c>
      <c r="E71" s="5" t="s">
        <v>387</v>
      </c>
      <c r="F71" s="5" t="s">
        <v>52</v>
      </c>
      <c r="G71" s="5" t="s">
        <v>394</v>
      </c>
      <c r="H71" s="5" t="s">
        <v>56</v>
      </c>
      <c r="I71" s="5" t="s">
        <v>57</v>
      </c>
      <c r="J71" s="15">
        <v>2200</v>
      </c>
      <c r="K71" s="7">
        <v>29</v>
      </c>
      <c r="L71" s="7">
        <f t="shared" si="14"/>
        <v>75.862068965517238</v>
      </c>
      <c r="M71" s="5" t="s">
        <v>10</v>
      </c>
      <c r="N71" s="5">
        <v>4</v>
      </c>
      <c r="O71" s="6">
        <f t="shared" si="15"/>
        <v>7.9131985731272296</v>
      </c>
      <c r="P71" s="6">
        <f t="shared" si="16"/>
        <v>0.82297265160523181</v>
      </c>
      <c r="Q71" s="10">
        <f t="shared" si="17"/>
        <v>1.7145263575108996E-2</v>
      </c>
      <c r="R71" s="10">
        <f t="shared" si="18"/>
        <v>7.501725564715013E-2</v>
      </c>
      <c r="S71" s="10">
        <f t="shared" si="19"/>
        <v>9.2162519222259126E-2</v>
      </c>
    </row>
    <row r="72" spans="1:19" x14ac:dyDescent="0.25">
      <c r="A72" s="5" t="s">
        <v>8</v>
      </c>
      <c r="B72" s="5" t="s">
        <v>187</v>
      </c>
      <c r="C72" s="5" t="s">
        <v>27</v>
      </c>
      <c r="D72" s="5" t="s">
        <v>385</v>
      </c>
      <c r="E72" s="5" t="s">
        <v>387</v>
      </c>
      <c r="F72" s="5" t="s">
        <v>52</v>
      </c>
      <c r="G72" s="5" t="s">
        <v>394</v>
      </c>
      <c r="H72" s="5" t="s">
        <v>56</v>
      </c>
      <c r="I72" s="5" t="s">
        <v>57</v>
      </c>
      <c r="J72" s="15">
        <v>2175</v>
      </c>
      <c r="K72" s="7">
        <v>31.3</v>
      </c>
      <c r="L72" s="7">
        <f t="shared" si="14"/>
        <v>69.488817891373799</v>
      </c>
      <c r="M72" s="5" t="s">
        <v>10</v>
      </c>
      <c r="N72" s="5">
        <v>4</v>
      </c>
      <c r="O72" s="6">
        <f t="shared" si="15"/>
        <v>6.5640083693566336</v>
      </c>
      <c r="P72" s="6">
        <f t="shared" si="16"/>
        <v>0.68265687041308976</v>
      </c>
      <c r="Q72" s="10">
        <f t="shared" si="17"/>
        <v>1.4222018133606039E-2</v>
      </c>
      <c r="R72" s="10">
        <f t="shared" si="18"/>
        <v>6.5203959487576693E-2</v>
      </c>
      <c r="S72" s="10">
        <f t="shared" si="19"/>
        <v>7.9425977621182725E-2</v>
      </c>
    </row>
    <row r="73" spans="1:19" x14ac:dyDescent="0.25">
      <c r="A73" s="5" t="s">
        <v>8</v>
      </c>
      <c r="B73" s="5" t="s">
        <v>291</v>
      </c>
      <c r="C73" s="5" t="s">
        <v>27</v>
      </c>
      <c r="D73" s="5" t="s">
        <v>385</v>
      </c>
      <c r="E73" s="5" t="s">
        <v>387</v>
      </c>
      <c r="F73" s="5" t="s">
        <v>52</v>
      </c>
      <c r="G73" s="5" t="s">
        <v>394</v>
      </c>
      <c r="H73" s="5" t="s">
        <v>56</v>
      </c>
      <c r="I73" s="5" t="s">
        <v>57</v>
      </c>
      <c r="J73" s="15">
        <v>1742</v>
      </c>
      <c r="K73" s="7">
        <v>24.9</v>
      </c>
      <c r="L73" s="7">
        <f t="shared" si="14"/>
        <v>69.959839357429729</v>
      </c>
      <c r="M73" s="5" t="s">
        <v>10</v>
      </c>
      <c r="N73" s="5">
        <v>4</v>
      </c>
      <c r="O73" s="6">
        <f t="shared" si="15"/>
        <v>5.3287552700762904</v>
      </c>
      <c r="P73" s="6">
        <f t="shared" si="16"/>
        <v>0.55419054808793411</v>
      </c>
      <c r="Q73" s="10">
        <f t="shared" si="17"/>
        <v>1.154563641849863E-2</v>
      </c>
      <c r="R73" s="10">
        <f t="shared" si="18"/>
        <v>5.5765609812803228E-2</v>
      </c>
      <c r="S73" s="10">
        <f t="shared" si="19"/>
        <v>6.7311246231301858E-2</v>
      </c>
    </row>
    <row r="74" spans="1:19" x14ac:dyDescent="0.25">
      <c r="A74" s="5" t="s">
        <v>8</v>
      </c>
      <c r="B74" s="5" t="s">
        <v>329</v>
      </c>
      <c r="C74" s="5" t="s">
        <v>27</v>
      </c>
      <c r="D74" s="5" t="s">
        <v>385</v>
      </c>
      <c r="E74" s="5" t="s">
        <v>387</v>
      </c>
      <c r="F74" s="5" t="s">
        <v>52</v>
      </c>
      <c r="G74" s="5" t="s">
        <v>394</v>
      </c>
      <c r="H74" s="5" t="s">
        <v>56</v>
      </c>
      <c r="I74" s="5" t="s">
        <v>94</v>
      </c>
      <c r="J74" s="15">
        <v>3680</v>
      </c>
      <c r="K74" s="7">
        <v>35.5</v>
      </c>
      <c r="L74" s="7">
        <f t="shared" si="14"/>
        <v>103.66197183098592</v>
      </c>
      <c r="M74" s="5" t="s">
        <v>10</v>
      </c>
      <c r="N74" s="5">
        <v>4</v>
      </c>
      <c r="O74" s="6">
        <f t="shared" si="15"/>
        <v>24.715350128942671</v>
      </c>
      <c r="P74" s="6">
        <f t="shared" si="16"/>
        <v>2.5703964134100374</v>
      </c>
      <c r="Q74" s="10">
        <f t="shared" si="17"/>
        <v>5.3549925279375778E-2</v>
      </c>
      <c r="R74" s="10">
        <f t="shared" si="18"/>
        <v>0.17624718927922817</v>
      </c>
      <c r="S74" s="10">
        <f t="shared" si="19"/>
        <v>0.22979711455860394</v>
      </c>
    </row>
    <row r="75" spans="1:19" x14ac:dyDescent="0.25">
      <c r="A75" s="5" t="s">
        <v>22</v>
      </c>
      <c r="B75" s="5" t="s">
        <v>63</v>
      </c>
      <c r="C75" s="5" t="s">
        <v>27</v>
      </c>
      <c r="D75" s="5" t="s">
        <v>385</v>
      </c>
      <c r="E75" s="5" t="s">
        <v>387</v>
      </c>
      <c r="F75" s="5" t="s">
        <v>52</v>
      </c>
      <c r="G75" s="5" t="s">
        <v>394</v>
      </c>
      <c r="H75" s="5" t="s">
        <v>56</v>
      </c>
      <c r="I75" s="5" t="s">
        <v>151</v>
      </c>
      <c r="J75" s="15">
        <v>3150</v>
      </c>
      <c r="K75" s="7">
        <v>32.5</v>
      </c>
      <c r="L75" s="7">
        <f t="shared" si="14"/>
        <v>96.92307692307692</v>
      </c>
      <c r="M75" s="5" t="s">
        <v>10</v>
      </c>
      <c r="N75" s="5">
        <v>4</v>
      </c>
      <c r="O75" s="6">
        <f t="shared" si="15"/>
        <v>18.494600591715976</v>
      </c>
      <c r="P75" s="6">
        <f t="shared" si="16"/>
        <v>1.9234384615384612</v>
      </c>
      <c r="Q75" s="10">
        <f t="shared" si="17"/>
        <v>4.0071634615384613E-2</v>
      </c>
      <c r="R75" s="10">
        <f t="shared" si="18"/>
        <v>0.14180150554274765</v>
      </c>
      <c r="S75" s="10">
        <f t="shared" si="19"/>
        <v>0.18187314015813227</v>
      </c>
    </row>
    <row r="76" spans="1:19" x14ac:dyDescent="0.25">
      <c r="A76" s="5" t="s">
        <v>8</v>
      </c>
      <c r="B76" s="5" t="s">
        <v>217</v>
      </c>
      <c r="C76" s="5" t="s">
        <v>27</v>
      </c>
      <c r="D76" s="5" t="s">
        <v>385</v>
      </c>
      <c r="E76" s="5" t="s">
        <v>387</v>
      </c>
      <c r="F76" s="5" t="s">
        <v>52</v>
      </c>
      <c r="G76" s="5" t="s">
        <v>394</v>
      </c>
      <c r="H76" s="5" t="s">
        <v>56</v>
      </c>
      <c r="I76" s="5" t="s">
        <v>151</v>
      </c>
      <c r="J76" s="15">
        <v>3100</v>
      </c>
      <c r="K76" s="7">
        <v>34.1</v>
      </c>
      <c r="L76" s="7">
        <f t="shared" si="14"/>
        <v>90.909090909090907</v>
      </c>
      <c r="M76" s="5" t="s">
        <v>10</v>
      </c>
      <c r="N76" s="5">
        <v>4</v>
      </c>
      <c r="O76" s="6">
        <f t="shared" si="15"/>
        <v>16.012396694214875</v>
      </c>
      <c r="P76" s="6">
        <f t="shared" si="16"/>
        <v>1.6652892561983468</v>
      </c>
      <c r="Q76" s="10">
        <f t="shared" si="17"/>
        <v>3.4693526170798898E-2</v>
      </c>
      <c r="R76" s="10">
        <f t="shared" si="18"/>
        <v>0.12727390813293155</v>
      </c>
      <c r="S76" s="10">
        <f t="shared" si="19"/>
        <v>0.16196743430373045</v>
      </c>
    </row>
    <row r="77" spans="1:19" x14ac:dyDescent="0.25">
      <c r="A77" s="5" t="s">
        <v>22</v>
      </c>
      <c r="B77" s="5" t="s">
        <v>63</v>
      </c>
      <c r="C77" s="5" t="s">
        <v>27</v>
      </c>
      <c r="D77" s="5" t="s">
        <v>385</v>
      </c>
      <c r="E77" s="5" t="s">
        <v>387</v>
      </c>
      <c r="F77" s="5" t="s">
        <v>52</v>
      </c>
      <c r="G77" s="5" t="s">
        <v>394</v>
      </c>
      <c r="H77" s="5" t="s">
        <v>106</v>
      </c>
      <c r="I77" s="5" t="s">
        <v>107</v>
      </c>
      <c r="J77" s="15">
        <v>1025</v>
      </c>
      <c r="K77" s="7">
        <v>23.5</v>
      </c>
      <c r="L77" s="7">
        <f t="shared" si="14"/>
        <v>43.617021276595743</v>
      </c>
      <c r="M77" s="5" t="s">
        <v>10</v>
      </c>
      <c r="N77" s="5">
        <v>4</v>
      </c>
      <c r="O77" s="6">
        <f t="shared" si="15"/>
        <v>1.2187535366681754</v>
      </c>
      <c r="P77" s="6">
        <f t="shared" si="16"/>
        <v>0.12675036781349025</v>
      </c>
      <c r="Q77" s="10">
        <f t="shared" si="17"/>
        <v>2.640632662781047E-3</v>
      </c>
      <c r="R77" s="10">
        <f t="shared" si="18"/>
        <v>1.8443105096462079E-2</v>
      </c>
      <c r="S77" s="10">
        <f t="shared" si="19"/>
        <v>2.1083737759243125E-2</v>
      </c>
    </row>
    <row r="78" spans="1:19" x14ac:dyDescent="0.25">
      <c r="A78" s="5" t="s">
        <v>8</v>
      </c>
      <c r="B78" s="5" t="s">
        <v>154</v>
      </c>
      <c r="C78" s="5" t="s">
        <v>27</v>
      </c>
      <c r="D78" s="5" t="s">
        <v>385</v>
      </c>
      <c r="E78" s="5" t="s">
        <v>387</v>
      </c>
      <c r="F78" s="5" t="s">
        <v>52</v>
      </c>
      <c r="G78" s="5" t="s">
        <v>394</v>
      </c>
      <c r="H78" s="5" t="s">
        <v>108</v>
      </c>
      <c r="I78" s="5" t="s">
        <v>155</v>
      </c>
      <c r="J78" s="15">
        <v>1570</v>
      </c>
      <c r="K78" s="7">
        <v>32.5</v>
      </c>
      <c r="L78" s="7">
        <f t="shared" ref="L78:L109" si="20">J78/K78</f>
        <v>48.307692307692307</v>
      </c>
      <c r="M78" s="5" t="s">
        <v>10</v>
      </c>
      <c r="N78" s="5">
        <v>4</v>
      </c>
      <c r="O78" s="6">
        <f t="shared" ref="O78:O109" si="21">(J78*L78^2)/(1.6*10^6)</f>
        <v>2.2898775147928991</v>
      </c>
      <c r="P78" s="6">
        <f t="shared" ref="P78:P109" si="22">(0.104*J78*L78^2)/(1.6*10^6)</f>
        <v>0.2381472615384615</v>
      </c>
      <c r="Q78" s="10">
        <f t="shared" ref="Q78:Q109" si="23">(0.104*O78)/(12*N78)</f>
        <v>4.9614012820512815E-3</v>
      </c>
      <c r="R78" s="10">
        <f t="shared" ref="R78:R109" si="24">0.0159*O78^0.75</f>
        <v>2.9597587543075777E-2</v>
      </c>
      <c r="S78" s="10">
        <f t="shared" ref="S78:S109" si="25">Q78+R78</f>
        <v>3.4558988825127056E-2</v>
      </c>
    </row>
    <row r="79" spans="1:19" x14ac:dyDescent="0.25">
      <c r="A79" s="5" t="s">
        <v>22</v>
      </c>
      <c r="B79" s="5" t="s">
        <v>63</v>
      </c>
      <c r="C79" s="5" t="s">
        <v>27</v>
      </c>
      <c r="D79" s="5" t="s">
        <v>385</v>
      </c>
      <c r="E79" s="5" t="s">
        <v>387</v>
      </c>
      <c r="F79" s="5" t="s">
        <v>112</v>
      </c>
      <c r="G79" s="5" t="s">
        <v>395</v>
      </c>
      <c r="H79" s="5" t="s">
        <v>131</v>
      </c>
      <c r="I79" s="5" t="s">
        <v>132</v>
      </c>
      <c r="J79" s="15">
        <v>1175</v>
      </c>
      <c r="K79" s="7">
        <v>40</v>
      </c>
      <c r="L79" s="7">
        <f t="shared" si="20"/>
        <v>29.375</v>
      </c>
      <c r="M79" s="5" t="s">
        <v>10</v>
      </c>
      <c r="N79" s="5">
        <v>4</v>
      </c>
      <c r="O79" s="6">
        <f t="shared" si="21"/>
        <v>0.63368530273437496</v>
      </c>
      <c r="P79" s="6">
        <f t="shared" si="22"/>
        <v>6.5903271484374998E-2</v>
      </c>
      <c r="Q79" s="10">
        <f t="shared" si="23"/>
        <v>1.3729848225911459E-3</v>
      </c>
      <c r="R79" s="10">
        <f t="shared" si="24"/>
        <v>1.1292818553521496E-2</v>
      </c>
      <c r="S79" s="10">
        <f t="shared" si="25"/>
        <v>1.2665803376112641E-2</v>
      </c>
    </row>
    <row r="80" spans="1:19" x14ac:dyDescent="0.25">
      <c r="A80" s="5" t="s">
        <v>22</v>
      </c>
      <c r="B80" s="5" t="s">
        <v>63</v>
      </c>
      <c r="C80" s="5" t="s">
        <v>27</v>
      </c>
      <c r="D80" s="5" t="s">
        <v>385</v>
      </c>
      <c r="E80" s="5" t="s">
        <v>387</v>
      </c>
      <c r="F80" s="5" t="s">
        <v>112</v>
      </c>
      <c r="G80" s="5" t="s">
        <v>395</v>
      </c>
      <c r="H80" s="5" t="s">
        <v>129</v>
      </c>
      <c r="I80" s="5" t="s">
        <v>130</v>
      </c>
      <c r="J80" s="15">
        <v>2750</v>
      </c>
      <c r="K80" s="7">
        <v>41.5</v>
      </c>
      <c r="L80" s="7">
        <f t="shared" si="20"/>
        <v>66.265060240963862</v>
      </c>
      <c r="M80" s="5" t="s">
        <v>10</v>
      </c>
      <c r="N80" s="5">
        <v>4</v>
      </c>
      <c r="O80" s="6">
        <f t="shared" si="21"/>
        <v>7.5471312962694164</v>
      </c>
      <c r="P80" s="6">
        <f t="shared" si="22"/>
        <v>0.78490165481201923</v>
      </c>
      <c r="Q80" s="10">
        <f t="shared" si="23"/>
        <v>1.6352117808583734E-2</v>
      </c>
      <c r="R80" s="10">
        <f t="shared" si="24"/>
        <v>7.2399164332052277E-2</v>
      </c>
      <c r="S80" s="10">
        <f t="shared" si="25"/>
        <v>8.8751282140636018E-2</v>
      </c>
    </row>
    <row r="81" spans="1:19" x14ac:dyDescent="0.25">
      <c r="A81" s="5" t="s">
        <v>22</v>
      </c>
      <c r="B81" s="5" t="s">
        <v>63</v>
      </c>
      <c r="C81" s="5" t="s">
        <v>27</v>
      </c>
      <c r="D81" s="5" t="s">
        <v>385</v>
      </c>
      <c r="E81" s="5" t="s">
        <v>387</v>
      </c>
      <c r="F81" s="5" t="s">
        <v>112</v>
      </c>
      <c r="G81" s="5" t="s">
        <v>395</v>
      </c>
      <c r="H81" s="5" t="s">
        <v>123</v>
      </c>
      <c r="I81" s="5" t="s">
        <v>124</v>
      </c>
      <c r="J81" s="15">
        <v>1900</v>
      </c>
      <c r="K81" s="7">
        <v>31</v>
      </c>
      <c r="L81" s="7">
        <f t="shared" si="20"/>
        <v>61.29032258064516</v>
      </c>
      <c r="M81" s="5" t="s">
        <v>10</v>
      </c>
      <c r="N81" s="5">
        <v>4</v>
      </c>
      <c r="O81" s="6">
        <f t="shared" si="21"/>
        <v>4.4608480749219561</v>
      </c>
      <c r="P81" s="6">
        <f t="shared" si="22"/>
        <v>0.46392819979188343</v>
      </c>
      <c r="Q81" s="10">
        <f t="shared" si="23"/>
        <v>9.6651708289975709E-3</v>
      </c>
      <c r="R81" s="10">
        <f t="shared" si="24"/>
        <v>4.8804537187392021E-2</v>
      </c>
      <c r="S81" s="10">
        <f t="shared" si="25"/>
        <v>5.8469708016389593E-2</v>
      </c>
    </row>
    <row r="82" spans="1:19" x14ac:dyDescent="0.25">
      <c r="A82" s="5" t="s">
        <v>22</v>
      </c>
      <c r="B82" s="5" t="s">
        <v>63</v>
      </c>
      <c r="C82" s="5" t="s">
        <v>27</v>
      </c>
      <c r="D82" s="5" t="s">
        <v>385</v>
      </c>
      <c r="E82" s="5" t="s">
        <v>387</v>
      </c>
      <c r="F82" s="5" t="s">
        <v>112</v>
      </c>
      <c r="G82" s="5" t="s">
        <v>395</v>
      </c>
      <c r="H82" s="5" t="s">
        <v>127</v>
      </c>
      <c r="I82" s="5" t="s">
        <v>128</v>
      </c>
      <c r="J82" s="15">
        <v>2730</v>
      </c>
      <c r="K82" s="7">
        <v>35.5</v>
      </c>
      <c r="L82" s="7">
        <f t="shared" si="20"/>
        <v>76.901408450704224</v>
      </c>
      <c r="M82" s="5" t="s">
        <v>10</v>
      </c>
      <c r="N82" s="5">
        <v>4</v>
      </c>
      <c r="O82" s="6">
        <f t="shared" si="21"/>
        <v>10.09046667327911</v>
      </c>
      <c r="P82" s="6">
        <f t="shared" si="22"/>
        <v>1.0494085340210273</v>
      </c>
      <c r="Q82" s="10">
        <f t="shared" si="23"/>
        <v>2.1862677792104736E-2</v>
      </c>
      <c r="R82" s="10">
        <f t="shared" si="24"/>
        <v>9.0018249545225748E-2</v>
      </c>
      <c r="S82" s="10">
        <f t="shared" si="25"/>
        <v>0.11188092733733049</v>
      </c>
    </row>
    <row r="83" spans="1:19" x14ac:dyDescent="0.25">
      <c r="A83" s="5" t="s">
        <v>8</v>
      </c>
      <c r="B83" s="5" t="s">
        <v>333</v>
      </c>
      <c r="C83" s="5" t="s">
        <v>27</v>
      </c>
      <c r="D83" s="5" t="s">
        <v>385</v>
      </c>
      <c r="E83" s="5" t="s">
        <v>387</v>
      </c>
      <c r="F83" s="5" t="s">
        <v>112</v>
      </c>
      <c r="G83" s="5" t="s">
        <v>395</v>
      </c>
      <c r="H83" s="5" t="s">
        <v>127</v>
      </c>
      <c r="I83" s="5" t="s">
        <v>335</v>
      </c>
      <c r="J83" s="15">
        <v>2210</v>
      </c>
      <c r="K83" s="7">
        <v>28.6</v>
      </c>
      <c r="L83" s="7">
        <f t="shared" si="20"/>
        <v>77.272727272727266</v>
      </c>
      <c r="M83" s="5" t="s">
        <v>10</v>
      </c>
      <c r="N83" s="5">
        <v>4</v>
      </c>
      <c r="O83" s="6">
        <f t="shared" si="21"/>
        <v>8.2475464876033033</v>
      </c>
      <c r="P83" s="6">
        <f t="shared" si="22"/>
        <v>0.85774483471074359</v>
      </c>
      <c r="Q83" s="10">
        <f t="shared" si="23"/>
        <v>1.7869684056473822E-2</v>
      </c>
      <c r="R83" s="10">
        <f t="shared" si="24"/>
        <v>7.7382134205359915E-2</v>
      </c>
      <c r="S83" s="10">
        <f t="shared" si="25"/>
        <v>9.5251818261833737E-2</v>
      </c>
    </row>
    <row r="84" spans="1:19" x14ac:dyDescent="0.25">
      <c r="A84" s="5" t="s">
        <v>8</v>
      </c>
      <c r="B84" s="5" t="s">
        <v>239</v>
      </c>
      <c r="C84" s="5" t="s">
        <v>27</v>
      </c>
      <c r="D84" s="5" t="s">
        <v>385</v>
      </c>
      <c r="E84" s="5" t="s">
        <v>387</v>
      </c>
      <c r="F84" s="5" t="s">
        <v>112</v>
      </c>
      <c r="G84" s="5" t="s">
        <v>395</v>
      </c>
      <c r="H84" s="5" t="s">
        <v>127</v>
      </c>
      <c r="I84" s="5" t="s">
        <v>240</v>
      </c>
      <c r="J84" s="15">
        <v>2800</v>
      </c>
      <c r="K84" s="7">
        <v>34.299999999999997</v>
      </c>
      <c r="L84" s="7">
        <f t="shared" si="20"/>
        <v>81.632653061224502</v>
      </c>
      <c r="M84" s="5" t="s">
        <v>10</v>
      </c>
      <c r="N84" s="5">
        <v>4</v>
      </c>
      <c r="O84" s="6">
        <f t="shared" si="21"/>
        <v>11.661807580174932</v>
      </c>
      <c r="P84" s="6">
        <f t="shared" si="22"/>
        <v>1.2128279883381927</v>
      </c>
      <c r="Q84" s="10">
        <f t="shared" si="23"/>
        <v>2.5267249757045685E-2</v>
      </c>
      <c r="R84" s="10">
        <f t="shared" si="24"/>
        <v>0.10033940647782641</v>
      </c>
      <c r="S84" s="10">
        <f t="shared" si="25"/>
        <v>0.1256066562348721</v>
      </c>
    </row>
    <row r="85" spans="1:19" x14ac:dyDescent="0.25">
      <c r="A85" s="5" t="s">
        <v>8</v>
      </c>
      <c r="B85" s="5" t="s">
        <v>333</v>
      </c>
      <c r="C85" s="5" t="s">
        <v>27</v>
      </c>
      <c r="D85" s="5" t="s">
        <v>385</v>
      </c>
      <c r="E85" s="5" t="s">
        <v>387</v>
      </c>
      <c r="F85" s="5" t="s">
        <v>112</v>
      </c>
      <c r="G85" s="5" t="s">
        <v>395</v>
      </c>
      <c r="H85" s="5" t="s">
        <v>127</v>
      </c>
      <c r="I85" s="5" t="s">
        <v>240</v>
      </c>
      <c r="J85" s="15">
        <v>2630</v>
      </c>
      <c r="K85" s="7">
        <v>31.3</v>
      </c>
      <c r="L85" s="7">
        <f t="shared" si="20"/>
        <v>84.025559105431313</v>
      </c>
      <c r="M85" s="5" t="s">
        <v>10</v>
      </c>
      <c r="N85" s="5">
        <v>4</v>
      </c>
      <c r="O85" s="6">
        <f t="shared" si="21"/>
        <v>11.60535922077392</v>
      </c>
      <c r="P85" s="6">
        <f t="shared" si="22"/>
        <v>1.2069573589604874</v>
      </c>
      <c r="Q85" s="10">
        <f t="shared" si="23"/>
        <v>2.5144944978343492E-2</v>
      </c>
      <c r="R85" s="10">
        <f t="shared" si="24"/>
        <v>9.9974919960367822E-2</v>
      </c>
      <c r="S85" s="10">
        <f t="shared" si="25"/>
        <v>0.1251198649387113</v>
      </c>
    </row>
    <row r="86" spans="1:19" x14ac:dyDescent="0.25">
      <c r="A86" s="5" t="s">
        <v>8</v>
      </c>
      <c r="B86" s="5" t="s">
        <v>281</v>
      </c>
      <c r="C86" s="5" t="s">
        <v>27</v>
      </c>
      <c r="D86" s="5" t="s">
        <v>385</v>
      </c>
      <c r="E86" s="5" t="s">
        <v>387</v>
      </c>
      <c r="F86" s="5" t="s">
        <v>112</v>
      </c>
      <c r="G86" s="5" t="s">
        <v>395</v>
      </c>
      <c r="H86" s="5" t="s">
        <v>127</v>
      </c>
      <c r="I86" s="5" t="s">
        <v>283</v>
      </c>
      <c r="J86" s="15">
        <v>2700</v>
      </c>
      <c r="K86" s="7">
        <v>35.5</v>
      </c>
      <c r="L86" s="7">
        <f t="shared" si="20"/>
        <v>76.056338028169009</v>
      </c>
      <c r="M86" s="5" t="s">
        <v>10</v>
      </c>
      <c r="N86" s="5">
        <v>4</v>
      </c>
      <c r="O86" s="6">
        <f t="shared" si="21"/>
        <v>9.761456060305493</v>
      </c>
      <c r="P86" s="6">
        <f t="shared" si="22"/>
        <v>1.0151914302717713</v>
      </c>
      <c r="Q86" s="10">
        <f t="shared" si="23"/>
        <v>2.1149821463995234E-2</v>
      </c>
      <c r="R86" s="10">
        <f t="shared" si="24"/>
        <v>8.7807796146606665E-2</v>
      </c>
      <c r="S86" s="10">
        <f t="shared" si="25"/>
        <v>0.1089576176106019</v>
      </c>
    </row>
    <row r="87" spans="1:19" x14ac:dyDescent="0.25">
      <c r="A87" s="5" t="s">
        <v>8</v>
      </c>
      <c r="B87" s="5" t="s">
        <v>333</v>
      </c>
      <c r="C87" s="5" t="s">
        <v>27</v>
      </c>
      <c r="D87" s="5" t="s">
        <v>385</v>
      </c>
      <c r="E87" s="5" t="s">
        <v>387</v>
      </c>
      <c r="F87" s="5" t="s">
        <v>112</v>
      </c>
      <c r="G87" s="5" t="s">
        <v>395</v>
      </c>
      <c r="H87" s="5" t="s">
        <v>127</v>
      </c>
      <c r="I87" s="5" t="s">
        <v>334</v>
      </c>
      <c r="J87" s="15">
        <v>2470</v>
      </c>
      <c r="K87" s="7">
        <v>32.4</v>
      </c>
      <c r="L87" s="7">
        <f t="shared" si="20"/>
        <v>76.23456790123457</v>
      </c>
      <c r="M87" s="5" t="s">
        <v>10</v>
      </c>
      <c r="N87" s="5">
        <v>4</v>
      </c>
      <c r="O87" s="6">
        <f t="shared" si="21"/>
        <v>8.9718262983920134</v>
      </c>
      <c r="P87" s="6">
        <f t="shared" si="22"/>
        <v>0.93306993503276947</v>
      </c>
      <c r="Q87" s="10">
        <f t="shared" si="23"/>
        <v>1.9438956979849362E-2</v>
      </c>
      <c r="R87" s="10">
        <f t="shared" si="24"/>
        <v>8.2424774346458729E-2</v>
      </c>
      <c r="S87" s="10">
        <f t="shared" si="25"/>
        <v>0.10186373132630809</v>
      </c>
    </row>
    <row r="88" spans="1:19" x14ac:dyDescent="0.25">
      <c r="A88" s="5" t="s">
        <v>8</v>
      </c>
      <c r="B88" s="5" t="s">
        <v>156</v>
      </c>
      <c r="C88" s="5" t="s">
        <v>27</v>
      </c>
      <c r="D88" s="5" t="s">
        <v>385</v>
      </c>
      <c r="E88" s="5" t="s">
        <v>387</v>
      </c>
      <c r="F88" s="5" t="s">
        <v>112</v>
      </c>
      <c r="G88" s="5" t="s">
        <v>395</v>
      </c>
      <c r="H88" s="5" t="s">
        <v>127</v>
      </c>
      <c r="I88" s="5" t="s">
        <v>160</v>
      </c>
      <c r="J88" s="15">
        <v>2119</v>
      </c>
      <c r="K88" s="7">
        <v>36</v>
      </c>
      <c r="L88" s="7">
        <f t="shared" si="20"/>
        <v>58.861111111111114</v>
      </c>
      <c r="M88" s="5" t="s">
        <v>10</v>
      </c>
      <c r="N88" s="5">
        <v>4</v>
      </c>
      <c r="O88" s="6">
        <f t="shared" si="21"/>
        <v>4.5884698876350312</v>
      </c>
      <c r="P88" s="6">
        <f t="shared" si="22"/>
        <v>0.47720086831404318</v>
      </c>
      <c r="Q88" s="10">
        <f t="shared" si="23"/>
        <v>9.9416847565425674E-3</v>
      </c>
      <c r="R88" s="10">
        <f t="shared" si="24"/>
        <v>4.9848034494641785E-2</v>
      </c>
      <c r="S88" s="10">
        <f t="shared" si="25"/>
        <v>5.9789719251184356E-2</v>
      </c>
    </row>
    <row r="89" spans="1:19" x14ac:dyDescent="0.25">
      <c r="A89" s="5" t="s">
        <v>22</v>
      </c>
      <c r="B89" s="5" t="s">
        <v>63</v>
      </c>
      <c r="C89" s="5" t="s">
        <v>27</v>
      </c>
      <c r="D89" s="5" t="s">
        <v>385</v>
      </c>
      <c r="E89" s="5" t="s">
        <v>387</v>
      </c>
      <c r="F89" s="5" t="s">
        <v>112</v>
      </c>
      <c r="G89" s="5" t="s">
        <v>395</v>
      </c>
      <c r="H89" s="5" t="s">
        <v>125</v>
      </c>
      <c r="I89" s="5" t="s">
        <v>126</v>
      </c>
      <c r="J89" s="15">
        <v>1150</v>
      </c>
      <c r="K89" s="7">
        <v>22.5</v>
      </c>
      <c r="L89" s="7">
        <f t="shared" si="20"/>
        <v>51.111111111111114</v>
      </c>
      <c r="M89" s="5" t="s">
        <v>10</v>
      </c>
      <c r="N89" s="5">
        <v>4</v>
      </c>
      <c r="O89" s="6">
        <f t="shared" si="21"/>
        <v>1.8776234567901235</v>
      </c>
      <c r="P89" s="6">
        <f t="shared" si="22"/>
        <v>0.19527283950617286</v>
      </c>
      <c r="Q89" s="10">
        <f t="shared" si="23"/>
        <v>4.0681841563786009E-3</v>
      </c>
      <c r="R89" s="10">
        <f t="shared" si="24"/>
        <v>2.5503718193814025E-2</v>
      </c>
      <c r="S89" s="10">
        <f t="shared" si="25"/>
        <v>2.9571902350192626E-2</v>
      </c>
    </row>
    <row r="90" spans="1:19" x14ac:dyDescent="0.25">
      <c r="A90" s="5" t="s">
        <v>22</v>
      </c>
      <c r="B90" s="5" t="s">
        <v>63</v>
      </c>
      <c r="C90" s="5" t="s">
        <v>27</v>
      </c>
      <c r="D90" s="5" t="s">
        <v>385</v>
      </c>
      <c r="E90" s="5" t="s">
        <v>387</v>
      </c>
      <c r="F90" s="5" t="s">
        <v>112</v>
      </c>
      <c r="G90" s="5" t="s">
        <v>391</v>
      </c>
      <c r="H90" s="5" t="s">
        <v>117</v>
      </c>
      <c r="I90" s="5" t="s">
        <v>118</v>
      </c>
      <c r="J90" s="15">
        <v>570</v>
      </c>
      <c r="K90" s="7">
        <v>20</v>
      </c>
      <c r="L90" s="7">
        <f t="shared" si="20"/>
        <v>28.5</v>
      </c>
      <c r="M90" s="5" t="s">
        <v>10</v>
      </c>
      <c r="N90" s="5">
        <v>4</v>
      </c>
      <c r="O90" s="6">
        <f t="shared" si="21"/>
        <v>0.28936406250000002</v>
      </c>
      <c r="P90" s="6">
        <f t="shared" si="22"/>
        <v>3.0093862499999995E-2</v>
      </c>
      <c r="Q90" s="10">
        <f t="shared" si="23"/>
        <v>6.2695546875000008E-4</v>
      </c>
      <c r="R90" s="10">
        <f t="shared" si="24"/>
        <v>6.2730762879062542E-3</v>
      </c>
      <c r="S90" s="10">
        <f t="shared" si="25"/>
        <v>6.9000317566562542E-3</v>
      </c>
    </row>
    <row r="91" spans="1:19" x14ac:dyDescent="0.25">
      <c r="A91" s="5" t="s">
        <v>22</v>
      </c>
      <c r="B91" s="5" t="s">
        <v>63</v>
      </c>
      <c r="C91" s="5" t="s">
        <v>27</v>
      </c>
      <c r="D91" s="5" t="s">
        <v>385</v>
      </c>
      <c r="E91" s="5" t="s">
        <v>387</v>
      </c>
      <c r="F91" s="5" t="s">
        <v>112</v>
      </c>
      <c r="G91" s="5" t="s">
        <v>391</v>
      </c>
      <c r="H91" s="5" t="s">
        <v>122</v>
      </c>
      <c r="I91" s="5" t="s">
        <v>19</v>
      </c>
      <c r="J91" s="15">
        <v>1200</v>
      </c>
      <c r="K91" s="7">
        <v>42</v>
      </c>
      <c r="L91" s="7">
        <f t="shared" si="20"/>
        <v>28.571428571428573</v>
      </c>
      <c r="M91" s="5" t="s">
        <v>10</v>
      </c>
      <c r="N91" s="5">
        <v>4</v>
      </c>
      <c r="O91" s="6">
        <f t="shared" si="21"/>
        <v>0.61224489795918369</v>
      </c>
      <c r="P91" s="6">
        <f t="shared" si="22"/>
        <v>6.3673469387755102E-2</v>
      </c>
      <c r="Q91" s="10">
        <f t="shared" si="23"/>
        <v>1.326530612244898E-3</v>
      </c>
      <c r="R91" s="10">
        <f t="shared" si="24"/>
        <v>1.1005024287086839E-2</v>
      </c>
      <c r="S91" s="10">
        <f t="shared" si="25"/>
        <v>1.2331554899331737E-2</v>
      </c>
    </row>
    <row r="92" spans="1:19" x14ac:dyDescent="0.25">
      <c r="A92" s="5" t="s">
        <v>22</v>
      </c>
      <c r="B92" s="5" t="s">
        <v>63</v>
      </c>
      <c r="C92" s="5" t="s">
        <v>27</v>
      </c>
      <c r="D92" s="5" t="s">
        <v>385</v>
      </c>
      <c r="E92" s="5" t="s">
        <v>387</v>
      </c>
      <c r="F92" s="5" t="s">
        <v>112</v>
      </c>
      <c r="G92" s="5" t="s">
        <v>391</v>
      </c>
      <c r="H92" s="5" t="s">
        <v>53</v>
      </c>
      <c r="I92" s="5" t="s">
        <v>143</v>
      </c>
      <c r="J92" s="15">
        <v>2360</v>
      </c>
      <c r="K92" s="7">
        <v>39.5</v>
      </c>
      <c r="L92" s="7">
        <f t="shared" si="20"/>
        <v>59.746835443037973</v>
      </c>
      <c r="M92" s="5" t="s">
        <v>10</v>
      </c>
      <c r="N92" s="5">
        <v>4</v>
      </c>
      <c r="O92" s="6">
        <f t="shared" si="21"/>
        <v>5.2652844095497517</v>
      </c>
      <c r="P92" s="6">
        <f t="shared" si="22"/>
        <v>0.54758957859317414</v>
      </c>
      <c r="Q92" s="10">
        <f t="shared" si="23"/>
        <v>1.1408116220691128E-2</v>
      </c>
      <c r="R92" s="10">
        <f t="shared" si="24"/>
        <v>5.5266695818139089E-2</v>
      </c>
      <c r="S92" s="10">
        <f t="shared" si="25"/>
        <v>6.6674812038830217E-2</v>
      </c>
    </row>
    <row r="93" spans="1:19" x14ac:dyDescent="0.25">
      <c r="A93" s="5" t="s">
        <v>8</v>
      </c>
      <c r="B93" s="5" t="s">
        <v>363</v>
      </c>
      <c r="C93" s="5" t="s">
        <v>27</v>
      </c>
      <c r="D93" s="5" t="s">
        <v>385</v>
      </c>
      <c r="E93" s="5" t="s">
        <v>387</v>
      </c>
      <c r="F93" s="5" t="s">
        <v>112</v>
      </c>
      <c r="G93" s="5" t="s">
        <v>391</v>
      </c>
      <c r="H93" s="5" t="s">
        <v>53</v>
      </c>
      <c r="I93" s="5" t="s">
        <v>167</v>
      </c>
      <c r="J93" s="15">
        <v>2300</v>
      </c>
      <c r="K93" s="7">
        <v>26.3</v>
      </c>
      <c r="L93" s="7">
        <f t="shared" si="20"/>
        <v>87.452471482889734</v>
      </c>
      <c r="M93" s="5" t="s">
        <v>10</v>
      </c>
      <c r="N93" s="5">
        <v>4</v>
      </c>
      <c r="O93" s="6">
        <f t="shared" si="21"/>
        <v>10.993906229669362</v>
      </c>
      <c r="P93" s="6">
        <f t="shared" si="22"/>
        <v>1.1433662478856135</v>
      </c>
      <c r="Q93" s="10">
        <f t="shared" si="23"/>
        <v>2.3820130164283613E-2</v>
      </c>
      <c r="R93" s="10">
        <f t="shared" si="24"/>
        <v>9.5997770223245141E-2</v>
      </c>
      <c r="S93" s="10">
        <f t="shared" si="25"/>
        <v>0.11981790038752875</v>
      </c>
    </row>
    <row r="94" spans="1:19" x14ac:dyDescent="0.25">
      <c r="A94" s="5" t="s">
        <v>8</v>
      </c>
      <c r="B94" s="5" t="s">
        <v>347</v>
      </c>
      <c r="C94" s="5" t="s">
        <v>27</v>
      </c>
      <c r="D94" s="5" t="s">
        <v>385</v>
      </c>
      <c r="E94" s="5" t="s">
        <v>387</v>
      </c>
      <c r="F94" s="5" t="s">
        <v>112</v>
      </c>
      <c r="G94" s="5" t="s">
        <v>391</v>
      </c>
      <c r="H94" s="5" t="s">
        <v>53</v>
      </c>
      <c r="I94" s="5" t="s">
        <v>348</v>
      </c>
      <c r="J94" s="15">
        <v>1750</v>
      </c>
      <c r="K94" s="7">
        <v>38</v>
      </c>
      <c r="L94" s="7">
        <f t="shared" si="20"/>
        <v>46.05263157894737</v>
      </c>
      <c r="M94" s="5" t="s">
        <v>10</v>
      </c>
      <c r="N94" s="5">
        <v>4</v>
      </c>
      <c r="O94" s="6">
        <f t="shared" si="21"/>
        <v>2.3196740824099722</v>
      </c>
      <c r="P94" s="6">
        <f t="shared" si="22"/>
        <v>0.24124610457063711</v>
      </c>
      <c r="Q94" s="10">
        <f t="shared" si="23"/>
        <v>5.0259605118882734E-3</v>
      </c>
      <c r="R94" s="10">
        <f t="shared" si="24"/>
        <v>2.988596970978951E-2</v>
      </c>
      <c r="S94" s="10">
        <f t="shared" si="25"/>
        <v>3.4911930221677781E-2</v>
      </c>
    </row>
    <row r="95" spans="1:19" x14ac:dyDescent="0.25">
      <c r="A95" s="5" t="s">
        <v>8</v>
      </c>
      <c r="B95" s="5" t="s">
        <v>347</v>
      </c>
      <c r="C95" s="5" t="s">
        <v>27</v>
      </c>
      <c r="D95" s="5" t="s">
        <v>385</v>
      </c>
      <c r="E95" s="5" t="s">
        <v>387</v>
      </c>
      <c r="F95" s="5" t="s">
        <v>112</v>
      </c>
      <c r="G95" s="5" t="s">
        <v>391</v>
      </c>
      <c r="H95" s="5" t="s">
        <v>53</v>
      </c>
      <c r="I95" s="5" t="s">
        <v>348</v>
      </c>
      <c r="J95" s="15">
        <v>1450</v>
      </c>
      <c r="K95" s="7">
        <v>30</v>
      </c>
      <c r="L95" s="7">
        <f t="shared" si="20"/>
        <v>48.333333333333336</v>
      </c>
      <c r="M95" s="5" t="s">
        <v>10</v>
      </c>
      <c r="N95" s="5">
        <v>4</v>
      </c>
      <c r="O95" s="6">
        <f t="shared" si="21"/>
        <v>2.1171006944444448</v>
      </c>
      <c r="P95" s="6">
        <f t="shared" si="22"/>
        <v>0.22017847222222223</v>
      </c>
      <c r="Q95" s="10">
        <f t="shared" si="23"/>
        <v>4.5870515046296306E-3</v>
      </c>
      <c r="R95" s="10">
        <f t="shared" si="24"/>
        <v>2.7906364358137148E-2</v>
      </c>
      <c r="S95" s="10">
        <f t="shared" si="25"/>
        <v>3.2493415862766779E-2</v>
      </c>
    </row>
    <row r="96" spans="1:19" x14ac:dyDescent="0.25">
      <c r="A96" s="5" t="s">
        <v>8</v>
      </c>
      <c r="B96" s="5" t="s">
        <v>350</v>
      </c>
      <c r="C96" s="5" t="s">
        <v>27</v>
      </c>
      <c r="D96" s="5" t="s">
        <v>385</v>
      </c>
      <c r="E96" s="5" t="s">
        <v>387</v>
      </c>
      <c r="F96" s="5" t="s">
        <v>112</v>
      </c>
      <c r="G96" s="5" t="s">
        <v>391</v>
      </c>
      <c r="H96" s="5" t="s">
        <v>53</v>
      </c>
      <c r="I96" s="5" t="s">
        <v>349</v>
      </c>
      <c r="J96" s="15">
        <v>2650</v>
      </c>
      <c r="K96" s="7">
        <v>40</v>
      </c>
      <c r="L96" s="7">
        <f t="shared" si="20"/>
        <v>66.25</v>
      </c>
      <c r="M96" s="5" t="s">
        <v>10</v>
      </c>
      <c r="N96" s="5">
        <v>4</v>
      </c>
      <c r="O96" s="6">
        <f t="shared" si="21"/>
        <v>7.2693847656250004</v>
      </c>
      <c r="P96" s="6">
        <f t="shared" si="22"/>
        <v>0.75601601562499987</v>
      </c>
      <c r="Q96" s="10">
        <f t="shared" si="23"/>
        <v>1.5750333658854167E-2</v>
      </c>
      <c r="R96" s="10">
        <f t="shared" si="24"/>
        <v>7.0391523800442932E-2</v>
      </c>
      <c r="S96" s="10">
        <f t="shared" si="25"/>
        <v>8.6141857459297103E-2</v>
      </c>
    </row>
    <row r="97" spans="1:19" x14ac:dyDescent="0.25">
      <c r="A97" s="5" t="s">
        <v>8</v>
      </c>
      <c r="B97" s="5" t="s">
        <v>347</v>
      </c>
      <c r="C97" s="5" t="s">
        <v>27</v>
      </c>
      <c r="D97" s="5" t="s">
        <v>385</v>
      </c>
      <c r="E97" s="5" t="s">
        <v>387</v>
      </c>
      <c r="F97" s="5" t="s">
        <v>112</v>
      </c>
      <c r="G97" s="5" t="s">
        <v>391</v>
      </c>
      <c r="H97" s="5" t="s">
        <v>53</v>
      </c>
      <c r="I97" s="5" t="s">
        <v>349</v>
      </c>
      <c r="J97" s="15">
        <v>2500</v>
      </c>
      <c r="K97" s="7">
        <v>33.700000000000003</v>
      </c>
      <c r="L97" s="7">
        <f t="shared" si="20"/>
        <v>74.183976261127597</v>
      </c>
      <c r="M97" s="5" t="s">
        <v>10</v>
      </c>
      <c r="N97" s="5">
        <v>4</v>
      </c>
      <c r="O97" s="6">
        <f t="shared" si="21"/>
        <v>8.5988473967367849</v>
      </c>
      <c r="P97" s="6">
        <f t="shared" si="22"/>
        <v>0.89428012926062572</v>
      </c>
      <c r="Q97" s="10">
        <f t="shared" si="23"/>
        <v>1.8630836026263035E-2</v>
      </c>
      <c r="R97" s="10">
        <f t="shared" si="24"/>
        <v>7.9841245929260979E-2</v>
      </c>
      <c r="S97" s="10">
        <f t="shared" si="25"/>
        <v>9.847208195552401E-2</v>
      </c>
    </row>
    <row r="98" spans="1:19" x14ac:dyDescent="0.25">
      <c r="A98" s="5" t="s">
        <v>22</v>
      </c>
      <c r="B98" s="5" t="s">
        <v>63</v>
      </c>
      <c r="C98" s="5" t="s">
        <v>27</v>
      </c>
      <c r="D98" s="5" t="s">
        <v>385</v>
      </c>
      <c r="E98" s="5" t="s">
        <v>387</v>
      </c>
      <c r="F98" s="5" t="s">
        <v>112</v>
      </c>
      <c r="G98" s="5" t="s">
        <v>391</v>
      </c>
      <c r="H98" s="5" t="s">
        <v>53</v>
      </c>
      <c r="I98" s="5" t="s">
        <v>144</v>
      </c>
      <c r="J98" s="15">
        <v>3050</v>
      </c>
      <c r="K98" s="7">
        <v>41</v>
      </c>
      <c r="L98" s="7">
        <f t="shared" si="20"/>
        <v>74.390243902439025</v>
      </c>
      <c r="M98" s="5" t="s">
        <v>10</v>
      </c>
      <c r="N98" s="5">
        <v>4</v>
      </c>
      <c r="O98" s="6">
        <f t="shared" si="21"/>
        <v>10.549012864366448</v>
      </c>
      <c r="P98" s="6">
        <f t="shared" si="22"/>
        <v>1.0970973378941107</v>
      </c>
      <c r="Q98" s="10">
        <f t="shared" si="23"/>
        <v>2.2856194539460636E-2</v>
      </c>
      <c r="R98" s="10">
        <f t="shared" si="24"/>
        <v>9.3069202129934317E-2</v>
      </c>
      <c r="S98" s="10">
        <f t="shared" si="25"/>
        <v>0.11592539666939496</v>
      </c>
    </row>
    <row r="99" spans="1:19" x14ac:dyDescent="0.25">
      <c r="A99" s="5" t="s">
        <v>8</v>
      </c>
      <c r="B99" s="5" t="s">
        <v>378</v>
      </c>
      <c r="C99" s="5" t="s">
        <v>27</v>
      </c>
      <c r="D99" s="5" t="s">
        <v>385</v>
      </c>
      <c r="E99" s="5" t="s">
        <v>387</v>
      </c>
      <c r="F99" s="5" t="s">
        <v>112</v>
      </c>
      <c r="G99" s="5" t="s">
        <v>391</v>
      </c>
      <c r="H99" s="5" t="s">
        <v>53</v>
      </c>
      <c r="I99" s="5" t="s">
        <v>144</v>
      </c>
      <c r="J99" s="15">
        <v>3100</v>
      </c>
      <c r="K99" s="7">
        <v>41</v>
      </c>
      <c r="L99" s="7">
        <f t="shared" si="20"/>
        <v>75.609756097560975</v>
      </c>
      <c r="M99" s="5" t="s">
        <v>10</v>
      </c>
      <c r="N99" s="5">
        <v>4</v>
      </c>
      <c r="O99" s="6">
        <f t="shared" si="21"/>
        <v>11.076368233194525</v>
      </c>
      <c r="P99" s="6">
        <f t="shared" si="22"/>
        <v>1.1519422962522305</v>
      </c>
      <c r="Q99" s="10">
        <f t="shared" si="23"/>
        <v>2.3998797838588135E-2</v>
      </c>
      <c r="R99" s="10">
        <f t="shared" si="24"/>
        <v>9.6537303394980123E-2</v>
      </c>
      <c r="S99" s="10">
        <f t="shared" si="25"/>
        <v>0.12053610123356825</v>
      </c>
    </row>
    <row r="100" spans="1:19" x14ac:dyDescent="0.25">
      <c r="A100" s="5" t="s">
        <v>8</v>
      </c>
      <c r="B100" s="5" t="s">
        <v>156</v>
      </c>
      <c r="C100" s="5" t="s">
        <v>27</v>
      </c>
      <c r="D100" s="5" t="s">
        <v>385</v>
      </c>
      <c r="E100" s="5" t="s">
        <v>387</v>
      </c>
      <c r="F100" s="5" t="s">
        <v>112</v>
      </c>
      <c r="G100" s="5" t="s">
        <v>391</v>
      </c>
      <c r="H100" s="5" t="s">
        <v>53</v>
      </c>
      <c r="I100" s="5" t="s">
        <v>157</v>
      </c>
      <c r="J100" s="15">
        <v>1152</v>
      </c>
      <c r="K100" s="7">
        <v>33</v>
      </c>
      <c r="L100" s="7">
        <f t="shared" si="20"/>
        <v>34.909090909090907</v>
      </c>
      <c r="M100" s="5" t="s">
        <v>10</v>
      </c>
      <c r="N100" s="5">
        <v>4</v>
      </c>
      <c r="O100" s="6">
        <f t="shared" si="21"/>
        <v>0.87742413223140481</v>
      </c>
      <c r="P100" s="6">
        <f t="shared" si="22"/>
        <v>9.1252109752066102E-2</v>
      </c>
      <c r="Q100" s="10">
        <f t="shared" si="23"/>
        <v>1.9010856198347105E-3</v>
      </c>
      <c r="R100" s="10">
        <f t="shared" si="24"/>
        <v>1.4414656759212731E-2</v>
      </c>
      <c r="S100" s="10">
        <f t="shared" si="25"/>
        <v>1.631574237904744E-2</v>
      </c>
    </row>
    <row r="101" spans="1:19" x14ac:dyDescent="0.25">
      <c r="A101" s="5" t="s">
        <v>22</v>
      </c>
      <c r="B101" s="5" t="s">
        <v>63</v>
      </c>
      <c r="C101" s="5" t="s">
        <v>27</v>
      </c>
      <c r="D101" s="5" t="s">
        <v>385</v>
      </c>
      <c r="E101" s="5" t="s">
        <v>387</v>
      </c>
      <c r="F101" s="5" t="s">
        <v>112</v>
      </c>
      <c r="G101" s="5" t="s">
        <v>391</v>
      </c>
      <c r="H101" s="5" t="s">
        <v>53</v>
      </c>
      <c r="I101" s="5" t="s">
        <v>146</v>
      </c>
      <c r="J101" s="15">
        <v>1550</v>
      </c>
      <c r="K101" s="7">
        <v>29</v>
      </c>
      <c r="L101" s="7">
        <f t="shared" si="20"/>
        <v>53.448275862068968</v>
      </c>
      <c r="M101" s="5" t="s">
        <v>10</v>
      </c>
      <c r="N101" s="5">
        <v>4</v>
      </c>
      <c r="O101" s="6">
        <f t="shared" si="21"/>
        <v>2.7674457491082052</v>
      </c>
      <c r="P101" s="6">
        <f t="shared" si="22"/>
        <v>0.28781435790725329</v>
      </c>
      <c r="Q101" s="10">
        <f t="shared" si="23"/>
        <v>5.9961324564011117E-3</v>
      </c>
      <c r="R101" s="10">
        <f t="shared" si="24"/>
        <v>3.4115870826390664E-2</v>
      </c>
      <c r="S101" s="10">
        <f t="shared" si="25"/>
        <v>4.0112003282791776E-2</v>
      </c>
    </row>
    <row r="102" spans="1:19" x14ac:dyDescent="0.25">
      <c r="A102" s="5" t="s">
        <v>22</v>
      </c>
      <c r="B102" s="5" t="s">
        <v>63</v>
      </c>
      <c r="C102" s="5" t="s">
        <v>27</v>
      </c>
      <c r="D102" s="5" t="s">
        <v>385</v>
      </c>
      <c r="E102" s="5" t="s">
        <v>387</v>
      </c>
      <c r="F102" s="5" t="s">
        <v>112</v>
      </c>
      <c r="G102" s="5" t="s">
        <v>391</v>
      </c>
      <c r="H102" s="5" t="s">
        <v>53</v>
      </c>
      <c r="I102" s="5" t="s">
        <v>113</v>
      </c>
      <c r="J102" s="15">
        <v>2900</v>
      </c>
      <c r="K102" s="7">
        <v>40</v>
      </c>
      <c r="L102" s="7">
        <f t="shared" si="20"/>
        <v>72.5</v>
      </c>
      <c r="M102" s="5" t="s">
        <v>10</v>
      </c>
      <c r="N102" s="5">
        <v>4</v>
      </c>
      <c r="O102" s="6">
        <f t="shared" si="21"/>
        <v>9.5269531250000004</v>
      </c>
      <c r="P102" s="6">
        <f t="shared" si="22"/>
        <v>0.9908031249999999</v>
      </c>
      <c r="Q102" s="10">
        <f t="shared" si="23"/>
        <v>2.0641731770833335E-2</v>
      </c>
      <c r="R102" s="10">
        <f t="shared" si="24"/>
        <v>8.6220918616187289E-2</v>
      </c>
      <c r="S102" s="10">
        <f t="shared" si="25"/>
        <v>0.10686265038702063</v>
      </c>
    </row>
    <row r="103" spans="1:19" x14ac:dyDescent="0.25">
      <c r="A103" s="5" t="s">
        <v>22</v>
      </c>
      <c r="B103" s="5" t="s">
        <v>63</v>
      </c>
      <c r="C103" s="5" t="s">
        <v>27</v>
      </c>
      <c r="D103" s="5" t="s">
        <v>385</v>
      </c>
      <c r="E103" s="5" t="s">
        <v>387</v>
      </c>
      <c r="F103" s="5" t="s">
        <v>112</v>
      </c>
      <c r="G103" s="5" t="s">
        <v>391</v>
      </c>
      <c r="H103" s="5" t="s">
        <v>53</v>
      </c>
      <c r="I103" s="5" t="s">
        <v>145</v>
      </c>
      <c r="J103" s="15">
        <v>2100</v>
      </c>
      <c r="K103" s="7">
        <v>38.5</v>
      </c>
      <c r="L103" s="7">
        <f t="shared" si="20"/>
        <v>54.545454545454547</v>
      </c>
      <c r="M103" s="5" t="s">
        <v>10</v>
      </c>
      <c r="N103" s="5">
        <v>4</v>
      </c>
      <c r="O103" s="6">
        <f t="shared" si="21"/>
        <v>3.9049586776859506</v>
      </c>
      <c r="P103" s="6">
        <f t="shared" si="22"/>
        <v>0.40611570247933887</v>
      </c>
      <c r="Q103" s="10">
        <f t="shared" si="23"/>
        <v>8.4607438016528931E-3</v>
      </c>
      <c r="R103" s="10">
        <f t="shared" si="24"/>
        <v>4.4168175137387092E-2</v>
      </c>
      <c r="S103" s="10">
        <f t="shared" si="25"/>
        <v>5.2628918939039981E-2</v>
      </c>
    </row>
    <row r="104" spans="1:19" x14ac:dyDescent="0.25">
      <c r="A104" s="5" t="s">
        <v>8</v>
      </c>
      <c r="B104" s="5" t="s">
        <v>281</v>
      </c>
      <c r="C104" s="5" t="s">
        <v>27</v>
      </c>
      <c r="D104" s="5" t="s">
        <v>385</v>
      </c>
      <c r="E104" s="5" t="s">
        <v>387</v>
      </c>
      <c r="F104" s="5" t="s">
        <v>112</v>
      </c>
      <c r="G104" s="5" t="s">
        <v>391</v>
      </c>
      <c r="H104" s="5" t="s">
        <v>53</v>
      </c>
      <c r="I104" s="5" t="s">
        <v>282</v>
      </c>
      <c r="J104" s="15">
        <v>1700</v>
      </c>
      <c r="K104" s="7">
        <v>37</v>
      </c>
      <c r="L104" s="7">
        <f t="shared" si="20"/>
        <v>45.945945945945944</v>
      </c>
      <c r="M104" s="5" t="s">
        <v>10</v>
      </c>
      <c r="N104" s="5">
        <v>4</v>
      </c>
      <c r="O104" s="6">
        <f t="shared" si="21"/>
        <v>2.2429693206720231</v>
      </c>
      <c r="P104" s="6">
        <f t="shared" si="22"/>
        <v>0.23326880934989039</v>
      </c>
      <c r="Q104" s="10">
        <f t="shared" si="23"/>
        <v>4.8597668614560495E-3</v>
      </c>
      <c r="R104" s="10">
        <f t="shared" si="24"/>
        <v>2.9141682641278973E-2</v>
      </c>
      <c r="S104" s="10">
        <f t="shared" si="25"/>
        <v>3.4001449502735023E-2</v>
      </c>
    </row>
    <row r="105" spans="1:19" x14ac:dyDescent="0.25">
      <c r="A105" s="5" t="s">
        <v>8</v>
      </c>
      <c r="B105" s="5" t="s">
        <v>322</v>
      </c>
      <c r="C105" s="5" t="s">
        <v>27</v>
      </c>
      <c r="D105" s="5" t="s">
        <v>385</v>
      </c>
      <c r="E105" s="5" t="s">
        <v>387</v>
      </c>
      <c r="F105" s="5" t="s">
        <v>112</v>
      </c>
      <c r="G105" s="5" t="s">
        <v>391</v>
      </c>
      <c r="H105" s="5" t="s">
        <v>53</v>
      </c>
      <c r="I105" s="5" t="s">
        <v>282</v>
      </c>
      <c r="J105" s="15">
        <v>2100</v>
      </c>
      <c r="K105" s="7">
        <v>29</v>
      </c>
      <c r="L105" s="7">
        <f t="shared" si="20"/>
        <v>72.41379310344827</v>
      </c>
      <c r="M105" s="5" t="s">
        <v>10</v>
      </c>
      <c r="N105" s="5">
        <v>4</v>
      </c>
      <c r="O105" s="6">
        <f t="shared" si="21"/>
        <v>6.8824316290130785</v>
      </c>
      <c r="P105" s="6">
        <f t="shared" si="22"/>
        <v>0.71577288941736017</v>
      </c>
      <c r="Q105" s="10">
        <f t="shared" si="23"/>
        <v>1.4911935196195004E-2</v>
      </c>
      <c r="R105" s="10">
        <f t="shared" si="24"/>
        <v>6.7562164336175956E-2</v>
      </c>
      <c r="S105" s="10">
        <f t="shared" si="25"/>
        <v>8.2474099532370962E-2</v>
      </c>
    </row>
    <row r="106" spans="1:19" x14ac:dyDescent="0.25">
      <c r="A106" s="5" t="s">
        <v>8</v>
      </c>
      <c r="B106" s="5" t="s">
        <v>303</v>
      </c>
      <c r="C106" s="5" t="s">
        <v>27</v>
      </c>
      <c r="D106" s="5" t="s">
        <v>385</v>
      </c>
      <c r="E106" s="5" t="s">
        <v>387</v>
      </c>
      <c r="F106" s="5" t="s">
        <v>112</v>
      </c>
      <c r="G106" s="5" t="s">
        <v>391</v>
      </c>
      <c r="H106" s="5" t="s">
        <v>53</v>
      </c>
      <c r="I106" s="5" t="s">
        <v>306</v>
      </c>
      <c r="J106" s="15">
        <v>925</v>
      </c>
      <c r="K106" s="7">
        <v>25</v>
      </c>
      <c r="L106" s="7">
        <f t="shared" si="20"/>
        <v>37</v>
      </c>
      <c r="M106" s="5" t="s">
        <v>10</v>
      </c>
      <c r="N106" s="5">
        <v>4</v>
      </c>
      <c r="O106" s="6">
        <f t="shared" si="21"/>
        <v>0.79145312499999998</v>
      </c>
      <c r="P106" s="6">
        <f t="shared" si="22"/>
        <v>8.2311124999999999E-2</v>
      </c>
      <c r="Q106" s="10">
        <f t="shared" si="23"/>
        <v>1.7148151041666666E-3</v>
      </c>
      <c r="R106" s="10">
        <f t="shared" si="24"/>
        <v>1.3341849057898118E-2</v>
      </c>
      <c r="S106" s="10">
        <f t="shared" si="25"/>
        <v>1.5056664162064784E-2</v>
      </c>
    </row>
    <row r="107" spans="1:19" x14ac:dyDescent="0.25">
      <c r="A107" s="5" t="s">
        <v>8</v>
      </c>
      <c r="B107" s="5" t="s">
        <v>303</v>
      </c>
      <c r="C107" s="5" t="s">
        <v>27</v>
      </c>
      <c r="D107" s="5" t="s">
        <v>385</v>
      </c>
      <c r="E107" s="5" t="s">
        <v>387</v>
      </c>
      <c r="F107" s="5" t="s">
        <v>112</v>
      </c>
      <c r="G107" s="5" t="s">
        <v>391</v>
      </c>
      <c r="H107" s="5" t="s">
        <v>53</v>
      </c>
      <c r="I107" s="5" t="s">
        <v>305</v>
      </c>
      <c r="J107" s="15">
        <v>3250</v>
      </c>
      <c r="K107" s="7">
        <v>35.5</v>
      </c>
      <c r="L107" s="7">
        <f t="shared" si="20"/>
        <v>91.549295774647888</v>
      </c>
      <c r="M107" s="5" t="s">
        <v>10</v>
      </c>
      <c r="N107" s="5">
        <v>4</v>
      </c>
      <c r="O107" s="6">
        <f t="shared" si="21"/>
        <v>17.024461912318984</v>
      </c>
      <c r="P107" s="6">
        <f t="shared" si="22"/>
        <v>1.7705440388811744</v>
      </c>
      <c r="Q107" s="10">
        <f t="shared" si="23"/>
        <v>3.6886334143357798E-2</v>
      </c>
      <c r="R107" s="10">
        <f t="shared" si="24"/>
        <v>0.13326072446206286</v>
      </c>
      <c r="S107" s="10">
        <f t="shared" si="25"/>
        <v>0.17014705860542065</v>
      </c>
    </row>
    <row r="108" spans="1:19" x14ac:dyDescent="0.25">
      <c r="A108" s="5" t="s">
        <v>8</v>
      </c>
      <c r="B108" s="5" t="s">
        <v>303</v>
      </c>
      <c r="C108" s="5" t="s">
        <v>27</v>
      </c>
      <c r="D108" s="5" t="s">
        <v>385</v>
      </c>
      <c r="E108" s="5" t="s">
        <v>387</v>
      </c>
      <c r="F108" s="5" t="s">
        <v>112</v>
      </c>
      <c r="G108" s="5" t="s">
        <v>391</v>
      </c>
      <c r="H108" s="5" t="s">
        <v>53</v>
      </c>
      <c r="I108" s="5" t="s">
        <v>305</v>
      </c>
      <c r="J108" s="15">
        <v>2660</v>
      </c>
      <c r="K108" s="7">
        <v>33.5</v>
      </c>
      <c r="L108" s="7">
        <f t="shared" si="20"/>
        <v>79.402985074626869</v>
      </c>
      <c r="M108" s="5" t="s">
        <v>10</v>
      </c>
      <c r="N108" s="5">
        <v>4</v>
      </c>
      <c r="O108" s="6">
        <f t="shared" si="21"/>
        <v>10.481786589440857</v>
      </c>
      <c r="P108" s="6">
        <f t="shared" si="22"/>
        <v>1.0901058053018491</v>
      </c>
      <c r="Q108" s="10">
        <f t="shared" si="23"/>
        <v>2.2710537610455189E-2</v>
      </c>
      <c r="R108" s="10">
        <f t="shared" si="24"/>
        <v>9.2624016415838617E-2</v>
      </c>
      <c r="S108" s="10">
        <f t="shared" si="25"/>
        <v>0.11533455402629381</v>
      </c>
    </row>
    <row r="109" spans="1:19" x14ac:dyDescent="0.25">
      <c r="A109" s="5" t="s">
        <v>8</v>
      </c>
      <c r="B109" s="5" t="s">
        <v>330</v>
      </c>
      <c r="C109" s="5" t="s">
        <v>27</v>
      </c>
      <c r="D109" s="5" t="s">
        <v>385</v>
      </c>
      <c r="E109" s="5" t="s">
        <v>387</v>
      </c>
      <c r="F109" s="5" t="s">
        <v>112</v>
      </c>
      <c r="G109" s="5" t="s">
        <v>391</v>
      </c>
      <c r="H109" s="5" t="s">
        <v>53</v>
      </c>
      <c r="I109" s="5" t="s">
        <v>331</v>
      </c>
      <c r="J109" s="15">
        <v>3000</v>
      </c>
      <c r="K109" s="7">
        <v>44</v>
      </c>
      <c r="L109" s="7">
        <f t="shared" si="20"/>
        <v>68.181818181818187</v>
      </c>
      <c r="M109" s="5" t="s">
        <v>10</v>
      </c>
      <c r="N109" s="5">
        <v>4</v>
      </c>
      <c r="O109" s="6">
        <f t="shared" si="21"/>
        <v>8.7164256198347125</v>
      </c>
      <c r="P109" s="6">
        <f t="shared" si="22"/>
        <v>0.90650826446281008</v>
      </c>
      <c r="Q109" s="10">
        <f t="shared" si="23"/>
        <v>1.8885588842975209E-2</v>
      </c>
      <c r="R109" s="10">
        <f t="shared" si="24"/>
        <v>8.0658649416804964E-2</v>
      </c>
      <c r="S109" s="10">
        <f t="shared" si="25"/>
        <v>9.9544238259780177E-2</v>
      </c>
    </row>
    <row r="110" spans="1:19" x14ac:dyDescent="0.25">
      <c r="A110" s="5" t="s">
        <v>8</v>
      </c>
      <c r="B110" s="5" t="s">
        <v>330</v>
      </c>
      <c r="C110" s="5" t="s">
        <v>27</v>
      </c>
      <c r="D110" s="5" t="s">
        <v>385</v>
      </c>
      <c r="E110" s="5" t="s">
        <v>387</v>
      </c>
      <c r="F110" s="5" t="s">
        <v>112</v>
      </c>
      <c r="G110" s="5" t="s">
        <v>391</v>
      </c>
      <c r="H110" s="5" t="s">
        <v>53</v>
      </c>
      <c r="I110" s="5" t="s">
        <v>331</v>
      </c>
      <c r="J110" s="15">
        <v>2950</v>
      </c>
      <c r="K110" s="7">
        <v>38</v>
      </c>
      <c r="L110" s="7">
        <f t="shared" ref="L110:L136" si="26">J110/K110</f>
        <v>77.631578947368425</v>
      </c>
      <c r="M110" s="5" t="s">
        <v>10</v>
      </c>
      <c r="N110" s="5">
        <v>4</v>
      </c>
      <c r="O110" s="6">
        <f t="shared" ref="O110:O136" si="27">(J110*L110^2)/(1.6*10^6)</f>
        <v>11.111658154432133</v>
      </c>
      <c r="P110" s="6">
        <f t="shared" ref="P110:P136" si="28">(0.104*J110*L110^2)/(1.6*10^6)</f>
        <v>1.155612448060942</v>
      </c>
      <c r="Q110" s="10">
        <f t="shared" ref="Q110:Q136" si="29">(0.104*O110)/(12*N110)</f>
        <v>2.4075259334602955E-2</v>
      </c>
      <c r="R110" s="10">
        <f t="shared" ref="R110:R136" si="30">0.0159*O110^0.75</f>
        <v>9.6767891534095082E-2</v>
      </c>
      <c r="S110" s="10">
        <f t="shared" ref="S110:S136" si="31">Q110+R110</f>
        <v>0.12084315086869804</v>
      </c>
    </row>
    <row r="111" spans="1:19" x14ac:dyDescent="0.25">
      <c r="A111" s="5" t="s">
        <v>8</v>
      </c>
      <c r="B111" s="5" t="s">
        <v>228</v>
      </c>
      <c r="C111" s="5" t="s">
        <v>27</v>
      </c>
      <c r="D111" s="5" t="s">
        <v>385</v>
      </c>
      <c r="E111" s="5" t="s">
        <v>387</v>
      </c>
      <c r="F111" s="5" t="s">
        <v>112</v>
      </c>
      <c r="G111" s="5" t="s">
        <v>391</v>
      </c>
      <c r="H111" s="5" t="s">
        <v>53</v>
      </c>
      <c r="I111" s="5" t="s">
        <v>230</v>
      </c>
      <c r="J111" s="15">
        <v>2500</v>
      </c>
      <c r="K111" s="7">
        <v>37</v>
      </c>
      <c r="L111" s="7">
        <f t="shared" si="26"/>
        <v>67.567567567567565</v>
      </c>
      <c r="M111" s="5" t="s">
        <v>10</v>
      </c>
      <c r="N111" s="5">
        <v>4</v>
      </c>
      <c r="O111" s="6">
        <f t="shared" si="27"/>
        <v>7.1334002921840742</v>
      </c>
      <c r="P111" s="6">
        <f t="shared" si="28"/>
        <v>0.74187363038714382</v>
      </c>
      <c r="Q111" s="10">
        <f t="shared" si="29"/>
        <v>1.5455700633065493E-2</v>
      </c>
      <c r="R111" s="10">
        <f t="shared" si="30"/>
        <v>6.9401614038345646E-2</v>
      </c>
      <c r="S111" s="10">
        <f t="shared" si="31"/>
        <v>8.4857314671411138E-2</v>
      </c>
    </row>
    <row r="112" spans="1:19" x14ac:dyDescent="0.25">
      <c r="A112" s="5" t="s">
        <v>8</v>
      </c>
      <c r="B112" s="5" t="s">
        <v>322</v>
      </c>
      <c r="C112" s="5" t="s">
        <v>27</v>
      </c>
      <c r="D112" s="5" t="s">
        <v>385</v>
      </c>
      <c r="E112" s="5" t="s">
        <v>387</v>
      </c>
      <c r="F112" s="5" t="s">
        <v>112</v>
      </c>
      <c r="G112" s="5" t="s">
        <v>391</v>
      </c>
      <c r="H112" s="5" t="s">
        <v>53</v>
      </c>
      <c r="I112" s="5" t="s">
        <v>19</v>
      </c>
      <c r="J112" s="15">
        <v>1300</v>
      </c>
      <c r="K112" s="7">
        <v>37</v>
      </c>
      <c r="L112" s="7">
        <f t="shared" si="26"/>
        <v>35.135135135135137</v>
      </c>
      <c r="M112" s="5" t="s">
        <v>10</v>
      </c>
      <c r="N112" s="5">
        <v>4</v>
      </c>
      <c r="O112" s="6">
        <f t="shared" si="27"/>
        <v>1.0030131482834186</v>
      </c>
      <c r="P112" s="6">
        <f t="shared" si="28"/>
        <v>0.10431336742147553</v>
      </c>
      <c r="Q112" s="10">
        <f t="shared" si="29"/>
        <v>2.1731951546140734E-3</v>
      </c>
      <c r="R112" s="10">
        <f t="shared" si="30"/>
        <v>1.5935918276764362E-2</v>
      </c>
      <c r="S112" s="10">
        <f t="shared" si="31"/>
        <v>1.8109113431378436E-2</v>
      </c>
    </row>
    <row r="113" spans="1:19" x14ac:dyDescent="0.25">
      <c r="A113" s="5" t="s">
        <v>22</v>
      </c>
      <c r="B113" s="5" t="s">
        <v>26</v>
      </c>
      <c r="C113" s="5" t="s">
        <v>27</v>
      </c>
      <c r="D113" s="5" t="s">
        <v>385</v>
      </c>
      <c r="E113" s="5" t="s">
        <v>387</v>
      </c>
      <c r="F113" s="5" t="s">
        <v>112</v>
      </c>
      <c r="G113" s="5" t="s">
        <v>391</v>
      </c>
      <c r="H113" s="5" t="s">
        <v>53</v>
      </c>
      <c r="I113" s="5" t="s">
        <v>54</v>
      </c>
      <c r="J113" s="15">
        <v>4200</v>
      </c>
      <c r="K113" s="7">
        <v>38</v>
      </c>
      <c r="L113" s="7">
        <f t="shared" si="26"/>
        <v>110.52631578947368</v>
      </c>
      <c r="M113" s="5" t="s">
        <v>10</v>
      </c>
      <c r="N113" s="5">
        <v>4</v>
      </c>
      <c r="O113" s="6">
        <f t="shared" si="27"/>
        <v>32.067174515235457</v>
      </c>
      <c r="P113" s="6">
        <f t="shared" si="28"/>
        <v>3.3349861495844868</v>
      </c>
      <c r="Q113" s="10">
        <f t="shared" si="29"/>
        <v>6.9478878116343484E-2</v>
      </c>
      <c r="R113" s="10">
        <f t="shared" si="30"/>
        <v>0.21426076233960867</v>
      </c>
      <c r="S113" s="10">
        <f t="shared" si="31"/>
        <v>0.28373964045595212</v>
      </c>
    </row>
    <row r="114" spans="1:19" x14ac:dyDescent="0.25">
      <c r="A114" s="5" t="s">
        <v>8</v>
      </c>
      <c r="B114" s="5" t="s">
        <v>284</v>
      </c>
      <c r="C114" s="5" t="s">
        <v>27</v>
      </c>
      <c r="D114" s="5" t="s">
        <v>385</v>
      </c>
      <c r="E114" s="5" t="s">
        <v>387</v>
      </c>
      <c r="F114" s="5" t="s">
        <v>112</v>
      </c>
      <c r="G114" s="5" t="s">
        <v>391</v>
      </c>
      <c r="H114" s="5" t="s">
        <v>53</v>
      </c>
      <c r="I114" s="5" t="s">
        <v>285</v>
      </c>
      <c r="J114" s="15">
        <v>3400</v>
      </c>
      <c r="K114" s="7">
        <v>46.8</v>
      </c>
      <c r="L114" s="7">
        <f t="shared" si="26"/>
        <v>72.649572649572647</v>
      </c>
      <c r="M114" s="5" t="s">
        <v>10</v>
      </c>
      <c r="N114" s="5">
        <v>4</v>
      </c>
      <c r="O114" s="6">
        <f t="shared" si="27"/>
        <v>11.21566586310176</v>
      </c>
      <c r="P114" s="6">
        <f t="shared" si="28"/>
        <v>1.1664292497625828</v>
      </c>
      <c r="Q114" s="10">
        <f t="shared" si="29"/>
        <v>2.4300609370053811E-2</v>
      </c>
      <c r="R114" s="10">
        <f t="shared" si="30"/>
        <v>9.7446427289205384E-2</v>
      </c>
      <c r="S114" s="10">
        <f t="shared" si="31"/>
        <v>0.12174703665925919</v>
      </c>
    </row>
    <row r="115" spans="1:19" x14ac:dyDescent="0.25">
      <c r="A115" s="5" t="s">
        <v>8</v>
      </c>
      <c r="B115" s="5" t="s">
        <v>303</v>
      </c>
      <c r="C115" s="5" t="s">
        <v>27</v>
      </c>
      <c r="D115" s="5" t="s">
        <v>385</v>
      </c>
      <c r="E115" s="5" t="s">
        <v>387</v>
      </c>
      <c r="F115" s="5" t="s">
        <v>112</v>
      </c>
      <c r="G115" s="5" t="s">
        <v>391</v>
      </c>
      <c r="H115" s="5" t="s">
        <v>53</v>
      </c>
      <c r="I115" s="5" t="s">
        <v>304</v>
      </c>
      <c r="J115" s="15">
        <v>2510</v>
      </c>
      <c r="K115" s="7">
        <v>32.5</v>
      </c>
      <c r="L115" s="7">
        <f t="shared" si="26"/>
        <v>77.230769230769226</v>
      </c>
      <c r="M115" s="5" t="s">
        <v>10</v>
      </c>
      <c r="N115" s="5">
        <v>4</v>
      </c>
      <c r="O115" s="6">
        <f t="shared" si="27"/>
        <v>9.3569532544378688</v>
      </c>
      <c r="P115" s="6">
        <f t="shared" si="28"/>
        <v>0.9731231384615382</v>
      </c>
      <c r="Q115" s="10">
        <f t="shared" si="29"/>
        <v>2.0273398717948716E-2</v>
      </c>
      <c r="R115" s="10">
        <f t="shared" si="30"/>
        <v>8.5064424704301325E-2</v>
      </c>
      <c r="S115" s="10">
        <f t="shared" si="31"/>
        <v>0.10533782342225004</v>
      </c>
    </row>
    <row r="116" spans="1:19" x14ac:dyDescent="0.25">
      <c r="A116" s="5" t="s">
        <v>8</v>
      </c>
      <c r="B116" s="5" t="s">
        <v>165</v>
      </c>
      <c r="C116" s="5" t="s">
        <v>27</v>
      </c>
      <c r="D116" s="5" t="s">
        <v>385</v>
      </c>
      <c r="E116" s="5" t="s">
        <v>387</v>
      </c>
      <c r="F116" s="5" t="s">
        <v>112</v>
      </c>
      <c r="G116" s="5" t="s">
        <v>391</v>
      </c>
      <c r="H116" s="5" t="s">
        <v>53</v>
      </c>
      <c r="I116" s="5" t="s">
        <v>168</v>
      </c>
      <c r="J116" s="15">
        <v>1120</v>
      </c>
      <c r="K116" s="7">
        <v>23.5</v>
      </c>
      <c r="L116" s="7">
        <f t="shared" si="26"/>
        <v>47.659574468085104</v>
      </c>
      <c r="M116" s="5" t="s">
        <v>10</v>
      </c>
      <c r="N116" s="5">
        <v>4</v>
      </c>
      <c r="O116" s="6">
        <f t="shared" si="27"/>
        <v>1.5900045269352645</v>
      </c>
      <c r="P116" s="6">
        <f t="shared" si="28"/>
        <v>0.16536047080126751</v>
      </c>
      <c r="Q116" s="10">
        <f t="shared" si="29"/>
        <v>3.4450098083597396E-3</v>
      </c>
      <c r="R116" s="10">
        <f t="shared" si="30"/>
        <v>2.2513649207854137E-2</v>
      </c>
      <c r="S116" s="10">
        <f t="shared" si="31"/>
        <v>2.5958659016213876E-2</v>
      </c>
    </row>
    <row r="117" spans="1:19" x14ac:dyDescent="0.25">
      <c r="A117" s="5" t="s">
        <v>8</v>
      </c>
      <c r="B117" s="5" t="s">
        <v>217</v>
      </c>
      <c r="C117" s="5" t="s">
        <v>27</v>
      </c>
      <c r="D117" s="5" t="s">
        <v>385</v>
      </c>
      <c r="E117" s="5" t="s">
        <v>387</v>
      </c>
      <c r="F117" s="5" t="s">
        <v>112</v>
      </c>
      <c r="G117" s="5" t="s">
        <v>391</v>
      </c>
      <c r="H117" s="5" t="s">
        <v>53</v>
      </c>
      <c r="I117" s="5" t="s">
        <v>17</v>
      </c>
      <c r="J117" s="15">
        <v>2800</v>
      </c>
      <c r="K117" s="7">
        <v>33</v>
      </c>
      <c r="L117" s="7">
        <f t="shared" si="26"/>
        <v>84.848484848484844</v>
      </c>
      <c r="M117" s="5" t="s">
        <v>10</v>
      </c>
      <c r="N117" s="5">
        <v>4</v>
      </c>
      <c r="O117" s="6">
        <f t="shared" si="27"/>
        <v>12.598714416896232</v>
      </c>
      <c r="P117" s="6">
        <f t="shared" si="28"/>
        <v>1.3102662993572083</v>
      </c>
      <c r="Q117" s="10">
        <f t="shared" si="29"/>
        <v>2.7297214569941834E-2</v>
      </c>
      <c r="R117" s="10">
        <f t="shared" si="30"/>
        <v>0.10632656850166688</v>
      </c>
      <c r="S117" s="10">
        <f t="shared" si="31"/>
        <v>0.13362378307160871</v>
      </c>
    </row>
    <row r="118" spans="1:19" x14ac:dyDescent="0.25">
      <c r="A118" s="5" t="s">
        <v>22</v>
      </c>
      <c r="B118" s="5" t="s">
        <v>63</v>
      </c>
      <c r="C118" s="5" t="s">
        <v>27</v>
      </c>
      <c r="D118" s="5" t="s">
        <v>385</v>
      </c>
      <c r="E118" s="5" t="s">
        <v>387</v>
      </c>
      <c r="F118" s="5" t="s">
        <v>112</v>
      </c>
      <c r="G118" s="5" t="s">
        <v>391</v>
      </c>
      <c r="H118" s="5" t="s">
        <v>53</v>
      </c>
      <c r="I118" s="5" t="s">
        <v>147</v>
      </c>
      <c r="J118" s="15">
        <v>2150</v>
      </c>
      <c r="K118" s="7">
        <v>34.5</v>
      </c>
      <c r="L118" s="7">
        <f t="shared" si="26"/>
        <v>62.318840579710148</v>
      </c>
      <c r="M118" s="5" t="s">
        <v>10</v>
      </c>
      <c r="N118" s="5">
        <v>4</v>
      </c>
      <c r="O118" s="6">
        <f t="shared" si="27"/>
        <v>5.2186384162990977</v>
      </c>
      <c r="P118" s="6">
        <f t="shared" si="28"/>
        <v>0.54273839529510615</v>
      </c>
      <c r="Q118" s="10">
        <f t="shared" si="29"/>
        <v>1.1307049901981378E-2</v>
      </c>
      <c r="R118" s="10">
        <f t="shared" si="30"/>
        <v>5.489907531451893E-2</v>
      </c>
      <c r="S118" s="10">
        <f t="shared" si="31"/>
        <v>6.6206125216500308E-2</v>
      </c>
    </row>
    <row r="119" spans="1:19" x14ac:dyDescent="0.25">
      <c r="A119" s="5" t="s">
        <v>8</v>
      </c>
      <c r="B119" s="5" t="s">
        <v>228</v>
      </c>
      <c r="C119" s="5" t="s">
        <v>27</v>
      </c>
      <c r="D119" s="5" t="s">
        <v>385</v>
      </c>
      <c r="E119" s="5" t="s">
        <v>387</v>
      </c>
      <c r="F119" s="5" t="s">
        <v>112</v>
      </c>
      <c r="G119" s="5" t="s">
        <v>391</v>
      </c>
      <c r="H119" s="5" t="s">
        <v>53</v>
      </c>
      <c r="I119" s="5" t="s">
        <v>229</v>
      </c>
      <c r="J119" s="15">
        <v>2500</v>
      </c>
      <c r="K119" s="7">
        <v>35</v>
      </c>
      <c r="L119" s="7">
        <f t="shared" si="26"/>
        <v>71.428571428571431</v>
      </c>
      <c r="M119" s="5" t="s">
        <v>10</v>
      </c>
      <c r="N119" s="5">
        <v>4</v>
      </c>
      <c r="O119" s="6">
        <f t="shared" si="27"/>
        <v>7.9719387755102051</v>
      </c>
      <c r="P119" s="6">
        <f t="shared" si="28"/>
        <v>0.82908163265306123</v>
      </c>
      <c r="Q119" s="10">
        <f t="shared" si="29"/>
        <v>1.7272534013605446E-2</v>
      </c>
      <c r="R119" s="10">
        <f t="shared" si="30"/>
        <v>7.5434512896593864E-2</v>
      </c>
      <c r="S119" s="10">
        <f t="shared" si="31"/>
        <v>9.2707046910199306E-2</v>
      </c>
    </row>
    <row r="120" spans="1:19" x14ac:dyDescent="0.25">
      <c r="A120" s="5" t="s">
        <v>8</v>
      </c>
      <c r="B120" s="5" t="s">
        <v>322</v>
      </c>
      <c r="C120" s="5" t="s">
        <v>27</v>
      </c>
      <c r="D120" s="5" t="s">
        <v>385</v>
      </c>
      <c r="E120" s="5" t="s">
        <v>387</v>
      </c>
      <c r="F120" s="5" t="s">
        <v>112</v>
      </c>
      <c r="G120" s="5" t="s">
        <v>391</v>
      </c>
      <c r="H120" s="5" t="s">
        <v>53</v>
      </c>
      <c r="I120" s="5" t="s">
        <v>325</v>
      </c>
      <c r="J120" s="15">
        <v>1600</v>
      </c>
      <c r="K120" s="7">
        <v>40</v>
      </c>
      <c r="L120" s="7">
        <f t="shared" si="26"/>
        <v>40</v>
      </c>
      <c r="M120" s="5" t="s">
        <v>10</v>
      </c>
      <c r="N120" s="5">
        <v>4</v>
      </c>
      <c r="O120" s="6">
        <f t="shared" si="27"/>
        <v>1.6</v>
      </c>
      <c r="P120" s="6">
        <f t="shared" si="28"/>
        <v>0.16639999999999999</v>
      </c>
      <c r="Q120" s="10">
        <f t="shared" si="29"/>
        <v>3.4666666666666665E-3</v>
      </c>
      <c r="R120" s="10">
        <f t="shared" si="30"/>
        <v>2.26197140956951E-2</v>
      </c>
      <c r="S120" s="10">
        <f t="shared" si="31"/>
        <v>2.6086380762361767E-2</v>
      </c>
    </row>
    <row r="121" spans="1:19" x14ac:dyDescent="0.25">
      <c r="A121" s="5" t="s">
        <v>8</v>
      </c>
      <c r="B121" s="5" t="s">
        <v>347</v>
      </c>
      <c r="C121" s="5" t="s">
        <v>27</v>
      </c>
      <c r="D121" s="5" t="s">
        <v>385</v>
      </c>
      <c r="E121" s="5" t="s">
        <v>387</v>
      </c>
      <c r="F121" s="5" t="s">
        <v>112</v>
      </c>
      <c r="G121" s="5" t="s">
        <v>391</v>
      </c>
      <c r="H121" s="5" t="s">
        <v>53</v>
      </c>
      <c r="I121" s="5" t="s">
        <v>351</v>
      </c>
      <c r="J121" s="15">
        <v>1820</v>
      </c>
      <c r="K121" s="7">
        <v>20</v>
      </c>
      <c r="L121" s="7">
        <f t="shared" si="26"/>
        <v>91</v>
      </c>
      <c r="M121" s="5" t="s">
        <v>10</v>
      </c>
      <c r="N121" s="5">
        <v>4</v>
      </c>
      <c r="O121" s="6">
        <f t="shared" si="27"/>
        <v>9.4196375000000003</v>
      </c>
      <c r="P121" s="6">
        <f t="shared" si="28"/>
        <v>0.97964229999999997</v>
      </c>
      <c r="Q121" s="10">
        <f t="shared" si="29"/>
        <v>2.0409214583333331E-2</v>
      </c>
      <c r="R121" s="10">
        <f t="shared" si="30"/>
        <v>8.549146647460612E-2</v>
      </c>
      <c r="S121" s="10">
        <f t="shared" si="31"/>
        <v>0.10590068105793946</v>
      </c>
    </row>
    <row r="122" spans="1:19" x14ac:dyDescent="0.25">
      <c r="A122" s="5" t="s">
        <v>8</v>
      </c>
      <c r="B122" s="5" t="s">
        <v>347</v>
      </c>
      <c r="C122" s="5" t="s">
        <v>27</v>
      </c>
      <c r="D122" s="5" t="s">
        <v>385</v>
      </c>
      <c r="E122" s="5" t="s">
        <v>387</v>
      </c>
      <c r="F122" s="5" t="s">
        <v>112</v>
      </c>
      <c r="G122" s="5" t="s">
        <v>391</v>
      </c>
      <c r="H122" s="5" t="s">
        <v>53</v>
      </c>
      <c r="I122" s="5" t="s">
        <v>352</v>
      </c>
      <c r="J122" s="15">
        <v>825</v>
      </c>
      <c r="K122" s="7">
        <v>27.5</v>
      </c>
      <c r="L122" s="7">
        <f t="shared" si="26"/>
        <v>30</v>
      </c>
      <c r="M122" s="5" t="s">
        <v>10</v>
      </c>
      <c r="N122" s="5">
        <v>4</v>
      </c>
      <c r="O122" s="6">
        <f t="shared" si="27"/>
        <v>0.46406249999999999</v>
      </c>
      <c r="P122" s="6">
        <f t="shared" si="28"/>
        <v>4.82625E-2</v>
      </c>
      <c r="Q122" s="10">
        <f t="shared" si="29"/>
        <v>1.0054687500000001E-3</v>
      </c>
      <c r="R122" s="10">
        <f t="shared" si="30"/>
        <v>8.9398345389160392E-3</v>
      </c>
      <c r="S122" s="10">
        <f t="shared" si="31"/>
        <v>9.9453032889160395E-3</v>
      </c>
    </row>
    <row r="123" spans="1:19" x14ac:dyDescent="0.25">
      <c r="A123" s="5" t="s">
        <v>8</v>
      </c>
      <c r="B123" s="5" t="s">
        <v>353</v>
      </c>
      <c r="C123" s="5" t="s">
        <v>27</v>
      </c>
      <c r="D123" s="5" t="s">
        <v>385</v>
      </c>
      <c r="E123" s="5" t="s">
        <v>387</v>
      </c>
      <c r="F123" s="5" t="s">
        <v>112</v>
      </c>
      <c r="G123" s="5" t="s">
        <v>391</v>
      </c>
      <c r="H123" s="5" t="s">
        <v>53</v>
      </c>
      <c r="I123" s="5" t="s">
        <v>352</v>
      </c>
      <c r="J123" s="15">
        <v>765</v>
      </c>
      <c r="K123" s="7">
        <v>26</v>
      </c>
      <c r="L123" s="7">
        <f t="shared" si="26"/>
        <v>29.423076923076923</v>
      </c>
      <c r="M123" s="5" t="s">
        <v>10</v>
      </c>
      <c r="N123" s="5">
        <v>4</v>
      </c>
      <c r="O123" s="6">
        <f t="shared" si="27"/>
        <v>0.41392115846893496</v>
      </c>
      <c r="P123" s="6">
        <f t="shared" si="28"/>
        <v>4.3047800480769241E-2</v>
      </c>
      <c r="Q123" s="10">
        <f t="shared" si="29"/>
        <v>8.9682917668269238E-4</v>
      </c>
      <c r="R123" s="10">
        <f t="shared" si="30"/>
        <v>8.2051276983141543E-3</v>
      </c>
      <c r="S123" s="10">
        <f t="shared" si="31"/>
        <v>9.1019568749968471E-3</v>
      </c>
    </row>
    <row r="124" spans="1:19" x14ac:dyDescent="0.25">
      <c r="A124" s="5" t="s">
        <v>8</v>
      </c>
      <c r="B124" s="5" t="s">
        <v>353</v>
      </c>
      <c r="C124" s="5" t="s">
        <v>27</v>
      </c>
      <c r="D124" s="5" t="s">
        <v>385</v>
      </c>
      <c r="E124" s="5" t="s">
        <v>387</v>
      </c>
      <c r="F124" s="5" t="s">
        <v>112</v>
      </c>
      <c r="G124" s="5" t="s">
        <v>391</v>
      </c>
      <c r="H124" s="5" t="s">
        <v>53</v>
      </c>
      <c r="I124" s="5" t="s">
        <v>352</v>
      </c>
      <c r="J124" s="15">
        <v>930</v>
      </c>
      <c r="K124" s="7">
        <v>29.5</v>
      </c>
      <c r="L124" s="7">
        <f t="shared" si="26"/>
        <v>31.525423728813561</v>
      </c>
      <c r="M124" s="5" t="s">
        <v>10</v>
      </c>
      <c r="N124" s="5">
        <v>4</v>
      </c>
      <c r="O124" s="6">
        <f t="shared" si="27"/>
        <v>0.57767667336972139</v>
      </c>
      <c r="P124" s="6">
        <f t="shared" si="28"/>
        <v>6.0078374030451021E-2</v>
      </c>
      <c r="Q124" s="10">
        <f t="shared" si="29"/>
        <v>1.251632792301063E-3</v>
      </c>
      <c r="R124" s="10">
        <f t="shared" si="30"/>
        <v>1.0535635757711046E-2</v>
      </c>
      <c r="S124" s="10">
        <f t="shared" si="31"/>
        <v>1.1787268550012109E-2</v>
      </c>
    </row>
    <row r="125" spans="1:19" x14ac:dyDescent="0.25">
      <c r="A125" s="5" t="s">
        <v>8</v>
      </c>
      <c r="B125" s="5" t="s">
        <v>330</v>
      </c>
      <c r="C125" s="5" t="s">
        <v>27</v>
      </c>
      <c r="D125" s="5" t="s">
        <v>385</v>
      </c>
      <c r="E125" s="5" t="s">
        <v>387</v>
      </c>
      <c r="F125" s="5" t="s">
        <v>112</v>
      </c>
      <c r="G125" s="5" t="s">
        <v>391</v>
      </c>
      <c r="H125" s="5" t="s">
        <v>53</v>
      </c>
      <c r="I125" s="5" t="s">
        <v>332</v>
      </c>
      <c r="J125" s="15">
        <v>2000</v>
      </c>
      <c r="K125" s="7">
        <v>47</v>
      </c>
      <c r="L125" s="7">
        <f t="shared" si="26"/>
        <v>42.553191489361701</v>
      </c>
      <c r="M125" s="5" t="s">
        <v>10</v>
      </c>
      <c r="N125" s="5">
        <v>4</v>
      </c>
      <c r="O125" s="6">
        <f t="shared" si="27"/>
        <v>2.2634676324128562</v>
      </c>
      <c r="P125" s="6">
        <f t="shared" si="28"/>
        <v>0.23540063377093706</v>
      </c>
      <c r="Q125" s="10">
        <f t="shared" si="29"/>
        <v>4.9041798702278549E-3</v>
      </c>
      <c r="R125" s="10">
        <f t="shared" si="30"/>
        <v>2.9341197903551185E-2</v>
      </c>
      <c r="S125" s="10">
        <f t="shared" si="31"/>
        <v>3.4245377773779041E-2</v>
      </c>
    </row>
    <row r="126" spans="1:19" x14ac:dyDescent="0.25">
      <c r="A126" s="5" t="s">
        <v>22</v>
      </c>
      <c r="B126" s="5" t="s">
        <v>26</v>
      </c>
      <c r="C126" s="5" t="s">
        <v>27</v>
      </c>
      <c r="D126" s="5" t="s">
        <v>385</v>
      </c>
      <c r="E126" s="5" t="s">
        <v>387</v>
      </c>
      <c r="F126" s="5" t="s">
        <v>112</v>
      </c>
      <c r="G126" s="5" t="s">
        <v>391</v>
      </c>
      <c r="H126" s="5" t="s">
        <v>53</v>
      </c>
      <c r="I126" s="5" t="s">
        <v>55</v>
      </c>
      <c r="J126" s="15">
        <v>3650</v>
      </c>
      <c r="K126" s="7">
        <v>34</v>
      </c>
      <c r="L126" s="7">
        <f t="shared" si="26"/>
        <v>107.35294117647059</v>
      </c>
      <c r="M126" s="5" t="s">
        <v>10</v>
      </c>
      <c r="N126" s="5">
        <v>4</v>
      </c>
      <c r="O126" s="6">
        <f t="shared" si="27"/>
        <v>26.290616890138409</v>
      </c>
      <c r="P126" s="6">
        <f t="shared" si="28"/>
        <v>2.7342241565743945</v>
      </c>
      <c r="Q126" s="10">
        <f t="shared" si="29"/>
        <v>5.6963003261966551E-2</v>
      </c>
      <c r="R126" s="10">
        <f t="shared" si="30"/>
        <v>0.18460680533482346</v>
      </c>
      <c r="S126" s="10">
        <f t="shared" si="31"/>
        <v>0.24156980859679</v>
      </c>
    </row>
    <row r="127" spans="1:19" x14ac:dyDescent="0.25">
      <c r="A127" s="5" t="s">
        <v>8</v>
      </c>
      <c r="B127" s="5" t="s">
        <v>156</v>
      </c>
      <c r="C127" s="5" t="s">
        <v>27</v>
      </c>
      <c r="D127" s="5" t="s">
        <v>385</v>
      </c>
      <c r="E127" s="5" t="s">
        <v>387</v>
      </c>
      <c r="F127" s="5" t="s">
        <v>112</v>
      </c>
      <c r="G127" s="5" t="s">
        <v>391</v>
      </c>
      <c r="H127" s="5" t="s">
        <v>53</v>
      </c>
      <c r="I127" s="5" t="s">
        <v>158</v>
      </c>
      <c r="J127" s="15">
        <v>1125</v>
      </c>
      <c r="K127" s="7">
        <v>29</v>
      </c>
      <c r="L127" s="7">
        <f t="shared" si="26"/>
        <v>38.793103448275865</v>
      </c>
      <c r="M127" s="5" t="s">
        <v>10</v>
      </c>
      <c r="N127" s="5">
        <v>4</v>
      </c>
      <c r="O127" s="6">
        <f t="shared" si="27"/>
        <v>1.0581362403388823</v>
      </c>
      <c r="P127" s="6">
        <f t="shared" si="28"/>
        <v>0.11004616899524378</v>
      </c>
      <c r="Q127" s="10">
        <f t="shared" si="29"/>
        <v>2.2926285207342449E-3</v>
      </c>
      <c r="R127" s="10">
        <f t="shared" si="30"/>
        <v>1.6588354811020851E-2</v>
      </c>
      <c r="S127" s="10">
        <f t="shared" si="31"/>
        <v>1.8880983331755096E-2</v>
      </c>
    </row>
    <row r="128" spans="1:19" x14ac:dyDescent="0.25">
      <c r="A128" s="5" t="s">
        <v>8</v>
      </c>
      <c r="B128" s="5" t="s">
        <v>156</v>
      </c>
      <c r="C128" s="5" t="s">
        <v>27</v>
      </c>
      <c r="D128" s="5" t="s">
        <v>385</v>
      </c>
      <c r="E128" s="5" t="s">
        <v>387</v>
      </c>
      <c r="F128" s="5" t="s">
        <v>112</v>
      </c>
      <c r="G128" s="5" t="s">
        <v>391</v>
      </c>
      <c r="H128" s="5" t="s">
        <v>53</v>
      </c>
      <c r="I128" s="5" t="s">
        <v>158</v>
      </c>
      <c r="J128" s="15">
        <v>1140</v>
      </c>
      <c r="K128" s="7">
        <v>28.5</v>
      </c>
      <c r="L128" s="7">
        <f t="shared" si="26"/>
        <v>40</v>
      </c>
      <c r="M128" s="5" t="s">
        <v>10</v>
      </c>
      <c r="N128" s="5">
        <v>4</v>
      </c>
      <c r="O128" s="6">
        <f t="shared" si="27"/>
        <v>1.1399999999999999</v>
      </c>
      <c r="P128" s="6">
        <f t="shared" si="28"/>
        <v>0.11855999999999998</v>
      </c>
      <c r="Q128" s="10">
        <f t="shared" si="29"/>
        <v>2.4699999999999995E-3</v>
      </c>
      <c r="R128" s="10">
        <f t="shared" si="30"/>
        <v>1.7541864935922521E-2</v>
      </c>
      <c r="S128" s="10">
        <f t="shared" si="31"/>
        <v>2.0011864935922521E-2</v>
      </c>
    </row>
    <row r="129" spans="1:19" x14ac:dyDescent="0.25">
      <c r="A129" s="5" t="s">
        <v>8</v>
      </c>
      <c r="B129" s="5" t="s">
        <v>347</v>
      </c>
      <c r="C129" s="5" t="s">
        <v>27</v>
      </c>
      <c r="D129" s="5" t="s">
        <v>385</v>
      </c>
      <c r="E129" s="5" t="s">
        <v>387</v>
      </c>
      <c r="F129" s="5" t="s">
        <v>112</v>
      </c>
      <c r="G129" s="5" t="s">
        <v>391</v>
      </c>
      <c r="H129" s="5" t="s">
        <v>53</v>
      </c>
      <c r="I129" s="5" t="s">
        <v>158</v>
      </c>
      <c r="J129" s="15">
        <v>1250</v>
      </c>
      <c r="K129" s="7">
        <v>26.5</v>
      </c>
      <c r="L129" s="7">
        <f t="shared" si="26"/>
        <v>47.169811320754718</v>
      </c>
      <c r="M129" s="5" t="s">
        <v>10</v>
      </c>
      <c r="N129" s="5">
        <v>4</v>
      </c>
      <c r="O129" s="6">
        <f t="shared" si="27"/>
        <v>1.7382742969028124</v>
      </c>
      <c r="P129" s="6">
        <f t="shared" si="28"/>
        <v>0.18078052687789251</v>
      </c>
      <c r="Q129" s="10">
        <f t="shared" si="29"/>
        <v>3.7662609766227601E-3</v>
      </c>
      <c r="R129" s="10">
        <f t="shared" si="30"/>
        <v>2.4070541236937307E-2</v>
      </c>
      <c r="S129" s="10">
        <f t="shared" si="31"/>
        <v>2.7836802213560066E-2</v>
      </c>
    </row>
    <row r="130" spans="1:19" x14ac:dyDescent="0.25">
      <c r="A130" s="5" t="s">
        <v>8</v>
      </c>
      <c r="B130" s="5" t="s">
        <v>372</v>
      </c>
      <c r="C130" s="5" t="s">
        <v>27</v>
      </c>
      <c r="D130" s="5" t="s">
        <v>385</v>
      </c>
      <c r="E130" s="5" t="s">
        <v>387</v>
      </c>
      <c r="F130" s="5" t="s">
        <v>112</v>
      </c>
      <c r="G130" s="5" t="s">
        <v>391</v>
      </c>
      <c r="H130" s="5" t="s">
        <v>53</v>
      </c>
      <c r="I130" s="5" t="s">
        <v>374</v>
      </c>
      <c r="J130" s="15">
        <v>3590</v>
      </c>
      <c r="K130" s="7">
        <v>44</v>
      </c>
      <c r="L130" s="7">
        <f t="shared" si="26"/>
        <v>81.590909090909093</v>
      </c>
      <c r="M130" s="5" t="s">
        <v>10</v>
      </c>
      <c r="N130" s="5">
        <v>4</v>
      </c>
      <c r="O130" s="6">
        <f t="shared" si="27"/>
        <v>14.936815276342974</v>
      </c>
      <c r="P130" s="6">
        <f t="shared" si="28"/>
        <v>1.5534287887396692</v>
      </c>
      <c r="Q130" s="10">
        <f t="shared" si="29"/>
        <v>3.2363099765409777E-2</v>
      </c>
      <c r="R130" s="10">
        <f t="shared" si="30"/>
        <v>0.12080659172555661</v>
      </c>
      <c r="S130" s="10">
        <f t="shared" si="31"/>
        <v>0.15316969149096638</v>
      </c>
    </row>
    <row r="131" spans="1:19" x14ac:dyDescent="0.25">
      <c r="A131" s="5" t="s">
        <v>22</v>
      </c>
      <c r="B131" s="5" t="s">
        <v>63</v>
      </c>
      <c r="C131" s="5" t="s">
        <v>27</v>
      </c>
      <c r="D131" s="5" t="s">
        <v>385</v>
      </c>
      <c r="E131" s="5" t="s">
        <v>387</v>
      </c>
      <c r="F131" s="5" t="s">
        <v>112</v>
      </c>
      <c r="G131" s="5" t="s">
        <v>391</v>
      </c>
      <c r="H131" s="5" t="s">
        <v>53</v>
      </c>
      <c r="I131" s="5" t="s">
        <v>114</v>
      </c>
      <c r="J131" s="15">
        <v>1700</v>
      </c>
      <c r="K131" s="7">
        <v>37</v>
      </c>
      <c r="L131" s="7">
        <f t="shared" si="26"/>
        <v>45.945945945945944</v>
      </c>
      <c r="M131" s="5" t="s">
        <v>10</v>
      </c>
      <c r="N131" s="5">
        <v>4</v>
      </c>
      <c r="O131" s="6">
        <f t="shared" si="27"/>
        <v>2.2429693206720231</v>
      </c>
      <c r="P131" s="6">
        <f t="shared" si="28"/>
        <v>0.23326880934989039</v>
      </c>
      <c r="Q131" s="10">
        <f t="shared" si="29"/>
        <v>4.8597668614560495E-3</v>
      </c>
      <c r="R131" s="10">
        <f t="shared" si="30"/>
        <v>2.9141682641278973E-2</v>
      </c>
      <c r="S131" s="10">
        <f t="shared" si="31"/>
        <v>3.4001449502735023E-2</v>
      </c>
    </row>
    <row r="132" spans="1:19" x14ac:dyDescent="0.25">
      <c r="A132" s="5" t="s">
        <v>8</v>
      </c>
      <c r="B132" s="5" t="s">
        <v>322</v>
      </c>
      <c r="C132" s="5" t="s">
        <v>27</v>
      </c>
      <c r="D132" s="5" t="s">
        <v>385</v>
      </c>
      <c r="E132" s="5" t="s">
        <v>387</v>
      </c>
      <c r="F132" s="5" t="s">
        <v>112</v>
      </c>
      <c r="G132" s="5" t="s">
        <v>391</v>
      </c>
      <c r="H132" s="5" t="s">
        <v>53</v>
      </c>
      <c r="I132" s="5" t="s">
        <v>114</v>
      </c>
      <c r="J132" s="15">
        <v>1600</v>
      </c>
      <c r="K132" s="7">
        <v>39</v>
      </c>
      <c r="L132" s="7">
        <f t="shared" si="26"/>
        <v>41.025641025641029</v>
      </c>
      <c r="M132" s="5" t="s">
        <v>10</v>
      </c>
      <c r="N132" s="5">
        <v>4</v>
      </c>
      <c r="O132" s="6">
        <f t="shared" si="27"/>
        <v>1.6831032215647603</v>
      </c>
      <c r="P132" s="6">
        <f t="shared" si="28"/>
        <v>0.17504273504273507</v>
      </c>
      <c r="Q132" s="10">
        <f t="shared" si="29"/>
        <v>3.6467236467236474E-3</v>
      </c>
      <c r="R132" s="10">
        <f t="shared" si="30"/>
        <v>2.3495256345525899E-2</v>
      </c>
      <c r="S132" s="10">
        <f t="shared" si="31"/>
        <v>2.7141979992249547E-2</v>
      </c>
    </row>
    <row r="133" spans="1:19" x14ac:dyDescent="0.25">
      <c r="A133" s="5" t="s">
        <v>22</v>
      </c>
      <c r="B133" s="5" t="s">
        <v>63</v>
      </c>
      <c r="C133" s="5" t="s">
        <v>27</v>
      </c>
      <c r="D133" s="5" t="s">
        <v>385</v>
      </c>
      <c r="E133" s="5" t="s">
        <v>387</v>
      </c>
      <c r="F133" s="5" t="s">
        <v>112</v>
      </c>
      <c r="G133" s="5" t="s">
        <v>391</v>
      </c>
      <c r="H133" s="5" t="s">
        <v>115</v>
      </c>
      <c r="I133" s="5" t="s">
        <v>116</v>
      </c>
      <c r="J133" s="15">
        <v>665</v>
      </c>
      <c r="K133" s="7">
        <v>23</v>
      </c>
      <c r="L133" s="7">
        <f t="shared" si="26"/>
        <v>28.913043478260871</v>
      </c>
      <c r="M133" s="5" t="s">
        <v>10</v>
      </c>
      <c r="N133" s="5">
        <v>4</v>
      </c>
      <c r="O133" s="6">
        <f t="shared" si="27"/>
        <v>0.34744757206994337</v>
      </c>
      <c r="P133" s="6">
        <f t="shared" si="28"/>
        <v>3.6134547495274102E-2</v>
      </c>
      <c r="Q133" s="10">
        <f t="shared" si="29"/>
        <v>7.5280307281821058E-4</v>
      </c>
      <c r="R133" s="10">
        <f t="shared" si="30"/>
        <v>7.1955514895454976E-3</v>
      </c>
      <c r="S133" s="10">
        <f t="shared" si="31"/>
        <v>7.9483545623637089E-3</v>
      </c>
    </row>
    <row r="134" spans="1:19" x14ac:dyDescent="0.25">
      <c r="A134" s="5" t="s">
        <v>22</v>
      </c>
      <c r="B134" s="5" t="s">
        <v>63</v>
      </c>
      <c r="C134" s="5" t="s">
        <v>27</v>
      </c>
      <c r="D134" s="5" t="s">
        <v>385</v>
      </c>
      <c r="E134" s="5" t="s">
        <v>387</v>
      </c>
      <c r="F134" s="5" t="s">
        <v>112</v>
      </c>
      <c r="G134" s="5" t="s">
        <v>391</v>
      </c>
      <c r="H134" s="5" t="s">
        <v>119</v>
      </c>
      <c r="I134" s="5" t="s">
        <v>120</v>
      </c>
      <c r="J134" s="15">
        <v>1200</v>
      </c>
      <c r="K134" s="7">
        <v>26.5</v>
      </c>
      <c r="L134" s="7">
        <f t="shared" si="26"/>
        <v>45.283018867924525</v>
      </c>
      <c r="M134" s="5" t="s">
        <v>10</v>
      </c>
      <c r="N134" s="5">
        <v>4</v>
      </c>
      <c r="O134" s="6">
        <f t="shared" si="27"/>
        <v>1.5379138483446062</v>
      </c>
      <c r="P134" s="6">
        <f t="shared" si="28"/>
        <v>0.15994304022783903</v>
      </c>
      <c r="Q134" s="10">
        <f t="shared" si="29"/>
        <v>3.3321466714133132E-3</v>
      </c>
      <c r="R134" s="10">
        <f t="shared" si="30"/>
        <v>2.1958169341058133E-2</v>
      </c>
      <c r="S134" s="10">
        <f t="shared" si="31"/>
        <v>2.5290316012471448E-2</v>
      </c>
    </row>
    <row r="135" spans="1:19" x14ac:dyDescent="0.25">
      <c r="A135" s="5" t="s">
        <v>22</v>
      </c>
      <c r="B135" s="5" t="s">
        <v>63</v>
      </c>
      <c r="C135" s="5" t="s">
        <v>27</v>
      </c>
      <c r="D135" s="5" t="s">
        <v>385</v>
      </c>
      <c r="E135" s="5" t="s">
        <v>387</v>
      </c>
      <c r="F135" s="5" t="s">
        <v>112</v>
      </c>
      <c r="G135" s="5" t="s">
        <v>391</v>
      </c>
      <c r="H135" s="5" t="s">
        <v>237</v>
      </c>
      <c r="I135" s="5" t="s">
        <v>121</v>
      </c>
      <c r="J135" s="15">
        <v>1250</v>
      </c>
      <c r="K135" s="7">
        <v>25.5</v>
      </c>
      <c r="L135" s="7">
        <f t="shared" si="26"/>
        <v>49.019607843137258</v>
      </c>
      <c r="M135" s="5" t="s">
        <v>10</v>
      </c>
      <c r="N135" s="5">
        <v>4</v>
      </c>
      <c r="O135" s="6">
        <f t="shared" si="27"/>
        <v>1.8772827758554407</v>
      </c>
      <c r="P135" s="6">
        <f t="shared" si="28"/>
        <v>0.19523740868896583</v>
      </c>
      <c r="Q135" s="10">
        <f t="shared" si="29"/>
        <v>4.0674460143534548E-3</v>
      </c>
      <c r="R135" s="10">
        <f t="shared" si="30"/>
        <v>2.5500247518851233E-2</v>
      </c>
      <c r="S135" s="10">
        <f t="shared" si="31"/>
        <v>2.9567693533204688E-2</v>
      </c>
    </row>
    <row r="136" spans="1:19" x14ac:dyDescent="0.25">
      <c r="A136" s="5" t="s">
        <v>8</v>
      </c>
      <c r="B136" s="5" t="s">
        <v>236</v>
      </c>
      <c r="C136" s="5" t="s">
        <v>27</v>
      </c>
      <c r="D136" s="5" t="s">
        <v>385</v>
      </c>
      <c r="E136" s="5" t="s">
        <v>387</v>
      </c>
      <c r="F136" s="5" t="s">
        <v>112</v>
      </c>
      <c r="G136" s="5" t="s">
        <v>391</v>
      </c>
      <c r="H136" s="5" t="s">
        <v>237</v>
      </c>
      <c r="I136" s="5" t="s">
        <v>238</v>
      </c>
      <c r="J136" s="15">
        <v>2800</v>
      </c>
      <c r="K136" s="7">
        <v>33.6</v>
      </c>
      <c r="L136" s="7">
        <f t="shared" si="26"/>
        <v>83.333333333333329</v>
      </c>
      <c r="M136" s="5" t="s">
        <v>10</v>
      </c>
      <c r="N136" s="5">
        <v>4</v>
      </c>
      <c r="O136" s="6">
        <f t="shared" si="27"/>
        <v>12.152777777777775</v>
      </c>
      <c r="P136" s="6">
        <f t="shared" si="28"/>
        <v>1.2638888888888886</v>
      </c>
      <c r="Q136" s="10">
        <f t="shared" si="29"/>
        <v>2.6331018518518514E-2</v>
      </c>
      <c r="R136" s="10">
        <f t="shared" si="30"/>
        <v>0.10349128794647404</v>
      </c>
      <c r="S136" s="10">
        <f t="shared" si="31"/>
        <v>0.12982230646499254</v>
      </c>
    </row>
    <row r="137" spans="1:19" x14ac:dyDescent="0.25">
      <c r="J137" s="16">
        <f t="shared" ref="J137:S137" si="32">AVERAGE(J15:J136)</f>
        <v>2179.3688524590166</v>
      </c>
      <c r="K137" s="12">
        <f t="shared" si="32"/>
        <v>32.690163934426238</v>
      </c>
      <c r="L137" s="12">
        <f t="shared" si="32"/>
        <v>66.462948152499678</v>
      </c>
      <c r="M137" s="11" t="e">
        <f t="shared" si="32"/>
        <v>#DIV/0!</v>
      </c>
      <c r="N137" s="11">
        <f t="shared" si="32"/>
        <v>4</v>
      </c>
      <c r="O137" s="13">
        <f t="shared" si="32"/>
        <v>7.5520215711855743</v>
      </c>
      <c r="P137" s="13">
        <f t="shared" si="32"/>
        <v>0.78541024340329912</v>
      </c>
      <c r="Q137" s="14">
        <f t="shared" si="32"/>
        <v>1.636271340423541E-2</v>
      </c>
      <c r="R137" s="14">
        <f t="shared" si="32"/>
        <v>6.8303865384695406E-2</v>
      </c>
      <c r="S137" s="14">
        <f t="shared" si="32"/>
        <v>8.4666578788930816E-2</v>
      </c>
    </row>
    <row r="138" spans="1:19" x14ac:dyDescent="0.25">
      <c r="A138" s="5" t="s">
        <v>8</v>
      </c>
      <c r="B138" s="5" t="s">
        <v>165</v>
      </c>
      <c r="C138" s="5" t="s">
        <v>27</v>
      </c>
      <c r="D138" s="5" t="s">
        <v>385</v>
      </c>
      <c r="E138" s="5" t="s">
        <v>384</v>
      </c>
      <c r="F138" s="5" t="s">
        <v>91</v>
      </c>
      <c r="G138" s="5" t="s">
        <v>393</v>
      </c>
      <c r="H138" s="5" t="s">
        <v>92</v>
      </c>
      <c r="I138" s="5" t="s">
        <v>167</v>
      </c>
      <c r="J138" s="15">
        <v>1770</v>
      </c>
      <c r="K138" s="7">
        <v>30</v>
      </c>
      <c r="L138" s="7">
        <f t="shared" ref="L138:L199" si="33">J138/K138</f>
        <v>59</v>
      </c>
      <c r="M138" s="5" t="s">
        <v>10</v>
      </c>
      <c r="N138" s="5">
        <v>4</v>
      </c>
      <c r="O138" s="6">
        <f t="shared" ref="O138:O199" si="34">(J138*L138^2)/(1.6*10^6)</f>
        <v>3.8508562500000001</v>
      </c>
      <c r="P138" s="6">
        <f t="shared" ref="P138:P199" si="35">(0.104*J138*L138^2)/(1.6*10^6)</f>
        <v>0.40048905000000001</v>
      </c>
      <c r="Q138" s="10">
        <f t="shared" ref="Q138:Q199" si="36">(0.104*O138)/(12*N138)</f>
        <v>8.3435218750000009E-3</v>
      </c>
      <c r="R138" s="10">
        <f t="shared" ref="R138:R199" si="37">0.0159*O138^0.75</f>
        <v>4.3708419692553992E-2</v>
      </c>
      <c r="S138" s="10">
        <f t="shared" ref="S138:S199" si="38">Q138+R138</f>
        <v>5.2051941567553994E-2</v>
      </c>
    </row>
    <row r="139" spans="1:19" x14ac:dyDescent="0.25">
      <c r="A139" s="5" t="s">
        <v>8</v>
      </c>
      <c r="B139" s="5" t="s">
        <v>372</v>
      </c>
      <c r="C139" s="5" t="s">
        <v>27</v>
      </c>
      <c r="D139" s="5" t="s">
        <v>385</v>
      </c>
      <c r="E139" s="5" t="s">
        <v>384</v>
      </c>
      <c r="F139" s="5" t="s">
        <v>91</v>
      </c>
      <c r="G139" s="5" t="s">
        <v>393</v>
      </c>
      <c r="H139" s="5" t="s">
        <v>92</v>
      </c>
      <c r="I139" s="5" t="s">
        <v>373</v>
      </c>
      <c r="J139" s="15">
        <v>2600</v>
      </c>
      <c r="K139" s="7">
        <v>40.200000000000003</v>
      </c>
      <c r="L139" s="7">
        <f t="shared" si="33"/>
        <v>64.676616915422883</v>
      </c>
      <c r="M139" s="5" t="s">
        <v>10</v>
      </c>
      <c r="N139" s="5">
        <v>4</v>
      </c>
      <c r="O139" s="6">
        <f t="shared" si="34"/>
        <v>6.7974802603895936</v>
      </c>
      <c r="P139" s="6">
        <f t="shared" si="35"/>
        <v>0.7069379470805176</v>
      </c>
      <c r="Q139" s="10">
        <f t="shared" si="36"/>
        <v>1.4727873897510785E-2</v>
      </c>
      <c r="R139" s="10">
        <f t="shared" si="37"/>
        <v>6.6935743328339611E-2</v>
      </c>
      <c r="S139" s="10">
        <f t="shared" si="38"/>
        <v>8.1663617225850402E-2</v>
      </c>
    </row>
    <row r="140" spans="1:19" x14ac:dyDescent="0.25">
      <c r="A140" s="5" t="s">
        <v>22</v>
      </c>
      <c r="B140" s="5" t="s">
        <v>63</v>
      </c>
      <c r="C140" s="5" t="s">
        <v>27</v>
      </c>
      <c r="D140" s="5" t="s">
        <v>385</v>
      </c>
      <c r="E140" s="5" t="s">
        <v>384</v>
      </c>
      <c r="F140" s="5" t="s">
        <v>91</v>
      </c>
      <c r="G140" s="5" t="s">
        <v>393</v>
      </c>
      <c r="H140" s="5" t="s">
        <v>92</v>
      </c>
      <c r="I140" s="5" t="s">
        <v>19</v>
      </c>
      <c r="J140" s="15">
        <v>1530</v>
      </c>
      <c r="K140" s="7">
        <v>63</v>
      </c>
      <c r="L140" s="7">
        <f t="shared" si="33"/>
        <v>24.285714285714285</v>
      </c>
      <c r="M140" s="5" t="s">
        <v>10</v>
      </c>
      <c r="N140" s="5">
        <v>4</v>
      </c>
      <c r="O140" s="6">
        <f t="shared" si="34"/>
        <v>0.56399234693877542</v>
      </c>
      <c r="P140" s="6">
        <f t="shared" si="35"/>
        <v>5.8655204081632648E-2</v>
      </c>
      <c r="Q140" s="10">
        <f t="shared" si="36"/>
        <v>1.2219834183673467E-3</v>
      </c>
      <c r="R140" s="10">
        <f t="shared" si="37"/>
        <v>1.0347895457552336E-2</v>
      </c>
      <c r="S140" s="10">
        <f t="shared" si="38"/>
        <v>1.1569878875919683E-2</v>
      </c>
    </row>
    <row r="141" spans="1:19" x14ac:dyDescent="0.25">
      <c r="A141" s="5" t="s">
        <v>8</v>
      </c>
      <c r="B141" s="5" t="s">
        <v>313</v>
      </c>
      <c r="C141" s="5" t="s">
        <v>27</v>
      </c>
      <c r="D141" s="5" t="s">
        <v>385</v>
      </c>
      <c r="E141" s="5" t="s">
        <v>384</v>
      </c>
      <c r="F141" s="5" t="s">
        <v>91</v>
      </c>
      <c r="G141" s="5" t="s">
        <v>393</v>
      </c>
      <c r="H141" s="5" t="s">
        <v>92</v>
      </c>
      <c r="I141" s="5" t="s">
        <v>315</v>
      </c>
      <c r="J141" s="15">
        <v>1300</v>
      </c>
      <c r="K141" s="7">
        <v>27</v>
      </c>
      <c r="L141" s="7">
        <f t="shared" si="33"/>
        <v>48.148148148148145</v>
      </c>
      <c r="M141" s="5" t="s">
        <v>10</v>
      </c>
      <c r="N141" s="5">
        <v>4</v>
      </c>
      <c r="O141" s="6">
        <f t="shared" si="34"/>
        <v>1.8835733882030175</v>
      </c>
      <c r="P141" s="6">
        <f t="shared" si="35"/>
        <v>0.19589163237311383</v>
      </c>
      <c r="Q141" s="10">
        <f t="shared" si="36"/>
        <v>4.0810756744398711E-3</v>
      </c>
      <c r="R141" s="10">
        <f t="shared" si="37"/>
        <v>2.5564307556858588E-2</v>
      </c>
      <c r="S141" s="10">
        <f t="shared" si="38"/>
        <v>2.964538323129846E-2</v>
      </c>
    </row>
    <row r="142" spans="1:19" x14ac:dyDescent="0.25">
      <c r="A142" s="5" t="s">
        <v>22</v>
      </c>
      <c r="B142" s="5" t="s">
        <v>63</v>
      </c>
      <c r="C142" s="5" t="s">
        <v>27</v>
      </c>
      <c r="D142" s="5" t="s">
        <v>385</v>
      </c>
      <c r="E142" s="5" t="s">
        <v>384</v>
      </c>
      <c r="F142" s="5" t="s">
        <v>91</v>
      </c>
      <c r="G142" s="5" t="s">
        <v>393</v>
      </c>
      <c r="H142" s="5" t="s">
        <v>92</v>
      </c>
      <c r="I142" s="5" t="s">
        <v>20</v>
      </c>
      <c r="J142" s="15">
        <v>1400</v>
      </c>
      <c r="K142" s="7">
        <v>37</v>
      </c>
      <c r="L142" s="7">
        <f t="shared" si="33"/>
        <v>37.837837837837839</v>
      </c>
      <c r="M142" s="5" t="s">
        <v>10</v>
      </c>
      <c r="N142" s="5">
        <v>4</v>
      </c>
      <c r="O142" s="6">
        <f t="shared" si="34"/>
        <v>1.2527392257121988</v>
      </c>
      <c r="P142" s="6">
        <f t="shared" si="35"/>
        <v>0.13028487947406867</v>
      </c>
      <c r="Q142" s="10">
        <f t="shared" si="36"/>
        <v>2.7142683223764304E-3</v>
      </c>
      <c r="R142" s="10">
        <f t="shared" si="37"/>
        <v>1.8827498926201992E-2</v>
      </c>
      <c r="S142" s="10">
        <f t="shared" si="38"/>
        <v>2.1541767248578422E-2</v>
      </c>
    </row>
    <row r="143" spans="1:19" x14ac:dyDescent="0.25">
      <c r="A143" s="5" t="s">
        <v>8</v>
      </c>
      <c r="B143" s="5" t="s">
        <v>308</v>
      </c>
      <c r="C143" s="5" t="s">
        <v>27</v>
      </c>
      <c r="D143" s="5" t="s">
        <v>385</v>
      </c>
      <c r="E143" s="5" t="s">
        <v>384</v>
      </c>
      <c r="F143" s="5" t="s">
        <v>91</v>
      </c>
      <c r="G143" s="5" t="s">
        <v>393</v>
      </c>
      <c r="H143" s="5" t="s">
        <v>92</v>
      </c>
      <c r="I143" s="5" t="s">
        <v>309</v>
      </c>
      <c r="J143" s="15">
        <v>1055</v>
      </c>
      <c r="K143" s="7">
        <v>35.5</v>
      </c>
      <c r="L143" s="7">
        <f t="shared" si="33"/>
        <v>29.718309859154928</v>
      </c>
      <c r="M143" s="5" t="s">
        <v>10</v>
      </c>
      <c r="N143" s="5">
        <v>4</v>
      </c>
      <c r="O143" s="6">
        <f t="shared" si="34"/>
        <v>0.58234545477087873</v>
      </c>
      <c r="P143" s="6">
        <f t="shared" si="35"/>
        <v>6.056392729617139E-2</v>
      </c>
      <c r="Q143" s="10">
        <f t="shared" si="36"/>
        <v>1.2617484853369037E-3</v>
      </c>
      <c r="R143" s="10">
        <f t="shared" si="37"/>
        <v>1.0599433193685417E-2</v>
      </c>
      <c r="S143" s="10">
        <f t="shared" si="38"/>
        <v>1.1861181679022321E-2</v>
      </c>
    </row>
    <row r="144" spans="1:19" x14ac:dyDescent="0.25">
      <c r="A144" s="5" t="s">
        <v>22</v>
      </c>
      <c r="B144" s="5" t="s">
        <v>63</v>
      </c>
      <c r="C144" s="5" t="s">
        <v>27</v>
      </c>
      <c r="D144" s="5" t="s">
        <v>385</v>
      </c>
      <c r="E144" s="5" t="s">
        <v>384</v>
      </c>
      <c r="F144" s="5" t="s">
        <v>91</v>
      </c>
      <c r="G144" s="5" t="s">
        <v>393</v>
      </c>
      <c r="H144" s="5" t="s">
        <v>93</v>
      </c>
      <c r="I144" s="5" t="s">
        <v>94</v>
      </c>
      <c r="J144" s="15">
        <v>3450</v>
      </c>
      <c r="K144" s="7">
        <v>33.5</v>
      </c>
      <c r="L144" s="7">
        <f t="shared" si="33"/>
        <v>102.98507462686567</v>
      </c>
      <c r="M144" s="5" t="s">
        <v>10</v>
      </c>
      <c r="N144" s="5">
        <v>4</v>
      </c>
      <c r="O144" s="6">
        <f t="shared" si="34"/>
        <v>22.869027066161731</v>
      </c>
      <c r="P144" s="6">
        <f t="shared" si="35"/>
        <v>2.3783788148808198</v>
      </c>
      <c r="Q144" s="10">
        <f t="shared" si="36"/>
        <v>4.9549558643350415E-2</v>
      </c>
      <c r="R144" s="10">
        <f t="shared" si="37"/>
        <v>0.16627727199027578</v>
      </c>
      <c r="S144" s="10">
        <f t="shared" si="38"/>
        <v>0.2158268306336262</v>
      </c>
    </row>
    <row r="145" spans="1:19" x14ac:dyDescent="0.25">
      <c r="A145" s="5" t="s">
        <v>8</v>
      </c>
      <c r="B145" s="5" t="s">
        <v>336</v>
      </c>
      <c r="C145" s="5" t="s">
        <v>27</v>
      </c>
      <c r="D145" s="5" t="s">
        <v>385</v>
      </c>
      <c r="E145" s="5" t="s">
        <v>384</v>
      </c>
      <c r="F145" s="5" t="s">
        <v>91</v>
      </c>
      <c r="G145" s="5" t="s">
        <v>393</v>
      </c>
      <c r="H145" s="5" t="s">
        <v>93</v>
      </c>
      <c r="I145" s="5" t="s">
        <v>94</v>
      </c>
      <c r="J145" s="15">
        <v>3150</v>
      </c>
      <c r="K145" s="7">
        <v>31</v>
      </c>
      <c r="L145" s="7">
        <f t="shared" si="33"/>
        <v>101.61290322580645</v>
      </c>
      <c r="M145" s="5" t="s">
        <v>10</v>
      </c>
      <c r="N145" s="5">
        <v>4</v>
      </c>
      <c r="O145" s="6">
        <f t="shared" si="34"/>
        <v>20.32770226326743</v>
      </c>
      <c r="P145" s="6">
        <f t="shared" si="35"/>
        <v>2.1140810353798125</v>
      </c>
      <c r="Q145" s="10">
        <f t="shared" si="36"/>
        <v>4.4043354903746092E-2</v>
      </c>
      <c r="R145" s="10">
        <f t="shared" si="37"/>
        <v>0.15221706459438031</v>
      </c>
      <c r="S145" s="10">
        <f t="shared" si="38"/>
        <v>0.19626041949812639</v>
      </c>
    </row>
    <row r="146" spans="1:19" x14ac:dyDescent="0.25">
      <c r="A146" s="5" t="s">
        <v>22</v>
      </c>
      <c r="B146" s="5" t="s">
        <v>63</v>
      </c>
      <c r="C146" s="5" t="s">
        <v>27</v>
      </c>
      <c r="D146" s="5" t="s">
        <v>385</v>
      </c>
      <c r="E146" s="5" t="s">
        <v>384</v>
      </c>
      <c r="F146" s="5" t="s">
        <v>91</v>
      </c>
      <c r="G146" s="5" t="s">
        <v>393</v>
      </c>
      <c r="H146" s="5" t="s">
        <v>95</v>
      </c>
      <c r="I146" s="5" t="s">
        <v>96</v>
      </c>
      <c r="J146" s="15">
        <v>2765</v>
      </c>
      <c r="K146" s="7">
        <v>41</v>
      </c>
      <c r="L146" s="7">
        <f t="shared" si="33"/>
        <v>67.439024390243901</v>
      </c>
      <c r="M146" s="5" t="s">
        <v>10</v>
      </c>
      <c r="N146" s="5">
        <v>4</v>
      </c>
      <c r="O146" s="6">
        <f t="shared" si="34"/>
        <v>7.8595505372546111</v>
      </c>
      <c r="P146" s="6">
        <f t="shared" si="35"/>
        <v>0.81739325587447953</v>
      </c>
      <c r="Q146" s="10">
        <f t="shared" si="36"/>
        <v>1.7029026164051657E-2</v>
      </c>
      <c r="R146" s="10">
        <f t="shared" si="37"/>
        <v>7.4635493270240674E-2</v>
      </c>
      <c r="S146" s="10">
        <f t="shared" si="38"/>
        <v>9.1664519434292324E-2</v>
      </c>
    </row>
    <row r="147" spans="1:19" x14ac:dyDescent="0.25">
      <c r="A147" s="5" t="s">
        <v>8</v>
      </c>
      <c r="B147" s="5" t="s">
        <v>165</v>
      </c>
      <c r="C147" s="5" t="s">
        <v>27</v>
      </c>
      <c r="D147" s="5" t="s">
        <v>385</v>
      </c>
      <c r="E147" s="5" t="s">
        <v>384</v>
      </c>
      <c r="F147" s="5" t="s">
        <v>30</v>
      </c>
      <c r="G147" s="5" t="s">
        <v>397</v>
      </c>
      <c r="H147" s="5" t="s">
        <v>36</v>
      </c>
      <c r="I147" s="5" t="s">
        <v>173</v>
      </c>
      <c r="J147" s="15">
        <v>3000</v>
      </c>
      <c r="K147" s="7">
        <v>18</v>
      </c>
      <c r="L147" s="7">
        <f t="shared" si="33"/>
        <v>166.66666666666666</v>
      </c>
      <c r="M147" s="5" t="s">
        <v>10</v>
      </c>
      <c r="N147" s="5">
        <v>4</v>
      </c>
      <c r="O147" s="6">
        <f t="shared" si="34"/>
        <v>52.083333333333329</v>
      </c>
      <c r="P147" s="6">
        <f t="shared" si="35"/>
        <v>5.4166666666666661</v>
      </c>
      <c r="Q147" s="10">
        <f t="shared" si="36"/>
        <v>0.11284722222222221</v>
      </c>
      <c r="R147" s="10">
        <f t="shared" si="37"/>
        <v>0.3082628595775706</v>
      </c>
      <c r="S147" s="10">
        <f t="shared" si="38"/>
        <v>0.42111008179979281</v>
      </c>
    </row>
    <row r="148" spans="1:19" x14ac:dyDescent="0.25">
      <c r="A148" s="5" t="s">
        <v>8</v>
      </c>
      <c r="B148" s="5" t="s">
        <v>165</v>
      </c>
      <c r="C148" s="5" t="s">
        <v>27</v>
      </c>
      <c r="D148" s="5" t="s">
        <v>385</v>
      </c>
      <c r="E148" s="5" t="s">
        <v>384</v>
      </c>
      <c r="F148" s="5" t="s">
        <v>30</v>
      </c>
      <c r="G148" s="5" t="s">
        <v>397</v>
      </c>
      <c r="H148" s="5" t="s">
        <v>36</v>
      </c>
      <c r="I148" s="5" t="s">
        <v>170</v>
      </c>
      <c r="J148" s="15">
        <v>2695</v>
      </c>
      <c r="K148" s="7">
        <v>40</v>
      </c>
      <c r="L148" s="7">
        <f t="shared" si="33"/>
        <v>67.375</v>
      </c>
      <c r="M148" s="5" t="s">
        <v>10</v>
      </c>
      <c r="N148" s="5">
        <v>4</v>
      </c>
      <c r="O148" s="6">
        <f t="shared" si="34"/>
        <v>7.6460360839843746</v>
      </c>
      <c r="P148" s="6">
        <f t="shared" si="35"/>
        <v>0.79518775273437492</v>
      </c>
      <c r="Q148" s="10">
        <f t="shared" si="36"/>
        <v>1.6566411515299476E-2</v>
      </c>
      <c r="R148" s="10">
        <f t="shared" si="37"/>
        <v>7.3109595619803347E-2</v>
      </c>
      <c r="S148" s="10">
        <f t="shared" si="38"/>
        <v>8.967600713510282E-2</v>
      </c>
    </row>
    <row r="149" spans="1:19" x14ac:dyDescent="0.25">
      <c r="A149" s="5" t="s">
        <v>8</v>
      </c>
      <c r="B149" s="5" t="s">
        <v>165</v>
      </c>
      <c r="C149" s="5" t="s">
        <v>27</v>
      </c>
      <c r="D149" s="5" t="s">
        <v>385</v>
      </c>
      <c r="E149" s="5" t="s">
        <v>384</v>
      </c>
      <c r="F149" s="5" t="s">
        <v>30</v>
      </c>
      <c r="G149" s="5" t="s">
        <v>397</v>
      </c>
      <c r="H149" s="5" t="s">
        <v>36</v>
      </c>
      <c r="I149" s="5" t="s">
        <v>174</v>
      </c>
      <c r="J149" s="15">
        <v>5350</v>
      </c>
      <c r="K149" s="7">
        <v>40</v>
      </c>
      <c r="L149" s="7">
        <f t="shared" si="33"/>
        <v>133.75</v>
      </c>
      <c r="M149" s="5" t="s">
        <v>10</v>
      </c>
      <c r="N149" s="5">
        <v>4</v>
      </c>
      <c r="O149" s="6">
        <f t="shared" si="34"/>
        <v>59.816552734375001</v>
      </c>
      <c r="P149" s="6">
        <f t="shared" si="35"/>
        <v>6.2209214843750003</v>
      </c>
      <c r="Q149" s="10">
        <f t="shared" si="36"/>
        <v>0.12960253092447918</v>
      </c>
      <c r="R149" s="10">
        <f t="shared" si="37"/>
        <v>0.34198980524747485</v>
      </c>
      <c r="S149" s="10">
        <f t="shared" si="38"/>
        <v>0.47159233617195406</v>
      </c>
    </row>
    <row r="150" spans="1:19" x14ac:dyDescent="0.25">
      <c r="A150" s="5" t="s">
        <v>22</v>
      </c>
      <c r="B150" s="5" t="s">
        <v>26</v>
      </c>
      <c r="C150" s="5" t="s">
        <v>27</v>
      </c>
      <c r="D150" s="5" t="s">
        <v>385</v>
      </c>
      <c r="E150" s="5" t="s">
        <v>384</v>
      </c>
      <c r="F150" s="5" t="s">
        <v>30</v>
      </c>
      <c r="G150" s="5" t="s">
        <v>397</v>
      </c>
      <c r="H150" s="5" t="s">
        <v>36</v>
      </c>
      <c r="I150" s="5" t="s">
        <v>18</v>
      </c>
      <c r="J150" s="15">
        <v>1750</v>
      </c>
      <c r="K150" s="7">
        <v>28</v>
      </c>
      <c r="L150" s="7">
        <f t="shared" si="33"/>
        <v>62.5</v>
      </c>
      <c r="M150" s="5" t="s">
        <v>10</v>
      </c>
      <c r="N150" s="5">
        <v>4</v>
      </c>
      <c r="O150" s="6">
        <f t="shared" si="34"/>
        <v>4.2724609375</v>
      </c>
      <c r="P150" s="6">
        <f t="shared" si="35"/>
        <v>0.4443359375</v>
      </c>
      <c r="Q150" s="10">
        <f t="shared" si="36"/>
        <v>9.2569986979166661E-3</v>
      </c>
      <c r="R150" s="10">
        <f t="shared" si="37"/>
        <v>4.7250422897927295E-2</v>
      </c>
      <c r="S150" s="10">
        <f t="shared" si="38"/>
        <v>5.650742159584396E-2</v>
      </c>
    </row>
    <row r="151" spans="1:19" x14ac:dyDescent="0.25">
      <c r="A151" s="5" t="s">
        <v>8</v>
      </c>
      <c r="B151" s="5" t="s">
        <v>165</v>
      </c>
      <c r="C151" s="5" t="s">
        <v>27</v>
      </c>
      <c r="D151" s="5" t="s">
        <v>385</v>
      </c>
      <c r="E151" s="5" t="s">
        <v>384</v>
      </c>
      <c r="F151" s="5" t="s">
        <v>30</v>
      </c>
      <c r="G151" s="5" t="s">
        <v>397</v>
      </c>
      <c r="H151" s="5" t="s">
        <v>36</v>
      </c>
      <c r="I151" s="5" t="s">
        <v>18</v>
      </c>
      <c r="J151" s="15">
        <v>1450</v>
      </c>
      <c r="K151" s="7">
        <v>28.5</v>
      </c>
      <c r="L151" s="7">
        <f t="shared" si="33"/>
        <v>50.877192982456137</v>
      </c>
      <c r="M151" s="5" t="s">
        <v>10</v>
      </c>
      <c r="N151" s="5">
        <v>4</v>
      </c>
      <c r="O151" s="6">
        <f t="shared" si="34"/>
        <v>2.3458179439827638</v>
      </c>
      <c r="P151" s="6">
        <f t="shared" si="35"/>
        <v>0.24396506617420743</v>
      </c>
      <c r="Q151" s="10">
        <f t="shared" si="36"/>
        <v>5.0826055452959885E-3</v>
      </c>
      <c r="R151" s="10">
        <f t="shared" si="37"/>
        <v>3.0138237596683604E-2</v>
      </c>
      <c r="S151" s="10">
        <f t="shared" si="38"/>
        <v>3.5220843141979589E-2</v>
      </c>
    </row>
    <row r="152" spans="1:19" x14ac:dyDescent="0.25">
      <c r="A152" s="5" t="s">
        <v>8</v>
      </c>
      <c r="B152" s="5" t="s">
        <v>281</v>
      </c>
      <c r="C152" s="5" t="s">
        <v>27</v>
      </c>
      <c r="D152" s="5" t="s">
        <v>385</v>
      </c>
      <c r="E152" s="5" t="s">
        <v>384</v>
      </c>
      <c r="F152" s="5" t="s">
        <v>30</v>
      </c>
      <c r="G152" s="5" t="s">
        <v>397</v>
      </c>
      <c r="H152" s="5" t="s">
        <v>36</v>
      </c>
      <c r="I152" s="5" t="s">
        <v>18</v>
      </c>
      <c r="J152" s="15">
        <v>1975</v>
      </c>
      <c r="K152" s="7">
        <v>33</v>
      </c>
      <c r="L152" s="7">
        <f t="shared" si="33"/>
        <v>59.848484848484851</v>
      </c>
      <c r="M152" s="5" t="s">
        <v>10</v>
      </c>
      <c r="N152" s="5">
        <v>4</v>
      </c>
      <c r="O152" s="6">
        <f t="shared" si="34"/>
        <v>4.4213351555325984</v>
      </c>
      <c r="P152" s="6">
        <f t="shared" si="35"/>
        <v>0.45981885617539026</v>
      </c>
      <c r="Q152" s="10">
        <f t="shared" si="36"/>
        <v>9.5795595036539619E-3</v>
      </c>
      <c r="R152" s="10">
        <f t="shared" si="37"/>
        <v>4.8479954373658471E-2</v>
      </c>
      <c r="S152" s="10">
        <f t="shared" si="38"/>
        <v>5.8059513877312431E-2</v>
      </c>
    </row>
    <row r="153" spans="1:19" x14ac:dyDescent="0.25">
      <c r="A153" s="5" t="s">
        <v>8</v>
      </c>
      <c r="B153" s="5" t="s">
        <v>291</v>
      </c>
      <c r="C153" s="5" t="s">
        <v>27</v>
      </c>
      <c r="D153" s="5" t="s">
        <v>385</v>
      </c>
      <c r="E153" s="5" t="s">
        <v>384</v>
      </c>
      <c r="F153" s="5" t="s">
        <v>30</v>
      </c>
      <c r="G153" s="5" t="s">
        <v>397</v>
      </c>
      <c r="H153" s="5" t="s">
        <v>36</v>
      </c>
      <c r="I153" s="5" t="s">
        <v>18</v>
      </c>
      <c r="J153" s="15">
        <v>1559</v>
      </c>
      <c r="K153" s="7">
        <v>24.4</v>
      </c>
      <c r="L153" s="7">
        <f t="shared" si="33"/>
        <v>63.893442622950822</v>
      </c>
      <c r="M153" s="5" t="s">
        <v>10</v>
      </c>
      <c r="N153" s="5">
        <v>4</v>
      </c>
      <c r="O153" s="6">
        <f t="shared" si="34"/>
        <v>3.977761227450618</v>
      </c>
      <c r="P153" s="6">
        <f t="shared" si="35"/>
        <v>0.4136871676548643</v>
      </c>
      <c r="Q153" s="10">
        <f t="shared" si="36"/>
        <v>8.6184826594763383E-3</v>
      </c>
      <c r="R153" s="10">
        <f t="shared" si="37"/>
        <v>4.4784337805949009E-2</v>
      </c>
      <c r="S153" s="10">
        <f t="shared" si="38"/>
        <v>5.3402820465425348E-2</v>
      </c>
    </row>
    <row r="154" spans="1:19" x14ac:dyDescent="0.25">
      <c r="A154" s="5" t="s">
        <v>8</v>
      </c>
      <c r="B154" s="5" t="s">
        <v>291</v>
      </c>
      <c r="C154" s="5" t="s">
        <v>27</v>
      </c>
      <c r="D154" s="5" t="s">
        <v>385</v>
      </c>
      <c r="E154" s="5" t="s">
        <v>384</v>
      </c>
      <c r="F154" s="5" t="s">
        <v>30</v>
      </c>
      <c r="G154" s="5" t="s">
        <v>397</v>
      </c>
      <c r="H154" s="5" t="s">
        <v>36</v>
      </c>
      <c r="I154" s="5" t="s">
        <v>18</v>
      </c>
      <c r="J154" s="15">
        <v>1600</v>
      </c>
      <c r="K154" s="7">
        <v>25.6</v>
      </c>
      <c r="L154" s="7">
        <f t="shared" si="33"/>
        <v>62.5</v>
      </c>
      <c r="M154" s="5" t="s">
        <v>10</v>
      </c>
      <c r="N154" s="5">
        <v>4</v>
      </c>
      <c r="O154" s="6">
        <f t="shared" si="34"/>
        <v>3.90625</v>
      </c>
      <c r="P154" s="6">
        <f t="shared" si="35"/>
        <v>0.40625</v>
      </c>
      <c r="Q154" s="10">
        <f t="shared" si="36"/>
        <v>8.4635416666666661E-3</v>
      </c>
      <c r="R154" s="10">
        <f t="shared" si="37"/>
        <v>4.4179129093154489E-2</v>
      </c>
      <c r="S154" s="10">
        <f t="shared" si="38"/>
        <v>5.2642670759821153E-2</v>
      </c>
    </row>
    <row r="155" spans="1:19" x14ac:dyDescent="0.25">
      <c r="A155" s="5" t="s">
        <v>8</v>
      </c>
      <c r="B155" s="5" t="s">
        <v>307</v>
      </c>
      <c r="C155" s="5" t="s">
        <v>27</v>
      </c>
      <c r="D155" s="5" t="s">
        <v>385</v>
      </c>
      <c r="E155" s="5" t="s">
        <v>384</v>
      </c>
      <c r="F155" s="5" t="s">
        <v>30</v>
      </c>
      <c r="G155" s="5" t="s">
        <v>397</v>
      </c>
      <c r="H155" s="5" t="s">
        <v>36</v>
      </c>
      <c r="I155" s="5" t="s">
        <v>18</v>
      </c>
      <c r="J155" s="15">
        <v>1450</v>
      </c>
      <c r="K155" s="7">
        <v>34.200000000000003</v>
      </c>
      <c r="L155" s="7">
        <f t="shared" si="33"/>
        <v>42.397660818713447</v>
      </c>
      <c r="M155" s="5" t="s">
        <v>10</v>
      </c>
      <c r="N155" s="5">
        <v>4</v>
      </c>
      <c r="O155" s="6">
        <f t="shared" si="34"/>
        <v>1.629040238876919</v>
      </c>
      <c r="P155" s="6">
        <f t="shared" si="35"/>
        <v>0.16942018484319957</v>
      </c>
      <c r="Q155" s="10">
        <f t="shared" si="36"/>
        <v>3.5295871842333242E-3</v>
      </c>
      <c r="R155" s="10">
        <f t="shared" si="37"/>
        <v>2.2926934132158183E-2</v>
      </c>
      <c r="S155" s="10">
        <f t="shared" si="38"/>
        <v>2.6456521316391507E-2</v>
      </c>
    </row>
    <row r="156" spans="1:19" x14ac:dyDescent="0.25">
      <c r="A156" s="5" t="s">
        <v>8</v>
      </c>
      <c r="B156" s="5" t="s">
        <v>165</v>
      </c>
      <c r="C156" s="5" t="s">
        <v>27</v>
      </c>
      <c r="D156" s="5" t="s">
        <v>385</v>
      </c>
      <c r="E156" s="5" t="s">
        <v>384</v>
      </c>
      <c r="F156" s="5" t="s">
        <v>30</v>
      </c>
      <c r="G156" s="5" t="s">
        <v>397</v>
      </c>
      <c r="H156" s="5" t="s">
        <v>36</v>
      </c>
      <c r="I156" s="5" t="s">
        <v>175</v>
      </c>
      <c r="J156" s="15">
        <v>1800</v>
      </c>
      <c r="K156" s="7">
        <v>25</v>
      </c>
      <c r="L156" s="7">
        <f t="shared" si="33"/>
        <v>72</v>
      </c>
      <c r="M156" s="5" t="s">
        <v>10</v>
      </c>
      <c r="N156" s="5">
        <v>4</v>
      </c>
      <c r="O156" s="6">
        <f t="shared" si="34"/>
        <v>5.8319999999999999</v>
      </c>
      <c r="P156" s="6">
        <f t="shared" si="35"/>
        <v>0.60652799999999996</v>
      </c>
      <c r="Q156" s="10">
        <f t="shared" si="36"/>
        <v>1.2636E-2</v>
      </c>
      <c r="R156" s="10">
        <f t="shared" si="37"/>
        <v>5.9670580217310476E-2</v>
      </c>
      <c r="S156" s="10">
        <f t="shared" si="38"/>
        <v>7.230658021731047E-2</v>
      </c>
    </row>
    <row r="157" spans="1:19" x14ac:dyDescent="0.25">
      <c r="A157" s="5" t="s">
        <v>8</v>
      </c>
      <c r="B157" s="5" t="s">
        <v>165</v>
      </c>
      <c r="C157" s="5" t="s">
        <v>27</v>
      </c>
      <c r="D157" s="5" t="s">
        <v>385</v>
      </c>
      <c r="E157" s="5" t="s">
        <v>384</v>
      </c>
      <c r="F157" s="5" t="s">
        <v>30</v>
      </c>
      <c r="G157" s="5" t="s">
        <v>397</v>
      </c>
      <c r="H157" s="5" t="s">
        <v>36</v>
      </c>
      <c r="I157" s="5" t="s">
        <v>176</v>
      </c>
      <c r="J157" s="15">
        <v>1750</v>
      </c>
      <c r="K157" s="7">
        <v>35.5</v>
      </c>
      <c r="L157" s="7">
        <f t="shared" si="33"/>
        <v>49.29577464788732</v>
      </c>
      <c r="M157" s="5" t="s">
        <v>10</v>
      </c>
      <c r="N157" s="5">
        <v>4</v>
      </c>
      <c r="O157" s="6">
        <f t="shared" si="34"/>
        <v>2.6578927792104734</v>
      </c>
      <c r="P157" s="6">
        <f t="shared" si="35"/>
        <v>0.27642084903788922</v>
      </c>
      <c r="Q157" s="10">
        <f t="shared" si="36"/>
        <v>5.7587676882893584E-3</v>
      </c>
      <c r="R157" s="10">
        <f t="shared" si="37"/>
        <v>3.3097883067103442E-2</v>
      </c>
      <c r="S157" s="10">
        <f t="shared" si="38"/>
        <v>3.8856650755392803E-2</v>
      </c>
    </row>
    <row r="158" spans="1:19" x14ac:dyDescent="0.25">
      <c r="A158" s="5" t="s">
        <v>8</v>
      </c>
      <c r="B158" s="5" t="s">
        <v>165</v>
      </c>
      <c r="C158" s="5" t="s">
        <v>27</v>
      </c>
      <c r="D158" s="5" t="s">
        <v>385</v>
      </c>
      <c r="E158" s="5" t="s">
        <v>384</v>
      </c>
      <c r="F158" s="5" t="s">
        <v>30</v>
      </c>
      <c r="G158" s="5" t="s">
        <v>397</v>
      </c>
      <c r="H158" s="5" t="s">
        <v>36</v>
      </c>
      <c r="I158" s="5" t="s">
        <v>177</v>
      </c>
      <c r="J158" s="15">
        <v>1060</v>
      </c>
      <c r="K158" s="7">
        <v>28</v>
      </c>
      <c r="L158" s="7">
        <f t="shared" si="33"/>
        <v>37.857142857142854</v>
      </c>
      <c r="M158" s="5" t="s">
        <v>10</v>
      </c>
      <c r="N158" s="5">
        <v>4</v>
      </c>
      <c r="O158" s="6">
        <f t="shared" si="34"/>
        <v>0.94947066326530594</v>
      </c>
      <c r="P158" s="6">
        <f t="shared" si="35"/>
        <v>9.874494897959181E-2</v>
      </c>
      <c r="Q158" s="10">
        <f t="shared" si="36"/>
        <v>2.0571864370748294E-3</v>
      </c>
      <c r="R158" s="10">
        <f t="shared" si="37"/>
        <v>1.5293549291277381E-2</v>
      </c>
      <c r="S158" s="10">
        <f t="shared" si="38"/>
        <v>1.7350735728352211E-2</v>
      </c>
    </row>
    <row r="159" spans="1:19" x14ac:dyDescent="0.25">
      <c r="A159" s="5" t="s">
        <v>8</v>
      </c>
      <c r="B159" s="5" t="s">
        <v>165</v>
      </c>
      <c r="C159" s="5" t="s">
        <v>27</v>
      </c>
      <c r="D159" s="5" t="s">
        <v>385</v>
      </c>
      <c r="E159" s="5" t="s">
        <v>384</v>
      </c>
      <c r="F159" s="5" t="s">
        <v>30</v>
      </c>
      <c r="G159" s="5" t="s">
        <v>397</v>
      </c>
      <c r="H159" s="5" t="s">
        <v>36</v>
      </c>
      <c r="I159" s="5" t="s">
        <v>178</v>
      </c>
      <c r="J159" s="15">
        <v>1700</v>
      </c>
      <c r="K159" s="7">
        <v>26.5</v>
      </c>
      <c r="L159" s="7">
        <f t="shared" si="33"/>
        <v>64.15094339622641</v>
      </c>
      <c r="M159" s="5" t="s">
        <v>10</v>
      </c>
      <c r="N159" s="5">
        <v>4</v>
      </c>
      <c r="O159" s="6">
        <f t="shared" si="34"/>
        <v>4.3725525097899602</v>
      </c>
      <c r="P159" s="6">
        <f t="shared" si="35"/>
        <v>0.45474546101815583</v>
      </c>
      <c r="Q159" s="10">
        <f t="shared" si="36"/>
        <v>9.4738637712115797E-3</v>
      </c>
      <c r="R159" s="10">
        <f t="shared" si="37"/>
        <v>4.8078222116359363E-2</v>
      </c>
      <c r="S159" s="10">
        <f t="shared" si="38"/>
        <v>5.7552085887570943E-2</v>
      </c>
    </row>
    <row r="160" spans="1:19" x14ac:dyDescent="0.25">
      <c r="A160" s="5" t="s">
        <v>8</v>
      </c>
      <c r="B160" s="5" t="s">
        <v>165</v>
      </c>
      <c r="C160" s="5" t="s">
        <v>27</v>
      </c>
      <c r="D160" s="5" t="s">
        <v>385</v>
      </c>
      <c r="E160" s="5" t="s">
        <v>384</v>
      </c>
      <c r="F160" s="5" t="s">
        <v>30</v>
      </c>
      <c r="G160" s="5" t="s">
        <v>397</v>
      </c>
      <c r="H160" s="5" t="s">
        <v>36</v>
      </c>
      <c r="I160" s="5" t="s">
        <v>179</v>
      </c>
      <c r="J160" s="15">
        <v>1200</v>
      </c>
      <c r="K160" s="7">
        <v>28</v>
      </c>
      <c r="L160" s="7">
        <f t="shared" si="33"/>
        <v>42.857142857142854</v>
      </c>
      <c r="M160" s="5" t="s">
        <v>10</v>
      </c>
      <c r="N160" s="5">
        <v>4</v>
      </c>
      <c r="O160" s="6">
        <f t="shared" si="34"/>
        <v>1.3775510204081631</v>
      </c>
      <c r="P160" s="6">
        <f t="shared" si="35"/>
        <v>0.14326530612244898</v>
      </c>
      <c r="Q160" s="10">
        <f t="shared" si="36"/>
        <v>2.9846938775510198E-3</v>
      </c>
      <c r="R160" s="10">
        <f t="shared" si="37"/>
        <v>2.0217520582724226E-2</v>
      </c>
      <c r="S160" s="10">
        <f t="shared" si="38"/>
        <v>2.3202214460275247E-2</v>
      </c>
    </row>
    <row r="161" spans="1:19" x14ac:dyDescent="0.25">
      <c r="A161" s="5" t="s">
        <v>8</v>
      </c>
      <c r="B161" s="5" t="s">
        <v>165</v>
      </c>
      <c r="C161" s="5" t="s">
        <v>27</v>
      </c>
      <c r="D161" s="5" t="s">
        <v>385</v>
      </c>
      <c r="E161" s="5" t="s">
        <v>384</v>
      </c>
      <c r="F161" s="5" t="s">
        <v>30</v>
      </c>
      <c r="G161" s="5" t="s">
        <v>397</v>
      </c>
      <c r="H161" s="5" t="s">
        <v>36</v>
      </c>
      <c r="I161" s="5" t="s">
        <v>180</v>
      </c>
      <c r="J161" s="15">
        <v>4150</v>
      </c>
      <c r="K161" s="7">
        <v>26.5</v>
      </c>
      <c r="L161" s="7">
        <f t="shared" si="33"/>
        <v>156.60377358490567</v>
      </c>
      <c r="M161" s="5" t="s">
        <v>10</v>
      </c>
      <c r="N161" s="5">
        <v>4</v>
      </c>
      <c r="O161" s="6">
        <f t="shared" si="34"/>
        <v>63.61104930580278</v>
      </c>
      <c r="P161" s="6">
        <f t="shared" si="35"/>
        <v>6.6155491278034892</v>
      </c>
      <c r="Q161" s="10">
        <f t="shared" si="36"/>
        <v>0.13782394016257268</v>
      </c>
      <c r="R161" s="10">
        <f t="shared" si="37"/>
        <v>0.35813481691991617</v>
      </c>
      <c r="S161" s="10">
        <f t="shared" si="38"/>
        <v>0.49595875708248882</v>
      </c>
    </row>
    <row r="162" spans="1:19" x14ac:dyDescent="0.25">
      <c r="A162" s="5" t="s">
        <v>8</v>
      </c>
      <c r="B162" s="5" t="s">
        <v>165</v>
      </c>
      <c r="C162" s="5" t="s">
        <v>27</v>
      </c>
      <c r="D162" s="5" t="s">
        <v>385</v>
      </c>
      <c r="E162" s="5" t="s">
        <v>384</v>
      </c>
      <c r="F162" s="5" t="s">
        <v>30</v>
      </c>
      <c r="G162" s="5" t="s">
        <v>397</v>
      </c>
      <c r="H162" s="5" t="s">
        <v>36</v>
      </c>
      <c r="I162" s="5" t="s">
        <v>172</v>
      </c>
      <c r="J162" s="15">
        <v>1615</v>
      </c>
      <c r="K162" s="7">
        <v>35</v>
      </c>
      <c r="L162" s="7">
        <f t="shared" si="33"/>
        <v>46.142857142857146</v>
      </c>
      <c r="M162" s="5" t="s">
        <v>10</v>
      </c>
      <c r="N162" s="5">
        <v>4</v>
      </c>
      <c r="O162" s="6">
        <f t="shared" si="34"/>
        <v>2.1491241709183679</v>
      </c>
      <c r="P162" s="6">
        <f t="shared" si="35"/>
        <v>0.22350891377551022</v>
      </c>
      <c r="Q162" s="10">
        <f t="shared" si="36"/>
        <v>4.6564357036564634E-3</v>
      </c>
      <c r="R162" s="10">
        <f t="shared" si="37"/>
        <v>2.8222355350425752E-2</v>
      </c>
      <c r="S162" s="10">
        <f t="shared" si="38"/>
        <v>3.2878791054082215E-2</v>
      </c>
    </row>
    <row r="163" spans="1:19" x14ac:dyDescent="0.25">
      <c r="A163" s="5" t="s">
        <v>8</v>
      </c>
      <c r="B163" s="5" t="s">
        <v>165</v>
      </c>
      <c r="C163" s="5" t="s">
        <v>27</v>
      </c>
      <c r="D163" s="5" t="s">
        <v>385</v>
      </c>
      <c r="E163" s="5" t="s">
        <v>384</v>
      </c>
      <c r="F163" s="5" t="s">
        <v>30</v>
      </c>
      <c r="G163" s="5" t="s">
        <v>397</v>
      </c>
      <c r="H163" s="5" t="s">
        <v>36</v>
      </c>
      <c r="I163" s="5" t="s">
        <v>172</v>
      </c>
      <c r="J163" s="15">
        <v>1600</v>
      </c>
      <c r="K163" s="7">
        <v>35</v>
      </c>
      <c r="L163" s="7">
        <f t="shared" si="33"/>
        <v>45.714285714285715</v>
      </c>
      <c r="M163" s="5" t="s">
        <v>10</v>
      </c>
      <c r="N163" s="5">
        <v>4</v>
      </c>
      <c r="O163" s="6">
        <f t="shared" si="34"/>
        <v>2.0897959183673471</v>
      </c>
      <c r="P163" s="6">
        <f t="shared" si="35"/>
        <v>0.21733877551020411</v>
      </c>
      <c r="Q163" s="10">
        <f t="shared" si="36"/>
        <v>4.5278911564625851E-3</v>
      </c>
      <c r="R163" s="10">
        <f t="shared" si="37"/>
        <v>2.7635990312774601E-2</v>
      </c>
      <c r="S163" s="10">
        <f t="shared" si="38"/>
        <v>3.2163881469237182E-2</v>
      </c>
    </row>
    <row r="164" spans="1:19" x14ac:dyDescent="0.25">
      <c r="A164" s="5" t="s">
        <v>8</v>
      </c>
      <c r="B164" s="5" t="s">
        <v>165</v>
      </c>
      <c r="C164" s="5" t="s">
        <v>27</v>
      </c>
      <c r="D164" s="5" t="s">
        <v>385</v>
      </c>
      <c r="E164" s="5" t="s">
        <v>384</v>
      </c>
      <c r="F164" s="5" t="s">
        <v>30</v>
      </c>
      <c r="G164" s="5" t="s">
        <v>397</v>
      </c>
      <c r="H164" s="5" t="s">
        <v>36</v>
      </c>
      <c r="I164" s="5" t="s">
        <v>71</v>
      </c>
      <c r="J164" s="15">
        <v>3100</v>
      </c>
      <c r="K164" s="7">
        <v>39.5</v>
      </c>
      <c r="L164" s="7">
        <f t="shared" si="33"/>
        <v>78.481012658227854</v>
      </c>
      <c r="M164" s="5" t="s">
        <v>10</v>
      </c>
      <c r="N164" s="5">
        <v>4</v>
      </c>
      <c r="O164" s="6">
        <f t="shared" si="34"/>
        <v>11.933584361480534</v>
      </c>
      <c r="P164" s="6">
        <f t="shared" si="35"/>
        <v>1.2410927735939754</v>
      </c>
      <c r="Q164" s="10">
        <f t="shared" si="36"/>
        <v>2.5856099449874489E-2</v>
      </c>
      <c r="R164" s="10">
        <f t="shared" si="37"/>
        <v>0.10208814323887225</v>
      </c>
      <c r="S164" s="10">
        <f t="shared" si="38"/>
        <v>0.12794424268874674</v>
      </c>
    </row>
    <row r="165" spans="1:19" x14ac:dyDescent="0.25">
      <c r="A165" s="5" t="s">
        <v>22</v>
      </c>
      <c r="B165" s="5" t="s">
        <v>26</v>
      </c>
      <c r="C165" s="5" t="s">
        <v>27</v>
      </c>
      <c r="D165" s="5" t="s">
        <v>385</v>
      </c>
      <c r="E165" s="5" t="s">
        <v>384</v>
      </c>
      <c r="F165" s="5" t="s">
        <v>30</v>
      </c>
      <c r="G165" s="5" t="s">
        <v>397</v>
      </c>
      <c r="H165" s="5" t="s">
        <v>36</v>
      </c>
      <c r="I165" s="5" t="s">
        <v>37</v>
      </c>
      <c r="J165" s="15">
        <v>3105</v>
      </c>
      <c r="K165" s="7">
        <v>37.5</v>
      </c>
      <c r="L165" s="7">
        <f t="shared" si="33"/>
        <v>82.8</v>
      </c>
      <c r="M165" s="5" t="s">
        <v>10</v>
      </c>
      <c r="N165" s="5">
        <v>4</v>
      </c>
      <c r="O165" s="6">
        <f t="shared" si="34"/>
        <v>13.3046145</v>
      </c>
      <c r="P165" s="6">
        <f t="shared" si="35"/>
        <v>1.3836799079999997</v>
      </c>
      <c r="Q165" s="10">
        <f t="shared" si="36"/>
        <v>2.8826664749999998E-2</v>
      </c>
      <c r="R165" s="10">
        <f t="shared" si="37"/>
        <v>0.11076405481821383</v>
      </c>
      <c r="S165" s="10">
        <f t="shared" si="38"/>
        <v>0.13959071956821384</v>
      </c>
    </row>
    <row r="166" spans="1:19" x14ac:dyDescent="0.25">
      <c r="A166" s="5" t="s">
        <v>8</v>
      </c>
      <c r="B166" s="5" t="s">
        <v>165</v>
      </c>
      <c r="C166" s="5" t="s">
        <v>27</v>
      </c>
      <c r="D166" s="5" t="s">
        <v>385</v>
      </c>
      <c r="E166" s="5" t="s">
        <v>384</v>
      </c>
      <c r="F166" s="5" t="s">
        <v>30</v>
      </c>
      <c r="G166" s="5" t="s">
        <v>397</v>
      </c>
      <c r="H166" s="5" t="s">
        <v>36</v>
      </c>
      <c r="I166" s="5" t="s">
        <v>37</v>
      </c>
      <c r="J166" s="15">
        <v>3050</v>
      </c>
      <c r="K166" s="7">
        <v>36.5</v>
      </c>
      <c r="L166" s="7">
        <f t="shared" si="33"/>
        <v>83.561643835616437</v>
      </c>
      <c r="M166" s="5" t="s">
        <v>10</v>
      </c>
      <c r="N166" s="5">
        <v>4</v>
      </c>
      <c r="O166" s="6">
        <f t="shared" si="34"/>
        <v>13.310482735972977</v>
      </c>
      <c r="P166" s="6">
        <f t="shared" si="35"/>
        <v>1.3842902045411896</v>
      </c>
      <c r="Q166" s="10">
        <f t="shared" si="36"/>
        <v>2.8839379261274781E-2</v>
      </c>
      <c r="R166" s="10">
        <f t="shared" si="37"/>
        <v>0.11080069363522363</v>
      </c>
      <c r="S166" s="10">
        <f t="shared" si="38"/>
        <v>0.13964007289649841</v>
      </c>
    </row>
    <row r="167" spans="1:19" x14ac:dyDescent="0.25">
      <c r="A167" s="5" t="s">
        <v>8</v>
      </c>
      <c r="B167" s="5" t="s">
        <v>165</v>
      </c>
      <c r="C167" s="5" t="s">
        <v>27</v>
      </c>
      <c r="D167" s="5" t="s">
        <v>385</v>
      </c>
      <c r="E167" s="5" t="s">
        <v>384</v>
      </c>
      <c r="F167" s="5" t="s">
        <v>30</v>
      </c>
      <c r="G167" s="5" t="s">
        <v>397</v>
      </c>
      <c r="H167" s="5" t="s">
        <v>36</v>
      </c>
      <c r="I167" s="5" t="s">
        <v>181</v>
      </c>
      <c r="J167" s="15">
        <v>1850</v>
      </c>
      <c r="K167" s="7">
        <v>28.5</v>
      </c>
      <c r="L167" s="7">
        <f t="shared" si="33"/>
        <v>64.912280701754383</v>
      </c>
      <c r="M167" s="5" t="s">
        <v>10</v>
      </c>
      <c r="N167" s="5">
        <v>4</v>
      </c>
      <c r="O167" s="6">
        <f t="shared" si="34"/>
        <v>4.8719798399507539</v>
      </c>
      <c r="P167" s="6">
        <f t="shared" si="35"/>
        <v>0.5066859033548784</v>
      </c>
      <c r="Q167" s="10">
        <f t="shared" si="36"/>
        <v>1.0555956319893299E-2</v>
      </c>
      <c r="R167" s="10">
        <f t="shared" si="37"/>
        <v>5.2140625426400966E-2</v>
      </c>
      <c r="S167" s="10">
        <f t="shared" si="38"/>
        <v>6.2696581746294264E-2</v>
      </c>
    </row>
    <row r="168" spans="1:19" x14ac:dyDescent="0.25">
      <c r="A168" s="5" t="s">
        <v>8</v>
      </c>
      <c r="B168" s="5" t="s">
        <v>165</v>
      </c>
      <c r="C168" s="5" t="s">
        <v>27</v>
      </c>
      <c r="D168" s="5" t="s">
        <v>385</v>
      </c>
      <c r="E168" s="5" t="s">
        <v>384</v>
      </c>
      <c r="F168" s="5" t="s">
        <v>30</v>
      </c>
      <c r="G168" s="5" t="s">
        <v>397</v>
      </c>
      <c r="H168" s="5" t="s">
        <v>36</v>
      </c>
      <c r="I168" s="5" t="s">
        <v>171</v>
      </c>
      <c r="J168" s="15">
        <v>1740</v>
      </c>
      <c r="K168" s="7">
        <v>26.5</v>
      </c>
      <c r="L168" s="7">
        <f t="shared" si="33"/>
        <v>65.660377358490564</v>
      </c>
      <c r="M168" s="5" t="s">
        <v>10</v>
      </c>
      <c r="N168" s="5">
        <v>4</v>
      </c>
      <c r="O168" s="6">
        <f t="shared" si="34"/>
        <v>4.6885226059095757</v>
      </c>
      <c r="P168" s="6">
        <f t="shared" si="35"/>
        <v>0.48760635101459576</v>
      </c>
      <c r="Q168" s="10">
        <f t="shared" si="36"/>
        <v>1.0158465646137415E-2</v>
      </c>
      <c r="R168" s="10">
        <f t="shared" si="37"/>
        <v>5.0661043972834809E-2</v>
      </c>
      <c r="S168" s="10">
        <f t="shared" si="38"/>
        <v>6.0819509618972221E-2</v>
      </c>
    </row>
    <row r="169" spans="1:19" x14ac:dyDescent="0.25">
      <c r="A169" s="5" t="s">
        <v>8</v>
      </c>
      <c r="B169" s="5" t="s">
        <v>226</v>
      </c>
      <c r="C169" s="5" t="s">
        <v>27</v>
      </c>
      <c r="D169" s="5" t="s">
        <v>385</v>
      </c>
      <c r="E169" s="5" t="s">
        <v>384</v>
      </c>
      <c r="F169" s="5" t="s">
        <v>30</v>
      </c>
      <c r="G169" s="5" t="s">
        <v>397</v>
      </c>
      <c r="H169" s="5" t="s">
        <v>36</v>
      </c>
      <c r="I169" s="5" t="s">
        <v>227</v>
      </c>
      <c r="J169" s="15">
        <v>1508</v>
      </c>
      <c r="K169" s="7">
        <v>28.4</v>
      </c>
      <c r="L169" s="7">
        <f t="shared" si="33"/>
        <v>53.098591549295776</v>
      </c>
      <c r="M169" s="5" t="s">
        <v>10</v>
      </c>
      <c r="N169" s="5">
        <v>4</v>
      </c>
      <c r="O169" s="6">
        <f t="shared" si="34"/>
        <v>2.6573414501091053</v>
      </c>
      <c r="P169" s="6">
        <f t="shared" si="35"/>
        <v>0.27636351081134697</v>
      </c>
      <c r="Q169" s="10">
        <f t="shared" si="36"/>
        <v>5.7575731419030607E-3</v>
      </c>
      <c r="R169" s="10">
        <f t="shared" si="37"/>
        <v>3.3092733790731882E-2</v>
      </c>
      <c r="S169" s="10">
        <f t="shared" si="38"/>
        <v>3.8850306932634943E-2</v>
      </c>
    </row>
    <row r="170" spans="1:19" x14ac:dyDescent="0.25">
      <c r="A170" s="5" t="s">
        <v>22</v>
      </c>
      <c r="B170" s="5" t="s">
        <v>26</v>
      </c>
      <c r="C170" s="5" t="s">
        <v>27</v>
      </c>
      <c r="D170" s="5" t="s">
        <v>385</v>
      </c>
      <c r="E170" s="5" t="s">
        <v>384</v>
      </c>
      <c r="F170" s="5" t="s">
        <v>30</v>
      </c>
      <c r="G170" s="5" t="s">
        <v>397</v>
      </c>
      <c r="H170" s="5" t="s">
        <v>36</v>
      </c>
      <c r="I170" s="5" t="s">
        <v>38</v>
      </c>
      <c r="J170" s="15">
        <v>1900</v>
      </c>
      <c r="K170" s="7">
        <v>37</v>
      </c>
      <c r="L170" s="7">
        <f t="shared" si="33"/>
        <v>51.351351351351354</v>
      </c>
      <c r="M170" s="5" t="s">
        <v>10</v>
      </c>
      <c r="N170" s="5">
        <v>4</v>
      </c>
      <c r="O170" s="6">
        <f t="shared" si="34"/>
        <v>3.1313915266617975</v>
      </c>
      <c r="P170" s="6">
        <f t="shared" si="35"/>
        <v>0.32566471877282693</v>
      </c>
      <c r="Q170" s="10">
        <f t="shared" si="36"/>
        <v>6.7846816411005614E-3</v>
      </c>
      <c r="R170" s="10">
        <f t="shared" si="37"/>
        <v>3.7428304441951506E-2</v>
      </c>
      <c r="S170" s="10">
        <f t="shared" si="38"/>
        <v>4.4212986083052068E-2</v>
      </c>
    </row>
    <row r="171" spans="1:19" x14ac:dyDescent="0.25">
      <c r="A171" s="5" t="s">
        <v>8</v>
      </c>
      <c r="B171" s="5" t="s">
        <v>165</v>
      </c>
      <c r="C171" s="5" t="s">
        <v>27</v>
      </c>
      <c r="D171" s="5" t="s">
        <v>385</v>
      </c>
      <c r="E171" s="5" t="s">
        <v>384</v>
      </c>
      <c r="F171" s="5" t="s">
        <v>30</v>
      </c>
      <c r="G171" s="5" t="s">
        <v>397</v>
      </c>
      <c r="H171" s="5" t="s">
        <v>36</v>
      </c>
      <c r="I171" s="5" t="s">
        <v>38</v>
      </c>
      <c r="J171" s="15">
        <v>1900</v>
      </c>
      <c r="K171" s="7">
        <v>37</v>
      </c>
      <c r="L171" s="7">
        <f t="shared" si="33"/>
        <v>51.351351351351354</v>
      </c>
      <c r="M171" s="5" t="s">
        <v>10</v>
      </c>
      <c r="N171" s="5">
        <v>4</v>
      </c>
      <c r="O171" s="6">
        <f t="shared" si="34"/>
        <v>3.1313915266617975</v>
      </c>
      <c r="P171" s="6">
        <f t="shared" si="35"/>
        <v>0.32566471877282693</v>
      </c>
      <c r="Q171" s="10">
        <f t="shared" si="36"/>
        <v>6.7846816411005614E-3</v>
      </c>
      <c r="R171" s="10">
        <f t="shared" si="37"/>
        <v>3.7428304441951506E-2</v>
      </c>
      <c r="S171" s="10">
        <f t="shared" si="38"/>
        <v>4.4212986083052068E-2</v>
      </c>
    </row>
    <row r="172" spans="1:19" x14ac:dyDescent="0.25">
      <c r="A172" s="5" t="s">
        <v>8</v>
      </c>
      <c r="B172" s="5" t="s">
        <v>291</v>
      </c>
      <c r="C172" s="5" t="s">
        <v>27</v>
      </c>
      <c r="D172" s="5" t="s">
        <v>385</v>
      </c>
      <c r="E172" s="5" t="s">
        <v>384</v>
      </c>
      <c r="F172" s="5" t="s">
        <v>30</v>
      </c>
      <c r="G172" s="5" t="s">
        <v>397</v>
      </c>
      <c r="H172" s="5" t="s">
        <v>36</v>
      </c>
      <c r="I172" s="5" t="s">
        <v>38</v>
      </c>
      <c r="J172" s="15">
        <v>1808</v>
      </c>
      <c r="K172" s="7">
        <v>27.3</v>
      </c>
      <c r="L172" s="7">
        <f t="shared" si="33"/>
        <v>66.227106227106219</v>
      </c>
      <c r="M172" s="5" t="s">
        <v>10</v>
      </c>
      <c r="N172" s="5">
        <v>4</v>
      </c>
      <c r="O172" s="6">
        <f t="shared" si="34"/>
        <v>4.9562134471145445</v>
      </c>
      <c r="P172" s="6">
        <f t="shared" si="35"/>
        <v>0.51544619849991258</v>
      </c>
      <c r="Q172" s="10">
        <f t="shared" si="36"/>
        <v>1.0738462468748178E-2</v>
      </c>
      <c r="R172" s="10">
        <f t="shared" si="37"/>
        <v>5.2815284747529848E-2</v>
      </c>
      <c r="S172" s="10">
        <f t="shared" si="38"/>
        <v>6.3553747216278031E-2</v>
      </c>
    </row>
    <row r="173" spans="1:19" x14ac:dyDescent="0.25">
      <c r="A173" s="5" t="s">
        <v>8</v>
      </c>
      <c r="B173" s="5" t="s">
        <v>291</v>
      </c>
      <c r="C173" s="5" t="s">
        <v>27</v>
      </c>
      <c r="D173" s="5" t="s">
        <v>385</v>
      </c>
      <c r="E173" s="5" t="s">
        <v>384</v>
      </c>
      <c r="F173" s="5" t="s">
        <v>30</v>
      </c>
      <c r="G173" s="5" t="s">
        <v>397</v>
      </c>
      <c r="H173" s="5" t="s">
        <v>36</v>
      </c>
      <c r="I173" s="5" t="s">
        <v>38</v>
      </c>
      <c r="J173" s="15">
        <v>1839</v>
      </c>
      <c r="K173" s="7">
        <v>33.299999999999997</v>
      </c>
      <c r="L173" s="7">
        <f t="shared" si="33"/>
        <v>55.22522522522523</v>
      </c>
      <c r="M173" s="5" t="s">
        <v>10</v>
      </c>
      <c r="N173" s="5">
        <v>4</v>
      </c>
      <c r="O173" s="6">
        <f t="shared" si="34"/>
        <v>3.5053931854151457</v>
      </c>
      <c r="P173" s="6">
        <f t="shared" si="35"/>
        <v>0.36456089128317515</v>
      </c>
      <c r="Q173" s="10">
        <f t="shared" si="36"/>
        <v>7.5950185683994823E-3</v>
      </c>
      <c r="R173" s="10">
        <f t="shared" si="37"/>
        <v>4.073330769697972E-2</v>
      </c>
      <c r="S173" s="10">
        <f t="shared" si="38"/>
        <v>4.8328326265379203E-2</v>
      </c>
    </row>
    <row r="174" spans="1:19" x14ac:dyDescent="0.25">
      <c r="A174" s="5" t="s">
        <v>8</v>
      </c>
      <c r="B174" s="5" t="s">
        <v>165</v>
      </c>
      <c r="C174" s="5" t="s">
        <v>27</v>
      </c>
      <c r="D174" s="5" t="s">
        <v>385</v>
      </c>
      <c r="E174" s="5" t="s">
        <v>384</v>
      </c>
      <c r="F174" s="5" t="s">
        <v>30</v>
      </c>
      <c r="G174" s="5" t="s">
        <v>397</v>
      </c>
      <c r="H174" s="5" t="s">
        <v>36</v>
      </c>
      <c r="I174" s="5" t="s">
        <v>182</v>
      </c>
      <c r="J174" s="15">
        <v>1650</v>
      </c>
      <c r="K174" s="7">
        <v>32.5</v>
      </c>
      <c r="L174" s="7">
        <f t="shared" si="33"/>
        <v>50.769230769230766</v>
      </c>
      <c r="M174" s="5" t="s">
        <v>10</v>
      </c>
      <c r="N174" s="5">
        <v>4</v>
      </c>
      <c r="O174" s="6">
        <f t="shared" si="34"/>
        <v>2.6580621301775147</v>
      </c>
      <c r="P174" s="6">
        <f t="shared" si="35"/>
        <v>0.27643846153846147</v>
      </c>
      <c r="Q174" s="10">
        <f t="shared" si="36"/>
        <v>5.7591346153846147E-3</v>
      </c>
      <c r="R174" s="10">
        <f t="shared" si="37"/>
        <v>3.3099464709308975E-2</v>
      </c>
      <c r="S174" s="10">
        <f t="shared" si="38"/>
        <v>3.8858599324693592E-2</v>
      </c>
    </row>
    <row r="175" spans="1:19" x14ac:dyDescent="0.25">
      <c r="A175" s="5" t="s">
        <v>8</v>
      </c>
      <c r="B175" s="5" t="s">
        <v>165</v>
      </c>
      <c r="C175" s="5" t="s">
        <v>27</v>
      </c>
      <c r="D175" s="5" t="s">
        <v>385</v>
      </c>
      <c r="E175" s="5" t="s">
        <v>384</v>
      </c>
      <c r="F175" s="5" t="s">
        <v>30</v>
      </c>
      <c r="G175" s="5" t="s">
        <v>397</v>
      </c>
      <c r="H175" s="5" t="s">
        <v>36</v>
      </c>
      <c r="I175" s="5" t="s">
        <v>183</v>
      </c>
      <c r="J175" s="15">
        <v>1550</v>
      </c>
      <c r="K175" s="7">
        <v>28.5</v>
      </c>
      <c r="L175" s="7">
        <f t="shared" si="33"/>
        <v>54.385964912280699</v>
      </c>
      <c r="M175" s="5" t="s">
        <v>10</v>
      </c>
      <c r="N175" s="5">
        <v>4</v>
      </c>
      <c r="O175" s="6">
        <f t="shared" si="34"/>
        <v>2.8654008925823327</v>
      </c>
      <c r="P175" s="6">
        <f t="shared" si="35"/>
        <v>0.29800169282856259</v>
      </c>
      <c r="Q175" s="10">
        <f t="shared" si="36"/>
        <v>6.2083686005950543E-3</v>
      </c>
      <c r="R175" s="10">
        <f t="shared" si="37"/>
        <v>3.5017583120459564E-2</v>
      </c>
      <c r="S175" s="10">
        <f t="shared" si="38"/>
        <v>4.1225951721054616E-2</v>
      </c>
    </row>
    <row r="176" spans="1:19" x14ac:dyDescent="0.25">
      <c r="A176" s="5" t="s">
        <v>8</v>
      </c>
      <c r="B176" s="5" t="s">
        <v>165</v>
      </c>
      <c r="C176" s="5" t="s">
        <v>27</v>
      </c>
      <c r="D176" s="5" t="s">
        <v>385</v>
      </c>
      <c r="E176" s="5" t="s">
        <v>384</v>
      </c>
      <c r="F176" s="5" t="s">
        <v>30</v>
      </c>
      <c r="G176" s="5" t="s">
        <v>397</v>
      </c>
      <c r="H176" s="5" t="s">
        <v>36</v>
      </c>
      <c r="I176" s="5" t="s">
        <v>184</v>
      </c>
      <c r="J176" s="15">
        <v>5700</v>
      </c>
      <c r="K176" s="7">
        <v>47</v>
      </c>
      <c r="L176" s="7">
        <f t="shared" si="33"/>
        <v>121.27659574468085</v>
      </c>
      <c r="M176" s="5" t="s">
        <v>10</v>
      </c>
      <c r="N176" s="5">
        <v>4</v>
      </c>
      <c r="O176" s="6">
        <f t="shared" si="34"/>
        <v>52.397295156179268</v>
      </c>
      <c r="P176" s="6">
        <f t="shared" si="35"/>
        <v>5.449318696242643</v>
      </c>
      <c r="Q176" s="10">
        <f t="shared" si="36"/>
        <v>0.11352747283838842</v>
      </c>
      <c r="R176" s="10">
        <f t="shared" si="37"/>
        <v>0.30965548394091436</v>
      </c>
      <c r="S176" s="10">
        <f t="shared" si="38"/>
        <v>0.42318295677930279</v>
      </c>
    </row>
    <row r="177" spans="1:19" x14ac:dyDescent="0.25">
      <c r="A177" s="5" t="s">
        <v>8</v>
      </c>
      <c r="B177" s="5" t="s">
        <v>165</v>
      </c>
      <c r="C177" s="5" t="s">
        <v>27</v>
      </c>
      <c r="D177" s="5" t="s">
        <v>385</v>
      </c>
      <c r="E177" s="5" t="s">
        <v>384</v>
      </c>
      <c r="F177" s="5" t="s">
        <v>30</v>
      </c>
      <c r="G177" s="5" t="s">
        <v>397</v>
      </c>
      <c r="H177" s="5" t="s">
        <v>36</v>
      </c>
      <c r="I177" s="5" t="s">
        <v>166</v>
      </c>
      <c r="J177" s="15">
        <v>1635</v>
      </c>
      <c r="K177" s="7">
        <v>33.5</v>
      </c>
      <c r="L177" s="7">
        <f t="shared" si="33"/>
        <v>48.805970149253731</v>
      </c>
      <c r="M177" s="5" t="s">
        <v>10</v>
      </c>
      <c r="N177" s="5">
        <v>4</v>
      </c>
      <c r="O177" s="6">
        <f t="shared" si="34"/>
        <v>2.434129469258187</v>
      </c>
      <c r="P177" s="6">
        <f t="shared" si="35"/>
        <v>0.25314946480285144</v>
      </c>
      <c r="Q177" s="10">
        <f t="shared" si="36"/>
        <v>5.2739471833927387E-3</v>
      </c>
      <c r="R177" s="10">
        <f t="shared" si="37"/>
        <v>3.098524111547564E-2</v>
      </c>
      <c r="S177" s="10">
        <f t="shared" si="38"/>
        <v>3.6259188298868379E-2</v>
      </c>
    </row>
    <row r="178" spans="1:19" x14ac:dyDescent="0.25">
      <c r="A178" s="5" t="s">
        <v>8</v>
      </c>
      <c r="B178" s="5" t="s">
        <v>165</v>
      </c>
      <c r="C178" s="5" t="s">
        <v>27</v>
      </c>
      <c r="D178" s="5" t="s">
        <v>385</v>
      </c>
      <c r="E178" s="5" t="s">
        <v>384</v>
      </c>
      <c r="F178" s="5" t="s">
        <v>30</v>
      </c>
      <c r="G178" s="5" t="s">
        <v>397</v>
      </c>
      <c r="H178" s="5" t="s">
        <v>36</v>
      </c>
      <c r="I178" s="5" t="s">
        <v>166</v>
      </c>
      <c r="J178" s="15">
        <v>1650</v>
      </c>
      <c r="K178" s="7">
        <v>33.5</v>
      </c>
      <c r="L178" s="7">
        <f t="shared" si="33"/>
        <v>49.253731343283583</v>
      </c>
      <c r="M178" s="5" t="s">
        <v>10</v>
      </c>
      <c r="N178" s="5">
        <v>4</v>
      </c>
      <c r="O178" s="6">
        <f t="shared" si="34"/>
        <v>2.5017403653374917</v>
      </c>
      <c r="P178" s="6">
        <f t="shared" si="35"/>
        <v>0.26018099799509914</v>
      </c>
      <c r="Q178" s="10">
        <f t="shared" si="36"/>
        <v>5.4204374582312318E-3</v>
      </c>
      <c r="R178" s="10">
        <f t="shared" si="37"/>
        <v>3.1628514967378327E-2</v>
      </c>
      <c r="S178" s="10">
        <f t="shared" si="38"/>
        <v>3.7048952425609558E-2</v>
      </c>
    </row>
    <row r="179" spans="1:19" x14ac:dyDescent="0.25">
      <c r="A179" s="5" t="s">
        <v>8</v>
      </c>
      <c r="B179" s="5" t="s">
        <v>165</v>
      </c>
      <c r="C179" s="5" t="s">
        <v>27</v>
      </c>
      <c r="D179" s="5" t="s">
        <v>385</v>
      </c>
      <c r="E179" s="5" t="s">
        <v>384</v>
      </c>
      <c r="F179" s="5" t="s">
        <v>30</v>
      </c>
      <c r="G179" s="5" t="s">
        <v>397</v>
      </c>
      <c r="H179" s="5" t="s">
        <v>36</v>
      </c>
      <c r="I179" s="5" t="s">
        <v>185</v>
      </c>
      <c r="J179" s="15">
        <v>3800</v>
      </c>
      <c r="K179" s="7">
        <v>17.5</v>
      </c>
      <c r="L179" s="7">
        <f t="shared" si="33"/>
        <v>217.14285714285714</v>
      </c>
      <c r="M179" s="5" t="s">
        <v>10</v>
      </c>
      <c r="N179" s="5">
        <v>4</v>
      </c>
      <c r="O179" s="6">
        <f t="shared" si="34"/>
        <v>111.98367346938774</v>
      </c>
      <c r="P179" s="6">
        <f t="shared" si="35"/>
        <v>11.646302040816325</v>
      </c>
      <c r="Q179" s="10">
        <f t="shared" si="36"/>
        <v>0.24263129251700677</v>
      </c>
      <c r="R179" s="10">
        <f t="shared" si="37"/>
        <v>0.54734752255253427</v>
      </c>
      <c r="S179" s="10">
        <f t="shared" si="38"/>
        <v>0.78997881506954104</v>
      </c>
    </row>
    <row r="180" spans="1:19" x14ac:dyDescent="0.25">
      <c r="A180" s="5" t="s">
        <v>22</v>
      </c>
      <c r="B180" s="5" t="s">
        <v>26</v>
      </c>
      <c r="C180" s="5" t="s">
        <v>27</v>
      </c>
      <c r="D180" s="5" t="s">
        <v>385</v>
      </c>
      <c r="E180" s="5" t="s">
        <v>384</v>
      </c>
      <c r="F180" s="5" t="s">
        <v>30</v>
      </c>
      <c r="G180" s="5" t="s">
        <v>397</v>
      </c>
      <c r="H180" s="5" t="s">
        <v>36</v>
      </c>
      <c r="I180" s="5" t="s">
        <v>39</v>
      </c>
      <c r="J180" s="15">
        <v>1900</v>
      </c>
      <c r="K180" s="7">
        <v>33</v>
      </c>
      <c r="L180" s="7">
        <f t="shared" si="33"/>
        <v>57.575757575757578</v>
      </c>
      <c r="M180" s="5" t="s">
        <v>10</v>
      </c>
      <c r="N180" s="5">
        <v>4</v>
      </c>
      <c r="O180" s="6">
        <f t="shared" si="34"/>
        <v>3.9365243342516072</v>
      </c>
      <c r="P180" s="6">
        <f t="shared" si="35"/>
        <v>0.40939853076216715</v>
      </c>
      <c r="Q180" s="10">
        <f t="shared" si="36"/>
        <v>8.5291360575451489E-3</v>
      </c>
      <c r="R180" s="10">
        <f t="shared" si="37"/>
        <v>4.443567990630154E-2</v>
      </c>
      <c r="S180" s="10">
        <f t="shared" si="38"/>
        <v>5.2964815963846688E-2</v>
      </c>
    </row>
    <row r="181" spans="1:19" x14ac:dyDescent="0.25">
      <c r="A181" s="5" t="s">
        <v>22</v>
      </c>
      <c r="B181" s="5" t="s">
        <v>63</v>
      </c>
      <c r="C181" s="5" t="s">
        <v>27</v>
      </c>
      <c r="D181" s="5" t="s">
        <v>385</v>
      </c>
      <c r="E181" s="5" t="s">
        <v>384</v>
      </c>
      <c r="F181" s="5" t="s">
        <v>30</v>
      </c>
      <c r="G181" s="5" t="s">
        <v>397</v>
      </c>
      <c r="H181" s="5" t="s">
        <v>36</v>
      </c>
      <c r="I181" s="5" t="s">
        <v>39</v>
      </c>
      <c r="J181" s="15">
        <v>1975</v>
      </c>
      <c r="K181" s="7">
        <v>33</v>
      </c>
      <c r="L181" s="7">
        <f t="shared" si="33"/>
        <v>59.848484848484851</v>
      </c>
      <c r="M181" s="5" t="s">
        <v>10</v>
      </c>
      <c r="N181" s="5">
        <v>4</v>
      </c>
      <c r="O181" s="6">
        <f t="shared" si="34"/>
        <v>4.4213351555325984</v>
      </c>
      <c r="P181" s="6">
        <f t="shared" si="35"/>
        <v>0.45981885617539026</v>
      </c>
      <c r="Q181" s="10">
        <f t="shared" si="36"/>
        <v>9.5795595036539619E-3</v>
      </c>
      <c r="R181" s="10">
        <f t="shared" si="37"/>
        <v>4.8479954373658471E-2</v>
      </c>
      <c r="S181" s="10">
        <f t="shared" si="38"/>
        <v>5.8059513877312431E-2</v>
      </c>
    </row>
    <row r="182" spans="1:19" x14ac:dyDescent="0.25">
      <c r="A182" s="5" t="s">
        <v>8</v>
      </c>
      <c r="B182" s="5" t="s">
        <v>165</v>
      </c>
      <c r="C182" s="5" t="s">
        <v>27</v>
      </c>
      <c r="D182" s="5" t="s">
        <v>385</v>
      </c>
      <c r="E182" s="5" t="s">
        <v>384</v>
      </c>
      <c r="F182" s="5" t="s">
        <v>30</v>
      </c>
      <c r="G182" s="5" t="s">
        <v>397</v>
      </c>
      <c r="H182" s="5" t="s">
        <v>36</v>
      </c>
      <c r="I182" s="5" t="s">
        <v>39</v>
      </c>
      <c r="J182" s="15">
        <v>1920</v>
      </c>
      <c r="K182" s="7">
        <v>31</v>
      </c>
      <c r="L182" s="7">
        <f t="shared" si="33"/>
        <v>61.935483870967744</v>
      </c>
      <c r="M182" s="5" t="s">
        <v>10</v>
      </c>
      <c r="N182" s="5">
        <v>4</v>
      </c>
      <c r="O182" s="6">
        <f t="shared" si="34"/>
        <v>4.6032049947970863</v>
      </c>
      <c r="P182" s="6">
        <f t="shared" si="35"/>
        <v>0.47873331945889697</v>
      </c>
      <c r="Q182" s="10">
        <f t="shared" si="36"/>
        <v>9.9736108220603529E-3</v>
      </c>
      <c r="R182" s="10">
        <f t="shared" si="37"/>
        <v>4.9968045363436797E-2</v>
      </c>
      <c r="S182" s="10">
        <f t="shared" si="38"/>
        <v>5.9941656185497148E-2</v>
      </c>
    </row>
    <row r="183" spans="1:19" x14ac:dyDescent="0.25">
      <c r="A183" s="5" t="s">
        <v>8</v>
      </c>
      <c r="B183" s="5" t="s">
        <v>165</v>
      </c>
      <c r="C183" s="5" t="s">
        <v>27</v>
      </c>
      <c r="D183" s="5" t="s">
        <v>385</v>
      </c>
      <c r="E183" s="5" t="s">
        <v>384</v>
      </c>
      <c r="F183" s="5" t="s">
        <v>30</v>
      </c>
      <c r="G183" s="5" t="s">
        <v>397</v>
      </c>
      <c r="H183" s="5" t="s">
        <v>36</v>
      </c>
      <c r="I183" s="5" t="s">
        <v>39</v>
      </c>
      <c r="J183" s="15">
        <v>1800</v>
      </c>
      <c r="K183" s="7">
        <v>33</v>
      </c>
      <c r="L183" s="7">
        <f t="shared" si="33"/>
        <v>54.545454545454547</v>
      </c>
      <c r="M183" s="5" t="s">
        <v>10</v>
      </c>
      <c r="N183" s="5">
        <v>4</v>
      </c>
      <c r="O183" s="6">
        <f t="shared" si="34"/>
        <v>3.3471074380165291</v>
      </c>
      <c r="P183" s="6">
        <f t="shared" si="35"/>
        <v>0.348099173553719</v>
      </c>
      <c r="Q183" s="10">
        <f t="shared" si="36"/>
        <v>7.2520661157024794E-3</v>
      </c>
      <c r="R183" s="10">
        <f t="shared" si="37"/>
        <v>3.9345889142976674E-2</v>
      </c>
      <c r="S183" s="10">
        <f t="shared" si="38"/>
        <v>4.6597955258679151E-2</v>
      </c>
    </row>
    <row r="184" spans="1:19" x14ac:dyDescent="0.25">
      <c r="A184" s="5" t="s">
        <v>8</v>
      </c>
      <c r="B184" s="5" t="s">
        <v>291</v>
      </c>
      <c r="C184" s="5" t="s">
        <v>27</v>
      </c>
      <c r="D184" s="5" t="s">
        <v>385</v>
      </c>
      <c r="E184" s="5" t="s">
        <v>384</v>
      </c>
      <c r="F184" s="5" t="s">
        <v>30</v>
      </c>
      <c r="G184" s="5" t="s">
        <v>397</v>
      </c>
      <c r="H184" s="5" t="s">
        <v>36</v>
      </c>
      <c r="I184" s="5" t="s">
        <v>39</v>
      </c>
      <c r="J184" s="15">
        <v>1752</v>
      </c>
      <c r="K184" s="7">
        <v>29.2</v>
      </c>
      <c r="L184" s="7">
        <f t="shared" si="33"/>
        <v>60</v>
      </c>
      <c r="M184" s="5" t="s">
        <v>10</v>
      </c>
      <c r="N184" s="5">
        <v>4</v>
      </c>
      <c r="O184" s="6">
        <f t="shared" si="34"/>
        <v>3.9420000000000002</v>
      </c>
      <c r="P184" s="6">
        <f t="shared" si="35"/>
        <v>0.40996800000000005</v>
      </c>
      <c r="Q184" s="10">
        <f t="shared" si="36"/>
        <v>8.541E-3</v>
      </c>
      <c r="R184" s="10">
        <f t="shared" si="37"/>
        <v>4.4482029038474258E-2</v>
      </c>
      <c r="S184" s="10">
        <f t="shared" si="38"/>
        <v>5.3023029038474258E-2</v>
      </c>
    </row>
    <row r="185" spans="1:19" x14ac:dyDescent="0.25">
      <c r="A185" s="5" t="s">
        <v>8</v>
      </c>
      <c r="B185" s="5" t="s">
        <v>291</v>
      </c>
      <c r="C185" s="5" t="s">
        <v>27</v>
      </c>
      <c r="D185" s="5" t="s">
        <v>385</v>
      </c>
      <c r="E185" s="5" t="s">
        <v>384</v>
      </c>
      <c r="F185" s="5" t="s">
        <v>30</v>
      </c>
      <c r="G185" s="5" t="s">
        <v>397</v>
      </c>
      <c r="H185" s="5" t="s">
        <v>36</v>
      </c>
      <c r="I185" s="5" t="s">
        <v>39</v>
      </c>
      <c r="J185" s="15">
        <v>1140</v>
      </c>
      <c r="K185" s="7">
        <v>27.3</v>
      </c>
      <c r="L185" s="7">
        <f t="shared" si="33"/>
        <v>41.758241758241759</v>
      </c>
      <c r="M185" s="5" t="s">
        <v>10</v>
      </c>
      <c r="N185" s="5">
        <v>4</v>
      </c>
      <c r="O185" s="6">
        <f t="shared" si="34"/>
        <v>1.2424224127520831</v>
      </c>
      <c r="P185" s="6">
        <f t="shared" si="35"/>
        <v>0.12921193092621663</v>
      </c>
      <c r="Q185" s="10">
        <f t="shared" si="36"/>
        <v>2.6919152276295133E-3</v>
      </c>
      <c r="R185" s="10">
        <f t="shared" si="37"/>
        <v>1.8711089765198051E-2</v>
      </c>
      <c r="S185" s="10">
        <f t="shared" si="38"/>
        <v>2.1403004992827563E-2</v>
      </c>
    </row>
    <row r="186" spans="1:19" x14ac:dyDescent="0.25">
      <c r="A186" s="5" t="s">
        <v>8</v>
      </c>
      <c r="B186" s="5" t="s">
        <v>311</v>
      </c>
      <c r="C186" s="5" t="s">
        <v>27</v>
      </c>
      <c r="D186" s="5" t="s">
        <v>385</v>
      </c>
      <c r="E186" s="5" t="s">
        <v>384</v>
      </c>
      <c r="F186" s="5" t="s">
        <v>30</v>
      </c>
      <c r="G186" s="5" t="s">
        <v>397</v>
      </c>
      <c r="H186" s="5" t="s">
        <v>36</v>
      </c>
      <c r="I186" s="5" t="s">
        <v>39</v>
      </c>
      <c r="J186" s="15">
        <v>1850</v>
      </c>
      <c r="K186" s="7">
        <v>37.5</v>
      </c>
      <c r="L186" s="7">
        <f t="shared" si="33"/>
        <v>49.333333333333336</v>
      </c>
      <c r="M186" s="5" t="s">
        <v>10</v>
      </c>
      <c r="N186" s="5">
        <v>4</v>
      </c>
      <c r="O186" s="6">
        <f t="shared" si="34"/>
        <v>2.8140555555555555</v>
      </c>
      <c r="P186" s="6">
        <f t="shared" si="35"/>
        <v>0.29266177777777774</v>
      </c>
      <c r="Q186" s="10">
        <f t="shared" si="36"/>
        <v>6.0971203703703699E-3</v>
      </c>
      <c r="R186" s="10">
        <f t="shared" si="37"/>
        <v>3.4545908997176758E-2</v>
      </c>
      <c r="S186" s="10">
        <f t="shared" si="38"/>
        <v>4.0643029367547129E-2</v>
      </c>
    </row>
    <row r="187" spans="1:19" x14ac:dyDescent="0.25">
      <c r="A187" s="5" t="s">
        <v>8</v>
      </c>
      <c r="B187" s="5" t="s">
        <v>165</v>
      </c>
      <c r="C187" s="5" t="s">
        <v>27</v>
      </c>
      <c r="D187" s="5" t="s">
        <v>385</v>
      </c>
      <c r="E187" s="5" t="s">
        <v>384</v>
      </c>
      <c r="F187" s="5" t="s">
        <v>30</v>
      </c>
      <c r="G187" s="5" t="s">
        <v>397</v>
      </c>
      <c r="H187" s="5" t="s">
        <v>36</v>
      </c>
      <c r="I187" s="5" t="s">
        <v>186</v>
      </c>
      <c r="J187" s="15">
        <v>1150</v>
      </c>
      <c r="K187" s="7">
        <v>27.5</v>
      </c>
      <c r="L187" s="7">
        <f t="shared" si="33"/>
        <v>41.81818181818182</v>
      </c>
      <c r="M187" s="5" t="s">
        <v>10</v>
      </c>
      <c r="N187" s="5">
        <v>4</v>
      </c>
      <c r="O187" s="6">
        <f t="shared" si="34"/>
        <v>1.2569214876033059</v>
      </c>
      <c r="P187" s="6">
        <f t="shared" si="35"/>
        <v>0.1307198347107438</v>
      </c>
      <c r="Q187" s="10">
        <f t="shared" si="36"/>
        <v>2.7233298898071624E-3</v>
      </c>
      <c r="R187" s="10">
        <f t="shared" si="37"/>
        <v>1.8874620894311772E-2</v>
      </c>
      <c r="S187" s="10">
        <f t="shared" si="38"/>
        <v>2.1597950784118934E-2</v>
      </c>
    </row>
    <row r="188" spans="1:19" x14ac:dyDescent="0.25">
      <c r="A188" s="5" t="s">
        <v>22</v>
      </c>
      <c r="B188" s="5" t="s">
        <v>63</v>
      </c>
      <c r="C188" s="5" t="s">
        <v>27</v>
      </c>
      <c r="D188" s="5" t="s">
        <v>385</v>
      </c>
      <c r="E188" s="5" t="s">
        <v>384</v>
      </c>
      <c r="F188" s="5" t="s">
        <v>30</v>
      </c>
      <c r="G188" s="5" t="s">
        <v>397</v>
      </c>
      <c r="H188" s="5" t="s">
        <v>64</v>
      </c>
      <c r="I188" s="5" t="s">
        <v>12</v>
      </c>
      <c r="J188" s="15">
        <v>3750</v>
      </c>
      <c r="K188" s="7">
        <v>42</v>
      </c>
      <c r="L188" s="7">
        <f t="shared" si="33"/>
        <v>89.285714285714292</v>
      </c>
      <c r="M188" s="5" t="s">
        <v>10</v>
      </c>
      <c r="N188" s="5">
        <v>4</v>
      </c>
      <c r="O188" s="6">
        <f t="shared" si="34"/>
        <v>18.684231505102044</v>
      </c>
      <c r="P188" s="6">
        <f t="shared" si="35"/>
        <v>1.9431600765306125</v>
      </c>
      <c r="Q188" s="10">
        <f t="shared" si="36"/>
        <v>4.0482501594387758E-2</v>
      </c>
      <c r="R188" s="10">
        <f t="shared" si="37"/>
        <v>0.14289056521434054</v>
      </c>
      <c r="S188" s="10">
        <f t="shared" si="38"/>
        <v>0.18337306680872831</v>
      </c>
    </row>
    <row r="189" spans="1:19" x14ac:dyDescent="0.25">
      <c r="A189" s="5" t="s">
        <v>22</v>
      </c>
      <c r="B189" s="5" t="s">
        <v>26</v>
      </c>
      <c r="C189" s="5" t="s">
        <v>27</v>
      </c>
      <c r="D189" s="5" t="s">
        <v>385</v>
      </c>
      <c r="E189" s="5" t="s">
        <v>384</v>
      </c>
      <c r="F189" s="5" t="s">
        <v>30</v>
      </c>
      <c r="G189" s="5" t="s">
        <v>392</v>
      </c>
      <c r="H189" s="5" t="s">
        <v>31</v>
      </c>
      <c r="I189" s="5" t="s">
        <v>32</v>
      </c>
      <c r="J189" s="15">
        <v>1150</v>
      </c>
      <c r="K189" s="7">
        <v>21.5</v>
      </c>
      <c r="L189" s="7">
        <f t="shared" si="33"/>
        <v>53.488372093023258</v>
      </c>
      <c r="M189" s="5" t="s">
        <v>10</v>
      </c>
      <c r="N189" s="5">
        <v>4</v>
      </c>
      <c r="O189" s="6">
        <f t="shared" si="34"/>
        <v>2.0563480259599789</v>
      </c>
      <c r="P189" s="6">
        <f t="shared" si="35"/>
        <v>0.21386019469983777</v>
      </c>
      <c r="Q189" s="10">
        <f t="shared" si="36"/>
        <v>4.4554207229132873E-3</v>
      </c>
      <c r="R189" s="10">
        <f t="shared" si="37"/>
        <v>2.7303579591746802E-2</v>
      </c>
      <c r="S189" s="10">
        <f t="shared" si="38"/>
        <v>3.1759000314660092E-2</v>
      </c>
    </row>
    <row r="190" spans="1:19" x14ac:dyDescent="0.25">
      <c r="A190" s="5" t="s">
        <v>8</v>
      </c>
      <c r="B190" s="5" t="s">
        <v>217</v>
      </c>
      <c r="C190" s="5" t="s">
        <v>27</v>
      </c>
      <c r="D190" s="5" t="s">
        <v>385</v>
      </c>
      <c r="E190" s="5" t="s">
        <v>384</v>
      </c>
      <c r="F190" s="5" t="s">
        <v>30</v>
      </c>
      <c r="G190" s="5" t="s">
        <v>392</v>
      </c>
      <c r="H190" s="5" t="s">
        <v>31</v>
      </c>
      <c r="I190" s="5" t="s">
        <v>218</v>
      </c>
      <c r="J190" s="15">
        <v>1200</v>
      </c>
      <c r="K190" s="7">
        <v>28</v>
      </c>
      <c r="L190" s="7">
        <f t="shared" si="33"/>
        <v>42.857142857142854</v>
      </c>
      <c r="M190" s="5" t="s">
        <v>10</v>
      </c>
      <c r="N190" s="5">
        <v>4</v>
      </c>
      <c r="O190" s="6">
        <f t="shared" si="34"/>
        <v>1.3775510204081631</v>
      </c>
      <c r="P190" s="6">
        <f t="shared" si="35"/>
        <v>0.14326530612244898</v>
      </c>
      <c r="Q190" s="10">
        <f t="shared" si="36"/>
        <v>2.9846938775510198E-3</v>
      </c>
      <c r="R190" s="10">
        <f t="shared" si="37"/>
        <v>2.0217520582724226E-2</v>
      </c>
      <c r="S190" s="10">
        <f t="shared" si="38"/>
        <v>2.3202214460275247E-2</v>
      </c>
    </row>
    <row r="191" spans="1:19" x14ac:dyDescent="0.25">
      <c r="A191" s="5" t="s">
        <v>22</v>
      </c>
      <c r="B191" s="5" t="s">
        <v>26</v>
      </c>
      <c r="C191" s="5" t="s">
        <v>27</v>
      </c>
      <c r="D191" s="5" t="s">
        <v>385</v>
      </c>
      <c r="E191" s="5" t="s">
        <v>384</v>
      </c>
      <c r="F191" s="5" t="s">
        <v>30</v>
      </c>
      <c r="G191" s="5" t="s">
        <v>392</v>
      </c>
      <c r="H191" s="5" t="s">
        <v>31</v>
      </c>
      <c r="I191" s="5" t="s">
        <v>33</v>
      </c>
      <c r="J191" s="15">
        <v>1200</v>
      </c>
      <c r="K191" s="7">
        <v>25</v>
      </c>
      <c r="L191" s="7">
        <f t="shared" si="33"/>
        <v>48</v>
      </c>
      <c r="M191" s="5" t="s">
        <v>10</v>
      </c>
      <c r="N191" s="5">
        <v>4</v>
      </c>
      <c r="O191" s="6">
        <f t="shared" si="34"/>
        <v>1.728</v>
      </c>
      <c r="P191" s="6">
        <f t="shared" si="35"/>
        <v>0.17971200000000001</v>
      </c>
      <c r="Q191" s="10">
        <f t="shared" si="36"/>
        <v>3.7439999999999995E-3</v>
      </c>
      <c r="R191" s="10">
        <f t="shared" si="37"/>
        <v>2.3963758151521651E-2</v>
      </c>
      <c r="S191" s="10">
        <f t="shared" si="38"/>
        <v>2.7707758151521652E-2</v>
      </c>
    </row>
    <row r="192" spans="1:19" x14ac:dyDescent="0.25">
      <c r="A192" s="5" t="s">
        <v>22</v>
      </c>
      <c r="B192" s="5" t="s">
        <v>63</v>
      </c>
      <c r="C192" s="5" t="s">
        <v>27</v>
      </c>
      <c r="D192" s="5" t="s">
        <v>385</v>
      </c>
      <c r="E192" s="5" t="s">
        <v>384</v>
      </c>
      <c r="F192" s="5" t="s">
        <v>30</v>
      </c>
      <c r="G192" s="5" t="s">
        <v>392</v>
      </c>
      <c r="H192" s="5" t="s">
        <v>31</v>
      </c>
      <c r="I192" s="5" t="s">
        <v>33</v>
      </c>
      <c r="J192" s="15">
        <v>1050</v>
      </c>
      <c r="K192" s="7">
        <v>23</v>
      </c>
      <c r="L192" s="7">
        <f t="shared" si="33"/>
        <v>45.652173913043477</v>
      </c>
      <c r="M192" s="5" t="s">
        <v>10</v>
      </c>
      <c r="N192" s="5">
        <v>4</v>
      </c>
      <c r="O192" s="6">
        <f t="shared" si="34"/>
        <v>1.3677043950850662</v>
      </c>
      <c r="P192" s="6">
        <f t="shared" si="35"/>
        <v>0.14224125708884686</v>
      </c>
      <c r="Q192" s="10">
        <f t="shared" si="36"/>
        <v>2.9633595226843099E-3</v>
      </c>
      <c r="R192" s="10">
        <f t="shared" si="37"/>
        <v>2.0109038528318947E-2</v>
      </c>
      <c r="S192" s="10">
        <f t="shared" si="38"/>
        <v>2.3072398051003258E-2</v>
      </c>
    </row>
    <row r="193" spans="1:19" x14ac:dyDescent="0.25">
      <c r="A193" s="5" t="s">
        <v>8</v>
      </c>
      <c r="B193" s="5" t="s">
        <v>287</v>
      </c>
      <c r="C193" s="5" t="s">
        <v>27</v>
      </c>
      <c r="D193" s="5" t="s">
        <v>385</v>
      </c>
      <c r="E193" s="5" t="s">
        <v>384</v>
      </c>
      <c r="F193" s="5" t="s">
        <v>30</v>
      </c>
      <c r="G193" s="5" t="s">
        <v>392</v>
      </c>
      <c r="H193" s="5" t="s">
        <v>31</v>
      </c>
      <c r="I193" s="5" t="s">
        <v>33</v>
      </c>
      <c r="J193" s="15">
        <v>1000</v>
      </c>
      <c r="K193" s="7">
        <v>24.4</v>
      </c>
      <c r="L193" s="7">
        <f t="shared" si="33"/>
        <v>40.983606557377051</v>
      </c>
      <c r="M193" s="5" t="s">
        <v>10</v>
      </c>
      <c r="N193" s="5">
        <v>4</v>
      </c>
      <c r="O193" s="6">
        <f t="shared" si="34"/>
        <v>1.0497850040311745</v>
      </c>
      <c r="P193" s="6">
        <f t="shared" si="35"/>
        <v>0.10917764041924215</v>
      </c>
      <c r="Q193" s="10">
        <f t="shared" si="36"/>
        <v>2.2745341754008778E-3</v>
      </c>
      <c r="R193" s="10">
        <f t="shared" si="37"/>
        <v>1.6490066149903643E-2</v>
      </c>
      <c r="S193" s="10">
        <f t="shared" si="38"/>
        <v>1.8764600325304519E-2</v>
      </c>
    </row>
    <row r="194" spans="1:19" x14ac:dyDescent="0.25">
      <c r="A194" s="5" t="s">
        <v>8</v>
      </c>
      <c r="B194" s="5" t="s">
        <v>291</v>
      </c>
      <c r="C194" s="5" t="s">
        <v>27</v>
      </c>
      <c r="D194" s="5" t="s">
        <v>385</v>
      </c>
      <c r="E194" s="5" t="s">
        <v>384</v>
      </c>
      <c r="F194" s="5" t="s">
        <v>30</v>
      </c>
      <c r="G194" s="5" t="s">
        <v>392</v>
      </c>
      <c r="H194" s="5" t="s">
        <v>31</v>
      </c>
      <c r="I194" s="5" t="s">
        <v>33</v>
      </c>
      <c r="J194" s="15">
        <v>1171</v>
      </c>
      <c r="K194" s="7">
        <v>23.8</v>
      </c>
      <c r="L194" s="7">
        <f t="shared" si="33"/>
        <v>49.201680672268907</v>
      </c>
      <c r="M194" s="5" t="s">
        <v>10</v>
      </c>
      <c r="N194" s="5">
        <v>4</v>
      </c>
      <c r="O194" s="6">
        <f t="shared" si="34"/>
        <v>1.7717269382017513</v>
      </c>
      <c r="P194" s="6">
        <f t="shared" si="35"/>
        <v>0.18425960157298213</v>
      </c>
      <c r="Q194" s="10">
        <f t="shared" si="36"/>
        <v>3.8387416994371277E-3</v>
      </c>
      <c r="R194" s="10">
        <f t="shared" si="37"/>
        <v>2.4417135633988743E-2</v>
      </c>
      <c r="S194" s="10">
        <f t="shared" si="38"/>
        <v>2.8255877333425869E-2</v>
      </c>
    </row>
    <row r="195" spans="1:19" x14ac:dyDescent="0.25">
      <c r="A195" s="5" t="s">
        <v>8</v>
      </c>
      <c r="B195" s="5" t="s">
        <v>291</v>
      </c>
      <c r="C195" s="5" t="s">
        <v>27</v>
      </c>
      <c r="D195" s="5" t="s">
        <v>385</v>
      </c>
      <c r="E195" s="5" t="s">
        <v>384</v>
      </c>
      <c r="F195" s="5" t="s">
        <v>30</v>
      </c>
      <c r="G195" s="5" t="s">
        <v>392</v>
      </c>
      <c r="H195" s="5" t="s">
        <v>31</v>
      </c>
      <c r="I195" s="5" t="s">
        <v>33</v>
      </c>
      <c r="J195" s="15">
        <v>1121</v>
      </c>
      <c r="K195" s="7">
        <v>23.2</v>
      </c>
      <c r="L195" s="7">
        <f t="shared" si="33"/>
        <v>48.318965517241381</v>
      </c>
      <c r="M195" s="5" t="s">
        <v>10</v>
      </c>
      <c r="N195" s="5">
        <v>4</v>
      </c>
      <c r="O195" s="6">
        <f t="shared" si="34"/>
        <v>1.6357649015773632</v>
      </c>
      <c r="P195" s="6">
        <f t="shared" si="35"/>
        <v>0.17011954976404578</v>
      </c>
      <c r="Q195" s="10">
        <f t="shared" si="36"/>
        <v>3.5441572867509533E-3</v>
      </c>
      <c r="R195" s="10">
        <f t="shared" si="37"/>
        <v>2.2997879194034985E-2</v>
      </c>
      <c r="S195" s="10">
        <f t="shared" si="38"/>
        <v>2.6542036480785937E-2</v>
      </c>
    </row>
    <row r="196" spans="1:19" x14ac:dyDescent="0.25">
      <c r="A196" s="5" t="s">
        <v>8</v>
      </c>
      <c r="B196" s="5" t="s">
        <v>307</v>
      </c>
      <c r="C196" s="5" t="s">
        <v>27</v>
      </c>
      <c r="D196" s="5" t="s">
        <v>385</v>
      </c>
      <c r="E196" s="5" t="s">
        <v>384</v>
      </c>
      <c r="F196" s="5" t="s">
        <v>30</v>
      </c>
      <c r="G196" s="5" t="s">
        <v>392</v>
      </c>
      <c r="H196" s="5" t="s">
        <v>31</v>
      </c>
      <c r="I196" s="5" t="s">
        <v>33</v>
      </c>
      <c r="J196" s="15">
        <v>1150</v>
      </c>
      <c r="K196" s="7">
        <v>29.5</v>
      </c>
      <c r="L196" s="7">
        <f t="shared" si="33"/>
        <v>38.983050847457626</v>
      </c>
      <c r="M196" s="5" t="s">
        <v>10</v>
      </c>
      <c r="N196" s="5">
        <v>4</v>
      </c>
      <c r="O196" s="6">
        <f t="shared" si="34"/>
        <v>1.0922687446136168</v>
      </c>
      <c r="P196" s="6">
        <f t="shared" si="35"/>
        <v>0.11359594943981614</v>
      </c>
      <c r="Q196" s="10">
        <f t="shared" si="36"/>
        <v>2.3665822799961698E-3</v>
      </c>
      <c r="R196" s="10">
        <f t="shared" si="37"/>
        <v>1.6988078304717071E-2</v>
      </c>
      <c r="S196" s="10">
        <f t="shared" si="38"/>
        <v>1.9354660584713242E-2</v>
      </c>
    </row>
    <row r="197" spans="1:19" x14ac:dyDescent="0.25">
      <c r="A197" s="5" t="s">
        <v>8</v>
      </c>
      <c r="B197" s="5" t="s">
        <v>311</v>
      </c>
      <c r="C197" s="5" t="s">
        <v>27</v>
      </c>
      <c r="D197" s="5" t="s">
        <v>385</v>
      </c>
      <c r="E197" s="5" t="s">
        <v>384</v>
      </c>
      <c r="F197" s="5" t="s">
        <v>30</v>
      </c>
      <c r="G197" s="5" t="s">
        <v>392</v>
      </c>
      <c r="H197" s="5" t="s">
        <v>31</v>
      </c>
      <c r="I197" s="5" t="s">
        <v>33</v>
      </c>
      <c r="J197" s="15">
        <v>1100</v>
      </c>
      <c r="K197" s="7">
        <v>28</v>
      </c>
      <c r="L197" s="7">
        <f t="shared" si="33"/>
        <v>39.285714285714285</v>
      </c>
      <c r="M197" s="5" t="s">
        <v>10</v>
      </c>
      <c r="N197" s="5">
        <v>4</v>
      </c>
      <c r="O197" s="6">
        <f t="shared" si="34"/>
        <v>1.061065051020408</v>
      </c>
      <c r="P197" s="6">
        <f t="shared" si="35"/>
        <v>0.11035076530612244</v>
      </c>
      <c r="Q197" s="10">
        <f t="shared" si="36"/>
        <v>2.2989742772108841E-3</v>
      </c>
      <c r="R197" s="10">
        <f t="shared" si="37"/>
        <v>1.6622779036452554E-2</v>
      </c>
      <c r="S197" s="10">
        <f t="shared" si="38"/>
        <v>1.8921753313663438E-2</v>
      </c>
    </row>
    <row r="198" spans="1:19" x14ac:dyDescent="0.25">
      <c r="A198" s="5" t="s">
        <v>8</v>
      </c>
      <c r="B198" s="5" t="s">
        <v>339</v>
      </c>
      <c r="C198" s="5" t="s">
        <v>27</v>
      </c>
      <c r="D198" s="5" t="s">
        <v>385</v>
      </c>
      <c r="E198" s="5" t="s">
        <v>384</v>
      </c>
      <c r="F198" s="5" t="s">
        <v>30</v>
      </c>
      <c r="G198" s="5" t="s">
        <v>392</v>
      </c>
      <c r="H198" s="5" t="s">
        <v>31</v>
      </c>
      <c r="I198" s="5" t="s">
        <v>33</v>
      </c>
      <c r="J198" s="15">
        <v>1080</v>
      </c>
      <c r="K198" s="7">
        <v>19.5</v>
      </c>
      <c r="L198" s="7">
        <f t="shared" si="33"/>
        <v>55.384615384615387</v>
      </c>
      <c r="M198" s="5" t="s">
        <v>10</v>
      </c>
      <c r="N198" s="5">
        <v>4</v>
      </c>
      <c r="O198" s="6">
        <f t="shared" si="34"/>
        <v>2.0705325443786986</v>
      </c>
      <c r="P198" s="6">
        <f t="shared" si="35"/>
        <v>0.21533538461538462</v>
      </c>
      <c r="Q198" s="10">
        <f t="shared" si="36"/>
        <v>4.4861538461538472E-3</v>
      </c>
      <c r="R198" s="10">
        <f t="shared" si="37"/>
        <v>2.744471151966631E-2</v>
      </c>
      <c r="S198" s="10">
        <f t="shared" si="38"/>
        <v>3.1930865365820155E-2</v>
      </c>
    </row>
    <row r="199" spans="1:19" x14ac:dyDescent="0.25">
      <c r="A199" s="5" t="s">
        <v>22</v>
      </c>
      <c r="B199" s="5" t="s">
        <v>63</v>
      </c>
      <c r="C199" s="5" t="s">
        <v>27</v>
      </c>
      <c r="D199" s="5" t="s">
        <v>385</v>
      </c>
      <c r="E199" s="5" t="s">
        <v>384</v>
      </c>
      <c r="F199" s="5" t="s">
        <v>30</v>
      </c>
      <c r="G199" s="5" t="s">
        <v>392</v>
      </c>
      <c r="H199" s="5" t="s">
        <v>31</v>
      </c>
      <c r="I199" s="5" t="s">
        <v>141</v>
      </c>
      <c r="J199" s="15">
        <v>3255</v>
      </c>
      <c r="K199" s="7">
        <v>31</v>
      </c>
      <c r="L199" s="7">
        <f t="shared" si="33"/>
        <v>105</v>
      </c>
      <c r="M199" s="5" t="s">
        <v>10</v>
      </c>
      <c r="N199" s="5">
        <v>4</v>
      </c>
      <c r="O199" s="6">
        <f t="shared" si="34"/>
        <v>22.428984374999999</v>
      </c>
      <c r="P199" s="6">
        <f t="shared" si="35"/>
        <v>2.3326143749999999</v>
      </c>
      <c r="Q199" s="10">
        <f t="shared" si="36"/>
        <v>4.8596132812499998E-2</v>
      </c>
      <c r="R199" s="10">
        <f t="shared" si="37"/>
        <v>0.16387184018502851</v>
      </c>
      <c r="S199" s="10">
        <f t="shared" si="38"/>
        <v>0.21246797299752851</v>
      </c>
    </row>
    <row r="200" spans="1:19" x14ac:dyDescent="0.25">
      <c r="A200" s="5" t="s">
        <v>8</v>
      </c>
      <c r="B200" s="5" t="s">
        <v>284</v>
      </c>
      <c r="C200" s="5" t="s">
        <v>27</v>
      </c>
      <c r="D200" s="5" t="s">
        <v>385</v>
      </c>
      <c r="E200" s="5" t="s">
        <v>384</v>
      </c>
      <c r="F200" s="5" t="s">
        <v>30</v>
      </c>
      <c r="G200" s="5" t="s">
        <v>392</v>
      </c>
      <c r="H200" s="5" t="s">
        <v>31</v>
      </c>
      <c r="I200" s="5" t="s">
        <v>286</v>
      </c>
      <c r="J200" s="15">
        <v>1800</v>
      </c>
      <c r="K200" s="7">
        <v>33.6</v>
      </c>
      <c r="L200" s="7">
        <f t="shared" ref="L200:L263" si="39">J200/K200</f>
        <v>53.571428571428569</v>
      </c>
      <c r="M200" s="5" t="s">
        <v>10</v>
      </c>
      <c r="N200" s="5">
        <v>4</v>
      </c>
      <c r="O200" s="6">
        <f t="shared" ref="O200:O263" si="40">(J200*L200^2)/(1.6*10^6)</f>
        <v>3.2286352040816326</v>
      </c>
      <c r="P200" s="6">
        <f t="shared" ref="P200:P263" si="41">(0.104*J200*L200^2)/(1.6*10^6)</f>
        <v>0.33577806122448972</v>
      </c>
      <c r="Q200" s="10">
        <f t="shared" ref="Q200:Q263" si="42">(0.104*O200)/(12*N200)</f>
        <v>6.9953762755102034E-3</v>
      </c>
      <c r="R200" s="10">
        <f t="shared" ref="R200:R263" si="43">0.0159*O200^0.75</f>
        <v>3.8296700440793495E-2</v>
      </c>
      <c r="S200" s="10">
        <f t="shared" ref="S200:S263" si="44">Q200+R200</f>
        <v>4.5292076716303697E-2</v>
      </c>
    </row>
    <row r="201" spans="1:19" x14ac:dyDescent="0.25">
      <c r="A201" s="5" t="s">
        <v>8</v>
      </c>
      <c r="B201" s="5" t="s">
        <v>308</v>
      </c>
      <c r="C201" s="5" t="s">
        <v>27</v>
      </c>
      <c r="D201" s="5" t="s">
        <v>385</v>
      </c>
      <c r="E201" s="5" t="s">
        <v>384</v>
      </c>
      <c r="F201" s="5" t="s">
        <v>30</v>
      </c>
      <c r="G201" s="5" t="s">
        <v>392</v>
      </c>
      <c r="H201" s="5" t="s">
        <v>31</v>
      </c>
      <c r="I201" s="5" t="s">
        <v>286</v>
      </c>
      <c r="J201" s="15">
        <v>1749</v>
      </c>
      <c r="K201" s="7">
        <v>23</v>
      </c>
      <c r="L201" s="7">
        <f t="shared" si="39"/>
        <v>76.043478260869563</v>
      </c>
      <c r="M201" s="5" t="s">
        <v>10</v>
      </c>
      <c r="N201" s="5">
        <v>4</v>
      </c>
      <c r="O201" s="6">
        <f t="shared" si="40"/>
        <v>6.3211161968336489</v>
      </c>
      <c r="P201" s="6">
        <f t="shared" si="41"/>
        <v>0.65739608447069942</v>
      </c>
      <c r="Q201" s="10">
        <f t="shared" si="42"/>
        <v>1.3695751759806238E-2</v>
      </c>
      <c r="R201" s="10">
        <f t="shared" si="43"/>
        <v>6.3385869858994706E-2</v>
      </c>
      <c r="S201" s="10">
        <f t="shared" si="44"/>
        <v>7.7081621618800944E-2</v>
      </c>
    </row>
    <row r="202" spans="1:19" x14ac:dyDescent="0.25">
      <c r="A202" s="5" t="s">
        <v>8</v>
      </c>
      <c r="B202" s="5" t="s">
        <v>316</v>
      </c>
      <c r="C202" s="5" t="s">
        <v>27</v>
      </c>
      <c r="D202" s="5" t="s">
        <v>385</v>
      </c>
      <c r="E202" s="5" t="s">
        <v>384</v>
      </c>
      <c r="F202" s="5" t="s">
        <v>30</v>
      </c>
      <c r="G202" s="5" t="s">
        <v>392</v>
      </c>
      <c r="H202" s="5" t="s">
        <v>34</v>
      </c>
      <c r="I202" s="5" t="s">
        <v>317</v>
      </c>
      <c r="J202" s="15">
        <v>1190</v>
      </c>
      <c r="K202" s="7">
        <v>18</v>
      </c>
      <c r="L202" s="7">
        <f t="shared" si="39"/>
        <v>66.111111111111114</v>
      </c>
      <c r="M202" s="5" t="s">
        <v>10</v>
      </c>
      <c r="N202" s="5">
        <v>4</v>
      </c>
      <c r="O202" s="6">
        <f t="shared" si="40"/>
        <v>3.2506925154320987</v>
      </c>
      <c r="P202" s="6">
        <f t="shared" si="41"/>
        <v>0.33807202160493827</v>
      </c>
      <c r="Q202" s="10">
        <f t="shared" si="42"/>
        <v>7.0431671167695475E-3</v>
      </c>
      <c r="R202" s="10">
        <f t="shared" si="43"/>
        <v>3.8492759193587217E-2</v>
      </c>
      <c r="S202" s="10">
        <f t="shared" si="44"/>
        <v>4.5535926310356765E-2</v>
      </c>
    </row>
    <row r="203" spans="1:19" x14ac:dyDescent="0.25">
      <c r="A203" s="5" t="s">
        <v>8</v>
      </c>
      <c r="B203" s="5" t="s">
        <v>370</v>
      </c>
      <c r="C203" s="5" t="s">
        <v>27</v>
      </c>
      <c r="D203" s="5" t="s">
        <v>385</v>
      </c>
      <c r="E203" s="5" t="s">
        <v>384</v>
      </c>
      <c r="F203" s="5" t="s">
        <v>30</v>
      </c>
      <c r="G203" s="5" t="s">
        <v>392</v>
      </c>
      <c r="H203" s="5" t="s">
        <v>34</v>
      </c>
      <c r="I203" s="5" t="s">
        <v>371</v>
      </c>
      <c r="J203" s="15">
        <v>823</v>
      </c>
      <c r="K203" s="7">
        <v>21.3</v>
      </c>
      <c r="L203" s="7">
        <f t="shared" si="39"/>
        <v>38.63849765258216</v>
      </c>
      <c r="M203" s="5" t="s">
        <v>10</v>
      </c>
      <c r="N203" s="5">
        <v>4</v>
      </c>
      <c r="O203" s="6">
        <f t="shared" si="40"/>
        <v>0.76792766949899716</v>
      </c>
      <c r="P203" s="6">
        <f t="shared" si="41"/>
        <v>7.9864477627895697E-2</v>
      </c>
      <c r="Q203" s="10">
        <f t="shared" si="42"/>
        <v>1.6638432839144936E-3</v>
      </c>
      <c r="R203" s="10">
        <f t="shared" si="43"/>
        <v>1.3043296338772574E-2</v>
      </c>
      <c r="S203" s="10">
        <f t="shared" si="44"/>
        <v>1.4707139622687068E-2</v>
      </c>
    </row>
    <row r="204" spans="1:19" x14ac:dyDescent="0.25">
      <c r="A204" s="5" t="s">
        <v>8</v>
      </c>
      <c r="B204" s="5" t="s">
        <v>370</v>
      </c>
      <c r="C204" s="5" t="s">
        <v>27</v>
      </c>
      <c r="D204" s="5" t="s">
        <v>385</v>
      </c>
      <c r="E204" s="5" t="s">
        <v>384</v>
      </c>
      <c r="F204" s="5" t="s">
        <v>30</v>
      </c>
      <c r="G204" s="5" t="s">
        <v>392</v>
      </c>
      <c r="H204" s="5" t="s">
        <v>34</v>
      </c>
      <c r="I204" s="5" t="s">
        <v>371</v>
      </c>
      <c r="J204" s="15">
        <v>704</v>
      </c>
      <c r="K204" s="7">
        <v>18.7</v>
      </c>
      <c r="L204" s="7">
        <f t="shared" si="39"/>
        <v>37.647058823529413</v>
      </c>
      <c r="M204" s="5" t="s">
        <v>10</v>
      </c>
      <c r="N204" s="5">
        <v>4</v>
      </c>
      <c r="O204" s="6">
        <f t="shared" si="40"/>
        <v>0.62361245674740484</v>
      </c>
      <c r="P204" s="6">
        <f t="shared" si="41"/>
        <v>6.4855695501730107E-2</v>
      </c>
      <c r="Q204" s="10">
        <f t="shared" si="42"/>
        <v>1.3511603229527105E-3</v>
      </c>
      <c r="R204" s="10">
        <f t="shared" si="43"/>
        <v>1.1157919160137931E-2</v>
      </c>
      <c r="S204" s="10">
        <f t="shared" si="44"/>
        <v>1.2509079483090641E-2</v>
      </c>
    </row>
    <row r="205" spans="1:19" x14ac:dyDescent="0.25">
      <c r="A205" s="5" t="s">
        <v>8</v>
      </c>
      <c r="B205" s="5" t="s">
        <v>270</v>
      </c>
      <c r="C205" s="5" t="s">
        <v>27</v>
      </c>
      <c r="D205" s="5" t="s">
        <v>385</v>
      </c>
      <c r="E205" s="5" t="s">
        <v>384</v>
      </c>
      <c r="F205" s="5" t="s">
        <v>30</v>
      </c>
      <c r="G205" s="5" t="s">
        <v>392</v>
      </c>
      <c r="H205" s="5" t="s">
        <v>34</v>
      </c>
      <c r="I205" s="5" t="s">
        <v>274</v>
      </c>
      <c r="J205" s="15">
        <v>2280</v>
      </c>
      <c r="K205" s="7">
        <v>34.9</v>
      </c>
      <c r="L205" s="7">
        <f t="shared" si="39"/>
        <v>65.329512893982809</v>
      </c>
      <c r="M205" s="5" t="s">
        <v>10</v>
      </c>
      <c r="N205" s="5">
        <v>4</v>
      </c>
      <c r="O205" s="6">
        <f t="shared" si="40"/>
        <v>6.0818219883252187</v>
      </c>
      <c r="P205" s="6">
        <f t="shared" si="41"/>
        <v>0.63250948678582275</v>
      </c>
      <c r="Q205" s="10">
        <f t="shared" si="42"/>
        <v>1.3177280974704641E-2</v>
      </c>
      <c r="R205" s="10">
        <f t="shared" si="43"/>
        <v>6.1577549589278129E-2</v>
      </c>
      <c r="S205" s="10">
        <f t="shared" si="44"/>
        <v>7.4754830563982771E-2</v>
      </c>
    </row>
    <row r="206" spans="1:19" x14ac:dyDescent="0.25">
      <c r="A206" s="5" t="s">
        <v>8</v>
      </c>
      <c r="B206" s="5" t="s">
        <v>270</v>
      </c>
      <c r="C206" s="5" t="s">
        <v>27</v>
      </c>
      <c r="D206" s="5" t="s">
        <v>385</v>
      </c>
      <c r="E206" s="5" t="s">
        <v>384</v>
      </c>
      <c r="F206" s="5" t="s">
        <v>30</v>
      </c>
      <c r="G206" s="5" t="s">
        <v>392</v>
      </c>
      <c r="H206" s="5" t="s">
        <v>34</v>
      </c>
      <c r="I206" s="5" t="s">
        <v>271</v>
      </c>
      <c r="J206" s="15">
        <v>3510</v>
      </c>
      <c r="K206" s="7">
        <v>36.6</v>
      </c>
      <c r="L206" s="7">
        <f t="shared" si="39"/>
        <v>95.901639344262293</v>
      </c>
      <c r="M206" s="5" t="s">
        <v>10</v>
      </c>
      <c r="N206" s="5">
        <v>4</v>
      </c>
      <c r="O206" s="6">
        <f t="shared" si="40"/>
        <v>20.176191715936575</v>
      </c>
      <c r="P206" s="6">
        <f t="shared" si="41"/>
        <v>2.0983239384574035</v>
      </c>
      <c r="Q206" s="10">
        <f t="shared" si="42"/>
        <v>4.3715082051195904E-2</v>
      </c>
      <c r="R206" s="10">
        <f t="shared" si="43"/>
        <v>0.15136536806834505</v>
      </c>
      <c r="S206" s="10">
        <f t="shared" si="44"/>
        <v>0.19508045011954095</v>
      </c>
    </row>
    <row r="207" spans="1:19" x14ac:dyDescent="0.25">
      <c r="A207" s="5" t="s">
        <v>8</v>
      </c>
      <c r="B207" s="5" t="s">
        <v>270</v>
      </c>
      <c r="C207" s="5" t="s">
        <v>27</v>
      </c>
      <c r="D207" s="5" t="s">
        <v>385</v>
      </c>
      <c r="E207" s="5" t="s">
        <v>384</v>
      </c>
      <c r="F207" s="5" t="s">
        <v>30</v>
      </c>
      <c r="G207" s="5" t="s">
        <v>392</v>
      </c>
      <c r="H207" s="5" t="s">
        <v>34</v>
      </c>
      <c r="I207" s="5" t="s">
        <v>273</v>
      </c>
      <c r="J207" s="15">
        <v>1760</v>
      </c>
      <c r="K207" s="7">
        <v>32.5</v>
      </c>
      <c r="L207" s="7">
        <f t="shared" si="39"/>
        <v>54.153846153846153</v>
      </c>
      <c r="M207" s="5" t="s">
        <v>10</v>
      </c>
      <c r="N207" s="5">
        <v>4</v>
      </c>
      <c r="O207" s="6">
        <f t="shared" si="40"/>
        <v>3.2259029585798817</v>
      </c>
      <c r="P207" s="6">
        <f t="shared" si="41"/>
        <v>0.33549390769230769</v>
      </c>
      <c r="Q207" s="10">
        <f t="shared" si="42"/>
        <v>6.9894564102564102E-3</v>
      </c>
      <c r="R207" s="10">
        <f t="shared" si="43"/>
        <v>3.827239131633859E-2</v>
      </c>
      <c r="S207" s="10">
        <f t="shared" si="44"/>
        <v>4.5261847726595E-2</v>
      </c>
    </row>
    <row r="208" spans="1:19" x14ac:dyDescent="0.25">
      <c r="A208" s="5" t="s">
        <v>8</v>
      </c>
      <c r="B208" s="5" t="s">
        <v>270</v>
      </c>
      <c r="C208" s="5" t="s">
        <v>27</v>
      </c>
      <c r="D208" s="5" t="s">
        <v>385</v>
      </c>
      <c r="E208" s="5" t="s">
        <v>384</v>
      </c>
      <c r="F208" s="5" t="s">
        <v>30</v>
      </c>
      <c r="G208" s="5" t="s">
        <v>392</v>
      </c>
      <c r="H208" s="5" t="s">
        <v>34</v>
      </c>
      <c r="I208" s="5" t="s">
        <v>276</v>
      </c>
      <c r="J208" s="15">
        <v>1850</v>
      </c>
      <c r="K208" s="7">
        <v>28.4</v>
      </c>
      <c r="L208" s="7">
        <f t="shared" si="39"/>
        <v>65.140845070422543</v>
      </c>
      <c r="M208" s="5" t="s">
        <v>10</v>
      </c>
      <c r="N208" s="5">
        <v>4</v>
      </c>
      <c r="O208" s="6">
        <f t="shared" si="40"/>
        <v>4.9063499615651676</v>
      </c>
      <c r="P208" s="6">
        <f t="shared" si="41"/>
        <v>0.51026039600277739</v>
      </c>
      <c r="Q208" s="10">
        <f t="shared" si="42"/>
        <v>1.0630424916724529E-2</v>
      </c>
      <c r="R208" s="10">
        <f t="shared" si="43"/>
        <v>5.2416258332901387E-2</v>
      </c>
      <c r="S208" s="10">
        <f t="shared" si="44"/>
        <v>6.3046683249625923E-2</v>
      </c>
    </row>
    <row r="209" spans="1:19" x14ac:dyDescent="0.25">
      <c r="A209" s="5" t="s">
        <v>8</v>
      </c>
      <c r="B209" s="5" t="s">
        <v>270</v>
      </c>
      <c r="C209" s="5" t="s">
        <v>27</v>
      </c>
      <c r="D209" s="5" t="s">
        <v>385</v>
      </c>
      <c r="E209" s="5" t="s">
        <v>384</v>
      </c>
      <c r="F209" s="5" t="s">
        <v>30</v>
      </c>
      <c r="G209" s="5" t="s">
        <v>392</v>
      </c>
      <c r="H209" s="5" t="s">
        <v>34</v>
      </c>
      <c r="I209" s="5" t="s">
        <v>275</v>
      </c>
      <c r="J209" s="15">
        <v>2410</v>
      </c>
      <c r="K209" s="7">
        <v>32.299999999999997</v>
      </c>
      <c r="L209" s="7">
        <f t="shared" si="39"/>
        <v>74.613003095975245</v>
      </c>
      <c r="M209" s="5" t="s">
        <v>10</v>
      </c>
      <c r="N209" s="5">
        <v>4</v>
      </c>
      <c r="O209" s="6">
        <f t="shared" si="40"/>
        <v>8.3854447229437667</v>
      </c>
      <c r="P209" s="6">
        <f t="shared" si="41"/>
        <v>0.8720862511861518</v>
      </c>
      <c r="Q209" s="10">
        <f t="shared" si="42"/>
        <v>1.8168463566378159E-2</v>
      </c>
      <c r="R209" s="10">
        <f t="shared" si="43"/>
        <v>7.8350486889121454E-2</v>
      </c>
      <c r="S209" s="10">
        <f t="shared" si="44"/>
        <v>9.6518950455499616E-2</v>
      </c>
    </row>
    <row r="210" spans="1:19" x14ac:dyDescent="0.25">
      <c r="A210" s="5" t="s">
        <v>8</v>
      </c>
      <c r="B210" s="5" t="s">
        <v>270</v>
      </c>
      <c r="C210" s="5" t="s">
        <v>27</v>
      </c>
      <c r="D210" s="5" t="s">
        <v>385</v>
      </c>
      <c r="E210" s="5" t="s">
        <v>384</v>
      </c>
      <c r="F210" s="5" t="s">
        <v>30</v>
      </c>
      <c r="G210" s="5" t="s">
        <v>392</v>
      </c>
      <c r="H210" s="5" t="s">
        <v>34</v>
      </c>
      <c r="I210" s="5" t="s">
        <v>272</v>
      </c>
      <c r="J210" s="15">
        <v>3350</v>
      </c>
      <c r="K210" s="7">
        <v>37</v>
      </c>
      <c r="L210" s="7">
        <f t="shared" si="39"/>
        <v>90.540540540540547</v>
      </c>
      <c r="M210" s="5" t="s">
        <v>10</v>
      </c>
      <c r="N210" s="5">
        <v>4</v>
      </c>
      <c r="O210" s="6">
        <f t="shared" si="40"/>
        <v>17.163702976625277</v>
      </c>
      <c r="P210" s="6">
        <f t="shared" si="41"/>
        <v>1.7850251095690288</v>
      </c>
      <c r="Q210" s="10">
        <f t="shared" si="42"/>
        <v>3.7188023116021436E-2</v>
      </c>
      <c r="R210" s="10">
        <f t="shared" si="43"/>
        <v>0.13407733437686528</v>
      </c>
      <c r="S210" s="10">
        <f t="shared" si="44"/>
        <v>0.17126535749288671</v>
      </c>
    </row>
    <row r="211" spans="1:19" x14ac:dyDescent="0.25">
      <c r="A211" s="5" t="s">
        <v>8</v>
      </c>
      <c r="B211" s="5" t="s">
        <v>270</v>
      </c>
      <c r="C211" s="5" t="s">
        <v>27</v>
      </c>
      <c r="D211" s="5" t="s">
        <v>385</v>
      </c>
      <c r="E211" s="5" t="s">
        <v>384</v>
      </c>
      <c r="F211" s="5" t="s">
        <v>30</v>
      </c>
      <c r="G211" s="5" t="s">
        <v>392</v>
      </c>
      <c r="H211" s="5" t="s">
        <v>34</v>
      </c>
      <c r="I211" s="5" t="s">
        <v>272</v>
      </c>
      <c r="J211" s="15">
        <v>3350</v>
      </c>
      <c r="K211" s="7">
        <v>38.799999999999997</v>
      </c>
      <c r="L211" s="7">
        <f t="shared" si="39"/>
        <v>86.340206185567013</v>
      </c>
      <c r="M211" s="5" t="s">
        <v>10</v>
      </c>
      <c r="N211" s="5">
        <v>4</v>
      </c>
      <c r="O211" s="6">
        <f t="shared" si="40"/>
        <v>15.608134083723032</v>
      </c>
      <c r="P211" s="6">
        <f t="shared" si="41"/>
        <v>1.6232459447071952</v>
      </c>
      <c r="Q211" s="10">
        <f t="shared" si="42"/>
        <v>3.3817623848066566E-2</v>
      </c>
      <c r="R211" s="10">
        <f t="shared" si="43"/>
        <v>0.12485627237086265</v>
      </c>
      <c r="S211" s="10">
        <f t="shared" si="44"/>
        <v>0.15867389621892922</v>
      </c>
    </row>
    <row r="212" spans="1:19" x14ac:dyDescent="0.25">
      <c r="A212" s="5" t="s">
        <v>22</v>
      </c>
      <c r="B212" s="5" t="s">
        <v>26</v>
      </c>
      <c r="C212" s="5" t="s">
        <v>27</v>
      </c>
      <c r="D212" s="5" t="s">
        <v>385</v>
      </c>
      <c r="E212" s="5" t="s">
        <v>384</v>
      </c>
      <c r="F212" s="5" t="s">
        <v>30</v>
      </c>
      <c r="G212" s="5" t="s">
        <v>392</v>
      </c>
      <c r="H212" s="5" t="s">
        <v>34</v>
      </c>
      <c r="I212" s="5" t="s">
        <v>21</v>
      </c>
      <c r="J212" s="15">
        <v>1000</v>
      </c>
      <c r="K212" s="7">
        <v>20</v>
      </c>
      <c r="L212" s="7">
        <f t="shared" si="39"/>
        <v>50</v>
      </c>
      <c r="M212" s="5" t="s">
        <v>10</v>
      </c>
      <c r="N212" s="5">
        <v>4</v>
      </c>
      <c r="O212" s="6">
        <f t="shared" si="40"/>
        <v>1.5625</v>
      </c>
      <c r="P212" s="6">
        <f t="shared" si="41"/>
        <v>0.16250000000000001</v>
      </c>
      <c r="Q212" s="10">
        <f t="shared" si="42"/>
        <v>3.3854166666666668E-3</v>
      </c>
      <c r="R212" s="10">
        <f t="shared" si="43"/>
        <v>2.2220925526404162E-2</v>
      </c>
      <c r="S212" s="10">
        <f t="shared" si="44"/>
        <v>2.5606342193070827E-2</v>
      </c>
    </row>
    <row r="213" spans="1:19" x14ac:dyDescent="0.25">
      <c r="A213" s="5" t="s">
        <v>22</v>
      </c>
      <c r="B213" s="5" t="s">
        <v>63</v>
      </c>
      <c r="C213" s="5" t="s">
        <v>27</v>
      </c>
      <c r="D213" s="5" t="s">
        <v>385</v>
      </c>
      <c r="E213" s="5" t="s">
        <v>384</v>
      </c>
      <c r="F213" s="5" t="s">
        <v>30</v>
      </c>
      <c r="G213" s="5" t="s">
        <v>392</v>
      </c>
      <c r="H213" s="5" t="s">
        <v>34</v>
      </c>
      <c r="I213" s="5" t="s">
        <v>21</v>
      </c>
      <c r="J213" s="15">
        <v>1050</v>
      </c>
      <c r="K213" s="7">
        <v>23</v>
      </c>
      <c r="L213" s="7">
        <f t="shared" si="39"/>
        <v>45.652173913043477</v>
      </c>
      <c r="M213" s="5" t="s">
        <v>10</v>
      </c>
      <c r="N213" s="5">
        <v>4</v>
      </c>
      <c r="O213" s="6">
        <f t="shared" si="40"/>
        <v>1.3677043950850662</v>
      </c>
      <c r="P213" s="6">
        <f t="shared" si="41"/>
        <v>0.14224125708884686</v>
      </c>
      <c r="Q213" s="10">
        <f t="shared" si="42"/>
        <v>2.9633595226843099E-3</v>
      </c>
      <c r="R213" s="10">
        <f t="shared" si="43"/>
        <v>2.0109038528318947E-2</v>
      </c>
      <c r="S213" s="10">
        <f t="shared" si="44"/>
        <v>2.3072398051003258E-2</v>
      </c>
    </row>
    <row r="214" spans="1:19" x14ac:dyDescent="0.25">
      <c r="A214" s="5" t="s">
        <v>8</v>
      </c>
      <c r="B214" s="5" t="s">
        <v>226</v>
      </c>
      <c r="C214" s="5" t="s">
        <v>27</v>
      </c>
      <c r="D214" s="5" t="s">
        <v>385</v>
      </c>
      <c r="E214" s="5" t="s">
        <v>384</v>
      </c>
      <c r="F214" s="5" t="s">
        <v>30</v>
      </c>
      <c r="G214" s="5" t="s">
        <v>392</v>
      </c>
      <c r="H214" s="5" t="s">
        <v>34</v>
      </c>
      <c r="I214" s="5" t="s">
        <v>21</v>
      </c>
      <c r="J214" s="15">
        <v>1429</v>
      </c>
      <c r="K214" s="7">
        <v>23.9</v>
      </c>
      <c r="L214" s="7">
        <f t="shared" si="39"/>
        <v>59.7907949790795</v>
      </c>
      <c r="M214" s="5" t="s">
        <v>10</v>
      </c>
      <c r="N214" s="5">
        <v>4</v>
      </c>
      <c r="O214" s="6">
        <f t="shared" si="40"/>
        <v>3.1928675410532033</v>
      </c>
      <c r="P214" s="6">
        <f t="shared" si="41"/>
        <v>0.33205822426953308</v>
      </c>
      <c r="Q214" s="10">
        <f t="shared" si="42"/>
        <v>6.9178796722819402E-3</v>
      </c>
      <c r="R214" s="10">
        <f t="shared" si="43"/>
        <v>3.7978062134013092E-2</v>
      </c>
      <c r="S214" s="10">
        <f t="shared" si="44"/>
        <v>4.4895941806295032E-2</v>
      </c>
    </row>
    <row r="215" spans="1:19" x14ac:dyDescent="0.25">
      <c r="A215" s="5" t="s">
        <v>22</v>
      </c>
      <c r="B215" s="5" t="s">
        <v>63</v>
      </c>
      <c r="C215" s="5" t="s">
        <v>27</v>
      </c>
      <c r="D215" s="5" t="s">
        <v>385</v>
      </c>
      <c r="E215" s="5" t="s">
        <v>384</v>
      </c>
      <c r="F215" s="5" t="s">
        <v>30</v>
      </c>
      <c r="G215" s="5" t="s">
        <v>392</v>
      </c>
      <c r="H215" s="5" t="s">
        <v>34</v>
      </c>
      <c r="I215" s="5" t="s">
        <v>142</v>
      </c>
      <c r="J215" s="15">
        <v>1350</v>
      </c>
      <c r="K215" s="7">
        <v>25</v>
      </c>
      <c r="L215" s="7">
        <f t="shared" si="39"/>
        <v>54</v>
      </c>
      <c r="M215" s="5" t="s">
        <v>10</v>
      </c>
      <c r="N215" s="5">
        <v>4</v>
      </c>
      <c r="O215" s="6">
        <f t="shared" si="40"/>
        <v>2.460375</v>
      </c>
      <c r="P215" s="6">
        <f t="shared" si="41"/>
        <v>0.25587900000000002</v>
      </c>
      <c r="Q215" s="10">
        <f t="shared" si="42"/>
        <v>5.3308124999999996E-3</v>
      </c>
      <c r="R215" s="10">
        <f t="shared" si="43"/>
        <v>3.1235474191314793E-2</v>
      </c>
      <c r="S215" s="10">
        <f t="shared" si="44"/>
        <v>3.6566286691314794E-2</v>
      </c>
    </row>
    <row r="216" spans="1:19" x14ac:dyDescent="0.25">
      <c r="A216" s="5" t="s">
        <v>8</v>
      </c>
      <c r="B216" s="5" t="s">
        <v>217</v>
      </c>
      <c r="C216" s="5" t="s">
        <v>27</v>
      </c>
      <c r="D216" s="5" t="s">
        <v>385</v>
      </c>
      <c r="E216" s="5" t="s">
        <v>384</v>
      </c>
      <c r="F216" s="5" t="s">
        <v>30</v>
      </c>
      <c r="G216" s="5" t="s">
        <v>392</v>
      </c>
      <c r="H216" s="5" t="s">
        <v>34</v>
      </c>
      <c r="I216" s="5" t="s">
        <v>142</v>
      </c>
      <c r="J216" s="15">
        <v>1300</v>
      </c>
      <c r="K216" s="7">
        <v>24.8</v>
      </c>
      <c r="L216" s="7">
        <f t="shared" si="39"/>
        <v>52.419354838709673</v>
      </c>
      <c r="M216" s="5" t="s">
        <v>10</v>
      </c>
      <c r="N216" s="5">
        <v>4</v>
      </c>
      <c r="O216" s="6">
        <f t="shared" si="40"/>
        <v>2.2325783688865761</v>
      </c>
      <c r="P216" s="6">
        <f t="shared" si="41"/>
        <v>0.2321881503642039</v>
      </c>
      <c r="Q216" s="10">
        <f t="shared" si="42"/>
        <v>4.8372531325875812E-3</v>
      </c>
      <c r="R216" s="10">
        <f t="shared" si="43"/>
        <v>2.9040370897396122E-2</v>
      </c>
      <c r="S216" s="10">
        <f t="shared" si="44"/>
        <v>3.3877624029983705E-2</v>
      </c>
    </row>
    <row r="217" spans="1:19" x14ac:dyDescent="0.25">
      <c r="A217" s="5" t="s">
        <v>8</v>
      </c>
      <c r="B217" s="5" t="s">
        <v>316</v>
      </c>
      <c r="C217" s="5" t="s">
        <v>27</v>
      </c>
      <c r="D217" s="5" t="s">
        <v>385</v>
      </c>
      <c r="E217" s="5" t="s">
        <v>384</v>
      </c>
      <c r="F217" s="5" t="s">
        <v>30</v>
      </c>
      <c r="G217" s="5" t="s">
        <v>392</v>
      </c>
      <c r="H217" s="5" t="s">
        <v>34</v>
      </c>
      <c r="I217" s="5" t="s">
        <v>318</v>
      </c>
      <c r="J217" s="15">
        <v>1980</v>
      </c>
      <c r="K217" s="7">
        <v>26</v>
      </c>
      <c r="L217" s="7">
        <f t="shared" si="39"/>
        <v>76.15384615384616</v>
      </c>
      <c r="M217" s="5" t="s">
        <v>10</v>
      </c>
      <c r="N217" s="5">
        <v>4</v>
      </c>
      <c r="O217" s="6">
        <f t="shared" si="40"/>
        <v>7.1767677514792911</v>
      </c>
      <c r="P217" s="6">
        <f t="shared" si="41"/>
        <v>0.74638384615384623</v>
      </c>
      <c r="Q217" s="10">
        <f t="shared" si="42"/>
        <v>1.5549663461538464E-2</v>
      </c>
      <c r="R217" s="10">
        <f t="shared" si="43"/>
        <v>6.9717819153043717E-2</v>
      </c>
      <c r="S217" s="10">
        <f t="shared" si="44"/>
        <v>8.5267482614582182E-2</v>
      </c>
    </row>
    <row r="218" spans="1:19" x14ac:dyDescent="0.25">
      <c r="A218" s="5" t="s">
        <v>8</v>
      </c>
      <c r="B218" s="5" t="s">
        <v>357</v>
      </c>
      <c r="C218" s="5" t="s">
        <v>27</v>
      </c>
      <c r="D218" s="5" t="s">
        <v>385</v>
      </c>
      <c r="E218" s="5" t="s">
        <v>384</v>
      </c>
      <c r="F218" s="5" t="s">
        <v>30</v>
      </c>
      <c r="G218" s="5" t="s">
        <v>392</v>
      </c>
      <c r="H218" s="5" t="s">
        <v>34</v>
      </c>
      <c r="I218" s="5" t="s">
        <v>318</v>
      </c>
      <c r="J218" s="15">
        <v>1952</v>
      </c>
      <c r="K218" s="7">
        <v>28.2</v>
      </c>
      <c r="L218" s="7">
        <f t="shared" si="39"/>
        <v>69.219858156028366</v>
      </c>
      <c r="M218" s="5" t="s">
        <v>10</v>
      </c>
      <c r="N218" s="5">
        <v>4</v>
      </c>
      <c r="O218" s="6">
        <f t="shared" si="40"/>
        <v>5.8454942910316374</v>
      </c>
      <c r="P218" s="6">
        <f t="shared" si="41"/>
        <v>0.60793140626729025</v>
      </c>
      <c r="Q218" s="10">
        <f t="shared" si="42"/>
        <v>1.2665237630568546E-2</v>
      </c>
      <c r="R218" s="10">
        <f t="shared" si="43"/>
        <v>5.9774101244652454E-2</v>
      </c>
      <c r="S218" s="10">
        <f t="shared" si="44"/>
        <v>7.2439338875220999E-2</v>
      </c>
    </row>
    <row r="219" spans="1:19" x14ac:dyDescent="0.25">
      <c r="A219" s="5" t="s">
        <v>22</v>
      </c>
      <c r="B219" s="5" t="s">
        <v>26</v>
      </c>
      <c r="C219" s="5" t="s">
        <v>27</v>
      </c>
      <c r="D219" s="5" t="s">
        <v>385</v>
      </c>
      <c r="E219" s="5" t="s">
        <v>384</v>
      </c>
      <c r="F219" s="5" t="s">
        <v>30</v>
      </c>
      <c r="G219" s="5" t="s">
        <v>392</v>
      </c>
      <c r="H219" s="5" t="s">
        <v>34</v>
      </c>
      <c r="I219" s="5" t="s">
        <v>35</v>
      </c>
      <c r="J219" s="15">
        <v>2750</v>
      </c>
      <c r="K219" s="7">
        <v>29</v>
      </c>
      <c r="L219" s="7">
        <f t="shared" si="39"/>
        <v>94.827586206896555</v>
      </c>
      <c r="M219" s="5" t="s">
        <v>10</v>
      </c>
      <c r="N219" s="5">
        <v>4</v>
      </c>
      <c r="O219" s="6">
        <f t="shared" si="40"/>
        <v>15.455465963139122</v>
      </c>
      <c r="P219" s="6">
        <f t="shared" si="41"/>
        <v>1.6073684601664686</v>
      </c>
      <c r="Q219" s="10">
        <f t="shared" si="42"/>
        <v>3.3486842920134763E-2</v>
      </c>
      <c r="R219" s="10">
        <f t="shared" si="43"/>
        <v>0.12393920372417333</v>
      </c>
      <c r="S219" s="10">
        <f t="shared" si="44"/>
        <v>0.15742604664430809</v>
      </c>
    </row>
    <row r="220" spans="1:19" x14ac:dyDescent="0.25">
      <c r="A220" s="5" t="s">
        <v>8</v>
      </c>
      <c r="B220" s="5" t="s">
        <v>366</v>
      </c>
      <c r="C220" s="5" t="s">
        <v>27</v>
      </c>
      <c r="D220" s="5" t="s">
        <v>385</v>
      </c>
      <c r="E220" s="5" t="s">
        <v>384</v>
      </c>
      <c r="F220" s="5" t="s">
        <v>30</v>
      </c>
      <c r="G220" s="5" t="s">
        <v>392</v>
      </c>
      <c r="H220" s="5" t="s">
        <v>232</v>
      </c>
      <c r="I220" s="5" t="s">
        <v>367</v>
      </c>
      <c r="J220" s="15">
        <v>1950</v>
      </c>
      <c r="K220" s="7">
        <v>26.5</v>
      </c>
      <c r="L220" s="7">
        <f t="shared" si="39"/>
        <v>73.584905660377359</v>
      </c>
      <c r="M220" s="5" t="s">
        <v>10</v>
      </c>
      <c r="N220" s="5">
        <v>4</v>
      </c>
      <c r="O220" s="6">
        <f t="shared" si="40"/>
        <v>6.5992123531505875</v>
      </c>
      <c r="P220" s="6">
        <f t="shared" si="41"/>
        <v>0.68631808472766109</v>
      </c>
      <c r="Q220" s="10">
        <f t="shared" si="42"/>
        <v>1.4298293431826273E-2</v>
      </c>
      <c r="R220" s="10">
        <f t="shared" si="43"/>
        <v>6.5466059667993612E-2</v>
      </c>
      <c r="S220" s="10">
        <f t="shared" si="44"/>
        <v>7.9764353099819885E-2</v>
      </c>
    </row>
    <row r="221" spans="1:19" x14ac:dyDescent="0.25">
      <c r="A221" s="5" t="s">
        <v>8</v>
      </c>
      <c r="B221" s="5" t="s">
        <v>231</v>
      </c>
      <c r="C221" s="5" t="s">
        <v>27</v>
      </c>
      <c r="D221" s="5" t="s">
        <v>385</v>
      </c>
      <c r="E221" s="5" t="s">
        <v>384</v>
      </c>
      <c r="F221" s="5" t="s">
        <v>30</v>
      </c>
      <c r="G221" s="5" t="s">
        <v>392</v>
      </c>
      <c r="H221" s="5" t="s">
        <v>232</v>
      </c>
      <c r="I221" s="5" t="s">
        <v>67</v>
      </c>
      <c r="J221" s="15">
        <v>2400</v>
      </c>
      <c r="K221" s="7">
        <v>28</v>
      </c>
      <c r="L221" s="7">
        <f t="shared" si="39"/>
        <v>85.714285714285708</v>
      </c>
      <c r="M221" s="5" t="s">
        <v>10</v>
      </c>
      <c r="N221" s="5">
        <v>4</v>
      </c>
      <c r="O221" s="6">
        <f t="shared" si="40"/>
        <v>11.020408163265305</v>
      </c>
      <c r="P221" s="6">
        <f t="shared" si="41"/>
        <v>1.1461224489795918</v>
      </c>
      <c r="Q221" s="10">
        <f t="shared" si="42"/>
        <v>2.3877551020408158E-2</v>
      </c>
      <c r="R221" s="10">
        <f t="shared" si="43"/>
        <v>9.6171277298758448E-2</v>
      </c>
      <c r="S221" s="10">
        <f t="shared" si="44"/>
        <v>0.12004882831916661</v>
      </c>
    </row>
    <row r="222" spans="1:19" x14ac:dyDescent="0.25">
      <c r="A222" s="5" t="s">
        <v>8</v>
      </c>
      <c r="B222" s="5" t="s">
        <v>366</v>
      </c>
      <c r="C222" s="5" t="s">
        <v>27</v>
      </c>
      <c r="D222" s="5" t="s">
        <v>385</v>
      </c>
      <c r="E222" s="5" t="s">
        <v>384</v>
      </c>
      <c r="F222" s="5" t="s">
        <v>30</v>
      </c>
      <c r="G222" s="5" t="s">
        <v>392</v>
      </c>
      <c r="H222" s="5" t="s">
        <v>232</v>
      </c>
      <c r="I222" s="5" t="s">
        <v>368</v>
      </c>
      <c r="J222" s="15">
        <v>2350</v>
      </c>
      <c r="K222" s="7">
        <v>28.5</v>
      </c>
      <c r="L222" s="7">
        <f t="shared" si="39"/>
        <v>82.456140350877192</v>
      </c>
      <c r="M222" s="5" t="s">
        <v>10</v>
      </c>
      <c r="N222" s="5">
        <v>4</v>
      </c>
      <c r="O222" s="6">
        <f t="shared" si="40"/>
        <v>9.9860534010464761</v>
      </c>
      <c r="P222" s="6">
        <f t="shared" si="41"/>
        <v>1.0385495537088334</v>
      </c>
      <c r="Q222" s="10">
        <f t="shared" si="42"/>
        <v>2.1636449035600695E-2</v>
      </c>
      <c r="R222" s="10">
        <f t="shared" si="43"/>
        <v>8.9318729610296993E-2</v>
      </c>
      <c r="S222" s="10">
        <f t="shared" si="44"/>
        <v>0.11095517864589768</v>
      </c>
    </row>
    <row r="223" spans="1:19" x14ac:dyDescent="0.25">
      <c r="A223" s="5" t="s">
        <v>8</v>
      </c>
      <c r="B223" s="5" t="s">
        <v>366</v>
      </c>
      <c r="C223" s="5" t="s">
        <v>27</v>
      </c>
      <c r="D223" s="5" t="s">
        <v>385</v>
      </c>
      <c r="E223" s="5" t="s">
        <v>384</v>
      </c>
      <c r="F223" s="5" t="s">
        <v>30</v>
      </c>
      <c r="G223" s="5" t="s">
        <v>392</v>
      </c>
      <c r="H223" s="5" t="s">
        <v>232</v>
      </c>
      <c r="I223" s="5" t="s">
        <v>368</v>
      </c>
      <c r="J223" s="15">
        <v>2726</v>
      </c>
      <c r="K223" s="7">
        <v>30.5</v>
      </c>
      <c r="L223" s="7">
        <f t="shared" si="39"/>
        <v>89.377049180327873</v>
      </c>
      <c r="M223" s="5" t="s">
        <v>10</v>
      </c>
      <c r="N223" s="5">
        <v>4</v>
      </c>
      <c r="O223" s="6">
        <f t="shared" si="40"/>
        <v>13.609992727761355</v>
      </c>
      <c r="P223" s="6">
        <f t="shared" si="41"/>
        <v>1.4154392436871808</v>
      </c>
      <c r="Q223" s="10">
        <f t="shared" si="42"/>
        <v>2.9488317576816272E-2</v>
      </c>
      <c r="R223" s="10">
        <f t="shared" si="43"/>
        <v>0.11266539513595818</v>
      </c>
      <c r="S223" s="10">
        <f t="shared" si="44"/>
        <v>0.14215371271277444</v>
      </c>
    </row>
    <row r="224" spans="1:19" x14ac:dyDescent="0.25">
      <c r="A224" s="5" t="s">
        <v>8</v>
      </c>
      <c r="B224" s="5" t="s">
        <v>366</v>
      </c>
      <c r="C224" s="5" t="s">
        <v>27</v>
      </c>
      <c r="D224" s="5" t="s">
        <v>385</v>
      </c>
      <c r="E224" s="5" t="s">
        <v>384</v>
      </c>
      <c r="F224" s="5" t="s">
        <v>30</v>
      </c>
      <c r="G224" s="5" t="s">
        <v>392</v>
      </c>
      <c r="H224" s="5" t="s">
        <v>232</v>
      </c>
      <c r="I224" s="5" t="s">
        <v>35</v>
      </c>
      <c r="J224" s="15">
        <v>2900</v>
      </c>
      <c r="K224" s="7">
        <v>33</v>
      </c>
      <c r="L224" s="7">
        <f t="shared" si="39"/>
        <v>87.878787878787875</v>
      </c>
      <c r="M224" s="5" t="s">
        <v>10</v>
      </c>
      <c r="N224" s="5">
        <v>4</v>
      </c>
      <c r="O224" s="6">
        <f t="shared" si="40"/>
        <v>13.997359963269052</v>
      </c>
      <c r="P224" s="6">
        <f t="shared" si="41"/>
        <v>1.4557254361799814</v>
      </c>
      <c r="Q224" s="10">
        <f t="shared" si="42"/>
        <v>3.0327613253749608E-2</v>
      </c>
      <c r="R224" s="10">
        <f t="shared" si="43"/>
        <v>0.11506194811191645</v>
      </c>
      <c r="S224" s="10">
        <f t="shared" si="44"/>
        <v>0.14538956136566605</v>
      </c>
    </row>
    <row r="225" spans="1:19" x14ac:dyDescent="0.25">
      <c r="A225" s="5" t="s">
        <v>22</v>
      </c>
      <c r="B225" s="5" t="s">
        <v>63</v>
      </c>
      <c r="C225" s="5" t="s">
        <v>27</v>
      </c>
      <c r="D225" s="5" t="s">
        <v>385</v>
      </c>
      <c r="E225" s="5" t="s">
        <v>384</v>
      </c>
      <c r="F225" s="5" t="s">
        <v>30</v>
      </c>
      <c r="G225" s="5" t="s">
        <v>392</v>
      </c>
      <c r="H225" s="5" t="s">
        <v>66</v>
      </c>
      <c r="I225" s="5" t="s">
        <v>67</v>
      </c>
      <c r="J225" s="15">
        <v>2350</v>
      </c>
      <c r="K225" s="7">
        <v>28</v>
      </c>
      <c r="L225" s="7">
        <f t="shared" si="39"/>
        <v>83.928571428571431</v>
      </c>
      <c r="M225" s="5" t="s">
        <v>10</v>
      </c>
      <c r="N225" s="5">
        <v>4</v>
      </c>
      <c r="O225" s="6">
        <f t="shared" si="40"/>
        <v>10.345882493622449</v>
      </c>
      <c r="P225" s="6">
        <f t="shared" si="41"/>
        <v>1.0759717793367347</v>
      </c>
      <c r="Q225" s="10">
        <f t="shared" si="42"/>
        <v>2.2416078736181972E-2</v>
      </c>
      <c r="R225" s="10">
        <f t="shared" si="43"/>
        <v>9.1721844656989765E-2</v>
      </c>
      <c r="S225" s="10">
        <f t="shared" si="44"/>
        <v>0.11413792339317173</v>
      </c>
    </row>
    <row r="226" spans="1:19" x14ac:dyDescent="0.25">
      <c r="A226" s="5" t="s">
        <v>8</v>
      </c>
      <c r="B226" s="5" t="s">
        <v>241</v>
      </c>
      <c r="C226" s="5" t="s">
        <v>27</v>
      </c>
      <c r="D226" s="5" t="s">
        <v>385</v>
      </c>
      <c r="E226" s="5" t="s">
        <v>384</v>
      </c>
      <c r="F226" s="5" t="s">
        <v>30</v>
      </c>
      <c r="G226" s="5" t="s">
        <v>392</v>
      </c>
      <c r="H226" s="5" t="s">
        <v>40</v>
      </c>
      <c r="I226" s="5" t="s">
        <v>249</v>
      </c>
      <c r="J226" s="15">
        <v>1750</v>
      </c>
      <c r="K226" s="7">
        <v>25</v>
      </c>
      <c r="L226" s="7">
        <f t="shared" si="39"/>
        <v>70</v>
      </c>
      <c r="M226" s="5" t="s">
        <v>10</v>
      </c>
      <c r="N226" s="5">
        <v>4</v>
      </c>
      <c r="O226" s="6">
        <f t="shared" si="40"/>
        <v>5.359375</v>
      </c>
      <c r="P226" s="6">
        <f t="shared" si="41"/>
        <v>0.55737499999999995</v>
      </c>
      <c r="Q226" s="10">
        <f t="shared" si="42"/>
        <v>1.1611979166666666E-2</v>
      </c>
      <c r="R226" s="10">
        <f t="shared" si="43"/>
        <v>5.6005765012085269E-2</v>
      </c>
      <c r="S226" s="10">
        <f t="shared" si="44"/>
        <v>6.7617744178751937E-2</v>
      </c>
    </row>
    <row r="227" spans="1:19" x14ac:dyDescent="0.25">
      <c r="A227" s="5" t="s">
        <v>22</v>
      </c>
      <c r="B227" s="5" t="s">
        <v>26</v>
      </c>
      <c r="C227" s="5" t="s">
        <v>27</v>
      </c>
      <c r="D227" s="5" t="s">
        <v>385</v>
      </c>
      <c r="E227" s="5" t="s">
        <v>384</v>
      </c>
      <c r="F227" s="5" t="s">
        <v>30</v>
      </c>
      <c r="G227" s="5" t="s">
        <v>392</v>
      </c>
      <c r="H227" s="5" t="s">
        <v>40</v>
      </c>
      <c r="I227" s="5" t="s">
        <v>41</v>
      </c>
      <c r="J227" s="15">
        <v>2500</v>
      </c>
      <c r="K227" s="7">
        <v>28</v>
      </c>
      <c r="L227" s="7">
        <f t="shared" si="39"/>
        <v>89.285714285714292</v>
      </c>
      <c r="M227" s="5" t="s">
        <v>10</v>
      </c>
      <c r="N227" s="5">
        <v>4</v>
      </c>
      <c r="O227" s="6">
        <f t="shared" si="40"/>
        <v>12.456154336734695</v>
      </c>
      <c r="P227" s="6">
        <f t="shared" si="41"/>
        <v>1.2954400510204083</v>
      </c>
      <c r="Q227" s="10">
        <f t="shared" si="42"/>
        <v>2.6988334396258504E-2</v>
      </c>
      <c r="R227" s="10">
        <f t="shared" si="43"/>
        <v>0.10542293667898026</v>
      </c>
      <c r="S227" s="10">
        <f t="shared" si="44"/>
        <v>0.13241127107523876</v>
      </c>
    </row>
    <row r="228" spans="1:19" x14ac:dyDescent="0.25">
      <c r="A228" s="5" t="s">
        <v>8</v>
      </c>
      <c r="B228" s="5" t="s">
        <v>241</v>
      </c>
      <c r="C228" s="5" t="s">
        <v>27</v>
      </c>
      <c r="D228" s="5" t="s">
        <v>385</v>
      </c>
      <c r="E228" s="5" t="s">
        <v>384</v>
      </c>
      <c r="F228" s="5" t="s">
        <v>30</v>
      </c>
      <c r="G228" s="5" t="s">
        <v>392</v>
      </c>
      <c r="H228" s="5" t="s">
        <v>40</v>
      </c>
      <c r="I228" s="5" t="s">
        <v>41</v>
      </c>
      <c r="J228" s="15">
        <v>2300</v>
      </c>
      <c r="K228" s="7">
        <v>31</v>
      </c>
      <c r="L228" s="7">
        <f t="shared" si="39"/>
        <v>74.193548387096769</v>
      </c>
      <c r="M228" s="5" t="s">
        <v>10</v>
      </c>
      <c r="N228" s="5">
        <v>4</v>
      </c>
      <c r="O228" s="6">
        <f t="shared" si="40"/>
        <v>7.912981269510925</v>
      </c>
      <c r="P228" s="6">
        <f t="shared" si="41"/>
        <v>0.82295005202913618</v>
      </c>
      <c r="Q228" s="10">
        <f t="shared" si="42"/>
        <v>1.7144792750607003E-2</v>
      </c>
      <c r="R228" s="10">
        <f t="shared" si="43"/>
        <v>7.5015710610391848E-2</v>
      </c>
      <c r="S228" s="10">
        <f t="shared" si="44"/>
        <v>9.2160503360998847E-2</v>
      </c>
    </row>
    <row r="229" spans="1:19" x14ac:dyDescent="0.25">
      <c r="A229" s="5" t="s">
        <v>8</v>
      </c>
      <c r="B229" s="5" t="s">
        <v>313</v>
      </c>
      <c r="C229" s="5" t="s">
        <v>27</v>
      </c>
      <c r="D229" s="5" t="s">
        <v>385</v>
      </c>
      <c r="E229" s="5" t="s">
        <v>384</v>
      </c>
      <c r="F229" s="5" t="s">
        <v>30</v>
      </c>
      <c r="G229" s="5" t="s">
        <v>392</v>
      </c>
      <c r="H229" s="5" t="s">
        <v>40</v>
      </c>
      <c r="I229" s="5" t="s">
        <v>41</v>
      </c>
      <c r="J229" s="15">
        <v>2650</v>
      </c>
      <c r="K229" s="7">
        <v>27.1</v>
      </c>
      <c r="L229" s="7">
        <f t="shared" si="39"/>
        <v>97.785977859778598</v>
      </c>
      <c r="M229" s="5" t="s">
        <v>10</v>
      </c>
      <c r="N229" s="5">
        <v>4</v>
      </c>
      <c r="O229" s="6">
        <f t="shared" si="40"/>
        <v>15.83722392805109</v>
      </c>
      <c r="P229" s="6">
        <f t="shared" si="41"/>
        <v>1.6470712885173131</v>
      </c>
      <c r="Q229" s="10">
        <f t="shared" si="42"/>
        <v>3.431398517744403E-2</v>
      </c>
      <c r="R229" s="10">
        <f t="shared" si="43"/>
        <v>0.1262282081691613</v>
      </c>
      <c r="S229" s="10">
        <f t="shared" si="44"/>
        <v>0.16054219334660533</v>
      </c>
    </row>
    <row r="230" spans="1:19" x14ac:dyDescent="0.25">
      <c r="A230" s="5" t="s">
        <v>8</v>
      </c>
      <c r="B230" s="5" t="s">
        <v>241</v>
      </c>
      <c r="C230" s="5" t="s">
        <v>27</v>
      </c>
      <c r="D230" s="5" t="s">
        <v>385</v>
      </c>
      <c r="E230" s="5" t="s">
        <v>384</v>
      </c>
      <c r="F230" s="5" t="s">
        <v>30</v>
      </c>
      <c r="G230" s="5" t="s">
        <v>392</v>
      </c>
      <c r="H230" s="5" t="s">
        <v>40</v>
      </c>
      <c r="I230" s="5" t="s">
        <v>250</v>
      </c>
      <c r="J230" s="15">
        <v>1710</v>
      </c>
      <c r="K230" s="7">
        <v>25</v>
      </c>
      <c r="L230" s="7">
        <f t="shared" si="39"/>
        <v>68.400000000000006</v>
      </c>
      <c r="M230" s="5" t="s">
        <v>10</v>
      </c>
      <c r="N230" s="5">
        <v>4</v>
      </c>
      <c r="O230" s="6">
        <f t="shared" si="40"/>
        <v>5.0002110000000002</v>
      </c>
      <c r="P230" s="6">
        <f t="shared" si="41"/>
        <v>0.52002194400000012</v>
      </c>
      <c r="Q230" s="10">
        <f t="shared" si="42"/>
        <v>1.0833790500000001E-2</v>
      </c>
      <c r="R230" s="10">
        <f t="shared" si="43"/>
        <v>5.316653690438651E-2</v>
      </c>
      <c r="S230" s="10">
        <f t="shared" si="44"/>
        <v>6.4000327404386506E-2</v>
      </c>
    </row>
    <row r="231" spans="1:19" x14ac:dyDescent="0.25">
      <c r="A231" s="5" t="s">
        <v>8</v>
      </c>
      <c r="B231" s="5" t="s">
        <v>241</v>
      </c>
      <c r="C231" s="5" t="s">
        <v>27</v>
      </c>
      <c r="D231" s="5" t="s">
        <v>385</v>
      </c>
      <c r="E231" s="5" t="s">
        <v>384</v>
      </c>
      <c r="F231" s="5" t="s">
        <v>30</v>
      </c>
      <c r="G231" s="5" t="s">
        <v>392</v>
      </c>
      <c r="H231" s="5" t="s">
        <v>40</v>
      </c>
      <c r="I231" s="5" t="s">
        <v>252</v>
      </c>
      <c r="J231" s="15">
        <v>1670</v>
      </c>
      <c r="K231" s="7">
        <v>28.5</v>
      </c>
      <c r="L231" s="7">
        <f t="shared" si="39"/>
        <v>58.596491228070178</v>
      </c>
      <c r="M231" s="5" t="s">
        <v>10</v>
      </c>
      <c r="N231" s="5">
        <v>4</v>
      </c>
      <c r="O231" s="6">
        <f t="shared" si="40"/>
        <v>3.5837665435518629</v>
      </c>
      <c r="P231" s="6">
        <f t="shared" si="41"/>
        <v>0.37271172052939366</v>
      </c>
      <c r="Q231" s="10">
        <f t="shared" si="42"/>
        <v>7.7648275110290361E-3</v>
      </c>
      <c r="R231" s="10">
        <f t="shared" si="43"/>
        <v>4.1414450883432853E-2</v>
      </c>
      <c r="S231" s="10">
        <f t="shared" si="44"/>
        <v>4.9179278394461887E-2</v>
      </c>
    </row>
    <row r="232" spans="1:19" x14ac:dyDescent="0.25">
      <c r="A232" s="5" t="s">
        <v>8</v>
      </c>
      <c r="B232" s="5" t="s">
        <v>241</v>
      </c>
      <c r="C232" s="5" t="s">
        <v>27</v>
      </c>
      <c r="D232" s="5" t="s">
        <v>385</v>
      </c>
      <c r="E232" s="5" t="s">
        <v>384</v>
      </c>
      <c r="F232" s="5" t="s">
        <v>30</v>
      </c>
      <c r="G232" s="5" t="s">
        <v>392</v>
      </c>
      <c r="H232" s="5" t="s">
        <v>40</v>
      </c>
      <c r="I232" s="5" t="s">
        <v>11</v>
      </c>
      <c r="J232" s="15">
        <v>2375</v>
      </c>
      <c r="K232" s="7">
        <v>27</v>
      </c>
      <c r="L232" s="7">
        <f t="shared" si="39"/>
        <v>87.962962962962962</v>
      </c>
      <c r="M232" s="5" t="s">
        <v>10</v>
      </c>
      <c r="N232" s="5">
        <v>4</v>
      </c>
      <c r="O232" s="6">
        <f t="shared" si="40"/>
        <v>11.485326110253771</v>
      </c>
      <c r="P232" s="6">
        <f t="shared" si="41"/>
        <v>1.1944739154663921</v>
      </c>
      <c r="Q232" s="10">
        <f t="shared" si="42"/>
        <v>2.4884873238883169E-2</v>
      </c>
      <c r="R232" s="10">
        <f t="shared" si="43"/>
        <v>9.9198389756610938E-2</v>
      </c>
      <c r="S232" s="10">
        <f t="shared" si="44"/>
        <v>0.1240832629954941</v>
      </c>
    </row>
    <row r="233" spans="1:19" x14ac:dyDescent="0.25">
      <c r="A233" s="5" t="s">
        <v>8</v>
      </c>
      <c r="B233" s="5" t="s">
        <v>241</v>
      </c>
      <c r="C233" s="5" t="s">
        <v>27</v>
      </c>
      <c r="D233" s="5" t="s">
        <v>385</v>
      </c>
      <c r="E233" s="5" t="s">
        <v>384</v>
      </c>
      <c r="F233" s="5" t="s">
        <v>30</v>
      </c>
      <c r="G233" s="5" t="s">
        <v>392</v>
      </c>
      <c r="H233" s="5" t="s">
        <v>40</v>
      </c>
      <c r="I233" s="5" t="s">
        <v>260</v>
      </c>
      <c r="J233" s="15">
        <v>2250</v>
      </c>
      <c r="K233" s="7">
        <v>26.2</v>
      </c>
      <c r="L233" s="7">
        <f t="shared" si="39"/>
        <v>85.877862595419856</v>
      </c>
      <c r="M233" s="5" t="s">
        <v>10</v>
      </c>
      <c r="N233" s="5">
        <v>4</v>
      </c>
      <c r="O233" s="6">
        <f t="shared" si="40"/>
        <v>10.371103993065674</v>
      </c>
      <c r="P233" s="6">
        <f t="shared" si="41"/>
        <v>1.0785948152788301</v>
      </c>
      <c r="Q233" s="10">
        <f t="shared" si="42"/>
        <v>2.2470725318308959E-2</v>
      </c>
      <c r="R233" s="10">
        <f t="shared" si="43"/>
        <v>9.1889495281948216E-2</v>
      </c>
      <c r="S233" s="10">
        <f t="shared" si="44"/>
        <v>0.11436022060025718</v>
      </c>
    </row>
    <row r="234" spans="1:19" x14ac:dyDescent="0.25">
      <c r="A234" s="5" t="s">
        <v>8</v>
      </c>
      <c r="B234" s="5" t="s">
        <v>188</v>
      </c>
      <c r="C234" s="5" t="s">
        <v>27</v>
      </c>
      <c r="D234" s="5" t="s">
        <v>385</v>
      </c>
      <c r="E234" s="5" t="s">
        <v>384</v>
      </c>
      <c r="F234" s="5" t="s">
        <v>30</v>
      </c>
      <c r="G234" s="5" t="s">
        <v>392</v>
      </c>
      <c r="H234" s="5" t="s">
        <v>40</v>
      </c>
      <c r="I234" s="5" t="s">
        <v>190</v>
      </c>
      <c r="J234" s="15">
        <v>2800</v>
      </c>
      <c r="K234" s="7">
        <v>27</v>
      </c>
      <c r="L234" s="7">
        <f t="shared" si="39"/>
        <v>103.70370370370371</v>
      </c>
      <c r="M234" s="5" t="s">
        <v>10</v>
      </c>
      <c r="N234" s="5">
        <v>4</v>
      </c>
      <c r="O234" s="6">
        <f t="shared" si="40"/>
        <v>18.820301783264746</v>
      </c>
      <c r="P234" s="6">
        <f t="shared" si="41"/>
        <v>1.9573113854595339</v>
      </c>
      <c r="Q234" s="10">
        <f t="shared" si="42"/>
        <v>4.0777320530406946E-2</v>
      </c>
      <c r="R234" s="10">
        <f t="shared" si="43"/>
        <v>0.14367032083802037</v>
      </c>
      <c r="S234" s="10">
        <f t="shared" si="44"/>
        <v>0.18444764136842731</v>
      </c>
    </row>
    <row r="235" spans="1:19" x14ac:dyDescent="0.25">
      <c r="A235" s="5" t="s">
        <v>8</v>
      </c>
      <c r="B235" s="5" t="s">
        <v>241</v>
      </c>
      <c r="C235" s="5" t="s">
        <v>27</v>
      </c>
      <c r="D235" s="5" t="s">
        <v>385</v>
      </c>
      <c r="E235" s="5" t="s">
        <v>384</v>
      </c>
      <c r="F235" s="5" t="s">
        <v>30</v>
      </c>
      <c r="G235" s="5" t="s">
        <v>392</v>
      </c>
      <c r="H235" s="5" t="s">
        <v>40</v>
      </c>
      <c r="I235" s="5" t="s">
        <v>190</v>
      </c>
      <c r="J235" s="15">
        <v>2885</v>
      </c>
      <c r="K235" s="7">
        <v>27.5</v>
      </c>
      <c r="L235" s="7">
        <f t="shared" si="39"/>
        <v>104.90909090909091</v>
      </c>
      <c r="M235" s="5" t="s">
        <v>10</v>
      </c>
      <c r="N235" s="5">
        <v>4</v>
      </c>
      <c r="O235" s="6">
        <f t="shared" si="40"/>
        <v>19.845044731404958</v>
      </c>
      <c r="P235" s="6">
        <f t="shared" si="41"/>
        <v>2.0638846520661156</v>
      </c>
      <c r="Q235" s="10">
        <f t="shared" si="42"/>
        <v>4.2997596918044077E-2</v>
      </c>
      <c r="R235" s="10">
        <f t="shared" si="43"/>
        <v>0.1494982765139998</v>
      </c>
      <c r="S235" s="10">
        <f t="shared" si="44"/>
        <v>0.19249587343204388</v>
      </c>
    </row>
    <row r="236" spans="1:19" x14ac:dyDescent="0.25">
      <c r="A236" s="5" t="s">
        <v>8</v>
      </c>
      <c r="B236" s="5" t="s">
        <v>241</v>
      </c>
      <c r="C236" s="5" t="s">
        <v>27</v>
      </c>
      <c r="D236" s="5" t="s">
        <v>385</v>
      </c>
      <c r="E236" s="5" t="s">
        <v>384</v>
      </c>
      <c r="F236" s="5" t="s">
        <v>30</v>
      </c>
      <c r="G236" s="5" t="s">
        <v>392</v>
      </c>
      <c r="H236" s="5" t="s">
        <v>40</v>
      </c>
      <c r="I236" s="5" t="s">
        <v>257</v>
      </c>
      <c r="J236" s="15">
        <v>2020</v>
      </c>
      <c r="K236" s="7">
        <v>23.5</v>
      </c>
      <c r="L236" s="7">
        <f t="shared" si="39"/>
        <v>85.957446808510639</v>
      </c>
      <c r="M236" s="5" t="s">
        <v>10</v>
      </c>
      <c r="N236" s="5">
        <v>4</v>
      </c>
      <c r="O236" s="6">
        <f t="shared" si="40"/>
        <v>9.3282118605703932</v>
      </c>
      <c r="P236" s="6">
        <f t="shared" si="41"/>
        <v>0.97013403349932081</v>
      </c>
      <c r="Q236" s="10">
        <f t="shared" si="42"/>
        <v>2.0211125697902517E-2</v>
      </c>
      <c r="R236" s="10">
        <f t="shared" si="43"/>
        <v>8.486838252062337E-2</v>
      </c>
      <c r="S236" s="10">
        <f t="shared" si="44"/>
        <v>0.10507950821852588</v>
      </c>
    </row>
    <row r="237" spans="1:19" x14ac:dyDescent="0.25">
      <c r="A237" s="5" t="s">
        <v>8</v>
      </c>
      <c r="B237" s="5" t="s">
        <v>241</v>
      </c>
      <c r="C237" s="5" t="s">
        <v>27</v>
      </c>
      <c r="D237" s="5" t="s">
        <v>385</v>
      </c>
      <c r="E237" s="5" t="s">
        <v>384</v>
      </c>
      <c r="F237" s="5" t="s">
        <v>30</v>
      </c>
      <c r="G237" s="5" t="s">
        <v>392</v>
      </c>
      <c r="H237" s="5" t="s">
        <v>40</v>
      </c>
      <c r="I237" s="5" t="s">
        <v>258</v>
      </c>
      <c r="J237" s="15">
        <v>2220</v>
      </c>
      <c r="K237" s="7">
        <v>28</v>
      </c>
      <c r="L237" s="7">
        <f t="shared" si="39"/>
        <v>79.285714285714292</v>
      </c>
      <c r="M237" s="5" t="s">
        <v>10</v>
      </c>
      <c r="N237" s="5">
        <v>4</v>
      </c>
      <c r="O237" s="6">
        <f t="shared" si="40"/>
        <v>8.7221364795918372</v>
      </c>
      <c r="P237" s="6">
        <f t="shared" si="41"/>
        <v>0.90710219387755109</v>
      </c>
      <c r="Q237" s="10">
        <f t="shared" si="42"/>
        <v>1.8897962372448979E-2</v>
      </c>
      <c r="R237" s="10">
        <f t="shared" si="43"/>
        <v>8.0698280844358428E-2</v>
      </c>
      <c r="S237" s="10">
        <f t="shared" si="44"/>
        <v>9.9596243216807406E-2</v>
      </c>
    </row>
    <row r="238" spans="1:19" x14ac:dyDescent="0.25">
      <c r="A238" s="5" t="s">
        <v>8</v>
      </c>
      <c r="B238" s="5" t="s">
        <v>188</v>
      </c>
      <c r="C238" s="5" t="s">
        <v>27</v>
      </c>
      <c r="D238" s="5" t="s">
        <v>385</v>
      </c>
      <c r="E238" s="5" t="s">
        <v>384</v>
      </c>
      <c r="F238" s="5" t="s">
        <v>30</v>
      </c>
      <c r="G238" s="5" t="s">
        <v>392</v>
      </c>
      <c r="H238" s="5" t="s">
        <v>40</v>
      </c>
      <c r="I238" s="5" t="s">
        <v>189</v>
      </c>
      <c r="J238" s="15">
        <v>2200</v>
      </c>
      <c r="K238" s="7">
        <v>28.7</v>
      </c>
      <c r="L238" s="7">
        <f t="shared" si="39"/>
        <v>76.655052264808361</v>
      </c>
      <c r="M238" s="5" t="s">
        <v>10</v>
      </c>
      <c r="N238" s="5">
        <v>4</v>
      </c>
      <c r="O238" s="6">
        <f t="shared" si="40"/>
        <v>8.0794959268656896</v>
      </c>
      <c r="P238" s="6">
        <f t="shared" si="41"/>
        <v>0.8402675763940316</v>
      </c>
      <c r="Q238" s="10">
        <f t="shared" si="42"/>
        <v>1.7505574508208995E-2</v>
      </c>
      <c r="R238" s="10">
        <f t="shared" si="43"/>
        <v>7.6196552828618133E-2</v>
      </c>
      <c r="S238" s="10">
        <f t="shared" si="44"/>
        <v>9.3702127336827132E-2</v>
      </c>
    </row>
    <row r="239" spans="1:19" x14ac:dyDescent="0.25">
      <c r="A239" s="5" t="s">
        <v>8</v>
      </c>
      <c r="B239" s="5" t="s">
        <v>188</v>
      </c>
      <c r="C239" s="5" t="s">
        <v>27</v>
      </c>
      <c r="D239" s="5" t="s">
        <v>385</v>
      </c>
      <c r="E239" s="5" t="s">
        <v>384</v>
      </c>
      <c r="F239" s="5" t="s">
        <v>30</v>
      </c>
      <c r="G239" s="5" t="s">
        <v>392</v>
      </c>
      <c r="H239" s="5" t="s">
        <v>40</v>
      </c>
      <c r="I239" s="5" t="s">
        <v>189</v>
      </c>
      <c r="J239" s="15">
        <v>2100</v>
      </c>
      <c r="K239" s="7">
        <v>22.2</v>
      </c>
      <c r="L239" s="7">
        <f t="shared" si="39"/>
        <v>94.594594594594597</v>
      </c>
      <c r="M239" s="5" t="s">
        <v>10</v>
      </c>
      <c r="N239" s="5">
        <v>4</v>
      </c>
      <c r="O239" s="6">
        <f t="shared" si="40"/>
        <v>11.744430241051864</v>
      </c>
      <c r="P239" s="6">
        <f t="shared" si="41"/>
        <v>1.2214207450693937</v>
      </c>
      <c r="Q239" s="10">
        <f t="shared" si="42"/>
        <v>2.5446265522279039E-2</v>
      </c>
      <c r="R239" s="10">
        <f t="shared" si="43"/>
        <v>0.1008721061659506</v>
      </c>
      <c r="S239" s="10">
        <f t="shared" si="44"/>
        <v>0.12631837168822965</v>
      </c>
    </row>
    <row r="240" spans="1:19" x14ac:dyDescent="0.25">
      <c r="A240" s="5" t="s">
        <v>8</v>
      </c>
      <c r="B240" s="5" t="s">
        <v>313</v>
      </c>
      <c r="C240" s="5" t="s">
        <v>27</v>
      </c>
      <c r="D240" s="5" t="s">
        <v>385</v>
      </c>
      <c r="E240" s="5" t="s">
        <v>384</v>
      </c>
      <c r="F240" s="5" t="s">
        <v>30</v>
      </c>
      <c r="G240" s="5" t="s">
        <v>392</v>
      </c>
      <c r="H240" s="5" t="s">
        <v>40</v>
      </c>
      <c r="I240" s="5" t="s">
        <v>314</v>
      </c>
      <c r="J240" s="15">
        <v>1910</v>
      </c>
      <c r="K240" s="7">
        <v>24</v>
      </c>
      <c r="L240" s="7">
        <f t="shared" si="39"/>
        <v>79.583333333333329</v>
      </c>
      <c r="M240" s="5" t="s">
        <v>10</v>
      </c>
      <c r="N240" s="5">
        <v>4</v>
      </c>
      <c r="O240" s="6">
        <f t="shared" si="40"/>
        <v>7.5606239149305541</v>
      </c>
      <c r="P240" s="6">
        <f t="shared" si="41"/>
        <v>0.78630488715277769</v>
      </c>
      <c r="Q240" s="10">
        <f t="shared" si="42"/>
        <v>1.6381351815682867E-2</v>
      </c>
      <c r="R240" s="10">
        <f t="shared" si="43"/>
        <v>7.2496218047525651E-2</v>
      </c>
      <c r="S240" s="10">
        <f t="shared" si="44"/>
        <v>8.8877569863208522E-2</v>
      </c>
    </row>
    <row r="241" spans="1:19" x14ac:dyDescent="0.25">
      <c r="A241" s="5" t="s">
        <v>8</v>
      </c>
      <c r="B241" s="5" t="s">
        <v>241</v>
      </c>
      <c r="C241" s="5" t="s">
        <v>27</v>
      </c>
      <c r="D241" s="5" t="s">
        <v>385</v>
      </c>
      <c r="E241" s="5" t="s">
        <v>384</v>
      </c>
      <c r="F241" s="5" t="s">
        <v>30</v>
      </c>
      <c r="G241" s="5" t="s">
        <v>392</v>
      </c>
      <c r="H241" s="5" t="s">
        <v>40</v>
      </c>
      <c r="I241" s="5" t="s">
        <v>251</v>
      </c>
      <c r="J241" s="15">
        <v>1940</v>
      </c>
      <c r="K241" s="7">
        <v>26.5</v>
      </c>
      <c r="L241" s="7">
        <f t="shared" si="39"/>
        <v>73.20754716981132</v>
      </c>
      <c r="M241" s="5" t="s">
        <v>10</v>
      </c>
      <c r="N241" s="5">
        <v>4</v>
      </c>
      <c r="O241" s="6">
        <f t="shared" si="40"/>
        <v>6.4982057671769313</v>
      </c>
      <c r="P241" s="6">
        <f t="shared" si="41"/>
        <v>0.67581339978640087</v>
      </c>
      <c r="Q241" s="10">
        <f t="shared" si="42"/>
        <v>1.4079445828883352E-2</v>
      </c>
      <c r="R241" s="10">
        <f t="shared" si="43"/>
        <v>6.4713102102881032E-2</v>
      </c>
      <c r="S241" s="10">
        <f t="shared" si="44"/>
        <v>7.8792547931764378E-2</v>
      </c>
    </row>
    <row r="242" spans="1:19" x14ac:dyDescent="0.25">
      <c r="A242" s="5" t="s">
        <v>8</v>
      </c>
      <c r="B242" s="5" t="s">
        <v>361</v>
      </c>
      <c r="C242" s="5" t="s">
        <v>27</v>
      </c>
      <c r="D242" s="5" t="s">
        <v>385</v>
      </c>
      <c r="E242" s="5" t="s">
        <v>384</v>
      </c>
      <c r="F242" s="5" t="s">
        <v>30</v>
      </c>
      <c r="G242" s="5" t="s">
        <v>392</v>
      </c>
      <c r="H242" s="5" t="s">
        <v>40</v>
      </c>
      <c r="I242" s="5" t="s">
        <v>362</v>
      </c>
      <c r="J242" s="15">
        <v>1970</v>
      </c>
      <c r="K242" s="7">
        <v>26.9</v>
      </c>
      <c r="L242" s="7">
        <f t="shared" si="39"/>
        <v>73.234200743494426</v>
      </c>
      <c r="M242" s="5" t="s">
        <v>10</v>
      </c>
      <c r="N242" s="5">
        <v>4</v>
      </c>
      <c r="O242" s="6">
        <f t="shared" si="40"/>
        <v>6.6034992952004536</v>
      </c>
      <c r="P242" s="6">
        <f t="shared" si="41"/>
        <v>0.68676392670084707</v>
      </c>
      <c r="Q242" s="10">
        <f t="shared" si="42"/>
        <v>1.430758180626765E-2</v>
      </c>
      <c r="R242" s="10">
        <f t="shared" si="43"/>
        <v>6.5497952840159274E-2</v>
      </c>
      <c r="S242" s="10">
        <f t="shared" si="44"/>
        <v>7.9805534646426923E-2</v>
      </c>
    </row>
    <row r="243" spans="1:19" x14ac:dyDescent="0.25">
      <c r="A243" s="5" t="s">
        <v>8</v>
      </c>
      <c r="B243" s="5" t="s">
        <v>241</v>
      </c>
      <c r="C243" s="5" t="s">
        <v>27</v>
      </c>
      <c r="D243" s="5" t="s">
        <v>385</v>
      </c>
      <c r="E243" s="5" t="s">
        <v>384</v>
      </c>
      <c r="F243" s="5" t="s">
        <v>30</v>
      </c>
      <c r="G243" s="5" t="s">
        <v>392</v>
      </c>
      <c r="H243" s="5" t="s">
        <v>40</v>
      </c>
      <c r="I243" s="5" t="s">
        <v>255</v>
      </c>
      <c r="J243" s="15">
        <v>2180</v>
      </c>
      <c r="K243" s="7">
        <v>20.2</v>
      </c>
      <c r="L243" s="7">
        <f t="shared" si="39"/>
        <v>107.92079207920793</v>
      </c>
      <c r="M243" s="5" t="s">
        <v>10</v>
      </c>
      <c r="N243" s="5">
        <v>4</v>
      </c>
      <c r="O243" s="6">
        <f t="shared" si="40"/>
        <v>15.868897657092445</v>
      </c>
      <c r="P243" s="6">
        <f t="shared" si="41"/>
        <v>1.6503653563376142</v>
      </c>
      <c r="Q243" s="10">
        <f t="shared" si="42"/>
        <v>3.4382611590366964E-2</v>
      </c>
      <c r="R243" s="10">
        <f t="shared" si="43"/>
        <v>0.12641749889048123</v>
      </c>
      <c r="S243" s="10">
        <f t="shared" si="44"/>
        <v>0.16080011048084819</v>
      </c>
    </row>
    <row r="244" spans="1:19" x14ac:dyDescent="0.25">
      <c r="A244" s="5" t="s">
        <v>8</v>
      </c>
      <c r="B244" s="5" t="s">
        <v>375</v>
      </c>
      <c r="C244" s="5" t="s">
        <v>27</v>
      </c>
      <c r="D244" s="5" t="s">
        <v>385</v>
      </c>
      <c r="E244" s="5" t="s">
        <v>384</v>
      </c>
      <c r="F244" s="5" t="s">
        <v>30</v>
      </c>
      <c r="G244" s="5" t="s">
        <v>392</v>
      </c>
      <c r="H244" s="5" t="s">
        <v>40</v>
      </c>
      <c r="I244" s="5" t="s">
        <v>377</v>
      </c>
      <c r="J244" s="15">
        <v>1900</v>
      </c>
      <c r="K244" s="7">
        <v>31.8</v>
      </c>
      <c r="L244" s="7">
        <f t="shared" si="39"/>
        <v>59.748427672955977</v>
      </c>
      <c r="M244" s="5" t="s">
        <v>10</v>
      </c>
      <c r="N244" s="5">
        <v>4</v>
      </c>
      <c r="O244" s="6">
        <f t="shared" si="40"/>
        <v>4.2392260986511614</v>
      </c>
      <c r="P244" s="6">
        <f t="shared" si="41"/>
        <v>0.44087951425972072</v>
      </c>
      <c r="Q244" s="10">
        <f t="shared" si="42"/>
        <v>9.1849898804108494E-3</v>
      </c>
      <c r="R244" s="10">
        <f t="shared" si="43"/>
        <v>4.6974488465593794E-2</v>
      </c>
      <c r="S244" s="10">
        <f t="shared" si="44"/>
        <v>5.615947834600464E-2</v>
      </c>
    </row>
    <row r="245" spans="1:19" x14ac:dyDescent="0.25">
      <c r="A245" s="5" t="s">
        <v>8</v>
      </c>
      <c r="B245" s="5" t="s">
        <v>241</v>
      </c>
      <c r="C245" s="5" t="s">
        <v>27</v>
      </c>
      <c r="D245" s="5" t="s">
        <v>385</v>
      </c>
      <c r="E245" s="5" t="s">
        <v>384</v>
      </c>
      <c r="F245" s="5" t="s">
        <v>30</v>
      </c>
      <c r="G245" s="5" t="s">
        <v>392</v>
      </c>
      <c r="H245" s="5" t="s">
        <v>40</v>
      </c>
      <c r="I245" s="5" t="s">
        <v>242</v>
      </c>
      <c r="J245" s="15">
        <v>1765</v>
      </c>
      <c r="K245" s="7">
        <v>23.2</v>
      </c>
      <c r="L245" s="7">
        <f t="shared" si="39"/>
        <v>76.077586206896555</v>
      </c>
      <c r="M245" s="5" t="s">
        <v>10</v>
      </c>
      <c r="N245" s="5">
        <v>4</v>
      </c>
      <c r="O245" s="6">
        <f t="shared" si="40"/>
        <v>6.3846659076341412</v>
      </c>
      <c r="P245" s="6">
        <f t="shared" si="41"/>
        <v>0.66400525439395075</v>
      </c>
      <c r="Q245" s="10">
        <f t="shared" si="42"/>
        <v>1.3833442799873972E-2</v>
      </c>
      <c r="R245" s="10">
        <f t="shared" si="43"/>
        <v>6.3863211893944297E-2</v>
      </c>
      <c r="S245" s="10">
        <f t="shared" si="44"/>
        <v>7.7696654693818271E-2</v>
      </c>
    </row>
    <row r="246" spans="1:19" x14ac:dyDescent="0.25">
      <c r="A246" s="5" t="s">
        <v>8</v>
      </c>
      <c r="B246" s="5" t="s">
        <v>241</v>
      </c>
      <c r="C246" s="5" t="s">
        <v>27</v>
      </c>
      <c r="D246" s="5" t="s">
        <v>385</v>
      </c>
      <c r="E246" s="5" t="s">
        <v>384</v>
      </c>
      <c r="F246" s="5" t="s">
        <v>30</v>
      </c>
      <c r="G246" s="5" t="s">
        <v>392</v>
      </c>
      <c r="H246" s="5" t="s">
        <v>40</v>
      </c>
      <c r="I246" s="5" t="s">
        <v>261</v>
      </c>
      <c r="J246" s="15">
        <v>2600</v>
      </c>
      <c r="K246" s="7">
        <v>27.5</v>
      </c>
      <c r="L246" s="7">
        <f t="shared" si="39"/>
        <v>94.545454545454547</v>
      </c>
      <c r="M246" s="5" t="s">
        <v>10</v>
      </c>
      <c r="N246" s="5">
        <v>4</v>
      </c>
      <c r="O246" s="6">
        <f t="shared" si="40"/>
        <v>14.525619834710744</v>
      </c>
      <c r="P246" s="6">
        <f t="shared" si="41"/>
        <v>1.5106644628099171</v>
      </c>
      <c r="Q246" s="10">
        <f t="shared" si="42"/>
        <v>3.1472176308539941E-2</v>
      </c>
      <c r="R246" s="10">
        <f t="shared" si="43"/>
        <v>0.11830364604409564</v>
      </c>
      <c r="S246" s="10">
        <f t="shared" si="44"/>
        <v>0.14977582235263559</v>
      </c>
    </row>
    <row r="247" spans="1:19" x14ac:dyDescent="0.25">
      <c r="A247" s="5" t="s">
        <v>8</v>
      </c>
      <c r="B247" s="5" t="s">
        <v>241</v>
      </c>
      <c r="C247" s="5" t="s">
        <v>27</v>
      </c>
      <c r="D247" s="5" t="s">
        <v>385</v>
      </c>
      <c r="E247" s="5" t="s">
        <v>384</v>
      </c>
      <c r="F247" s="5" t="s">
        <v>30</v>
      </c>
      <c r="G247" s="5" t="s">
        <v>392</v>
      </c>
      <c r="H247" s="5" t="s">
        <v>40</v>
      </c>
      <c r="I247" s="5" t="s">
        <v>243</v>
      </c>
      <c r="J247" s="15">
        <v>4700</v>
      </c>
      <c r="K247" s="7">
        <v>36.4</v>
      </c>
      <c r="L247" s="7">
        <f t="shared" si="39"/>
        <v>129.12087912087912</v>
      </c>
      <c r="M247" s="5" t="s">
        <v>10</v>
      </c>
      <c r="N247" s="5">
        <v>4</v>
      </c>
      <c r="O247" s="6">
        <f t="shared" si="40"/>
        <v>48.974591685786741</v>
      </c>
      <c r="P247" s="6">
        <f t="shared" si="41"/>
        <v>5.0933575353218208</v>
      </c>
      <c r="Q247" s="10">
        <f t="shared" si="42"/>
        <v>0.1061116153192046</v>
      </c>
      <c r="R247" s="10">
        <f t="shared" si="43"/>
        <v>0.29435759247386778</v>
      </c>
      <c r="S247" s="10">
        <f t="shared" si="44"/>
        <v>0.40046920779307238</v>
      </c>
    </row>
    <row r="248" spans="1:19" x14ac:dyDescent="0.25">
      <c r="A248" s="5" t="s">
        <v>8</v>
      </c>
      <c r="B248" s="5" t="s">
        <v>241</v>
      </c>
      <c r="C248" s="5" t="s">
        <v>27</v>
      </c>
      <c r="D248" s="5" t="s">
        <v>385</v>
      </c>
      <c r="E248" s="5" t="s">
        <v>384</v>
      </c>
      <c r="F248" s="5" t="s">
        <v>30</v>
      </c>
      <c r="G248" s="5" t="s">
        <v>392</v>
      </c>
      <c r="H248" s="5" t="s">
        <v>40</v>
      </c>
      <c r="I248" s="5" t="s">
        <v>244</v>
      </c>
      <c r="J248" s="15">
        <v>1500</v>
      </c>
      <c r="K248" s="7">
        <v>23</v>
      </c>
      <c r="L248" s="7">
        <f t="shared" si="39"/>
        <v>65.217391304347828</v>
      </c>
      <c r="M248" s="5" t="s">
        <v>10</v>
      </c>
      <c r="N248" s="5">
        <v>4</v>
      </c>
      <c r="O248" s="6">
        <f t="shared" si="40"/>
        <v>3.9874763705103979</v>
      </c>
      <c r="P248" s="6">
        <f t="shared" si="41"/>
        <v>0.41469754253308139</v>
      </c>
      <c r="Q248" s="10">
        <f t="shared" si="42"/>
        <v>8.6395321361058628E-3</v>
      </c>
      <c r="R248" s="10">
        <f t="shared" si="43"/>
        <v>4.4866347546259483E-2</v>
      </c>
      <c r="S248" s="10">
        <f t="shared" si="44"/>
        <v>5.3505879682365344E-2</v>
      </c>
    </row>
    <row r="249" spans="1:19" x14ac:dyDescent="0.25">
      <c r="A249" s="5" t="s">
        <v>22</v>
      </c>
      <c r="B249" s="5" t="s">
        <v>63</v>
      </c>
      <c r="C249" s="5" t="s">
        <v>27</v>
      </c>
      <c r="D249" s="5" t="s">
        <v>385</v>
      </c>
      <c r="E249" s="5" t="s">
        <v>384</v>
      </c>
      <c r="F249" s="5" t="s">
        <v>30</v>
      </c>
      <c r="G249" s="5" t="s">
        <v>392</v>
      </c>
      <c r="H249" s="5" t="s">
        <v>40</v>
      </c>
      <c r="I249" s="5" t="s">
        <v>65</v>
      </c>
      <c r="J249" s="15">
        <v>2200</v>
      </c>
      <c r="K249" s="7">
        <v>27</v>
      </c>
      <c r="L249" s="7">
        <f t="shared" si="39"/>
        <v>81.481481481481481</v>
      </c>
      <c r="M249" s="5" t="s">
        <v>10</v>
      </c>
      <c r="N249" s="5">
        <v>4</v>
      </c>
      <c r="O249" s="6">
        <f t="shared" si="40"/>
        <v>9.1289437585733886</v>
      </c>
      <c r="P249" s="6">
        <f t="shared" si="41"/>
        <v>0.94941015089163217</v>
      </c>
      <c r="Q249" s="10">
        <f t="shared" si="42"/>
        <v>1.9779378143575676E-2</v>
      </c>
      <c r="R249" s="10">
        <f t="shared" si="43"/>
        <v>8.3505008186665314E-2</v>
      </c>
      <c r="S249" s="10">
        <f t="shared" si="44"/>
        <v>0.10328438633024099</v>
      </c>
    </row>
    <row r="250" spans="1:19" x14ac:dyDescent="0.25">
      <c r="A250" s="5" t="s">
        <v>22</v>
      </c>
      <c r="B250" s="5" t="s">
        <v>26</v>
      </c>
      <c r="C250" s="5" t="s">
        <v>27</v>
      </c>
      <c r="D250" s="5" t="s">
        <v>385</v>
      </c>
      <c r="E250" s="5" t="s">
        <v>384</v>
      </c>
      <c r="F250" s="5" t="s">
        <v>30</v>
      </c>
      <c r="G250" s="5" t="s">
        <v>392</v>
      </c>
      <c r="H250" s="5" t="s">
        <v>40</v>
      </c>
      <c r="I250" s="5" t="s">
        <v>42</v>
      </c>
      <c r="J250" s="15">
        <v>2600</v>
      </c>
      <c r="K250" s="7">
        <v>29</v>
      </c>
      <c r="L250" s="7">
        <f t="shared" si="39"/>
        <v>89.65517241379311</v>
      </c>
      <c r="M250" s="5" t="s">
        <v>10</v>
      </c>
      <c r="N250" s="5">
        <v>4</v>
      </c>
      <c r="O250" s="6">
        <f t="shared" si="40"/>
        <v>13.061831153388825</v>
      </c>
      <c r="P250" s="6">
        <f t="shared" si="41"/>
        <v>1.3584304399524376</v>
      </c>
      <c r="Q250" s="10">
        <f t="shared" si="42"/>
        <v>2.8300634165675787E-2</v>
      </c>
      <c r="R250" s="10">
        <f t="shared" si="43"/>
        <v>0.10924464894421673</v>
      </c>
      <c r="S250" s="10">
        <f t="shared" si="44"/>
        <v>0.13754528310989253</v>
      </c>
    </row>
    <row r="251" spans="1:19" x14ac:dyDescent="0.25">
      <c r="A251" s="5" t="s">
        <v>8</v>
      </c>
      <c r="B251" s="5" t="s">
        <v>188</v>
      </c>
      <c r="C251" s="5" t="s">
        <v>27</v>
      </c>
      <c r="D251" s="5" t="s">
        <v>385</v>
      </c>
      <c r="E251" s="5" t="s">
        <v>384</v>
      </c>
      <c r="F251" s="5" t="s">
        <v>30</v>
      </c>
      <c r="G251" s="5" t="s">
        <v>392</v>
      </c>
      <c r="H251" s="5" t="s">
        <v>40</v>
      </c>
      <c r="I251" s="5" t="s">
        <v>42</v>
      </c>
      <c r="J251" s="15">
        <v>2100</v>
      </c>
      <c r="K251" s="7">
        <v>21.8</v>
      </c>
      <c r="L251" s="7">
        <f t="shared" si="39"/>
        <v>96.330275229357795</v>
      </c>
      <c r="M251" s="5" t="s">
        <v>10</v>
      </c>
      <c r="N251" s="5">
        <v>4</v>
      </c>
      <c r="O251" s="6">
        <f t="shared" si="40"/>
        <v>12.179372527565018</v>
      </c>
      <c r="P251" s="6">
        <f t="shared" si="41"/>
        <v>1.2666547428667618</v>
      </c>
      <c r="Q251" s="10">
        <f t="shared" si="42"/>
        <v>2.6388640476390873E-2</v>
      </c>
      <c r="R251" s="10">
        <f t="shared" si="43"/>
        <v>0.10366109929063344</v>
      </c>
      <c r="S251" s="10">
        <f t="shared" si="44"/>
        <v>0.1300497397670243</v>
      </c>
    </row>
    <row r="252" spans="1:19" x14ac:dyDescent="0.25">
      <c r="A252" s="5" t="s">
        <v>8</v>
      </c>
      <c r="B252" s="5" t="s">
        <v>188</v>
      </c>
      <c r="C252" s="5" t="s">
        <v>27</v>
      </c>
      <c r="D252" s="5" t="s">
        <v>385</v>
      </c>
      <c r="E252" s="5" t="s">
        <v>384</v>
      </c>
      <c r="F252" s="5" t="s">
        <v>30</v>
      </c>
      <c r="G252" s="5" t="s">
        <v>392</v>
      </c>
      <c r="H252" s="5" t="s">
        <v>40</v>
      </c>
      <c r="I252" s="5" t="s">
        <v>42</v>
      </c>
      <c r="J252" s="15">
        <v>2700</v>
      </c>
      <c r="K252" s="7">
        <v>24.6</v>
      </c>
      <c r="L252" s="7">
        <f t="shared" si="39"/>
        <v>109.7560975609756</v>
      </c>
      <c r="M252" s="5" t="s">
        <v>10</v>
      </c>
      <c r="N252" s="5">
        <v>4</v>
      </c>
      <c r="O252" s="6">
        <f t="shared" si="40"/>
        <v>20.328301606186795</v>
      </c>
      <c r="P252" s="6">
        <f t="shared" si="41"/>
        <v>2.1141433670434266</v>
      </c>
      <c r="Q252" s="10">
        <f t="shared" si="42"/>
        <v>4.4044653480071388E-2</v>
      </c>
      <c r="R252" s="10">
        <f t="shared" si="43"/>
        <v>0.15222043056323636</v>
      </c>
      <c r="S252" s="10">
        <f t="shared" si="44"/>
        <v>0.19626508404330775</v>
      </c>
    </row>
    <row r="253" spans="1:19" x14ac:dyDescent="0.25">
      <c r="A253" s="5" t="s">
        <v>8</v>
      </c>
      <c r="B253" s="5" t="s">
        <v>241</v>
      </c>
      <c r="C253" s="5" t="s">
        <v>27</v>
      </c>
      <c r="D253" s="5" t="s">
        <v>385</v>
      </c>
      <c r="E253" s="5" t="s">
        <v>384</v>
      </c>
      <c r="F253" s="5" t="s">
        <v>30</v>
      </c>
      <c r="G253" s="5" t="s">
        <v>392</v>
      </c>
      <c r="H253" s="5" t="s">
        <v>40</v>
      </c>
      <c r="I253" s="5" t="s">
        <v>42</v>
      </c>
      <c r="J253" s="15">
        <v>2200</v>
      </c>
      <c r="K253" s="7">
        <v>29</v>
      </c>
      <c r="L253" s="7">
        <f t="shared" si="39"/>
        <v>75.862068965517238</v>
      </c>
      <c r="M253" s="5" t="s">
        <v>10</v>
      </c>
      <c r="N253" s="5">
        <v>4</v>
      </c>
      <c r="O253" s="6">
        <f t="shared" si="40"/>
        <v>7.9131985731272296</v>
      </c>
      <c r="P253" s="6">
        <f t="shared" si="41"/>
        <v>0.82297265160523181</v>
      </c>
      <c r="Q253" s="10">
        <f t="shared" si="42"/>
        <v>1.7145263575108996E-2</v>
      </c>
      <c r="R253" s="10">
        <f t="shared" si="43"/>
        <v>7.501725564715013E-2</v>
      </c>
      <c r="S253" s="10">
        <f t="shared" si="44"/>
        <v>9.2162519222259126E-2</v>
      </c>
    </row>
    <row r="254" spans="1:19" x14ac:dyDescent="0.25">
      <c r="A254" s="5" t="s">
        <v>8</v>
      </c>
      <c r="B254" s="5" t="s">
        <v>339</v>
      </c>
      <c r="C254" s="5" t="s">
        <v>27</v>
      </c>
      <c r="D254" s="5" t="s">
        <v>385</v>
      </c>
      <c r="E254" s="5" t="s">
        <v>384</v>
      </c>
      <c r="F254" s="5" t="s">
        <v>30</v>
      </c>
      <c r="G254" s="5" t="s">
        <v>392</v>
      </c>
      <c r="H254" s="5" t="s">
        <v>40</v>
      </c>
      <c r="I254" s="5" t="s">
        <v>42</v>
      </c>
      <c r="J254" s="15">
        <v>1750</v>
      </c>
      <c r="K254" s="7">
        <v>18.899999999999999</v>
      </c>
      <c r="L254" s="7">
        <f t="shared" si="39"/>
        <v>92.592592592592595</v>
      </c>
      <c r="M254" s="5" t="s">
        <v>10</v>
      </c>
      <c r="N254" s="5">
        <v>4</v>
      </c>
      <c r="O254" s="6">
        <f t="shared" si="40"/>
        <v>9.3771433470507564</v>
      </c>
      <c r="P254" s="6">
        <f t="shared" si="41"/>
        <v>0.9752229080932785</v>
      </c>
      <c r="Q254" s="10">
        <f t="shared" si="42"/>
        <v>2.0317143918609972E-2</v>
      </c>
      <c r="R254" s="10">
        <f t="shared" si="43"/>
        <v>8.5202049293344517E-2</v>
      </c>
      <c r="S254" s="10">
        <f t="shared" si="44"/>
        <v>0.10551919321195449</v>
      </c>
    </row>
    <row r="255" spans="1:19" x14ac:dyDescent="0.25">
      <c r="A255" s="5" t="s">
        <v>8</v>
      </c>
      <c r="B255" s="5" t="s">
        <v>372</v>
      </c>
      <c r="C255" s="5" t="s">
        <v>27</v>
      </c>
      <c r="D255" s="5" t="s">
        <v>385</v>
      </c>
      <c r="E255" s="5" t="s">
        <v>384</v>
      </c>
      <c r="F255" s="5" t="s">
        <v>30</v>
      </c>
      <c r="G255" s="5" t="s">
        <v>392</v>
      </c>
      <c r="H255" s="5" t="s">
        <v>40</v>
      </c>
      <c r="I255" s="5" t="s">
        <v>42</v>
      </c>
      <c r="J255" s="15">
        <v>2260</v>
      </c>
      <c r="K255" s="7">
        <v>32.5</v>
      </c>
      <c r="L255" s="7">
        <f t="shared" si="39"/>
        <v>69.538461538461533</v>
      </c>
      <c r="M255" s="5" t="s">
        <v>10</v>
      </c>
      <c r="N255" s="5">
        <v>4</v>
      </c>
      <c r="O255" s="6">
        <f t="shared" si="40"/>
        <v>6.8302816568047318</v>
      </c>
      <c r="P255" s="6">
        <f t="shared" si="41"/>
        <v>0.71034929230769206</v>
      </c>
      <c r="Q255" s="10">
        <f t="shared" si="42"/>
        <v>1.4798943589743584E-2</v>
      </c>
      <c r="R255" s="10">
        <f t="shared" si="43"/>
        <v>6.7177847468393184E-2</v>
      </c>
      <c r="S255" s="10">
        <f t="shared" si="44"/>
        <v>8.1976791058136766E-2</v>
      </c>
    </row>
    <row r="256" spans="1:19" x14ac:dyDescent="0.25">
      <c r="A256" s="5" t="s">
        <v>8</v>
      </c>
      <c r="B256" s="5" t="s">
        <v>241</v>
      </c>
      <c r="C256" s="5" t="s">
        <v>27</v>
      </c>
      <c r="D256" s="5" t="s">
        <v>385</v>
      </c>
      <c r="E256" s="5" t="s">
        <v>384</v>
      </c>
      <c r="F256" s="5" t="s">
        <v>30</v>
      </c>
      <c r="G256" s="5" t="s">
        <v>392</v>
      </c>
      <c r="H256" s="5" t="s">
        <v>40</v>
      </c>
      <c r="I256" s="5" t="s">
        <v>248</v>
      </c>
      <c r="J256" s="15">
        <v>2250</v>
      </c>
      <c r="K256" s="7">
        <v>26.5</v>
      </c>
      <c r="L256" s="7">
        <f t="shared" si="39"/>
        <v>84.905660377358487</v>
      </c>
      <c r="M256" s="5" t="s">
        <v>10</v>
      </c>
      <c r="N256" s="5">
        <v>4</v>
      </c>
      <c r="O256" s="6">
        <f t="shared" si="40"/>
        <v>10.1376156995372</v>
      </c>
      <c r="P256" s="6">
        <f t="shared" si="41"/>
        <v>1.0543120327518689</v>
      </c>
      <c r="Q256" s="10">
        <f t="shared" si="42"/>
        <v>2.1964834015663931E-2</v>
      </c>
      <c r="R256" s="10">
        <f t="shared" si="43"/>
        <v>9.033353218570736E-2</v>
      </c>
      <c r="S256" s="10">
        <f t="shared" si="44"/>
        <v>0.11229836620137129</v>
      </c>
    </row>
    <row r="257" spans="1:19" x14ac:dyDescent="0.25">
      <c r="A257" s="5" t="s">
        <v>8</v>
      </c>
      <c r="B257" s="5" t="s">
        <v>241</v>
      </c>
      <c r="C257" s="5" t="s">
        <v>27</v>
      </c>
      <c r="D257" s="5" t="s">
        <v>385</v>
      </c>
      <c r="E257" s="5" t="s">
        <v>384</v>
      </c>
      <c r="F257" s="5" t="s">
        <v>30</v>
      </c>
      <c r="G257" s="5" t="s">
        <v>392</v>
      </c>
      <c r="H257" s="5" t="s">
        <v>40</v>
      </c>
      <c r="I257" s="5" t="s">
        <v>256</v>
      </c>
      <c r="J257" s="15">
        <v>2435</v>
      </c>
      <c r="K257" s="7">
        <v>30.5</v>
      </c>
      <c r="L257" s="7">
        <f t="shared" si="39"/>
        <v>79.836065573770497</v>
      </c>
      <c r="M257" s="5" t="s">
        <v>10</v>
      </c>
      <c r="N257" s="5">
        <v>4</v>
      </c>
      <c r="O257" s="6">
        <f t="shared" si="40"/>
        <v>9.7001228668368729</v>
      </c>
      <c r="P257" s="6">
        <f t="shared" si="41"/>
        <v>1.0088127781510348</v>
      </c>
      <c r="Q257" s="10">
        <f t="shared" si="42"/>
        <v>2.1016932878146558E-2</v>
      </c>
      <c r="R257" s="10">
        <f t="shared" si="43"/>
        <v>8.7393684760953466E-2</v>
      </c>
      <c r="S257" s="10">
        <f t="shared" si="44"/>
        <v>0.10841061763910002</v>
      </c>
    </row>
    <row r="258" spans="1:19" x14ac:dyDescent="0.25">
      <c r="A258" s="5" t="s">
        <v>8</v>
      </c>
      <c r="B258" s="5" t="s">
        <v>289</v>
      </c>
      <c r="C258" s="5" t="s">
        <v>27</v>
      </c>
      <c r="D258" s="5" t="s">
        <v>385</v>
      </c>
      <c r="E258" s="5" t="s">
        <v>384</v>
      </c>
      <c r="F258" s="5" t="s">
        <v>30</v>
      </c>
      <c r="G258" s="5" t="s">
        <v>392</v>
      </c>
      <c r="H258" s="5" t="s">
        <v>40</v>
      </c>
      <c r="I258" s="5" t="s">
        <v>256</v>
      </c>
      <c r="J258" s="15">
        <v>2718</v>
      </c>
      <c r="K258" s="7">
        <v>23.1</v>
      </c>
      <c r="L258" s="7">
        <f t="shared" si="39"/>
        <v>117.66233766233765</v>
      </c>
      <c r="M258" s="5" t="s">
        <v>10</v>
      </c>
      <c r="N258" s="5">
        <v>4</v>
      </c>
      <c r="O258" s="6">
        <f t="shared" si="40"/>
        <v>23.518218164951929</v>
      </c>
      <c r="P258" s="6">
        <f t="shared" si="41"/>
        <v>2.4458946891549997</v>
      </c>
      <c r="Q258" s="10">
        <f t="shared" si="42"/>
        <v>5.0956139357395847E-2</v>
      </c>
      <c r="R258" s="10">
        <f t="shared" si="43"/>
        <v>0.16980498484927839</v>
      </c>
      <c r="S258" s="10">
        <f t="shared" si="44"/>
        <v>0.22076112420667424</v>
      </c>
    </row>
    <row r="259" spans="1:19" x14ac:dyDescent="0.25">
      <c r="A259" s="5" t="s">
        <v>8</v>
      </c>
      <c r="B259" s="5" t="s">
        <v>290</v>
      </c>
      <c r="C259" s="5" t="s">
        <v>27</v>
      </c>
      <c r="D259" s="5" t="s">
        <v>385</v>
      </c>
      <c r="E259" s="5" t="s">
        <v>384</v>
      </c>
      <c r="F259" s="5" t="s">
        <v>30</v>
      </c>
      <c r="G259" s="5" t="s">
        <v>392</v>
      </c>
      <c r="H259" s="5" t="s">
        <v>40</v>
      </c>
      <c r="I259" s="5" t="s">
        <v>256</v>
      </c>
      <c r="J259" s="15">
        <v>2452</v>
      </c>
      <c r="K259" s="7">
        <v>30</v>
      </c>
      <c r="L259" s="7">
        <f t="shared" si="39"/>
        <v>81.733333333333334</v>
      </c>
      <c r="M259" s="5" t="s">
        <v>10</v>
      </c>
      <c r="N259" s="5">
        <v>4</v>
      </c>
      <c r="O259" s="6">
        <f t="shared" si="40"/>
        <v>10.237617644444445</v>
      </c>
      <c r="P259" s="6">
        <f t="shared" si="41"/>
        <v>1.0647122350222222</v>
      </c>
      <c r="Q259" s="10">
        <f t="shared" si="42"/>
        <v>2.2181504896296295E-2</v>
      </c>
      <c r="R259" s="10">
        <f t="shared" si="43"/>
        <v>9.1001029050637408E-2</v>
      </c>
      <c r="S259" s="10">
        <f t="shared" si="44"/>
        <v>0.1131825339469337</v>
      </c>
    </row>
    <row r="260" spans="1:19" x14ac:dyDescent="0.25">
      <c r="A260" s="5" t="s">
        <v>8</v>
      </c>
      <c r="B260" s="5" t="s">
        <v>375</v>
      </c>
      <c r="C260" s="5" t="s">
        <v>27</v>
      </c>
      <c r="D260" s="5" t="s">
        <v>385</v>
      </c>
      <c r="E260" s="5" t="s">
        <v>384</v>
      </c>
      <c r="F260" s="5" t="s">
        <v>30</v>
      </c>
      <c r="G260" s="5" t="s">
        <v>392</v>
      </c>
      <c r="H260" s="5" t="s">
        <v>40</v>
      </c>
      <c r="I260" s="5" t="s">
        <v>376</v>
      </c>
      <c r="J260" s="15">
        <v>2200</v>
      </c>
      <c r="K260" s="7">
        <v>31.5</v>
      </c>
      <c r="L260" s="7">
        <f t="shared" si="39"/>
        <v>69.841269841269835</v>
      </c>
      <c r="M260" s="5" t="s">
        <v>10</v>
      </c>
      <c r="N260" s="5">
        <v>4</v>
      </c>
      <c r="O260" s="6">
        <f t="shared" si="40"/>
        <v>6.706979087931467</v>
      </c>
      <c r="P260" s="6">
        <f t="shared" si="41"/>
        <v>0.69752582514487249</v>
      </c>
      <c r="Q260" s="10">
        <f t="shared" si="42"/>
        <v>1.453178802385151E-2</v>
      </c>
      <c r="R260" s="10">
        <f t="shared" si="43"/>
        <v>6.626624143790244E-2</v>
      </c>
      <c r="S260" s="10">
        <f t="shared" si="44"/>
        <v>8.0798029461753948E-2</v>
      </c>
    </row>
    <row r="261" spans="1:19" x14ac:dyDescent="0.25">
      <c r="A261" s="5" t="s">
        <v>8</v>
      </c>
      <c r="B261" s="5" t="s">
        <v>241</v>
      </c>
      <c r="C261" s="5" t="s">
        <v>27</v>
      </c>
      <c r="D261" s="5" t="s">
        <v>385</v>
      </c>
      <c r="E261" s="5" t="s">
        <v>384</v>
      </c>
      <c r="F261" s="5" t="s">
        <v>30</v>
      </c>
      <c r="G261" s="5" t="s">
        <v>392</v>
      </c>
      <c r="H261" s="5" t="s">
        <v>40</v>
      </c>
      <c r="I261" s="5" t="s">
        <v>259</v>
      </c>
      <c r="J261" s="15">
        <v>2120</v>
      </c>
      <c r="K261" s="7">
        <v>28</v>
      </c>
      <c r="L261" s="7">
        <f t="shared" si="39"/>
        <v>75.714285714285708</v>
      </c>
      <c r="M261" s="5" t="s">
        <v>10</v>
      </c>
      <c r="N261" s="5">
        <v>4</v>
      </c>
      <c r="O261" s="6">
        <f t="shared" si="40"/>
        <v>7.5957653061224475</v>
      </c>
      <c r="P261" s="6">
        <f t="shared" si="41"/>
        <v>0.78995959183673448</v>
      </c>
      <c r="Q261" s="10">
        <f t="shared" si="42"/>
        <v>1.6457491496598635E-2</v>
      </c>
      <c r="R261" s="10">
        <f t="shared" si="43"/>
        <v>7.2748790523327542E-2</v>
      </c>
      <c r="S261" s="10">
        <f t="shared" si="44"/>
        <v>8.920628201992617E-2</v>
      </c>
    </row>
    <row r="262" spans="1:19" x14ac:dyDescent="0.25">
      <c r="A262" s="5" t="s">
        <v>8</v>
      </c>
      <c r="B262" s="5" t="s">
        <v>241</v>
      </c>
      <c r="C262" s="5" t="s">
        <v>27</v>
      </c>
      <c r="D262" s="5" t="s">
        <v>385</v>
      </c>
      <c r="E262" s="5" t="s">
        <v>384</v>
      </c>
      <c r="F262" s="5" t="s">
        <v>30</v>
      </c>
      <c r="G262" s="5" t="s">
        <v>392</v>
      </c>
      <c r="H262" s="5" t="s">
        <v>40</v>
      </c>
      <c r="I262" s="5" t="s">
        <v>50</v>
      </c>
      <c r="J262" s="15">
        <v>1960</v>
      </c>
      <c r="K262" s="7">
        <v>26.5</v>
      </c>
      <c r="L262" s="7">
        <f t="shared" si="39"/>
        <v>73.962264150943398</v>
      </c>
      <c r="M262" s="5" t="s">
        <v>10</v>
      </c>
      <c r="N262" s="5">
        <v>4</v>
      </c>
      <c r="O262" s="6">
        <f t="shared" si="40"/>
        <v>6.7012602349590606</v>
      </c>
      <c r="P262" s="6">
        <f t="shared" si="41"/>
        <v>0.69693106443574226</v>
      </c>
      <c r="Q262" s="10">
        <f t="shared" si="42"/>
        <v>1.4519397175744631E-2</v>
      </c>
      <c r="R262" s="10">
        <f t="shared" si="43"/>
        <v>6.62238593952931E-2</v>
      </c>
      <c r="S262" s="10">
        <f t="shared" si="44"/>
        <v>8.074325657103773E-2</v>
      </c>
    </row>
    <row r="263" spans="1:19" x14ac:dyDescent="0.25">
      <c r="A263" s="5" t="s">
        <v>8</v>
      </c>
      <c r="B263" s="5" t="s">
        <v>241</v>
      </c>
      <c r="C263" s="5" t="s">
        <v>27</v>
      </c>
      <c r="D263" s="5" t="s">
        <v>385</v>
      </c>
      <c r="E263" s="5" t="s">
        <v>384</v>
      </c>
      <c r="F263" s="5" t="s">
        <v>30</v>
      </c>
      <c r="G263" s="5" t="s">
        <v>392</v>
      </c>
      <c r="H263" s="5" t="s">
        <v>40</v>
      </c>
      <c r="I263" s="5" t="s">
        <v>246</v>
      </c>
      <c r="J263" s="15">
        <v>1545</v>
      </c>
      <c r="K263" s="7">
        <v>20.5</v>
      </c>
      <c r="L263" s="7">
        <f t="shared" si="39"/>
        <v>75.365853658536579</v>
      </c>
      <c r="M263" s="5" t="s">
        <v>10</v>
      </c>
      <c r="N263" s="5">
        <v>4</v>
      </c>
      <c r="O263" s="6">
        <f t="shared" si="40"/>
        <v>5.4847614886972025</v>
      </c>
      <c r="P263" s="6">
        <f t="shared" si="41"/>
        <v>0.5704151948245092</v>
      </c>
      <c r="Q263" s="10">
        <f t="shared" si="42"/>
        <v>1.1883649892177273E-2</v>
      </c>
      <c r="R263" s="10">
        <f t="shared" si="43"/>
        <v>5.6985640531587591E-2</v>
      </c>
      <c r="S263" s="10">
        <f t="shared" si="44"/>
        <v>6.8869290423764856E-2</v>
      </c>
    </row>
    <row r="264" spans="1:19" x14ac:dyDescent="0.25">
      <c r="A264" s="5" t="s">
        <v>8</v>
      </c>
      <c r="B264" s="5" t="s">
        <v>241</v>
      </c>
      <c r="C264" s="5" t="s">
        <v>27</v>
      </c>
      <c r="D264" s="5" t="s">
        <v>385</v>
      </c>
      <c r="E264" s="5" t="s">
        <v>384</v>
      </c>
      <c r="F264" s="5" t="s">
        <v>30</v>
      </c>
      <c r="G264" s="5" t="s">
        <v>392</v>
      </c>
      <c r="H264" s="5" t="s">
        <v>40</v>
      </c>
      <c r="I264" s="5" t="s">
        <v>262</v>
      </c>
      <c r="J264" s="15">
        <v>2320</v>
      </c>
      <c r="K264" s="7">
        <v>28.5</v>
      </c>
      <c r="L264" s="7">
        <f t="shared" ref="L264:L327" si="45">J264/K264</f>
        <v>81.403508771929822</v>
      </c>
      <c r="M264" s="5" t="s">
        <v>10</v>
      </c>
      <c r="N264" s="5">
        <v>4</v>
      </c>
      <c r="O264" s="6">
        <f t="shared" ref="O264:O327" si="46">(J264*L264^2)/(1.6*10^6)</f>
        <v>9.6084702985533994</v>
      </c>
      <c r="P264" s="6">
        <f t="shared" ref="P264:P327" si="47">(0.104*J264*L264^2)/(1.6*10^6)</f>
        <v>0.99928091104955352</v>
      </c>
      <c r="Q264" s="10">
        <f t="shared" ref="Q264:Q327" si="48">(0.104*O264)/(12*N264)</f>
        <v>2.0818352313532365E-2</v>
      </c>
      <c r="R264" s="10">
        <f t="shared" ref="R264:R327" si="49">0.0159*O264^0.75</f>
        <v>8.6773639521385768E-2</v>
      </c>
      <c r="S264" s="10">
        <f t="shared" ref="S264:S327" si="50">Q264+R264</f>
        <v>0.10759199183491813</v>
      </c>
    </row>
    <row r="265" spans="1:19" x14ac:dyDescent="0.25">
      <c r="A265" s="5" t="s">
        <v>22</v>
      </c>
      <c r="B265" s="5" t="s">
        <v>26</v>
      </c>
      <c r="C265" s="5" t="s">
        <v>27</v>
      </c>
      <c r="D265" s="5" t="s">
        <v>385</v>
      </c>
      <c r="E265" s="5" t="s">
        <v>384</v>
      </c>
      <c r="F265" s="5" t="s">
        <v>30</v>
      </c>
      <c r="G265" s="5" t="s">
        <v>392</v>
      </c>
      <c r="H265" s="5" t="s">
        <v>40</v>
      </c>
      <c r="I265" s="5" t="s">
        <v>43</v>
      </c>
      <c r="J265" s="15">
        <v>2000</v>
      </c>
      <c r="K265" s="7">
        <v>31.5</v>
      </c>
      <c r="L265" s="7">
        <f t="shared" si="45"/>
        <v>63.492063492063494</v>
      </c>
      <c r="M265" s="5" t="s">
        <v>10</v>
      </c>
      <c r="N265" s="5">
        <v>4</v>
      </c>
      <c r="O265" s="6">
        <f t="shared" si="46"/>
        <v>5.0390526581002772</v>
      </c>
      <c r="P265" s="6">
        <f t="shared" si="47"/>
        <v>0.52406147644242884</v>
      </c>
      <c r="Q265" s="10">
        <f t="shared" si="48"/>
        <v>1.0917947425883935E-2</v>
      </c>
      <c r="R265" s="10">
        <f t="shared" si="49"/>
        <v>5.34759855037336E-2</v>
      </c>
      <c r="S265" s="10">
        <f t="shared" si="50"/>
        <v>6.4393932929617537E-2</v>
      </c>
    </row>
    <row r="266" spans="1:19" x14ac:dyDescent="0.25">
      <c r="A266" s="5" t="s">
        <v>8</v>
      </c>
      <c r="B266" s="5" t="s">
        <v>241</v>
      </c>
      <c r="C266" s="5" t="s">
        <v>27</v>
      </c>
      <c r="D266" s="5" t="s">
        <v>385</v>
      </c>
      <c r="E266" s="5" t="s">
        <v>384</v>
      </c>
      <c r="F266" s="5" t="s">
        <v>30</v>
      </c>
      <c r="G266" s="5" t="s">
        <v>392</v>
      </c>
      <c r="H266" s="5" t="s">
        <v>40</v>
      </c>
      <c r="I266" s="5" t="s">
        <v>43</v>
      </c>
      <c r="J266" s="15">
        <v>1850</v>
      </c>
      <c r="K266" s="7">
        <v>32</v>
      </c>
      <c r="L266" s="7">
        <f t="shared" si="45"/>
        <v>57.8125</v>
      </c>
      <c r="M266" s="5" t="s">
        <v>10</v>
      </c>
      <c r="N266" s="5">
        <v>4</v>
      </c>
      <c r="O266" s="6">
        <f t="shared" si="46"/>
        <v>3.8645172119140625</v>
      </c>
      <c r="P266" s="6">
        <f t="shared" si="47"/>
        <v>0.40190979003906241</v>
      </c>
      <c r="Q266" s="10">
        <f t="shared" si="48"/>
        <v>8.3731206258138013E-3</v>
      </c>
      <c r="R266" s="10">
        <f t="shared" si="49"/>
        <v>4.3824660334541701E-2</v>
      </c>
      <c r="S266" s="10">
        <f t="shared" si="50"/>
        <v>5.2197780960355503E-2</v>
      </c>
    </row>
    <row r="267" spans="1:19" x14ac:dyDescent="0.25">
      <c r="A267" s="5" t="s">
        <v>8</v>
      </c>
      <c r="B267" s="5" t="s">
        <v>241</v>
      </c>
      <c r="C267" s="5" t="s">
        <v>27</v>
      </c>
      <c r="D267" s="5" t="s">
        <v>385</v>
      </c>
      <c r="E267" s="5" t="s">
        <v>384</v>
      </c>
      <c r="F267" s="5" t="s">
        <v>30</v>
      </c>
      <c r="G267" s="5" t="s">
        <v>392</v>
      </c>
      <c r="H267" s="5" t="s">
        <v>40</v>
      </c>
      <c r="I267" s="5" t="s">
        <v>263</v>
      </c>
      <c r="J267" s="15">
        <v>2260</v>
      </c>
      <c r="K267" s="7">
        <v>33.200000000000003</v>
      </c>
      <c r="L267" s="7">
        <f t="shared" si="45"/>
        <v>68.072289156626496</v>
      </c>
      <c r="M267" s="5" t="s">
        <v>10</v>
      </c>
      <c r="N267" s="5">
        <v>4</v>
      </c>
      <c r="O267" s="6">
        <f t="shared" si="46"/>
        <v>6.5452941283205082</v>
      </c>
      <c r="P267" s="6">
        <f t="shared" si="47"/>
        <v>0.68071058934533279</v>
      </c>
      <c r="Q267" s="10">
        <f t="shared" si="48"/>
        <v>1.41814706113611E-2</v>
      </c>
      <c r="R267" s="10">
        <f t="shared" si="49"/>
        <v>6.506448548789423E-2</v>
      </c>
      <c r="S267" s="10">
        <f t="shared" si="50"/>
        <v>7.9245956099255332E-2</v>
      </c>
    </row>
    <row r="268" spans="1:19" x14ac:dyDescent="0.25">
      <c r="A268" s="5" t="s">
        <v>22</v>
      </c>
      <c r="B268" s="5" t="s">
        <v>26</v>
      </c>
      <c r="C268" s="5" t="s">
        <v>27</v>
      </c>
      <c r="D268" s="5" t="s">
        <v>385</v>
      </c>
      <c r="E268" s="5" t="s">
        <v>384</v>
      </c>
      <c r="F268" s="5" t="s">
        <v>30</v>
      </c>
      <c r="G268" s="5" t="s">
        <v>392</v>
      </c>
      <c r="H268" s="5" t="s">
        <v>40</v>
      </c>
      <c r="I268" s="5" t="s">
        <v>44</v>
      </c>
      <c r="J268" s="15">
        <v>3400</v>
      </c>
      <c r="K268" s="7">
        <v>35</v>
      </c>
      <c r="L268" s="7">
        <f t="shared" si="45"/>
        <v>97.142857142857139</v>
      </c>
      <c r="M268" s="5" t="s">
        <v>10</v>
      </c>
      <c r="N268" s="5">
        <v>4</v>
      </c>
      <c r="O268" s="6">
        <f t="shared" si="46"/>
        <v>20.053061224489795</v>
      </c>
      <c r="P268" s="6">
        <f t="shared" si="47"/>
        <v>2.0855183673469386</v>
      </c>
      <c r="Q268" s="10">
        <f t="shared" si="48"/>
        <v>4.3448299319727886E-2</v>
      </c>
      <c r="R268" s="10">
        <f t="shared" si="49"/>
        <v>0.15067202812691205</v>
      </c>
      <c r="S268" s="10">
        <f t="shared" si="50"/>
        <v>0.19412032744663993</v>
      </c>
    </row>
    <row r="269" spans="1:19" x14ac:dyDescent="0.25">
      <c r="A269" s="5" t="s">
        <v>8</v>
      </c>
      <c r="B269" s="5" t="s">
        <v>241</v>
      </c>
      <c r="C269" s="5" t="s">
        <v>27</v>
      </c>
      <c r="D269" s="5" t="s">
        <v>385</v>
      </c>
      <c r="E269" s="5" t="s">
        <v>384</v>
      </c>
      <c r="F269" s="5" t="s">
        <v>30</v>
      </c>
      <c r="G269" s="5" t="s">
        <v>392</v>
      </c>
      <c r="H269" s="5" t="s">
        <v>40</v>
      </c>
      <c r="I269" s="5" t="s">
        <v>44</v>
      </c>
      <c r="J269" s="15">
        <v>3250</v>
      </c>
      <c r="K269" s="7">
        <v>36.5</v>
      </c>
      <c r="L269" s="7">
        <f t="shared" si="45"/>
        <v>89.041095890410958</v>
      </c>
      <c r="M269" s="5" t="s">
        <v>10</v>
      </c>
      <c r="N269" s="5">
        <v>4</v>
      </c>
      <c r="O269" s="6">
        <f t="shared" si="46"/>
        <v>16.104393413398384</v>
      </c>
      <c r="P269" s="6">
        <f t="shared" si="47"/>
        <v>1.674856914993432</v>
      </c>
      <c r="Q269" s="10">
        <f t="shared" si="48"/>
        <v>3.4892852395696498E-2</v>
      </c>
      <c r="R269" s="10">
        <f t="shared" si="49"/>
        <v>0.12782193945216461</v>
      </c>
      <c r="S269" s="10">
        <f t="shared" si="50"/>
        <v>0.16271479184786111</v>
      </c>
    </row>
    <row r="270" spans="1:19" x14ac:dyDescent="0.25">
      <c r="A270" s="5" t="s">
        <v>8</v>
      </c>
      <c r="B270" s="5" t="s">
        <v>364</v>
      </c>
      <c r="C270" s="5" t="s">
        <v>27</v>
      </c>
      <c r="D270" s="5" t="s">
        <v>385</v>
      </c>
      <c r="E270" s="5" t="s">
        <v>384</v>
      </c>
      <c r="F270" s="5" t="s">
        <v>30</v>
      </c>
      <c r="G270" s="5" t="s">
        <v>392</v>
      </c>
      <c r="H270" s="5" t="s">
        <v>40</v>
      </c>
      <c r="I270" s="5" t="s">
        <v>365</v>
      </c>
      <c r="J270" s="15">
        <v>1764</v>
      </c>
      <c r="K270" s="7">
        <v>23.3</v>
      </c>
      <c r="L270" s="7">
        <f t="shared" si="45"/>
        <v>75.708154506437765</v>
      </c>
      <c r="M270" s="5" t="s">
        <v>10</v>
      </c>
      <c r="N270" s="5">
        <v>4</v>
      </c>
      <c r="O270" s="6">
        <f t="shared" si="46"/>
        <v>6.3192264362946453</v>
      </c>
      <c r="P270" s="6">
        <f t="shared" si="47"/>
        <v>0.65719954937464309</v>
      </c>
      <c r="Q270" s="10">
        <f t="shared" si="48"/>
        <v>1.3691657278638398E-2</v>
      </c>
      <c r="R270" s="10">
        <f t="shared" si="49"/>
        <v>6.3371656950773778E-2</v>
      </c>
      <c r="S270" s="10">
        <f t="shared" si="50"/>
        <v>7.7063314229412178E-2</v>
      </c>
    </row>
    <row r="271" spans="1:19" x14ac:dyDescent="0.25">
      <c r="A271" s="5" t="s">
        <v>8</v>
      </c>
      <c r="B271" s="5" t="s">
        <v>241</v>
      </c>
      <c r="C271" s="5" t="s">
        <v>27</v>
      </c>
      <c r="D271" s="5" t="s">
        <v>385</v>
      </c>
      <c r="E271" s="5" t="s">
        <v>384</v>
      </c>
      <c r="F271" s="5" t="s">
        <v>30</v>
      </c>
      <c r="G271" s="5" t="s">
        <v>392</v>
      </c>
      <c r="H271" s="5" t="s">
        <v>40</v>
      </c>
      <c r="I271" s="5" t="s">
        <v>247</v>
      </c>
      <c r="J271" s="15">
        <v>2450</v>
      </c>
      <c r="K271" s="7">
        <v>30</v>
      </c>
      <c r="L271" s="7">
        <f t="shared" si="45"/>
        <v>81.666666666666671</v>
      </c>
      <c r="M271" s="5" t="s">
        <v>10</v>
      </c>
      <c r="N271" s="5">
        <v>4</v>
      </c>
      <c r="O271" s="6">
        <f t="shared" si="46"/>
        <v>10.212586805555558</v>
      </c>
      <c r="P271" s="6">
        <f t="shared" si="47"/>
        <v>1.0621090277777778</v>
      </c>
      <c r="Q271" s="10">
        <f t="shared" si="48"/>
        <v>2.2127271412037044E-2</v>
      </c>
      <c r="R271" s="10">
        <f t="shared" si="49"/>
        <v>9.0834105769885987E-2</v>
      </c>
      <c r="S271" s="10">
        <f t="shared" si="50"/>
        <v>0.11296137718192303</v>
      </c>
    </row>
    <row r="272" spans="1:19" x14ac:dyDescent="0.25">
      <c r="A272" s="5" t="s">
        <v>8</v>
      </c>
      <c r="B272" s="5" t="s">
        <v>241</v>
      </c>
      <c r="C272" s="5" t="s">
        <v>27</v>
      </c>
      <c r="D272" s="5" t="s">
        <v>385</v>
      </c>
      <c r="E272" s="5" t="s">
        <v>384</v>
      </c>
      <c r="F272" s="5" t="s">
        <v>30</v>
      </c>
      <c r="G272" s="5" t="s">
        <v>392</v>
      </c>
      <c r="H272" s="5" t="s">
        <v>40</v>
      </c>
      <c r="I272" s="5" t="s">
        <v>253</v>
      </c>
      <c r="J272" s="15">
        <v>1750</v>
      </c>
      <c r="K272" s="7">
        <v>28.5</v>
      </c>
      <c r="L272" s="7">
        <f t="shared" si="45"/>
        <v>61.403508771929822</v>
      </c>
      <c r="M272" s="5" t="s">
        <v>10</v>
      </c>
      <c r="N272" s="5">
        <v>4</v>
      </c>
      <c r="O272" s="6">
        <f t="shared" si="46"/>
        <v>4.1238650353955055</v>
      </c>
      <c r="P272" s="6">
        <f t="shared" si="47"/>
        <v>0.42888196368113263</v>
      </c>
      <c r="Q272" s="10">
        <f t="shared" si="48"/>
        <v>8.9350409100235947E-3</v>
      </c>
      <c r="R272" s="10">
        <f t="shared" si="49"/>
        <v>4.6012460418506596E-2</v>
      </c>
      <c r="S272" s="10">
        <f t="shared" si="50"/>
        <v>5.4947501328530192E-2</v>
      </c>
    </row>
    <row r="273" spans="1:19" x14ac:dyDescent="0.25">
      <c r="A273" s="5" t="s">
        <v>8</v>
      </c>
      <c r="B273" s="5" t="s">
        <v>241</v>
      </c>
      <c r="C273" s="5" t="s">
        <v>27</v>
      </c>
      <c r="D273" s="5" t="s">
        <v>385</v>
      </c>
      <c r="E273" s="5" t="s">
        <v>384</v>
      </c>
      <c r="F273" s="5" t="s">
        <v>30</v>
      </c>
      <c r="G273" s="5" t="s">
        <v>392</v>
      </c>
      <c r="H273" s="5" t="s">
        <v>40</v>
      </c>
      <c r="I273" s="5" t="s">
        <v>245</v>
      </c>
      <c r="J273" s="15">
        <v>1340</v>
      </c>
      <c r="K273" s="7">
        <v>23</v>
      </c>
      <c r="L273" s="7">
        <f t="shared" si="45"/>
        <v>58.260869565217391</v>
      </c>
      <c r="M273" s="5" t="s">
        <v>10</v>
      </c>
      <c r="N273" s="5">
        <v>4</v>
      </c>
      <c r="O273" s="6">
        <f t="shared" si="46"/>
        <v>2.8427504725897923</v>
      </c>
      <c r="P273" s="6">
        <f t="shared" si="47"/>
        <v>0.29564604914933834</v>
      </c>
      <c r="Q273" s="10">
        <f t="shared" si="48"/>
        <v>6.1592926906112169E-3</v>
      </c>
      <c r="R273" s="10">
        <f t="shared" si="49"/>
        <v>3.4809772072794537E-2</v>
      </c>
      <c r="S273" s="10">
        <f t="shared" si="50"/>
        <v>4.0969064763405755E-2</v>
      </c>
    </row>
    <row r="274" spans="1:19" x14ac:dyDescent="0.25">
      <c r="A274" s="5" t="s">
        <v>8</v>
      </c>
      <c r="B274" s="5" t="s">
        <v>241</v>
      </c>
      <c r="C274" s="5" t="s">
        <v>27</v>
      </c>
      <c r="D274" s="5" t="s">
        <v>385</v>
      </c>
      <c r="E274" s="5" t="s">
        <v>384</v>
      </c>
      <c r="F274" s="5" t="s">
        <v>30</v>
      </c>
      <c r="G274" s="5" t="s">
        <v>392</v>
      </c>
      <c r="H274" s="5" t="s">
        <v>40</v>
      </c>
      <c r="I274" s="5" t="s">
        <v>254</v>
      </c>
      <c r="J274" s="15">
        <v>2500</v>
      </c>
      <c r="K274" s="7">
        <v>26.5</v>
      </c>
      <c r="L274" s="7">
        <f t="shared" si="45"/>
        <v>94.339622641509436</v>
      </c>
      <c r="M274" s="5" t="s">
        <v>10</v>
      </c>
      <c r="N274" s="5">
        <v>4</v>
      </c>
      <c r="O274" s="6">
        <f t="shared" si="46"/>
        <v>13.906194375222499</v>
      </c>
      <c r="P274" s="6">
        <f t="shared" si="47"/>
        <v>1.44624421502314</v>
      </c>
      <c r="Q274" s="10">
        <f t="shared" si="48"/>
        <v>3.0130087812982081E-2</v>
      </c>
      <c r="R274" s="10">
        <f t="shared" si="49"/>
        <v>0.11449943560372897</v>
      </c>
      <c r="S274" s="10">
        <f t="shared" si="50"/>
        <v>0.14462952341671104</v>
      </c>
    </row>
    <row r="275" spans="1:19" x14ac:dyDescent="0.25">
      <c r="A275" s="5" t="s">
        <v>22</v>
      </c>
      <c r="B275" s="5" t="s">
        <v>63</v>
      </c>
      <c r="C275" s="5" t="s">
        <v>27</v>
      </c>
      <c r="D275" s="5" t="s">
        <v>385</v>
      </c>
      <c r="E275" s="5" t="s">
        <v>384</v>
      </c>
      <c r="F275" s="5" t="s">
        <v>45</v>
      </c>
      <c r="G275" s="5" t="s">
        <v>390</v>
      </c>
      <c r="H275" s="5" t="s">
        <v>68</v>
      </c>
      <c r="I275" s="5" t="s">
        <v>69</v>
      </c>
      <c r="J275" s="15">
        <v>945</v>
      </c>
      <c r="K275" s="7">
        <v>21.5</v>
      </c>
      <c r="L275" s="7">
        <f t="shared" si="45"/>
        <v>43.953488372093027</v>
      </c>
      <c r="M275" s="5" t="s">
        <v>10</v>
      </c>
      <c r="N275" s="5">
        <v>4</v>
      </c>
      <c r="O275" s="6">
        <f t="shared" si="46"/>
        <v>1.1410338358572203</v>
      </c>
      <c r="P275" s="6">
        <f t="shared" si="47"/>
        <v>0.11866751892915092</v>
      </c>
      <c r="Q275" s="10">
        <f t="shared" si="48"/>
        <v>2.4722399776906439E-3</v>
      </c>
      <c r="R275" s="10">
        <f t="shared" si="49"/>
        <v>1.7553794774037217E-2</v>
      </c>
      <c r="S275" s="10">
        <f t="shared" si="50"/>
        <v>2.0026034751727862E-2</v>
      </c>
    </row>
    <row r="276" spans="1:19" x14ac:dyDescent="0.25">
      <c r="A276" s="5" t="s">
        <v>22</v>
      </c>
      <c r="B276" s="5" t="s">
        <v>63</v>
      </c>
      <c r="C276" s="5" t="s">
        <v>27</v>
      </c>
      <c r="D276" s="5" t="s">
        <v>385</v>
      </c>
      <c r="E276" s="5" t="s">
        <v>384</v>
      </c>
      <c r="F276" s="5" t="s">
        <v>45</v>
      </c>
      <c r="G276" s="5" t="s">
        <v>390</v>
      </c>
      <c r="H276" s="5" t="s">
        <v>79</v>
      </c>
      <c r="I276" s="5" t="s">
        <v>80</v>
      </c>
      <c r="J276" s="15">
        <v>1270</v>
      </c>
      <c r="K276" s="7">
        <v>44</v>
      </c>
      <c r="L276" s="7">
        <f t="shared" si="45"/>
        <v>28.863636363636363</v>
      </c>
      <c r="M276" s="5" t="s">
        <v>10</v>
      </c>
      <c r="N276" s="5">
        <v>4</v>
      </c>
      <c r="O276" s="6">
        <f t="shared" si="46"/>
        <v>0.66128066890495862</v>
      </c>
      <c r="P276" s="6">
        <f t="shared" si="47"/>
        <v>6.8773189566115694E-2</v>
      </c>
      <c r="Q276" s="10">
        <f t="shared" si="48"/>
        <v>1.4327747826274103E-3</v>
      </c>
      <c r="R276" s="10">
        <f t="shared" si="49"/>
        <v>1.165967633207318E-2</v>
      </c>
      <c r="S276" s="10">
        <f t="shared" si="50"/>
        <v>1.3092451114700591E-2</v>
      </c>
    </row>
    <row r="277" spans="1:19" x14ac:dyDescent="0.25">
      <c r="A277" s="5" t="s">
        <v>22</v>
      </c>
      <c r="B277" s="5" t="s">
        <v>63</v>
      </c>
      <c r="C277" s="5" t="s">
        <v>27</v>
      </c>
      <c r="D277" s="5" t="s">
        <v>385</v>
      </c>
      <c r="E277" s="5" t="s">
        <v>384</v>
      </c>
      <c r="F277" s="5" t="s">
        <v>45</v>
      </c>
      <c r="G277" s="5" t="s">
        <v>390</v>
      </c>
      <c r="H277" s="5" t="s">
        <v>81</v>
      </c>
      <c r="I277" s="5" t="s">
        <v>82</v>
      </c>
      <c r="J277" s="15">
        <v>740</v>
      </c>
      <c r="K277" s="7">
        <v>27</v>
      </c>
      <c r="L277" s="7">
        <f t="shared" si="45"/>
        <v>27.407407407407408</v>
      </c>
      <c r="M277" s="5" t="s">
        <v>10</v>
      </c>
      <c r="N277" s="5">
        <v>4</v>
      </c>
      <c r="O277" s="6">
        <f t="shared" si="46"/>
        <v>0.34741426611796983</v>
      </c>
      <c r="P277" s="6">
        <f t="shared" si="47"/>
        <v>3.6131083676268862E-2</v>
      </c>
      <c r="Q277" s="10">
        <f t="shared" si="48"/>
        <v>7.5273090992226792E-4</v>
      </c>
      <c r="R277" s="10">
        <f t="shared" si="49"/>
        <v>7.1950341649546588E-3</v>
      </c>
      <c r="S277" s="10">
        <f t="shared" si="50"/>
        <v>7.9477650748769266E-3</v>
      </c>
    </row>
    <row r="278" spans="1:19" x14ac:dyDescent="0.25">
      <c r="A278" s="5" t="s">
        <v>22</v>
      </c>
      <c r="B278" s="5" t="s">
        <v>63</v>
      </c>
      <c r="C278" s="5" t="s">
        <v>27</v>
      </c>
      <c r="D278" s="5" t="s">
        <v>385</v>
      </c>
      <c r="E278" s="5" t="s">
        <v>384</v>
      </c>
      <c r="F278" s="5" t="s">
        <v>45</v>
      </c>
      <c r="G278" s="5" t="s">
        <v>390</v>
      </c>
      <c r="H278" s="5" t="s">
        <v>70</v>
      </c>
      <c r="I278" s="5" t="s">
        <v>71</v>
      </c>
      <c r="J278" s="15">
        <v>950</v>
      </c>
      <c r="K278" s="7">
        <v>37</v>
      </c>
      <c r="L278" s="7">
        <f t="shared" si="45"/>
        <v>25.675675675675677</v>
      </c>
      <c r="M278" s="5" t="s">
        <v>10</v>
      </c>
      <c r="N278" s="5">
        <v>4</v>
      </c>
      <c r="O278" s="6">
        <f t="shared" si="46"/>
        <v>0.39142394083272469</v>
      </c>
      <c r="P278" s="6">
        <f t="shared" si="47"/>
        <v>4.0708089846603367E-2</v>
      </c>
      <c r="Q278" s="10">
        <f t="shared" si="48"/>
        <v>8.4808520513757017E-4</v>
      </c>
      <c r="R278" s="10">
        <f t="shared" si="49"/>
        <v>7.8683317585654267E-3</v>
      </c>
      <c r="S278" s="10">
        <f t="shared" si="50"/>
        <v>8.716416963702997E-3</v>
      </c>
    </row>
    <row r="279" spans="1:19" x14ac:dyDescent="0.25">
      <c r="A279" s="5" t="s">
        <v>8</v>
      </c>
      <c r="B279" s="5" t="s">
        <v>161</v>
      </c>
      <c r="C279" s="5" t="s">
        <v>27</v>
      </c>
      <c r="D279" s="5" t="s">
        <v>385</v>
      </c>
      <c r="E279" s="5" t="s">
        <v>384</v>
      </c>
      <c r="F279" s="5" t="s">
        <v>45</v>
      </c>
      <c r="G279" s="5" t="s">
        <v>390</v>
      </c>
      <c r="H279" s="5" t="s">
        <v>70</v>
      </c>
      <c r="I279" s="5" t="s">
        <v>71</v>
      </c>
      <c r="J279" s="15">
        <v>940</v>
      </c>
      <c r="K279" s="7">
        <v>36</v>
      </c>
      <c r="L279" s="7">
        <f t="shared" si="45"/>
        <v>26.111111111111111</v>
      </c>
      <c r="M279" s="5" t="s">
        <v>10</v>
      </c>
      <c r="N279" s="5">
        <v>4</v>
      </c>
      <c r="O279" s="6">
        <f t="shared" si="46"/>
        <v>0.40055169753086417</v>
      </c>
      <c r="P279" s="6">
        <f t="shared" si="47"/>
        <v>4.1657376543209869E-2</v>
      </c>
      <c r="Q279" s="10">
        <f t="shared" si="48"/>
        <v>8.678620113168723E-4</v>
      </c>
      <c r="R279" s="10">
        <f t="shared" si="49"/>
        <v>8.0055478331547292E-3</v>
      </c>
      <c r="S279" s="10">
        <f t="shared" si="50"/>
        <v>8.8734098444716008E-3</v>
      </c>
    </row>
    <row r="280" spans="1:19" x14ac:dyDescent="0.25">
      <c r="A280" s="5" t="s">
        <v>22</v>
      </c>
      <c r="B280" s="5" t="s">
        <v>63</v>
      </c>
      <c r="C280" s="5" t="s">
        <v>27</v>
      </c>
      <c r="D280" s="5" t="s">
        <v>385</v>
      </c>
      <c r="E280" s="5" t="s">
        <v>384</v>
      </c>
      <c r="F280" s="5" t="s">
        <v>45</v>
      </c>
      <c r="G280" s="5" t="s">
        <v>390</v>
      </c>
      <c r="H280" s="5" t="s">
        <v>75</v>
      </c>
      <c r="I280" s="5" t="s">
        <v>76</v>
      </c>
      <c r="J280" s="15">
        <v>1700</v>
      </c>
      <c r="K280" s="7">
        <v>55</v>
      </c>
      <c r="L280" s="7">
        <f t="shared" si="45"/>
        <v>30.90909090909091</v>
      </c>
      <c r="M280" s="5" t="s">
        <v>10</v>
      </c>
      <c r="N280" s="5">
        <v>4</v>
      </c>
      <c r="O280" s="6">
        <f t="shared" si="46"/>
        <v>1.0150826446280992</v>
      </c>
      <c r="P280" s="6">
        <f t="shared" si="47"/>
        <v>0.10556859504132231</v>
      </c>
      <c r="Q280" s="10">
        <f t="shared" si="48"/>
        <v>2.1993457300275481E-3</v>
      </c>
      <c r="R280" s="10">
        <f t="shared" si="49"/>
        <v>1.6079523553745634E-2</v>
      </c>
      <c r="S280" s="10">
        <f t="shared" si="50"/>
        <v>1.8278869283773182E-2</v>
      </c>
    </row>
    <row r="281" spans="1:19" x14ac:dyDescent="0.25">
      <c r="A281" s="5" t="s">
        <v>8</v>
      </c>
      <c r="B281" s="5" t="s">
        <v>313</v>
      </c>
      <c r="C281" s="5" t="s">
        <v>27</v>
      </c>
      <c r="D281" s="5" t="s">
        <v>385</v>
      </c>
      <c r="E281" s="5" t="s">
        <v>384</v>
      </c>
      <c r="F281" s="5" t="s">
        <v>45</v>
      </c>
      <c r="G281" s="5" t="s">
        <v>390</v>
      </c>
      <c r="H281" s="5" t="s">
        <v>46</v>
      </c>
      <c r="I281" s="5" t="s">
        <v>167</v>
      </c>
      <c r="J281" s="15">
        <v>980</v>
      </c>
      <c r="K281" s="7">
        <v>26</v>
      </c>
      <c r="L281" s="7">
        <f t="shared" si="45"/>
        <v>37.692307692307693</v>
      </c>
      <c r="M281" s="5" t="s">
        <v>10</v>
      </c>
      <c r="N281" s="5">
        <v>4</v>
      </c>
      <c r="O281" s="6">
        <f t="shared" si="46"/>
        <v>0.87018491124260366</v>
      </c>
      <c r="P281" s="6">
        <f t="shared" si="47"/>
        <v>9.0499230769230776E-2</v>
      </c>
      <c r="Q281" s="10">
        <f t="shared" si="48"/>
        <v>1.8854006410256412E-3</v>
      </c>
      <c r="R281" s="10">
        <f t="shared" si="49"/>
        <v>1.4325367948525116E-2</v>
      </c>
      <c r="S281" s="10">
        <f t="shared" si="50"/>
        <v>1.6210768589550756E-2</v>
      </c>
    </row>
    <row r="282" spans="1:19" x14ac:dyDescent="0.25">
      <c r="A282" s="5" t="s">
        <v>8</v>
      </c>
      <c r="B282" s="5" t="s">
        <v>206</v>
      </c>
      <c r="C282" s="5" t="s">
        <v>27</v>
      </c>
      <c r="D282" s="5" t="s">
        <v>385</v>
      </c>
      <c r="E282" s="5" t="s">
        <v>384</v>
      </c>
      <c r="F282" s="5" t="s">
        <v>45</v>
      </c>
      <c r="G282" s="5" t="s">
        <v>390</v>
      </c>
      <c r="H282" s="5" t="s">
        <v>46</v>
      </c>
      <c r="I282" s="5" t="s">
        <v>207</v>
      </c>
      <c r="J282" s="15">
        <v>1000</v>
      </c>
      <c r="K282" s="7">
        <v>28.3</v>
      </c>
      <c r="L282" s="7">
        <f t="shared" si="45"/>
        <v>35.335689045936398</v>
      </c>
      <c r="M282" s="5" t="s">
        <v>10</v>
      </c>
      <c r="N282" s="5">
        <v>4</v>
      </c>
      <c r="O282" s="6">
        <f t="shared" si="46"/>
        <v>0.78038182521944355</v>
      </c>
      <c r="P282" s="6">
        <f t="shared" si="47"/>
        <v>8.1159709822822126E-2</v>
      </c>
      <c r="Q282" s="10">
        <f t="shared" si="48"/>
        <v>1.690827287975461E-3</v>
      </c>
      <c r="R282" s="10">
        <f t="shared" si="49"/>
        <v>1.3201627791862751E-2</v>
      </c>
      <c r="S282" s="10">
        <f t="shared" si="50"/>
        <v>1.4892455079838211E-2</v>
      </c>
    </row>
    <row r="283" spans="1:19" x14ac:dyDescent="0.25">
      <c r="A283" s="5" t="s">
        <v>8</v>
      </c>
      <c r="B283" s="5" t="s">
        <v>208</v>
      </c>
      <c r="C283" s="5" t="s">
        <v>27</v>
      </c>
      <c r="D283" s="5" t="s">
        <v>385</v>
      </c>
      <c r="E283" s="5" t="s">
        <v>384</v>
      </c>
      <c r="F283" s="5" t="s">
        <v>45</v>
      </c>
      <c r="G283" s="5" t="s">
        <v>390</v>
      </c>
      <c r="H283" s="5" t="s">
        <v>46</v>
      </c>
      <c r="I283" s="5" t="s">
        <v>207</v>
      </c>
      <c r="J283" s="15">
        <v>1070</v>
      </c>
      <c r="K283" s="7">
        <v>28.1</v>
      </c>
      <c r="L283" s="7">
        <f t="shared" si="45"/>
        <v>38.078291814946617</v>
      </c>
      <c r="M283" s="5" t="s">
        <v>10</v>
      </c>
      <c r="N283" s="5">
        <v>4</v>
      </c>
      <c r="O283" s="6">
        <f t="shared" si="46"/>
        <v>0.9696582806702041</v>
      </c>
      <c r="P283" s="6">
        <f t="shared" si="47"/>
        <v>0.10084446118970124</v>
      </c>
      <c r="Q283" s="10">
        <f t="shared" si="48"/>
        <v>2.1009262747854422E-3</v>
      </c>
      <c r="R283" s="10">
        <f t="shared" si="49"/>
        <v>1.5536785046705944E-2</v>
      </c>
      <c r="S283" s="10">
        <f t="shared" si="50"/>
        <v>1.7637711321491386E-2</v>
      </c>
    </row>
    <row r="284" spans="1:19" x14ac:dyDescent="0.25">
      <c r="A284" s="5" t="s">
        <v>8</v>
      </c>
      <c r="B284" s="5" t="s">
        <v>209</v>
      </c>
      <c r="C284" s="5" t="s">
        <v>27</v>
      </c>
      <c r="D284" s="5" t="s">
        <v>385</v>
      </c>
      <c r="E284" s="5" t="s">
        <v>384</v>
      </c>
      <c r="F284" s="5" t="s">
        <v>45</v>
      </c>
      <c r="G284" s="5" t="s">
        <v>390</v>
      </c>
      <c r="H284" s="5" t="s">
        <v>46</v>
      </c>
      <c r="I284" s="5" t="s">
        <v>207</v>
      </c>
      <c r="J284" s="15">
        <v>1500</v>
      </c>
      <c r="K284" s="7">
        <v>46.9</v>
      </c>
      <c r="L284" s="7">
        <f t="shared" si="45"/>
        <v>31.982942430703627</v>
      </c>
      <c r="M284" s="5" t="s">
        <v>10</v>
      </c>
      <c r="N284" s="5">
        <v>4</v>
      </c>
      <c r="O284" s="6">
        <f t="shared" si="46"/>
        <v>0.95897681861784601</v>
      </c>
      <c r="P284" s="6">
        <f t="shared" si="47"/>
        <v>9.973358913625599E-2</v>
      </c>
      <c r="Q284" s="10">
        <f t="shared" si="48"/>
        <v>2.0777831070053327E-3</v>
      </c>
      <c r="R284" s="10">
        <f t="shared" si="49"/>
        <v>1.5408246091418672E-2</v>
      </c>
      <c r="S284" s="10">
        <f t="shared" si="50"/>
        <v>1.7486029198424003E-2</v>
      </c>
    </row>
    <row r="285" spans="1:19" x14ac:dyDescent="0.25">
      <c r="A285" s="5" t="s">
        <v>8</v>
      </c>
      <c r="B285" s="5" t="s">
        <v>210</v>
      </c>
      <c r="C285" s="5" t="s">
        <v>27</v>
      </c>
      <c r="D285" s="5" t="s">
        <v>385</v>
      </c>
      <c r="E285" s="5" t="s">
        <v>384</v>
      </c>
      <c r="F285" s="5" t="s">
        <v>45</v>
      </c>
      <c r="G285" s="5" t="s">
        <v>390</v>
      </c>
      <c r="H285" s="5" t="s">
        <v>46</v>
      </c>
      <c r="I285" s="5" t="s">
        <v>207</v>
      </c>
      <c r="J285" s="15">
        <v>1330</v>
      </c>
      <c r="K285" s="7">
        <v>30</v>
      </c>
      <c r="L285" s="7">
        <f t="shared" si="45"/>
        <v>44.333333333333336</v>
      </c>
      <c r="M285" s="5" t="s">
        <v>10</v>
      </c>
      <c r="N285" s="5">
        <v>4</v>
      </c>
      <c r="O285" s="6">
        <f t="shared" si="46"/>
        <v>1.6337756944444446</v>
      </c>
      <c r="P285" s="6">
        <f t="shared" si="47"/>
        <v>0.1699126722222222</v>
      </c>
      <c r="Q285" s="10">
        <f t="shared" si="48"/>
        <v>3.5398473379629632E-3</v>
      </c>
      <c r="R285" s="10">
        <f t="shared" si="49"/>
        <v>2.2976900704314702E-2</v>
      </c>
      <c r="S285" s="10">
        <f t="shared" si="50"/>
        <v>2.6516748042277664E-2</v>
      </c>
    </row>
    <row r="286" spans="1:19" x14ac:dyDescent="0.25">
      <c r="A286" s="5" t="s">
        <v>8</v>
      </c>
      <c r="B286" s="5" t="s">
        <v>308</v>
      </c>
      <c r="C286" s="5" t="s">
        <v>27</v>
      </c>
      <c r="D286" s="5" t="s">
        <v>385</v>
      </c>
      <c r="E286" s="5" t="s">
        <v>384</v>
      </c>
      <c r="F286" s="5" t="s">
        <v>45</v>
      </c>
      <c r="G286" s="5" t="s">
        <v>390</v>
      </c>
      <c r="H286" s="5" t="s">
        <v>46</v>
      </c>
      <c r="I286" s="5" t="s">
        <v>310</v>
      </c>
      <c r="J286" s="15">
        <v>972</v>
      </c>
      <c r="K286" s="7">
        <v>19.7</v>
      </c>
      <c r="L286" s="7">
        <f t="shared" si="45"/>
        <v>49.340101522842644</v>
      </c>
      <c r="M286" s="5" t="s">
        <v>10</v>
      </c>
      <c r="N286" s="5">
        <v>4</v>
      </c>
      <c r="O286" s="6">
        <f t="shared" si="46"/>
        <v>1.4789257131077846</v>
      </c>
      <c r="P286" s="6">
        <f t="shared" si="47"/>
        <v>0.15380827416320958</v>
      </c>
      <c r="Q286" s="10">
        <f t="shared" si="48"/>
        <v>3.204339045066867E-3</v>
      </c>
      <c r="R286" s="10">
        <f t="shared" si="49"/>
        <v>2.1323421621601071E-2</v>
      </c>
      <c r="S286" s="10">
        <f t="shared" si="50"/>
        <v>2.4527760666667939E-2</v>
      </c>
    </row>
    <row r="287" spans="1:19" x14ac:dyDescent="0.25">
      <c r="A287" s="5" t="s">
        <v>22</v>
      </c>
      <c r="B287" s="5" t="s">
        <v>26</v>
      </c>
      <c r="C287" s="5" t="s">
        <v>27</v>
      </c>
      <c r="D287" s="5" t="s">
        <v>385</v>
      </c>
      <c r="E287" s="5" t="s">
        <v>384</v>
      </c>
      <c r="F287" s="5" t="s">
        <v>45</v>
      </c>
      <c r="G287" s="5" t="s">
        <v>390</v>
      </c>
      <c r="H287" s="5" t="s">
        <v>46</v>
      </c>
      <c r="I287" s="5" t="s">
        <v>16</v>
      </c>
      <c r="J287" s="15">
        <v>1400</v>
      </c>
      <c r="K287" s="7">
        <v>39</v>
      </c>
      <c r="L287" s="7">
        <f t="shared" si="45"/>
        <v>35.897435897435898</v>
      </c>
      <c r="M287" s="5" t="s">
        <v>10</v>
      </c>
      <c r="N287" s="5">
        <v>4</v>
      </c>
      <c r="O287" s="6">
        <f t="shared" si="46"/>
        <v>1.1275476660092045</v>
      </c>
      <c r="P287" s="6">
        <f t="shared" si="47"/>
        <v>0.11726495726495727</v>
      </c>
      <c r="Q287" s="10">
        <f t="shared" si="48"/>
        <v>2.4430199430199432E-3</v>
      </c>
      <c r="R287" s="10">
        <f t="shared" si="49"/>
        <v>1.7397959160789959E-2</v>
      </c>
      <c r="S287" s="10">
        <f t="shared" si="50"/>
        <v>1.9840979103809903E-2</v>
      </c>
    </row>
    <row r="288" spans="1:19" x14ac:dyDescent="0.25">
      <c r="A288" s="5" t="s">
        <v>8</v>
      </c>
      <c r="B288" s="5" t="s">
        <v>322</v>
      </c>
      <c r="C288" s="5" t="s">
        <v>27</v>
      </c>
      <c r="D288" s="5" t="s">
        <v>385</v>
      </c>
      <c r="E288" s="5" t="s">
        <v>384</v>
      </c>
      <c r="F288" s="5" t="s">
        <v>45</v>
      </c>
      <c r="G288" s="5" t="s">
        <v>390</v>
      </c>
      <c r="H288" s="5" t="s">
        <v>46</v>
      </c>
      <c r="I288" s="5" t="s">
        <v>323</v>
      </c>
      <c r="J288" s="15">
        <v>810</v>
      </c>
      <c r="K288" s="7">
        <v>29</v>
      </c>
      <c r="L288" s="7">
        <f t="shared" si="45"/>
        <v>27.931034482758619</v>
      </c>
      <c r="M288" s="5" t="s">
        <v>10</v>
      </c>
      <c r="N288" s="5">
        <v>4</v>
      </c>
      <c r="O288" s="6">
        <f t="shared" si="46"/>
        <v>0.39494723543400712</v>
      </c>
      <c r="P288" s="6">
        <f t="shared" si="47"/>
        <v>4.1074512485136737E-2</v>
      </c>
      <c r="Q288" s="10">
        <f t="shared" si="48"/>
        <v>8.5571901010701539E-4</v>
      </c>
      <c r="R288" s="10">
        <f t="shared" si="49"/>
        <v>7.9213906781575756E-3</v>
      </c>
      <c r="S288" s="10">
        <f t="shared" si="50"/>
        <v>8.7771096882645911E-3</v>
      </c>
    </row>
    <row r="289" spans="1:19" x14ac:dyDescent="0.25">
      <c r="A289" s="5" t="s">
        <v>22</v>
      </c>
      <c r="B289" s="5" t="s">
        <v>26</v>
      </c>
      <c r="C289" s="5" t="s">
        <v>27</v>
      </c>
      <c r="D289" s="5" t="s">
        <v>385</v>
      </c>
      <c r="E289" s="5" t="s">
        <v>384</v>
      </c>
      <c r="F289" s="5" t="s">
        <v>45</v>
      </c>
      <c r="G289" s="5" t="s">
        <v>390</v>
      </c>
      <c r="H289" s="5" t="s">
        <v>46</v>
      </c>
      <c r="I289" s="5" t="s">
        <v>47</v>
      </c>
      <c r="J289" s="15">
        <v>1200</v>
      </c>
      <c r="K289" s="7">
        <v>28</v>
      </c>
      <c r="L289" s="7">
        <f t="shared" si="45"/>
        <v>42.857142857142854</v>
      </c>
      <c r="M289" s="5" t="s">
        <v>10</v>
      </c>
      <c r="N289" s="5">
        <v>4</v>
      </c>
      <c r="O289" s="6">
        <f t="shared" si="46"/>
        <v>1.3775510204081631</v>
      </c>
      <c r="P289" s="6">
        <f t="shared" si="47"/>
        <v>0.14326530612244898</v>
      </c>
      <c r="Q289" s="10">
        <f t="shared" si="48"/>
        <v>2.9846938775510198E-3</v>
      </c>
      <c r="R289" s="10">
        <f t="shared" si="49"/>
        <v>2.0217520582724226E-2</v>
      </c>
      <c r="S289" s="10">
        <f t="shared" si="50"/>
        <v>2.3202214460275247E-2</v>
      </c>
    </row>
    <row r="290" spans="1:19" x14ac:dyDescent="0.25">
      <c r="A290" s="5" t="s">
        <v>8</v>
      </c>
      <c r="B290" s="5" t="s">
        <v>300</v>
      </c>
      <c r="C290" s="5" t="s">
        <v>27</v>
      </c>
      <c r="D290" s="5" t="s">
        <v>385</v>
      </c>
      <c r="E290" s="5" t="s">
        <v>384</v>
      </c>
      <c r="F290" s="5" t="s">
        <v>45</v>
      </c>
      <c r="G290" s="5" t="s">
        <v>390</v>
      </c>
      <c r="H290" s="5" t="s">
        <v>46</v>
      </c>
      <c r="I290" s="5" t="s">
        <v>47</v>
      </c>
      <c r="J290" s="15">
        <v>1198</v>
      </c>
      <c r="K290" s="7">
        <v>28.2</v>
      </c>
      <c r="L290" s="7">
        <f t="shared" si="45"/>
        <v>42.4822695035461</v>
      </c>
      <c r="M290" s="5" t="s">
        <v>10</v>
      </c>
      <c r="N290" s="5">
        <v>4</v>
      </c>
      <c r="O290" s="6">
        <f t="shared" si="46"/>
        <v>1.3513014876012275</v>
      </c>
      <c r="P290" s="6">
        <f t="shared" si="47"/>
        <v>0.14053535471052764</v>
      </c>
      <c r="Q290" s="10">
        <f t="shared" si="48"/>
        <v>2.927819889802659E-3</v>
      </c>
      <c r="R290" s="10">
        <f t="shared" si="49"/>
        <v>1.9927889917281474E-2</v>
      </c>
      <c r="S290" s="10">
        <f t="shared" si="50"/>
        <v>2.2855709807084134E-2</v>
      </c>
    </row>
    <row r="291" spans="1:19" x14ac:dyDescent="0.25">
      <c r="A291" s="5" t="s">
        <v>8</v>
      </c>
      <c r="B291" s="5" t="s">
        <v>202</v>
      </c>
      <c r="C291" s="5" t="s">
        <v>27</v>
      </c>
      <c r="D291" s="5" t="s">
        <v>385</v>
      </c>
      <c r="E291" s="5" t="s">
        <v>384</v>
      </c>
      <c r="F291" s="5" t="s">
        <v>45</v>
      </c>
      <c r="G291" s="5" t="s">
        <v>390</v>
      </c>
      <c r="H291" s="5" t="s">
        <v>46</v>
      </c>
      <c r="I291" s="5" t="s">
        <v>203</v>
      </c>
      <c r="J291" s="15">
        <v>1230</v>
      </c>
      <c r="K291" s="7">
        <v>25.5</v>
      </c>
      <c r="L291" s="7">
        <f t="shared" si="45"/>
        <v>48.235294117647058</v>
      </c>
      <c r="M291" s="5" t="s">
        <v>10</v>
      </c>
      <c r="N291" s="5">
        <v>4</v>
      </c>
      <c r="O291" s="6">
        <f t="shared" si="46"/>
        <v>1.788607266435986</v>
      </c>
      <c r="P291" s="6">
        <f t="shared" si="47"/>
        <v>0.18601515570934254</v>
      </c>
      <c r="Q291" s="10">
        <f t="shared" si="48"/>
        <v>3.8753157439446362E-3</v>
      </c>
      <c r="R291" s="10">
        <f t="shared" si="49"/>
        <v>2.4591406420233046E-2</v>
      </c>
      <c r="S291" s="10">
        <f t="shared" si="50"/>
        <v>2.8466722164177682E-2</v>
      </c>
    </row>
    <row r="292" spans="1:19" x14ac:dyDescent="0.25">
      <c r="A292" s="5" t="s">
        <v>8</v>
      </c>
      <c r="B292" s="5" t="s">
        <v>204</v>
      </c>
      <c r="C292" s="5" t="s">
        <v>27</v>
      </c>
      <c r="D292" s="5" t="s">
        <v>385</v>
      </c>
      <c r="E292" s="5" t="s">
        <v>384</v>
      </c>
      <c r="F292" s="5" t="s">
        <v>45</v>
      </c>
      <c r="G292" s="5" t="s">
        <v>390</v>
      </c>
      <c r="H292" s="5" t="s">
        <v>46</v>
      </c>
      <c r="I292" s="5" t="s">
        <v>203</v>
      </c>
      <c r="J292" s="15">
        <v>900</v>
      </c>
      <c r="K292" s="7">
        <v>26</v>
      </c>
      <c r="L292" s="7">
        <f t="shared" si="45"/>
        <v>34.615384615384613</v>
      </c>
      <c r="M292" s="5" t="s">
        <v>10</v>
      </c>
      <c r="N292" s="5">
        <v>4</v>
      </c>
      <c r="O292" s="6">
        <f t="shared" si="46"/>
        <v>0.67400147928994081</v>
      </c>
      <c r="P292" s="6">
        <f t="shared" si="47"/>
        <v>7.0096153846153836E-2</v>
      </c>
      <c r="Q292" s="10">
        <f t="shared" si="48"/>
        <v>1.4603365384615382E-3</v>
      </c>
      <c r="R292" s="10">
        <f t="shared" si="49"/>
        <v>1.1827494686413892E-2</v>
      </c>
      <c r="S292" s="10">
        <f t="shared" si="50"/>
        <v>1.3287831224875431E-2</v>
      </c>
    </row>
    <row r="293" spans="1:19" x14ac:dyDescent="0.25">
      <c r="A293" s="5" t="s">
        <v>8</v>
      </c>
      <c r="B293" s="5" t="s">
        <v>205</v>
      </c>
      <c r="C293" s="5" t="s">
        <v>27</v>
      </c>
      <c r="D293" s="5" t="s">
        <v>385</v>
      </c>
      <c r="E293" s="5" t="s">
        <v>384</v>
      </c>
      <c r="F293" s="5" t="s">
        <v>45</v>
      </c>
      <c r="G293" s="5" t="s">
        <v>390</v>
      </c>
      <c r="H293" s="5" t="s">
        <v>46</v>
      </c>
      <c r="I293" s="5" t="s">
        <v>203</v>
      </c>
      <c r="J293" s="15">
        <v>1100</v>
      </c>
      <c r="K293" s="7">
        <v>30</v>
      </c>
      <c r="L293" s="7">
        <f t="shared" si="45"/>
        <v>36.666666666666664</v>
      </c>
      <c r="M293" s="5" t="s">
        <v>10</v>
      </c>
      <c r="N293" s="5">
        <v>4</v>
      </c>
      <c r="O293" s="6">
        <f t="shared" si="46"/>
        <v>0.92430555555555549</v>
      </c>
      <c r="P293" s="6">
        <f t="shared" si="47"/>
        <v>9.6127777777777756E-2</v>
      </c>
      <c r="Q293" s="10">
        <f t="shared" si="48"/>
        <v>2.0026620370370367E-3</v>
      </c>
      <c r="R293" s="10">
        <f t="shared" si="49"/>
        <v>1.4988521556455617E-2</v>
      </c>
      <c r="S293" s="10">
        <f t="shared" si="50"/>
        <v>1.6991183593492654E-2</v>
      </c>
    </row>
    <row r="294" spans="1:19" x14ac:dyDescent="0.25">
      <c r="A294" s="5" t="s">
        <v>8</v>
      </c>
      <c r="B294" s="5" t="s">
        <v>201</v>
      </c>
      <c r="C294" s="5" t="s">
        <v>27</v>
      </c>
      <c r="D294" s="5" t="s">
        <v>385</v>
      </c>
      <c r="E294" s="5" t="s">
        <v>384</v>
      </c>
      <c r="F294" s="5" t="s">
        <v>45</v>
      </c>
      <c r="G294" s="5" t="s">
        <v>390</v>
      </c>
      <c r="H294" s="5" t="s">
        <v>46</v>
      </c>
      <c r="I294" s="5" t="s">
        <v>203</v>
      </c>
      <c r="J294" s="15">
        <v>1060</v>
      </c>
      <c r="K294" s="7">
        <v>29.5</v>
      </c>
      <c r="L294" s="7">
        <f t="shared" si="45"/>
        <v>35.932203389830505</v>
      </c>
      <c r="M294" s="5" t="s">
        <v>10</v>
      </c>
      <c r="N294" s="5">
        <v>4</v>
      </c>
      <c r="O294" s="6">
        <f t="shared" si="46"/>
        <v>0.85536914679689724</v>
      </c>
      <c r="P294" s="6">
        <f t="shared" si="47"/>
        <v>8.895839126687731E-2</v>
      </c>
      <c r="Q294" s="10">
        <f t="shared" si="48"/>
        <v>1.8532998180599439E-3</v>
      </c>
      <c r="R294" s="10">
        <f t="shared" si="49"/>
        <v>1.414204810560408E-2</v>
      </c>
      <c r="S294" s="10">
        <f t="shared" si="50"/>
        <v>1.5995347923664024E-2</v>
      </c>
    </row>
    <row r="295" spans="1:19" x14ac:dyDescent="0.25">
      <c r="A295" s="5" t="s">
        <v>8</v>
      </c>
      <c r="B295" s="5" t="s">
        <v>219</v>
      </c>
      <c r="C295" s="5" t="s">
        <v>27</v>
      </c>
      <c r="D295" s="5" t="s">
        <v>385</v>
      </c>
      <c r="E295" s="5" t="s">
        <v>384</v>
      </c>
      <c r="F295" s="5" t="s">
        <v>45</v>
      </c>
      <c r="G295" s="5" t="s">
        <v>390</v>
      </c>
      <c r="H295" s="5" t="s">
        <v>46</v>
      </c>
      <c r="I295" s="5" t="s">
        <v>203</v>
      </c>
      <c r="J295" s="15">
        <v>900</v>
      </c>
      <c r="K295" s="7">
        <v>26.9</v>
      </c>
      <c r="L295" s="7">
        <f t="shared" si="45"/>
        <v>33.457249070631974</v>
      </c>
      <c r="M295" s="5" t="s">
        <v>10</v>
      </c>
      <c r="N295" s="5">
        <v>4</v>
      </c>
      <c r="O295" s="6">
        <f t="shared" si="46"/>
        <v>0.62965547739804595</v>
      </c>
      <c r="P295" s="6">
        <f t="shared" si="47"/>
        <v>6.5484169649396781E-2</v>
      </c>
      <c r="Q295" s="10">
        <f t="shared" si="48"/>
        <v>1.3642535343624329E-3</v>
      </c>
      <c r="R295" s="10">
        <f t="shared" si="49"/>
        <v>1.1238914402422381E-2</v>
      </c>
      <c r="S295" s="10">
        <f t="shared" si="50"/>
        <v>1.2603167936784815E-2</v>
      </c>
    </row>
    <row r="296" spans="1:19" x14ac:dyDescent="0.25">
      <c r="A296" s="5" t="s">
        <v>8</v>
      </c>
      <c r="B296" s="5" t="s">
        <v>291</v>
      </c>
      <c r="C296" s="5" t="s">
        <v>27</v>
      </c>
      <c r="D296" s="5" t="s">
        <v>385</v>
      </c>
      <c r="E296" s="5" t="s">
        <v>384</v>
      </c>
      <c r="F296" s="5" t="s">
        <v>45</v>
      </c>
      <c r="G296" s="5" t="s">
        <v>390</v>
      </c>
      <c r="H296" s="5" t="s">
        <v>46</v>
      </c>
      <c r="I296" s="5" t="s">
        <v>203</v>
      </c>
      <c r="J296" s="15">
        <v>1221</v>
      </c>
      <c r="K296" s="7">
        <v>34.799999999999997</v>
      </c>
      <c r="L296" s="7">
        <f t="shared" si="45"/>
        <v>35.08620689655173</v>
      </c>
      <c r="M296" s="5" t="s">
        <v>10</v>
      </c>
      <c r="N296" s="5">
        <v>4</v>
      </c>
      <c r="O296" s="6">
        <f t="shared" si="46"/>
        <v>0.9394388609170633</v>
      </c>
      <c r="P296" s="6">
        <f t="shared" si="47"/>
        <v>9.770164153537457E-2</v>
      </c>
      <c r="Q296" s="10">
        <f t="shared" si="48"/>
        <v>2.035450865320304E-3</v>
      </c>
      <c r="R296" s="10">
        <f t="shared" si="49"/>
        <v>1.5172198474885332E-2</v>
      </c>
      <c r="S296" s="10">
        <f t="shared" si="50"/>
        <v>1.7207649340205636E-2</v>
      </c>
    </row>
    <row r="297" spans="1:19" x14ac:dyDescent="0.25">
      <c r="A297" s="5" t="s">
        <v>8</v>
      </c>
      <c r="B297" s="5" t="s">
        <v>291</v>
      </c>
      <c r="C297" s="5" t="s">
        <v>27</v>
      </c>
      <c r="D297" s="5" t="s">
        <v>385</v>
      </c>
      <c r="E297" s="5" t="s">
        <v>384</v>
      </c>
      <c r="F297" s="5" t="s">
        <v>45</v>
      </c>
      <c r="G297" s="5" t="s">
        <v>390</v>
      </c>
      <c r="H297" s="5" t="s">
        <v>46</v>
      </c>
      <c r="I297" s="5" t="s">
        <v>203</v>
      </c>
      <c r="J297" s="15">
        <v>1180</v>
      </c>
      <c r="K297" s="7">
        <v>28.1</v>
      </c>
      <c r="L297" s="7">
        <f t="shared" si="45"/>
        <v>41.992882562277579</v>
      </c>
      <c r="M297" s="5" t="s">
        <v>10</v>
      </c>
      <c r="N297" s="5">
        <v>4</v>
      </c>
      <c r="O297" s="6">
        <f t="shared" si="46"/>
        <v>1.3005091120933117</v>
      </c>
      <c r="P297" s="6">
        <f t="shared" si="47"/>
        <v>0.13525294765770443</v>
      </c>
      <c r="Q297" s="10">
        <f t="shared" si="48"/>
        <v>2.8177697428688419E-3</v>
      </c>
      <c r="R297" s="10">
        <f t="shared" si="49"/>
        <v>1.9363424830278701E-2</v>
      </c>
      <c r="S297" s="10">
        <f t="shared" si="50"/>
        <v>2.2181194573147541E-2</v>
      </c>
    </row>
    <row r="298" spans="1:19" x14ac:dyDescent="0.25">
      <c r="A298" s="5" t="s">
        <v>8</v>
      </c>
      <c r="B298" s="5" t="s">
        <v>291</v>
      </c>
      <c r="C298" s="5" t="s">
        <v>27</v>
      </c>
      <c r="D298" s="5" t="s">
        <v>385</v>
      </c>
      <c r="E298" s="5" t="s">
        <v>384</v>
      </c>
      <c r="F298" s="5" t="s">
        <v>45</v>
      </c>
      <c r="G298" s="5" t="s">
        <v>390</v>
      </c>
      <c r="H298" s="5" t="s">
        <v>46</v>
      </c>
      <c r="I298" s="5" t="s">
        <v>203</v>
      </c>
      <c r="J298" s="15">
        <v>1358</v>
      </c>
      <c r="K298" s="7">
        <v>27.2</v>
      </c>
      <c r="L298" s="7">
        <f t="shared" si="45"/>
        <v>49.926470588235297</v>
      </c>
      <c r="M298" s="5" t="s">
        <v>10</v>
      </c>
      <c r="N298" s="5">
        <v>4</v>
      </c>
      <c r="O298" s="6">
        <f t="shared" si="46"/>
        <v>2.115638780006488</v>
      </c>
      <c r="P298" s="6">
        <f t="shared" si="47"/>
        <v>0.22002643312067477</v>
      </c>
      <c r="Q298" s="10">
        <f t="shared" si="48"/>
        <v>4.5838840233473907E-3</v>
      </c>
      <c r="R298" s="10">
        <f t="shared" si="49"/>
        <v>2.7891910544193911E-2</v>
      </c>
      <c r="S298" s="10">
        <f t="shared" si="50"/>
        <v>3.2475794567541301E-2</v>
      </c>
    </row>
    <row r="299" spans="1:19" x14ac:dyDescent="0.25">
      <c r="A299" s="5" t="s">
        <v>8</v>
      </c>
      <c r="B299" s="5" t="s">
        <v>291</v>
      </c>
      <c r="C299" s="5" t="s">
        <v>27</v>
      </c>
      <c r="D299" s="5" t="s">
        <v>385</v>
      </c>
      <c r="E299" s="5" t="s">
        <v>384</v>
      </c>
      <c r="F299" s="5" t="s">
        <v>45</v>
      </c>
      <c r="G299" s="5" t="s">
        <v>390</v>
      </c>
      <c r="H299" s="5" t="s">
        <v>46</v>
      </c>
      <c r="I299" s="5" t="s">
        <v>203</v>
      </c>
      <c r="J299" s="15">
        <v>1194</v>
      </c>
      <c r="K299" s="7">
        <v>25.9</v>
      </c>
      <c r="L299" s="7">
        <f t="shared" si="45"/>
        <v>46.100386100386103</v>
      </c>
      <c r="M299" s="5" t="s">
        <v>10</v>
      </c>
      <c r="N299" s="5">
        <v>4</v>
      </c>
      <c r="O299" s="6">
        <f t="shared" si="46"/>
        <v>1.5859645279587367</v>
      </c>
      <c r="P299" s="6">
        <f t="shared" si="47"/>
        <v>0.16494031090770858</v>
      </c>
      <c r="Q299" s="10">
        <f t="shared" si="48"/>
        <v>3.4362564772439292E-3</v>
      </c>
      <c r="R299" s="10">
        <f t="shared" si="49"/>
        <v>2.2470732330724698E-2</v>
      </c>
      <c r="S299" s="10">
        <f t="shared" si="50"/>
        <v>2.5906988807968628E-2</v>
      </c>
    </row>
    <row r="300" spans="1:19" x14ac:dyDescent="0.25">
      <c r="A300" s="5" t="s">
        <v>8</v>
      </c>
      <c r="B300" s="5" t="s">
        <v>291</v>
      </c>
      <c r="C300" s="5" t="s">
        <v>27</v>
      </c>
      <c r="D300" s="5" t="s">
        <v>385</v>
      </c>
      <c r="E300" s="5" t="s">
        <v>384</v>
      </c>
      <c r="F300" s="5" t="s">
        <v>45</v>
      </c>
      <c r="G300" s="5" t="s">
        <v>390</v>
      </c>
      <c r="H300" s="5" t="s">
        <v>46</v>
      </c>
      <c r="I300" s="5" t="s">
        <v>203</v>
      </c>
      <c r="J300" s="15">
        <v>1038</v>
      </c>
      <c r="K300" s="7">
        <v>25.2</v>
      </c>
      <c r="L300" s="7">
        <f t="shared" si="45"/>
        <v>41.19047619047619</v>
      </c>
      <c r="M300" s="5" t="s">
        <v>10</v>
      </c>
      <c r="N300" s="5">
        <v>4</v>
      </c>
      <c r="O300" s="6">
        <f t="shared" si="46"/>
        <v>1.1007051445578231</v>
      </c>
      <c r="P300" s="6">
        <f t="shared" si="47"/>
        <v>0.11447333503401359</v>
      </c>
      <c r="Q300" s="10">
        <f t="shared" si="48"/>
        <v>2.3848611465419499E-3</v>
      </c>
      <c r="R300" s="10">
        <f t="shared" si="49"/>
        <v>1.7086392225529067E-2</v>
      </c>
      <c r="S300" s="10">
        <f t="shared" si="50"/>
        <v>1.9471253372071017E-2</v>
      </c>
    </row>
    <row r="301" spans="1:19" x14ac:dyDescent="0.25">
      <c r="A301" s="5" t="s">
        <v>8</v>
      </c>
      <c r="B301" s="5" t="s">
        <v>322</v>
      </c>
      <c r="C301" s="5" t="s">
        <v>27</v>
      </c>
      <c r="D301" s="5" t="s">
        <v>385</v>
      </c>
      <c r="E301" s="5" t="s">
        <v>384</v>
      </c>
      <c r="F301" s="5" t="s">
        <v>45</v>
      </c>
      <c r="G301" s="5" t="s">
        <v>390</v>
      </c>
      <c r="H301" s="5" t="s">
        <v>46</v>
      </c>
      <c r="I301" s="5" t="s">
        <v>203</v>
      </c>
      <c r="J301" s="15">
        <v>1000</v>
      </c>
      <c r="K301" s="7">
        <v>22</v>
      </c>
      <c r="L301" s="7">
        <f t="shared" si="45"/>
        <v>45.454545454545453</v>
      </c>
      <c r="M301" s="5" t="s">
        <v>10</v>
      </c>
      <c r="N301" s="5">
        <v>4</v>
      </c>
      <c r="O301" s="6">
        <f t="shared" si="46"/>
        <v>1.2913223140495866</v>
      </c>
      <c r="P301" s="6">
        <f t="shared" si="47"/>
        <v>0.13429752066115702</v>
      </c>
      <c r="Q301" s="10">
        <f t="shared" si="48"/>
        <v>2.7978650137741039E-3</v>
      </c>
      <c r="R301" s="10">
        <f t="shared" si="49"/>
        <v>1.9260746534398895E-2</v>
      </c>
      <c r="S301" s="10">
        <f t="shared" si="50"/>
        <v>2.2058611548172999E-2</v>
      </c>
    </row>
    <row r="302" spans="1:19" x14ac:dyDescent="0.25">
      <c r="A302" s="5" t="s">
        <v>22</v>
      </c>
      <c r="B302" s="5" t="s">
        <v>26</v>
      </c>
      <c r="C302" s="5" t="s">
        <v>27</v>
      </c>
      <c r="D302" s="5" t="s">
        <v>385</v>
      </c>
      <c r="E302" s="5" t="s">
        <v>384</v>
      </c>
      <c r="F302" s="5" t="s">
        <v>45</v>
      </c>
      <c r="G302" s="5" t="s">
        <v>390</v>
      </c>
      <c r="H302" s="5" t="s">
        <v>46</v>
      </c>
      <c r="I302" s="5" t="s">
        <v>11</v>
      </c>
      <c r="J302" s="15">
        <v>1450</v>
      </c>
      <c r="K302" s="7">
        <v>27</v>
      </c>
      <c r="L302" s="7">
        <f t="shared" si="45"/>
        <v>53.703703703703702</v>
      </c>
      <c r="M302" s="5" t="s">
        <v>10</v>
      </c>
      <c r="N302" s="5">
        <v>4</v>
      </c>
      <c r="O302" s="6">
        <f t="shared" si="46"/>
        <v>2.6137045610425238</v>
      </c>
      <c r="P302" s="6">
        <f t="shared" si="47"/>
        <v>0.27182527434842246</v>
      </c>
      <c r="Q302" s="10">
        <f t="shared" si="48"/>
        <v>5.6630265489254683E-3</v>
      </c>
      <c r="R302" s="10">
        <f t="shared" si="49"/>
        <v>3.2684323180094878E-2</v>
      </c>
      <c r="S302" s="10">
        <f t="shared" si="50"/>
        <v>3.8347349729020347E-2</v>
      </c>
    </row>
    <row r="303" spans="1:19" x14ac:dyDescent="0.25">
      <c r="A303" s="5" t="s">
        <v>8</v>
      </c>
      <c r="B303" s="5" t="s">
        <v>192</v>
      </c>
      <c r="C303" s="5" t="s">
        <v>27</v>
      </c>
      <c r="D303" s="5" t="s">
        <v>385</v>
      </c>
      <c r="E303" s="5" t="s">
        <v>384</v>
      </c>
      <c r="F303" s="5" t="s">
        <v>45</v>
      </c>
      <c r="G303" s="5" t="s">
        <v>390</v>
      </c>
      <c r="H303" s="5" t="s">
        <v>46</v>
      </c>
      <c r="I303" s="5" t="s">
        <v>11</v>
      </c>
      <c r="J303" s="15">
        <v>1050</v>
      </c>
      <c r="K303" s="7">
        <v>32</v>
      </c>
      <c r="L303" s="7">
        <f t="shared" si="45"/>
        <v>32.8125</v>
      </c>
      <c r="M303" s="5" t="s">
        <v>10</v>
      </c>
      <c r="N303" s="5">
        <v>4</v>
      </c>
      <c r="O303" s="6">
        <f t="shared" si="46"/>
        <v>0.7065582275390625</v>
      </c>
      <c r="P303" s="6">
        <f t="shared" si="47"/>
        <v>7.348205566406249E-2</v>
      </c>
      <c r="Q303" s="10">
        <f t="shared" si="48"/>
        <v>1.5308761596679685E-3</v>
      </c>
      <c r="R303" s="10">
        <f t="shared" si="49"/>
        <v>1.2253441811234738E-2</v>
      </c>
      <c r="S303" s="10">
        <f t="shared" si="50"/>
        <v>1.3784317970902706E-2</v>
      </c>
    </row>
    <row r="304" spans="1:19" x14ac:dyDescent="0.25">
      <c r="A304" s="5" t="s">
        <v>8</v>
      </c>
      <c r="B304" s="5" t="s">
        <v>214</v>
      </c>
      <c r="C304" s="5" t="s">
        <v>27</v>
      </c>
      <c r="D304" s="5" t="s">
        <v>385</v>
      </c>
      <c r="E304" s="5" t="s">
        <v>384</v>
      </c>
      <c r="F304" s="5" t="s">
        <v>45</v>
      </c>
      <c r="G304" s="5" t="s">
        <v>390</v>
      </c>
      <c r="H304" s="5" t="s">
        <v>46</v>
      </c>
      <c r="I304" s="5" t="s">
        <v>216</v>
      </c>
      <c r="J304" s="15">
        <v>910</v>
      </c>
      <c r="K304" s="7">
        <v>31</v>
      </c>
      <c r="L304" s="7">
        <f t="shared" si="45"/>
        <v>29.35483870967742</v>
      </c>
      <c r="M304" s="5" t="s">
        <v>10</v>
      </c>
      <c r="N304" s="5">
        <v>4</v>
      </c>
      <c r="O304" s="6">
        <f t="shared" si="46"/>
        <v>0.49009560353798132</v>
      </c>
      <c r="P304" s="6">
        <f t="shared" si="47"/>
        <v>5.0969942767950062E-2</v>
      </c>
      <c r="Q304" s="10">
        <f t="shared" si="48"/>
        <v>1.0618738076656261E-3</v>
      </c>
      <c r="R304" s="10">
        <f t="shared" si="49"/>
        <v>9.3133887089925389E-3</v>
      </c>
      <c r="S304" s="10">
        <f t="shared" si="50"/>
        <v>1.0375262516658166E-2</v>
      </c>
    </row>
    <row r="305" spans="1:19" x14ac:dyDescent="0.25">
      <c r="A305" s="5" t="s">
        <v>8</v>
      </c>
      <c r="B305" s="5" t="s">
        <v>281</v>
      </c>
      <c r="C305" s="5" t="s">
        <v>27</v>
      </c>
      <c r="D305" s="5" t="s">
        <v>385</v>
      </c>
      <c r="E305" s="5" t="s">
        <v>384</v>
      </c>
      <c r="F305" s="5" t="s">
        <v>45</v>
      </c>
      <c r="G305" s="5" t="s">
        <v>390</v>
      </c>
      <c r="H305" s="5" t="s">
        <v>46</v>
      </c>
      <c r="I305" s="5" t="s">
        <v>216</v>
      </c>
      <c r="J305" s="15">
        <v>990</v>
      </c>
      <c r="K305" s="7">
        <v>25.5</v>
      </c>
      <c r="L305" s="7">
        <f t="shared" si="45"/>
        <v>38.823529411764703</v>
      </c>
      <c r="M305" s="5" t="s">
        <v>10</v>
      </c>
      <c r="N305" s="5">
        <v>4</v>
      </c>
      <c r="O305" s="6">
        <f t="shared" si="46"/>
        <v>0.93262110726643588</v>
      </c>
      <c r="P305" s="6">
        <f t="shared" si="47"/>
        <v>9.6992595155709335E-2</v>
      </c>
      <c r="Q305" s="10">
        <f t="shared" si="48"/>
        <v>2.0206790657439442E-3</v>
      </c>
      <c r="R305" s="10">
        <f t="shared" si="49"/>
        <v>1.5089541872016023E-2</v>
      </c>
      <c r="S305" s="10">
        <f t="shared" si="50"/>
        <v>1.7110220937759969E-2</v>
      </c>
    </row>
    <row r="306" spans="1:19" x14ac:dyDescent="0.25">
      <c r="A306" s="5" t="s">
        <v>8</v>
      </c>
      <c r="B306" s="5" t="s">
        <v>307</v>
      </c>
      <c r="C306" s="5" t="s">
        <v>27</v>
      </c>
      <c r="D306" s="5" t="s">
        <v>385</v>
      </c>
      <c r="E306" s="5" t="s">
        <v>384</v>
      </c>
      <c r="F306" s="5" t="s">
        <v>45</v>
      </c>
      <c r="G306" s="5" t="s">
        <v>390</v>
      </c>
      <c r="H306" s="5" t="s">
        <v>46</v>
      </c>
      <c r="I306" s="5" t="s">
        <v>216</v>
      </c>
      <c r="J306" s="15">
        <v>820</v>
      </c>
      <c r="K306" s="7">
        <v>31</v>
      </c>
      <c r="L306" s="7">
        <f t="shared" si="45"/>
        <v>26.451612903225808</v>
      </c>
      <c r="M306" s="5" t="s">
        <v>10</v>
      </c>
      <c r="N306" s="5">
        <v>4</v>
      </c>
      <c r="O306" s="6">
        <f t="shared" si="46"/>
        <v>0.35859001040582733</v>
      </c>
      <c r="P306" s="6">
        <f t="shared" si="47"/>
        <v>3.7293361082206045E-2</v>
      </c>
      <c r="Q306" s="10">
        <f t="shared" si="48"/>
        <v>7.7694502254595915E-4</v>
      </c>
      <c r="R306" s="10">
        <f t="shared" si="49"/>
        <v>7.3679346366924492E-3</v>
      </c>
      <c r="S306" s="10">
        <f t="shared" si="50"/>
        <v>8.1448796592384076E-3</v>
      </c>
    </row>
    <row r="307" spans="1:19" x14ac:dyDescent="0.25">
      <c r="A307" s="5" t="s">
        <v>8</v>
      </c>
      <c r="B307" s="5" t="s">
        <v>339</v>
      </c>
      <c r="C307" s="5" t="s">
        <v>27</v>
      </c>
      <c r="D307" s="5" t="s">
        <v>385</v>
      </c>
      <c r="E307" s="5" t="s">
        <v>384</v>
      </c>
      <c r="F307" s="5" t="s">
        <v>45</v>
      </c>
      <c r="G307" s="5" t="s">
        <v>390</v>
      </c>
      <c r="H307" s="5" t="s">
        <v>46</v>
      </c>
      <c r="I307" s="5" t="s">
        <v>216</v>
      </c>
      <c r="J307" s="15">
        <v>763</v>
      </c>
      <c r="K307" s="7">
        <v>24.1</v>
      </c>
      <c r="L307" s="7">
        <f t="shared" si="45"/>
        <v>31.659751037344396</v>
      </c>
      <c r="M307" s="5" t="s">
        <v>10</v>
      </c>
      <c r="N307" s="5">
        <v>4</v>
      </c>
      <c r="O307" s="6">
        <f t="shared" si="46"/>
        <v>0.47799080917167397</v>
      </c>
      <c r="P307" s="6">
        <f t="shared" si="47"/>
        <v>4.9711044153854085E-2</v>
      </c>
      <c r="Q307" s="10">
        <f t="shared" si="48"/>
        <v>1.0356467532052936E-3</v>
      </c>
      <c r="R307" s="10">
        <f t="shared" si="49"/>
        <v>9.1403280678869249E-3</v>
      </c>
      <c r="S307" s="10">
        <f t="shared" si="50"/>
        <v>1.0175974821092219E-2</v>
      </c>
    </row>
    <row r="308" spans="1:19" x14ac:dyDescent="0.25">
      <c r="A308" s="5" t="s">
        <v>8</v>
      </c>
      <c r="B308" s="5" t="s">
        <v>214</v>
      </c>
      <c r="C308" s="5" t="s">
        <v>27</v>
      </c>
      <c r="D308" s="5" t="s">
        <v>385</v>
      </c>
      <c r="E308" s="5" t="s">
        <v>384</v>
      </c>
      <c r="F308" s="5" t="s">
        <v>45</v>
      </c>
      <c r="G308" s="5" t="s">
        <v>390</v>
      </c>
      <c r="H308" s="5" t="s">
        <v>46</v>
      </c>
      <c r="I308" s="5" t="s">
        <v>62</v>
      </c>
      <c r="J308" s="15">
        <v>1000</v>
      </c>
      <c r="K308" s="7">
        <v>29</v>
      </c>
      <c r="L308" s="7">
        <f t="shared" si="45"/>
        <v>34.482758620689658</v>
      </c>
      <c r="M308" s="5" t="s">
        <v>10</v>
      </c>
      <c r="N308" s="5">
        <v>4</v>
      </c>
      <c r="O308" s="6">
        <f t="shared" si="46"/>
        <v>0.74316290130796681</v>
      </c>
      <c r="P308" s="6">
        <f t="shared" si="47"/>
        <v>7.7288941736028557E-2</v>
      </c>
      <c r="Q308" s="10">
        <f t="shared" si="48"/>
        <v>1.6101862861672613E-3</v>
      </c>
      <c r="R308" s="10">
        <f t="shared" si="49"/>
        <v>1.27265339526514E-2</v>
      </c>
      <c r="S308" s="10">
        <f t="shared" si="50"/>
        <v>1.4336720238818662E-2</v>
      </c>
    </row>
    <row r="309" spans="1:19" x14ac:dyDescent="0.25">
      <c r="A309" s="5" t="s">
        <v>8</v>
      </c>
      <c r="B309" s="5" t="s">
        <v>197</v>
      </c>
      <c r="C309" s="5" t="s">
        <v>27</v>
      </c>
      <c r="D309" s="5" t="s">
        <v>385</v>
      </c>
      <c r="E309" s="5" t="s">
        <v>384</v>
      </c>
      <c r="F309" s="5" t="s">
        <v>45</v>
      </c>
      <c r="G309" s="5" t="s">
        <v>390</v>
      </c>
      <c r="H309" s="5" t="s">
        <v>46</v>
      </c>
      <c r="I309" s="5" t="s">
        <v>196</v>
      </c>
      <c r="J309" s="15">
        <v>1150</v>
      </c>
      <c r="K309" s="7">
        <v>24.5</v>
      </c>
      <c r="L309" s="7">
        <f t="shared" si="45"/>
        <v>46.938775510204081</v>
      </c>
      <c r="M309" s="5" t="s">
        <v>10</v>
      </c>
      <c r="N309" s="5">
        <v>4</v>
      </c>
      <c r="O309" s="6">
        <f t="shared" si="46"/>
        <v>1.5835849645980844</v>
      </c>
      <c r="P309" s="6">
        <f t="shared" si="47"/>
        <v>0.16469283631820075</v>
      </c>
      <c r="Q309" s="10">
        <f t="shared" si="48"/>
        <v>3.4311007566291828E-3</v>
      </c>
      <c r="R309" s="10">
        <f t="shared" si="49"/>
        <v>2.2445441459619402E-2</v>
      </c>
      <c r="S309" s="10">
        <f t="shared" si="50"/>
        <v>2.5876542216248584E-2</v>
      </c>
    </row>
    <row r="310" spans="1:19" x14ac:dyDescent="0.25">
      <c r="A310" s="5" t="s">
        <v>8</v>
      </c>
      <c r="B310" s="5" t="s">
        <v>191</v>
      </c>
      <c r="C310" s="5" t="s">
        <v>27</v>
      </c>
      <c r="D310" s="5" t="s">
        <v>385</v>
      </c>
      <c r="E310" s="5" t="s">
        <v>384</v>
      </c>
      <c r="F310" s="5" t="s">
        <v>45</v>
      </c>
      <c r="G310" s="5" t="s">
        <v>390</v>
      </c>
      <c r="H310" s="5" t="s">
        <v>46</v>
      </c>
      <c r="I310" s="5" t="s">
        <v>196</v>
      </c>
      <c r="J310" s="15">
        <v>1100</v>
      </c>
      <c r="K310" s="7">
        <v>26</v>
      </c>
      <c r="L310" s="7">
        <f t="shared" si="45"/>
        <v>42.307692307692307</v>
      </c>
      <c r="M310" s="5" t="s">
        <v>10</v>
      </c>
      <c r="N310" s="5">
        <v>4</v>
      </c>
      <c r="O310" s="6">
        <f t="shared" si="46"/>
        <v>1.2305843195266273</v>
      </c>
      <c r="P310" s="6">
        <f t="shared" si="47"/>
        <v>0.12798076923076923</v>
      </c>
      <c r="Q310" s="10">
        <f t="shared" si="48"/>
        <v>2.6662660256410258E-3</v>
      </c>
      <c r="R310" s="10">
        <f t="shared" si="49"/>
        <v>1.8577217122682087E-2</v>
      </c>
      <c r="S310" s="10">
        <f t="shared" si="50"/>
        <v>2.1243483148323111E-2</v>
      </c>
    </row>
    <row r="311" spans="1:19" x14ac:dyDescent="0.25">
      <c r="A311" s="5" t="s">
        <v>8</v>
      </c>
      <c r="B311" s="5" t="s">
        <v>193</v>
      </c>
      <c r="C311" s="5" t="s">
        <v>27</v>
      </c>
      <c r="D311" s="5" t="s">
        <v>385</v>
      </c>
      <c r="E311" s="5" t="s">
        <v>384</v>
      </c>
      <c r="F311" s="5" t="s">
        <v>45</v>
      </c>
      <c r="G311" s="5" t="s">
        <v>390</v>
      </c>
      <c r="H311" s="5" t="s">
        <v>46</v>
      </c>
      <c r="I311" s="5" t="s">
        <v>196</v>
      </c>
      <c r="J311" s="15">
        <v>925</v>
      </c>
      <c r="K311" s="7">
        <v>24</v>
      </c>
      <c r="L311" s="7">
        <f t="shared" si="45"/>
        <v>38.541666666666664</v>
      </c>
      <c r="M311" s="5" t="s">
        <v>10</v>
      </c>
      <c r="N311" s="5">
        <v>4</v>
      </c>
      <c r="O311" s="6">
        <f t="shared" si="46"/>
        <v>0.85878160264756942</v>
      </c>
      <c r="P311" s="6">
        <f t="shared" si="47"/>
        <v>8.9313286675347214E-2</v>
      </c>
      <c r="Q311" s="10">
        <f t="shared" si="48"/>
        <v>1.860693472403067E-3</v>
      </c>
      <c r="R311" s="10">
        <f t="shared" si="49"/>
        <v>1.4184341326858875E-2</v>
      </c>
      <c r="S311" s="10">
        <f t="shared" si="50"/>
        <v>1.6045034799261941E-2</v>
      </c>
    </row>
    <row r="312" spans="1:19" x14ac:dyDescent="0.25">
      <c r="A312" s="5" t="s">
        <v>8</v>
      </c>
      <c r="B312" s="5" t="s">
        <v>198</v>
      </c>
      <c r="C312" s="5" t="s">
        <v>27</v>
      </c>
      <c r="D312" s="5" t="s">
        <v>385</v>
      </c>
      <c r="E312" s="5" t="s">
        <v>384</v>
      </c>
      <c r="F312" s="5" t="s">
        <v>45</v>
      </c>
      <c r="G312" s="5" t="s">
        <v>390</v>
      </c>
      <c r="H312" s="5" t="s">
        <v>46</v>
      </c>
      <c r="I312" s="5" t="s">
        <v>196</v>
      </c>
      <c r="J312" s="15">
        <v>720</v>
      </c>
      <c r="K312" s="7">
        <v>19.5</v>
      </c>
      <c r="L312" s="7">
        <f t="shared" si="45"/>
        <v>36.92307692307692</v>
      </c>
      <c r="M312" s="5" t="s">
        <v>10</v>
      </c>
      <c r="N312" s="5">
        <v>4</v>
      </c>
      <c r="O312" s="6">
        <f t="shared" si="46"/>
        <v>0.6134911242603549</v>
      </c>
      <c r="P312" s="6">
        <f t="shared" si="47"/>
        <v>6.3803076923076907E-2</v>
      </c>
      <c r="Q312" s="10">
        <f t="shared" si="48"/>
        <v>1.329230769230769E-3</v>
      </c>
      <c r="R312" s="10">
        <f t="shared" si="49"/>
        <v>1.1021820585628738E-2</v>
      </c>
      <c r="S312" s="10">
        <f t="shared" si="50"/>
        <v>1.2351051354859506E-2</v>
      </c>
    </row>
    <row r="313" spans="1:19" x14ac:dyDescent="0.25">
      <c r="A313" s="5" t="s">
        <v>8</v>
      </c>
      <c r="B313" s="5" t="s">
        <v>199</v>
      </c>
      <c r="C313" s="5" t="s">
        <v>27</v>
      </c>
      <c r="D313" s="5" t="s">
        <v>385</v>
      </c>
      <c r="E313" s="5" t="s">
        <v>384</v>
      </c>
      <c r="F313" s="5" t="s">
        <v>45</v>
      </c>
      <c r="G313" s="5" t="s">
        <v>390</v>
      </c>
      <c r="H313" s="5" t="s">
        <v>46</v>
      </c>
      <c r="I313" s="5" t="s">
        <v>196</v>
      </c>
      <c r="J313" s="15">
        <v>1090</v>
      </c>
      <c r="K313" s="7">
        <v>25</v>
      </c>
      <c r="L313" s="7">
        <f t="shared" si="45"/>
        <v>43.6</v>
      </c>
      <c r="M313" s="5" t="s">
        <v>10</v>
      </c>
      <c r="N313" s="5">
        <v>4</v>
      </c>
      <c r="O313" s="6">
        <f t="shared" si="46"/>
        <v>1.295029</v>
      </c>
      <c r="P313" s="6">
        <f t="shared" si="47"/>
        <v>0.13468301600000002</v>
      </c>
      <c r="Q313" s="10">
        <f t="shared" si="48"/>
        <v>2.8058961666666666E-3</v>
      </c>
      <c r="R313" s="10">
        <f t="shared" si="49"/>
        <v>1.9302197041295953E-2</v>
      </c>
      <c r="S313" s="10">
        <f t="shared" si="50"/>
        <v>2.2108093207962618E-2</v>
      </c>
    </row>
    <row r="314" spans="1:19" x14ac:dyDescent="0.25">
      <c r="A314" s="5" t="s">
        <v>8</v>
      </c>
      <c r="B314" s="5" t="s">
        <v>200</v>
      </c>
      <c r="C314" s="5" t="s">
        <v>27</v>
      </c>
      <c r="D314" s="5" t="s">
        <v>385</v>
      </c>
      <c r="E314" s="5" t="s">
        <v>384</v>
      </c>
      <c r="F314" s="5" t="s">
        <v>45</v>
      </c>
      <c r="G314" s="5" t="s">
        <v>390</v>
      </c>
      <c r="H314" s="5" t="s">
        <v>46</v>
      </c>
      <c r="I314" s="5" t="s">
        <v>196</v>
      </c>
      <c r="J314" s="15">
        <v>1040</v>
      </c>
      <c r="K314" s="7">
        <v>25.5</v>
      </c>
      <c r="L314" s="7">
        <f t="shared" si="45"/>
        <v>40.784313725490193</v>
      </c>
      <c r="M314" s="5" t="s">
        <v>10</v>
      </c>
      <c r="N314" s="5">
        <v>4</v>
      </c>
      <c r="O314" s="6">
        <f t="shared" si="46"/>
        <v>1.081184159938485</v>
      </c>
      <c r="P314" s="6">
        <f t="shared" si="47"/>
        <v>0.11244315263360244</v>
      </c>
      <c r="Q314" s="10">
        <f t="shared" si="48"/>
        <v>2.3425656798667176E-3</v>
      </c>
      <c r="R314" s="10">
        <f t="shared" si="49"/>
        <v>1.685861450724056E-2</v>
      </c>
      <c r="S314" s="10">
        <f t="shared" si="50"/>
        <v>1.9201180187107276E-2</v>
      </c>
    </row>
    <row r="315" spans="1:19" x14ac:dyDescent="0.25">
      <c r="A315" s="5" t="s">
        <v>8</v>
      </c>
      <c r="B315" s="5" t="s">
        <v>201</v>
      </c>
      <c r="C315" s="5" t="s">
        <v>27</v>
      </c>
      <c r="D315" s="5" t="s">
        <v>385</v>
      </c>
      <c r="E315" s="5" t="s">
        <v>384</v>
      </c>
      <c r="F315" s="5" t="s">
        <v>45</v>
      </c>
      <c r="G315" s="5" t="s">
        <v>390</v>
      </c>
      <c r="H315" s="5" t="s">
        <v>46</v>
      </c>
      <c r="I315" s="5" t="s">
        <v>196</v>
      </c>
      <c r="J315" s="15">
        <v>1020</v>
      </c>
      <c r="K315" s="7">
        <v>23.5</v>
      </c>
      <c r="L315" s="7">
        <f t="shared" si="45"/>
        <v>43.404255319148938</v>
      </c>
      <c r="M315" s="5" t="s">
        <v>10</v>
      </c>
      <c r="N315" s="5">
        <v>4</v>
      </c>
      <c r="O315" s="6">
        <f t="shared" si="46"/>
        <v>1.2010049796287914</v>
      </c>
      <c r="P315" s="6">
        <f t="shared" si="47"/>
        <v>0.1249045178813943</v>
      </c>
      <c r="Q315" s="10">
        <f t="shared" si="48"/>
        <v>2.6021774558623811E-3</v>
      </c>
      <c r="R315" s="10">
        <f t="shared" si="49"/>
        <v>1.824129766845984E-2</v>
      </c>
      <c r="S315" s="10">
        <f t="shared" si="50"/>
        <v>2.0843475124322219E-2</v>
      </c>
    </row>
    <row r="316" spans="1:19" x14ac:dyDescent="0.25">
      <c r="A316" s="5" t="s">
        <v>8</v>
      </c>
      <c r="B316" s="5" t="s">
        <v>300</v>
      </c>
      <c r="C316" s="5" t="s">
        <v>27</v>
      </c>
      <c r="D316" s="5" t="s">
        <v>385</v>
      </c>
      <c r="E316" s="5" t="s">
        <v>384</v>
      </c>
      <c r="F316" s="5" t="s">
        <v>45</v>
      </c>
      <c r="G316" s="5" t="s">
        <v>390</v>
      </c>
      <c r="H316" s="5" t="s">
        <v>46</v>
      </c>
      <c r="I316" s="5" t="s">
        <v>196</v>
      </c>
      <c r="J316" s="15">
        <v>1195</v>
      </c>
      <c r="K316" s="7">
        <v>24</v>
      </c>
      <c r="L316" s="7">
        <f t="shared" si="45"/>
        <v>49.791666666666664</v>
      </c>
      <c r="M316" s="5" t="s">
        <v>10</v>
      </c>
      <c r="N316" s="5">
        <v>4</v>
      </c>
      <c r="O316" s="6">
        <f t="shared" si="46"/>
        <v>1.8516600206163194</v>
      </c>
      <c r="P316" s="6">
        <f t="shared" si="47"/>
        <v>0.19257264214409722</v>
      </c>
      <c r="Q316" s="10">
        <f t="shared" si="48"/>
        <v>4.0119300446686918E-3</v>
      </c>
      <c r="R316" s="10">
        <f t="shared" si="49"/>
        <v>2.5238762776790758E-2</v>
      </c>
      <c r="S316" s="10">
        <f t="shared" si="50"/>
        <v>2.9250692821459451E-2</v>
      </c>
    </row>
    <row r="317" spans="1:19" x14ac:dyDescent="0.25">
      <c r="A317" s="5" t="s">
        <v>8</v>
      </c>
      <c r="B317" s="5" t="s">
        <v>322</v>
      </c>
      <c r="C317" s="5" t="s">
        <v>27</v>
      </c>
      <c r="D317" s="5" t="s">
        <v>385</v>
      </c>
      <c r="E317" s="5" t="s">
        <v>384</v>
      </c>
      <c r="F317" s="5" t="s">
        <v>45</v>
      </c>
      <c r="G317" s="5" t="s">
        <v>390</v>
      </c>
      <c r="H317" s="5" t="s">
        <v>46</v>
      </c>
      <c r="I317" s="5" t="s">
        <v>196</v>
      </c>
      <c r="J317" s="15">
        <v>840</v>
      </c>
      <c r="K317" s="7">
        <v>25</v>
      </c>
      <c r="L317" s="7">
        <f t="shared" si="45"/>
        <v>33.6</v>
      </c>
      <c r="M317" s="5" t="s">
        <v>10</v>
      </c>
      <c r="N317" s="5">
        <v>4</v>
      </c>
      <c r="O317" s="6">
        <f t="shared" si="46"/>
        <v>0.59270400000000001</v>
      </c>
      <c r="P317" s="6">
        <f t="shared" si="47"/>
        <v>6.1641216000000006E-2</v>
      </c>
      <c r="Q317" s="10">
        <f t="shared" si="48"/>
        <v>1.284192E-3</v>
      </c>
      <c r="R317" s="10">
        <f t="shared" si="49"/>
        <v>1.0740525188849282E-2</v>
      </c>
      <c r="S317" s="10">
        <f t="shared" si="50"/>
        <v>1.2024717188849282E-2</v>
      </c>
    </row>
    <row r="318" spans="1:19" x14ac:dyDescent="0.25">
      <c r="A318" s="5" t="s">
        <v>8</v>
      </c>
      <c r="B318" s="5" t="s">
        <v>328</v>
      </c>
      <c r="C318" s="5" t="s">
        <v>27</v>
      </c>
      <c r="D318" s="5" t="s">
        <v>385</v>
      </c>
      <c r="E318" s="5" t="s">
        <v>384</v>
      </c>
      <c r="F318" s="5" t="s">
        <v>45</v>
      </c>
      <c r="G318" s="5" t="s">
        <v>390</v>
      </c>
      <c r="H318" s="5" t="s">
        <v>46</v>
      </c>
      <c r="I318" s="5" t="s">
        <v>196</v>
      </c>
      <c r="J318" s="15">
        <v>1022</v>
      </c>
      <c r="K318" s="7">
        <v>24.8</v>
      </c>
      <c r="L318" s="7">
        <f t="shared" si="45"/>
        <v>41.20967741935484</v>
      </c>
      <c r="M318" s="5" t="s">
        <v>10</v>
      </c>
      <c r="N318" s="5">
        <v>4</v>
      </c>
      <c r="O318" s="6">
        <f t="shared" si="46"/>
        <v>1.0847492114334027</v>
      </c>
      <c r="P318" s="6">
        <f t="shared" si="47"/>
        <v>0.11281391798907389</v>
      </c>
      <c r="Q318" s="10">
        <f t="shared" si="48"/>
        <v>2.3502899581057056E-3</v>
      </c>
      <c r="R318" s="10">
        <f t="shared" si="49"/>
        <v>1.6900289015310911E-2</v>
      </c>
      <c r="S318" s="10">
        <f t="shared" si="50"/>
        <v>1.9250578973416616E-2</v>
      </c>
    </row>
    <row r="319" spans="1:19" x14ac:dyDescent="0.25">
      <c r="A319" s="5" t="s">
        <v>8</v>
      </c>
      <c r="B319" s="5" t="s">
        <v>339</v>
      </c>
      <c r="C319" s="5" t="s">
        <v>27</v>
      </c>
      <c r="D319" s="5" t="s">
        <v>385</v>
      </c>
      <c r="E319" s="5" t="s">
        <v>384</v>
      </c>
      <c r="F319" s="5" t="s">
        <v>45</v>
      </c>
      <c r="G319" s="5" t="s">
        <v>390</v>
      </c>
      <c r="H319" s="5" t="s">
        <v>46</v>
      </c>
      <c r="I319" s="5" t="s">
        <v>196</v>
      </c>
      <c r="J319" s="15">
        <v>880</v>
      </c>
      <c r="K319" s="7">
        <v>22.6</v>
      </c>
      <c r="L319" s="7">
        <f t="shared" si="45"/>
        <v>38.938053097345133</v>
      </c>
      <c r="M319" s="5" t="s">
        <v>10</v>
      </c>
      <c r="N319" s="5">
        <v>4</v>
      </c>
      <c r="O319" s="6">
        <f t="shared" si="46"/>
        <v>0.83389458845641784</v>
      </c>
      <c r="P319" s="6">
        <f t="shared" si="47"/>
        <v>8.6725037199467447E-2</v>
      </c>
      <c r="Q319" s="10">
        <f t="shared" si="48"/>
        <v>1.8067716083222385E-3</v>
      </c>
      <c r="R319" s="10">
        <f t="shared" si="49"/>
        <v>1.3874920102171794E-2</v>
      </c>
      <c r="S319" s="10">
        <f t="shared" si="50"/>
        <v>1.5681691710494033E-2</v>
      </c>
    </row>
    <row r="320" spans="1:19" x14ac:dyDescent="0.25">
      <c r="A320" s="5" t="s">
        <v>8</v>
      </c>
      <c r="B320" s="5" t="s">
        <v>339</v>
      </c>
      <c r="C320" s="5" t="s">
        <v>27</v>
      </c>
      <c r="D320" s="5" t="s">
        <v>385</v>
      </c>
      <c r="E320" s="5" t="s">
        <v>384</v>
      </c>
      <c r="F320" s="5" t="s">
        <v>45</v>
      </c>
      <c r="G320" s="5" t="s">
        <v>390</v>
      </c>
      <c r="H320" s="5" t="s">
        <v>46</v>
      </c>
      <c r="I320" s="5" t="s">
        <v>196</v>
      </c>
      <c r="J320" s="15">
        <v>820</v>
      </c>
      <c r="K320" s="7">
        <v>21.8</v>
      </c>
      <c r="L320" s="7">
        <f t="shared" si="45"/>
        <v>37.61467889908257</v>
      </c>
      <c r="M320" s="5" t="s">
        <v>10</v>
      </c>
      <c r="N320" s="5">
        <v>4</v>
      </c>
      <c r="O320" s="6">
        <f t="shared" si="46"/>
        <v>0.72511783519905726</v>
      </c>
      <c r="P320" s="6">
        <f t="shared" si="47"/>
        <v>7.5412254860701966E-2</v>
      </c>
      <c r="Q320" s="10">
        <f t="shared" si="48"/>
        <v>1.5710886429312907E-3</v>
      </c>
      <c r="R320" s="10">
        <f t="shared" si="49"/>
        <v>1.2494059354586017E-2</v>
      </c>
      <c r="S320" s="10">
        <f t="shared" si="50"/>
        <v>1.4065147997517308E-2</v>
      </c>
    </row>
    <row r="321" spans="1:19" x14ac:dyDescent="0.25">
      <c r="A321" s="5" t="s">
        <v>8</v>
      </c>
      <c r="B321" s="5" t="s">
        <v>192</v>
      </c>
      <c r="C321" s="5" t="s">
        <v>27</v>
      </c>
      <c r="D321" s="5" t="s">
        <v>385</v>
      </c>
      <c r="E321" s="5" t="s">
        <v>384</v>
      </c>
      <c r="F321" s="5" t="s">
        <v>45</v>
      </c>
      <c r="G321" s="5" t="s">
        <v>390</v>
      </c>
      <c r="H321" s="5" t="s">
        <v>46</v>
      </c>
      <c r="I321" s="5" t="s">
        <v>212</v>
      </c>
      <c r="J321" s="15">
        <v>730</v>
      </c>
      <c r="K321" s="7">
        <v>24.3</v>
      </c>
      <c r="L321" s="7">
        <f t="shared" si="45"/>
        <v>30.041152263374485</v>
      </c>
      <c r="M321" s="5" t="s">
        <v>10</v>
      </c>
      <c r="N321" s="5">
        <v>4</v>
      </c>
      <c r="O321" s="6">
        <f t="shared" si="46"/>
        <v>0.41175231587325783</v>
      </c>
      <c r="P321" s="6">
        <f t="shared" si="47"/>
        <v>4.2822240850818816E-2</v>
      </c>
      <c r="Q321" s="10">
        <f t="shared" si="48"/>
        <v>8.9213001772539199E-4</v>
      </c>
      <c r="R321" s="10">
        <f t="shared" si="49"/>
        <v>8.1728619312888239E-3</v>
      </c>
      <c r="S321" s="10">
        <f t="shared" si="50"/>
        <v>9.0649919490142158E-3</v>
      </c>
    </row>
    <row r="322" spans="1:19" x14ac:dyDescent="0.25">
      <c r="A322" s="5" t="s">
        <v>22</v>
      </c>
      <c r="B322" s="5" t="s">
        <v>63</v>
      </c>
      <c r="C322" s="5" t="s">
        <v>27</v>
      </c>
      <c r="D322" s="5" t="s">
        <v>385</v>
      </c>
      <c r="E322" s="5" t="s">
        <v>384</v>
      </c>
      <c r="F322" s="5" t="s">
        <v>45</v>
      </c>
      <c r="G322" s="5" t="s">
        <v>390</v>
      </c>
      <c r="H322" s="5" t="s">
        <v>46</v>
      </c>
      <c r="I322" s="5" t="s">
        <v>152</v>
      </c>
      <c r="J322" s="15">
        <v>2050</v>
      </c>
      <c r="K322" s="7">
        <v>48</v>
      </c>
      <c r="L322" s="7">
        <f t="shared" si="45"/>
        <v>42.708333333333336</v>
      </c>
      <c r="M322" s="5" t="s">
        <v>10</v>
      </c>
      <c r="N322" s="5">
        <v>4</v>
      </c>
      <c r="O322" s="6">
        <f t="shared" si="46"/>
        <v>2.3370022243923612</v>
      </c>
      <c r="P322" s="6">
        <f t="shared" si="47"/>
        <v>0.24304823133680559</v>
      </c>
      <c r="Q322" s="10">
        <f t="shared" si="48"/>
        <v>5.0635048195167825E-3</v>
      </c>
      <c r="R322" s="10">
        <f t="shared" si="49"/>
        <v>3.0053251699317985E-2</v>
      </c>
      <c r="S322" s="10">
        <f t="shared" si="50"/>
        <v>3.5116756518834766E-2</v>
      </c>
    </row>
    <row r="323" spans="1:19" x14ac:dyDescent="0.25">
      <c r="A323" s="5" t="s">
        <v>8</v>
      </c>
      <c r="B323" s="5" t="s">
        <v>375</v>
      </c>
      <c r="C323" s="5" t="s">
        <v>27</v>
      </c>
      <c r="D323" s="5" t="s">
        <v>385</v>
      </c>
      <c r="E323" s="5" t="s">
        <v>384</v>
      </c>
      <c r="F323" s="5" t="s">
        <v>45</v>
      </c>
      <c r="G323" s="5" t="s">
        <v>390</v>
      </c>
      <c r="H323" s="5" t="s">
        <v>46</v>
      </c>
      <c r="I323" s="5" t="s">
        <v>152</v>
      </c>
      <c r="J323" s="15">
        <v>2000</v>
      </c>
      <c r="K323" s="7">
        <v>47</v>
      </c>
      <c r="L323" s="7">
        <f t="shared" si="45"/>
        <v>42.553191489361701</v>
      </c>
      <c r="M323" s="5" t="s">
        <v>10</v>
      </c>
      <c r="N323" s="5">
        <v>4</v>
      </c>
      <c r="O323" s="6">
        <f t="shared" si="46"/>
        <v>2.2634676324128562</v>
      </c>
      <c r="P323" s="6">
        <f t="shared" si="47"/>
        <v>0.23540063377093706</v>
      </c>
      <c r="Q323" s="10">
        <f t="shared" si="48"/>
        <v>4.9041798702278549E-3</v>
      </c>
      <c r="R323" s="10">
        <f t="shared" si="49"/>
        <v>2.9341197903551185E-2</v>
      </c>
      <c r="S323" s="10">
        <f t="shared" si="50"/>
        <v>3.4245377773779041E-2</v>
      </c>
    </row>
    <row r="324" spans="1:19" x14ac:dyDescent="0.25">
      <c r="A324" s="5" t="s">
        <v>8</v>
      </c>
      <c r="B324" s="5" t="s">
        <v>300</v>
      </c>
      <c r="C324" s="5" t="s">
        <v>27</v>
      </c>
      <c r="D324" s="5" t="s">
        <v>385</v>
      </c>
      <c r="E324" s="5" t="s">
        <v>384</v>
      </c>
      <c r="F324" s="5" t="s">
        <v>45</v>
      </c>
      <c r="G324" s="5" t="s">
        <v>390</v>
      </c>
      <c r="H324" s="5" t="s">
        <v>46</v>
      </c>
      <c r="I324" s="5" t="s">
        <v>302</v>
      </c>
      <c r="J324" s="15">
        <v>1357</v>
      </c>
      <c r="K324" s="7">
        <v>29</v>
      </c>
      <c r="L324" s="7">
        <f t="shared" si="45"/>
        <v>46.793103448275865</v>
      </c>
      <c r="M324" s="5" t="s">
        <v>10</v>
      </c>
      <c r="N324" s="5">
        <v>4</v>
      </c>
      <c r="O324" s="6">
        <f t="shared" si="46"/>
        <v>1.8570498610285375</v>
      </c>
      <c r="P324" s="6">
        <f t="shared" si="47"/>
        <v>0.19313318554696787</v>
      </c>
      <c r="Q324" s="10">
        <f t="shared" si="48"/>
        <v>4.0236080322284982E-3</v>
      </c>
      <c r="R324" s="10">
        <f t="shared" si="49"/>
        <v>2.5293841786768613E-2</v>
      </c>
      <c r="S324" s="10">
        <f t="shared" si="50"/>
        <v>2.9317449818997112E-2</v>
      </c>
    </row>
    <row r="325" spans="1:19" x14ac:dyDescent="0.25">
      <c r="A325" s="5" t="s">
        <v>8</v>
      </c>
      <c r="B325" s="5" t="s">
        <v>328</v>
      </c>
      <c r="C325" s="5" t="s">
        <v>27</v>
      </c>
      <c r="D325" s="5" t="s">
        <v>385</v>
      </c>
      <c r="E325" s="5" t="s">
        <v>384</v>
      </c>
      <c r="F325" s="5" t="s">
        <v>45</v>
      </c>
      <c r="G325" s="5" t="s">
        <v>390</v>
      </c>
      <c r="H325" s="5" t="s">
        <v>46</v>
      </c>
      <c r="I325" s="5" t="s">
        <v>302</v>
      </c>
      <c r="J325" s="15">
        <v>1363</v>
      </c>
      <c r="K325" s="7">
        <v>28.2</v>
      </c>
      <c r="L325" s="7">
        <f t="shared" si="45"/>
        <v>48.333333333333336</v>
      </c>
      <c r="M325" s="5" t="s">
        <v>10</v>
      </c>
      <c r="N325" s="5">
        <v>4</v>
      </c>
      <c r="O325" s="6">
        <f t="shared" si="46"/>
        <v>1.9900746527777777</v>
      </c>
      <c r="P325" s="6">
        <f t="shared" si="47"/>
        <v>0.20696776388888888</v>
      </c>
      <c r="Q325" s="10">
        <f t="shared" si="48"/>
        <v>4.3118284143518516E-3</v>
      </c>
      <c r="R325" s="10">
        <f t="shared" si="49"/>
        <v>2.6640915833609679E-2</v>
      </c>
      <c r="S325" s="10">
        <f t="shared" si="50"/>
        <v>3.0952744247961531E-2</v>
      </c>
    </row>
    <row r="326" spans="1:19" x14ac:dyDescent="0.25">
      <c r="A326" s="5" t="s">
        <v>8</v>
      </c>
      <c r="B326" s="5" t="s">
        <v>354</v>
      </c>
      <c r="C326" s="5" t="s">
        <v>27</v>
      </c>
      <c r="D326" s="5" t="s">
        <v>385</v>
      </c>
      <c r="E326" s="5" t="s">
        <v>384</v>
      </c>
      <c r="F326" s="5" t="s">
        <v>45</v>
      </c>
      <c r="G326" s="5" t="s">
        <v>390</v>
      </c>
      <c r="H326" s="5" t="s">
        <v>46</v>
      </c>
      <c r="I326" s="5" t="s">
        <v>302</v>
      </c>
      <c r="J326" s="15">
        <v>1350</v>
      </c>
      <c r="K326" s="7">
        <v>32.5</v>
      </c>
      <c r="L326" s="7">
        <f t="shared" si="45"/>
        <v>41.53846153846154</v>
      </c>
      <c r="M326" s="5" t="s">
        <v>10</v>
      </c>
      <c r="N326" s="5">
        <v>4</v>
      </c>
      <c r="O326" s="6">
        <f t="shared" si="46"/>
        <v>1.4558431952662723</v>
      </c>
      <c r="P326" s="6">
        <f t="shared" si="47"/>
        <v>0.15140769230769233</v>
      </c>
      <c r="Q326" s="10">
        <f t="shared" si="48"/>
        <v>3.1543269230769229E-3</v>
      </c>
      <c r="R326" s="10">
        <f t="shared" si="49"/>
        <v>2.107332548180799E-2</v>
      </c>
      <c r="S326" s="10">
        <f t="shared" si="50"/>
        <v>2.4227652404884913E-2</v>
      </c>
    </row>
    <row r="327" spans="1:19" x14ac:dyDescent="0.25">
      <c r="A327" s="5" t="s">
        <v>22</v>
      </c>
      <c r="B327" s="5" t="s">
        <v>26</v>
      </c>
      <c r="C327" s="5" t="s">
        <v>27</v>
      </c>
      <c r="D327" s="5" t="s">
        <v>385</v>
      </c>
      <c r="E327" s="5" t="s">
        <v>384</v>
      </c>
      <c r="F327" s="5" t="s">
        <v>45</v>
      </c>
      <c r="G327" s="5" t="s">
        <v>390</v>
      </c>
      <c r="H327" s="5" t="s">
        <v>46</v>
      </c>
      <c r="I327" s="5" t="s">
        <v>48</v>
      </c>
      <c r="J327" s="15">
        <v>1300</v>
      </c>
      <c r="K327" s="7">
        <v>31.5</v>
      </c>
      <c r="L327" s="7">
        <f t="shared" si="45"/>
        <v>41.269841269841272</v>
      </c>
      <c r="M327" s="5" t="s">
        <v>10</v>
      </c>
      <c r="N327" s="5">
        <v>4</v>
      </c>
      <c r="O327" s="6">
        <f t="shared" si="46"/>
        <v>1.3838498362307887</v>
      </c>
      <c r="P327" s="6">
        <f t="shared" si="47"/>
        <v>0.14392038296800203</v>
      </c>
      <c r="Q327" s="10">
        <f t="shared" si="48"/>
        <v>2.9983413118333754E-3</v>
      </c>
      <c r="R327" s="10">
        <f t="shared" si="49"/>
        <v>2.0286814091063157E-2</v>
      </c>
      <c r="S327" s="10">
        <f t="shared" si="50"/>
        <v>2.3285155402896534E-2</v>
      </c>
    </row>
    <row r="328" spans="1:19" x14ac:dyDescent="0.25">
      <c r="A328" s="5" t="s">
        <v>8</v>
      </c>
      <c r="B328" s="5" t="s">
        <v>191</v>
      </c>
      <c r="C328" s="5" t="s">
        <v>27</v>
      </c>
      <c r="D328" s="5" t="s">
        <v>385</v>
      </c>
      <c r="E328" s="5" t="s">
        <v>384</v>
      </c>
      <c r="F328" s="5" t="s">
        <v>45</v>
      </c>
      <c r="G328" s="5" t="s">
        <v>390</v>
      </c>
      <c r="H328" s="5" t="s">
        <v>46</v>
      </c>
      <c r="I328" s="5" t="s">
        <v>48</v>
      </c>
      <c r="J328" s="15">
        <v>1700</v>
      </c>
      <c r="K328" s="7">
        <v>30</v>
      </c>
      <c r="L328" s="7">
        <f t="shared" ref="L328:L391" si="51">J328/K328</f>
        <v>56.666666666666664</v>
      </c>
      <c r="M328" s="5" t="s">
        <v>10</v>
      </c>
      <c r="N328" s="5">
        <v>4</v>
      </c>
      <c r="O328" s="6">
        <f t="shared" ref="O328:O391" si="52">(J328*L328^2)/(1.6*10^6)</f>
        <v>3.4118055555555551</v>
      </c>
      <c r="P328" s="6">
        <f t="shared" ref="P328:P391" si="53">(0.104*J328*L328^2)/(1.6*10^6)</f>
        <v>0.35482777777777774</v>
      </c>
      <c r="Q328" s="10">
        <f t="shared" ref="Q328:Q391" si="54">(0.104*O328)/(12*N328)</f>
        <v>7.3922453703703685E-3</v>
      </c>
      <c r="R328" s="10">
        <f t="shared" ref="R328:R391" si="55">0.0159*O328^0.75</f>
        <v>3.9914925990768291E-2</v>
      </c>
      <c r="S328" s="10">
        <f t="shared" ref="S328:S391" si="56">Q328+R328</f>
        <v>4.7307171361138656E-2</v>
      </c>
    </row>
    <row r="329" spans="1:19" x14ac:dyDescent="0.25">
      <c r="A329" s="5" t="s">
        <v>8</v>
      </c>
      <c r="B329" s="5" t="s">
        <v>192</v>
      </c>
      <c r="C329" s="5" t="s">
        <v>27</v>
      </c>
      <c r="D329" s="5" t="s">
        <v>385</v>
      </c>
      <c r="E329" s="5" t="s">
        <v>384</v>
      </c>
      <c r="F329" s="5" t="s">
        <v>45</v>
      </c>
      <c r="G329" s="5" t="s">
        <v>390</v>
      </c>
      <c r="H329" s="5" t="s">
        <v>46</v>
      </c>
      <c r="I329" s="5" t="s">
        <v>48</v>
      </c>
      <c r="J329" s="15">
        <v>1590</v>
      </c>
      <c r="K329" s="7">
        <v>29.6</v>
      </c>
      <c r="L329" s="7">
        <f t="shared" si="51"/>
        <v>53.71621621621621</v>
      </c>
      <c r="M329" s="5" t="s">
        <v>10</v>
      </c>
      <c r="N329" s="5">
        <v>4</v>
      </c>
      <c r="O329" s="6">
        <f t="shared" si="52"/>
        <v>2.867397935308619</v>
      </c>
      <c r="P329" s="6">
        <f t="shared" si="53"/>
        <v>0.29820938527209634</v>
      </c>
      <c r="Q329" s="10">
        <f t="shared" si="54"/>
        <v>6.2126955265020068E-3</v>
      </c>
      <c r="R329" s="10">
        <f t="shared" si="55"/>
        <v>3.5035885669132544E-2</v>
      </c>
      <c r="S329" s="10">
        <f t="shared" si="56"/>
        <v>4.124858119563455E-2</v>
      </c>
    </row>
    <row r="330" spans="1:19" x14ac:dyDescent="0.25">
      <c r="A330" s="5" t="s">
        <v>8</v>
      </c>
      <c r="B330" s="5" t="s">
        <v>214</v>
      </c>
      <c r="C330" s="5" t="s">
        <v>27</v>
      </c>
      <c r="D330" s="5" t="s">
        <v>385</v>
      </c>
      <c r="E330" s="5" t="s">
        <v>384</v>
      </c>
      <c r="F330" s="5" t="s">
        <v>45</v>
      </c>
      <c r="G330" s="5" t="s">
        <v>390</v>
      </c>
      <c r="H330" s="5" t="s">
        <v>46</v>
      </c>
      <c r="I330" s="5" t="s">
        <v>48</v>
      </c>
      <c r="J330" s="15">
        <v>1100</v>
      </c>
      <c r="K330" s="7">
        <v>27</v>
      </c>
      <c r="L330" s="7">
        <f t="shared" si="51"/>
        <v>40.74074074074074</v>
      </c>
      <c r="M330" s="5" t="s">
        <v>10</v>
      </c>
      <c r="N330" s="5">
        <v>4</v>
      </c>
      <c r="O330" s="6">
        <f t="shared" si="52"/>
        <v>1.1411179698216736</v>
      </c>
      <c r="P330" s="6">
        <f t="shared" si="53"/>
        <v>0.11867626886145402</v>
      </c>
      <c r="Q330" s="10">
        <f t="shared" si="54"/>
        <v>2.4724222679469595E-3</v>
      </c>
      <c r="R330" s="10">
        <f t="shared" si="55"/>
        <v>1.7554765509974736E-2</v>
      </c>
      <c r="S330" s="10">
        <f t="shared" si="56"/>
        <v>2.0027187777921694E-2</v>
      </c>
    </row>
    <row r="331" spans="1:19" x14ac:dyDescent="0.25">
      <c r="A331" s="5" t="s">
        <v>8</v>
      </c>
      <c r="B331" s="5" t="s">
        <v>291</v>
      </c>
      <c r="C331" s="5" t="s">
        <v>27</v>
      </c>
      <c r="D331" s="5" t="s">
        <v>385</v>
      </c>
      <c r="E331" s="5" t="s">
        <v>384</v>
      </c>
      <c r="F331" s="5" t="s">
        <v>45</v>
      </c>
      <c r="G331" s="5" t="s">
        <v>390</v>
      </c>
      <c r="H331" s="5" t="s">
        <v>46</v>
      </c>
      <c r="I331" s="5" t="s">
        <v>48</v>
      </c>
      <c r="J331" s="15">
        <v>980</v>
      </c>
      <c r="K331" s="7">
        <v>26</v>
      </c>
      <c r="L331" s="7">
        <f t="shared" si="51"/>
        <v>37.692307692307693</v>
      </c>
      <c r="M331" s="5" t="s">
        <v>10</v>
      </c>
      <c r="N331" s="5">
        <v>4</v>
      </c>
      <c r="O331" s="6">
        <f t="shared" si="52"/>
        <v>0.87018491124260366</v>
      </c>
      <c r="P331" s="6">
        <f t="shared" si="53"/>
        <v>9.0499230769230776E-2</v>
      </c>
      <c r="Q331" s="10">
        <f t="shared" si="54"/>
        <v>1.8854006410256412E-3</v>
      </c>
      <c r="R331" s="10">
        <f t="shared" si="55"/>
        <v>1.4325367948525116E-2</v>
      </c>
      <c r="S331" s="10">
        <f t="shared" si="56"/>
        <v>1.6210768589550756E-2</v>
      </c>
    </row>
    <row r="332" spans="1:19" x14ac:dyDescent="0.25">
      <c r="A332" s="5" t="s">
        <v>8</v>
      </c>
      <c r="B332" s="5" t="s">
        <v>300</v>
      </c>
      <c r="C332" s="5" t="s">
        <v>27</v>
      </c>
      <c r="D332" s="5" t="s">
        <v>385</v>
      </c>
      <c r="E332" s="5" t="s">
        <v>384</v>
      </c>
      <c r="F332" s="5" t="s">
        <v>45</v>
      </c>
      <c r="G332" s="5" t="s">
        <v>390</v>
      </c>
      <c r="H332" s="5" t="s">
        <v>46</v>
      </c>
      <c r="I332" s="5" t="s">
        <v>48</v>
      </c>
      <c r="J332" s="15">
        <v>980</v>
      </c>
      <c r="K332" s="7">
        <v>26</v>
      </c>
      <c r="L332" s="7">
        <f t="shared" si="51"/>
        <v>37.692307692307693</v>
      </c>
      <c r="M332" s="5" t="s">
        <v>10</v>
      </c>
      <c r="N332" s="5">
        <v>4</v>
      </c>
      <c r="O332" s="6">
        <f t="shared" si="52"/>
        <v>0.87018491124260366</v>
      </c>
      <c r="P332" s="6">
        <f t="shared" si="53"/>
        <v>9.0499230769230776E-2</v>
      </c>
      <c r="Q332" s="10">
        <f t="shared" si="54"/>
        <v>1.8854006410256412E-3</v>
      </c>
      <c r="R332" s="10">
        <f t="shared" si="55"/>
        <v>1.4325367948525116E-2</v>
      </c>
      <c r="S332" s="10">
        <f t="shared" si="56"/>
        <v>1.6210768589550756E-2</v>
      </c>
    </row>
    <row r="333" spans="1:19" x14ac:dyDescent="0.25">
      <c r="A333" s="5" t="s">
        <v>8</v>
      </c>
      <c r="B333" s="5" t="s">
        <v>307</v>
      </c>
      <c r="C333" s="5" t="s">
        <v>27</v>
      </c>
      <c r="D333" s="5" t="s">
        <v>385</v>
      </c>
      <c r="E333" s="5" t="s">
        <v>384</v>
      </c>
      <c r="F333" s="5" t="s">
        <v>45</v>
      </c>
      <c r="G333" s="5" t="s">
        <v>390</v>
      </c>
      <c r="H333" s="5" t="s">
        <v>46</v>
      </c>
      <c r="I333" s="5" t="s">
        <v>48</v>
      </c>
      <c r="J333" s="15">
        <v>1600</v>
      </c>
      <c r="K333" s="7">
        <v>31.2</v>
      </c>
      <c r="L333" s="7">
        <f t="shared" si="51"/>
        <v>51.282051282051285</v>
      </c>
      <c r="M333" s="5" t="s">
        <v>10</v>
      </c>
      <c r="N333" s="5">
        <v>4</v>
      </c>
      <c r="O333" s="6">
        <f t="shared" si="52"/>
        <v>2.6298487836949382</v>
      </c>
      <c r="P333" s="6">
        <f t="shared" si="53"/>
        <v>0.27350427350427353</v>
      </c>
      <c r="Q333" s="10">
        <f t="shared" si="54"/>
        <v>5.6980056980057E-3</v>
      </c>
      <c r="R333" s="10">
        <f t="shared" si="55"/>
        <v>3.2835618960862005E-2</v>
      </c>
      <c r="S333" s="10">
        <f t="shared" si="56"/>
        <v>3.8533624658867706E-2</v>
      </c>
    </row>
    <row r="334" spans="1:19" x14ac:dyDescent="0.25">
      <c r="A334" s="5" t="s">
        <v>8</v>
      </c>
      <c r="B334" s="5" t="s">
        <v>339</v>
      </c>
      <c r="C334" s="5" t="s">
        <v>27</v>
      </c>
      <c r="D334" s="5" t="s">
        <v>385</v>
      </c>
      <c r="E334" s="5" t="s">
        <v>384</v>
      </c>
      <c r="F334" s="5" t="s">
        <v>45</v>
      </c>
      <c r="G334" s="5" t="s">
        <v>390</v>
      </c>
      <c r="H334" s="5" t="s">
        <v>46</v>
      </c>
      <c r="I334" s="5" t="s">
        <v>48</v>
      </c>
      <c r="J334" s="15">
        <v>1080</v>
      </c>
      <c r="K334" s="7">
        <v>28.5</v>
      </c>
      <c r="L334" s="7">
        <f t="shared" si="51"/>
        <v>37.89473684210526</v>
      </c>
      <c r="M334" s="5" t="s">
        <v>10</v>
      </c>
      <c r="N334" s="5">
        <v>4</v>
      </c>
      <c r="O334" s="6">
        <f t="shared" si="52"/>
        <v>0.96930747922437654</v>
      </c>
      <c r="P334" s="6">
        <f t="shared" si="53"/>
        <v>0.10080797783933516</v>
      </c>
      <c r="Q334" s="10">
        <f t="shared" si="54"/>
        <v>2.1001662049861488E-3</v>
      </c>
      <c r="R334" s="10">
        <f t="shared" si="55"/>
        <v>1.5532569200814635E-2</v>
      </c>
      <c r="S334" s="10">
        <f t="shared" si="56"/>
        <v>1.7632735405800785E-2</v>
      </c>
    </row>
    <row r="335" spans="1:19" x14ac:dyDescent="0.25">
      <c r="A335" s="5" t="s">
        <v>8</v>
      </c>
      <c r="B335" s="5" t="s">
        <v>339</v>
      </c>
      <c r="C335" s="5" t="s">
        <v>27</v>
      </c>
      <c r="D335" s="5" t="s">
        <v>385</v>
      </c>
      <c r="E335" s="5" t="s">
        <v>384</v>
      </c>
      <c r="F335" s="5" t="s">
        <v>45</v>
      </c>
      <c r="G335" s="5" t="s">
        <v>390</v>
      </c>
      <c r="H335" s="5" t="s">
        <v>46</v>
      </c>
      <c r="I335" s="5" t="s">
        <v>48</v>
      </c>
      <c r="J335" s="15">
        <v>962</v>
      </c>
      <c r="K335" s="7">
        <v>25</v>
      </c>
      <c r="L335" s="7">
        <f t="shared" si="51"/>
        <v>38.479999999999997</v>
      </c>
      <c r="M335" s="5" t="s">
        <v>10</v>
      </c>
      <c r="N335" s="5">
        <v>4</v>
      </c>
      <c r="O335" s="6">
        <f t="shared" si="52"/>
        <v>0.89027712799999981</v>
      </c>
      <c r="P335" s="6">
        <f t="shared" si="53"/>
        <v>9.2588821311999983E-2</v>
      </c>
      <c r="Q335" s="10">
        <f t="shared" si="54"/>
        <v>1.9289337773333328E-3</v>
      </c>
      <c r="R335" s="10">
        <f t="shared" si="55"/>
        <v>1.4572733957196257E-2</v>
      </c>
      <c r="S335" s="10">
        <f t="shared" si="56"/>
        <v>1.6501667734529591E-2</v>
      </c>
    </row>
    <row r="336" spans="1:19" x14ac:dyDescent="0.25">
      <c r="A336" s="5" t="s">
        <v>8</v>
      </c>
      <c r="B336" s="5" t="s">
        <v>339</v>
      </c>
      <c r="C336" s="5" t="s">
        <v>27</v>
      </c>
      <c r="D336" s="5" t="s">
        <v>385</v>
      </c>
      <c r="E336" s="5" t="s">
        <v>384</v>
      </c>
      <c r="F336" s="5" t="s">
        <v>45</v>
      </c>
      <c r="G336" s="5" t="s">
        <v>390</v>
      </c>
      <c r="H336" s="5" t="s">
        <v>46</v>
      </c>
      <c r="I336" s="5" t="s">
        <v>48</v>
      </c>
      <c r="J336" s="15">
        <v>970</v>
      </c>
      <c r="K336" s="7">
        <v>24.4</v>
      </c>
      <c r="L336" s="7">
        <f t="shared" si="51"/>
        <v>39.754098360655739</v>
      </c>
      <c r="M336" s="5" t="s">
        <v>10</v>
      </c>
      <c r="N336" s="5">
        <v>4</v>
      </c>
      <c r="O336" s="6">
        <f t="shared" si="52"/>
        <v>0.95811042898414411</v>
      </c>
      <c r="P336" s="6">
        <f t="shared" si="53"/>
        <v>9.9643484614350977E-2</v>
      </c>
      <c r="Q336" s="10">
        <f t="shared" si="54"/>
        <v>2.0759059294656454E-3</v>
      </c>
      <c r="R336" s="10">
        <f t="shared" si="55"/>
        <v>1.5397804452543755E-2</v>
      </c>
      <c r="S336" s="10">
        <f t="shared" si="56"/>
        <v>1.74737103820094E-2</v>
      </c>
    </row>
    <row r="337" spans="1:19" x14ac:dyDescent="0.25">
      <c r="A337" s="5" t="s">
        <v>22</v>
      </c>
      <c r="B337" s="5" t="s">
        <v>63</v>
      </c>
      <c r="C337" s="5" t="s">
        <v>27</v>
      </c>
      <c r="D337" s="5" t="s">
        <v>385</v>
      </c>
      <c r="E337" s="5" t="s">
        <v>384</v>
      </c>
      <c r="F337" s="5" t="s">
        <v>45</v>
      </c>
      <c r="G337" s="5" t="s">
        <v>390</v>
      </c>
      <c r="H337" s="5" t="s">
        <v>46</v>
      </c>
      <c r="I337" s="5" t="s">
        <v>14</v>
      </c>
      <c r="J337" s="15">
        <v>1110</v>
      </c>
      <c r="K337" s="7">
        <v>25</v>
      </c>
      <c r="L337" s="7">
        <f t="shared" si="51"/>
        <v>44.4</v>
      </c>
      <c r="M337" s="5" t="s">
        <v>10</v>
      </c>
      <c r="N337" s="5">
        <v>4</v>
      </c>
      <c r="O337" s="6">
        <f t="shared" si="52"/>
        <v>1.367631</v>
      </c>
      <c r="P337" s="6">
        <f t="shared" si="53"/>
        <v>0.14223362399999998</v>
      </c>
      <c r="Q337" s="10">
        <f t="shared" si="54"/>
        <v>2.9632005000000002E-3</v>
      </c>
      <c r="R337" s="10">
        <f t="shared" si="55"/>
        <v>2.0108229189784745E-2</v>
      </c>
      <c r="S337" s="10">
        <f t="shared" si="56"/>
        <v>2.3071429689784744E-2</v>
      </c>
    </row>
    <row r="338" spans="1:19" x14ac:dyDescent="0.25">
      <c r="A338" s="5" t="s">
        <v>8</v>
      </c>
      <c r="B338" s="5" t="s">
        <v>192</v>
      </c>
      <c r="C338" s="5" t="s">
        <v>27</v>
      </c>
      <c r="D338" s="5" t="s">
        <v>385</v>
      </c>
      <c r="E338" s="5" t="s">
        <v>384</v>
      </c>
      <c r="F338" s="5" t="s">
        <v>45</v>
      </c>
      <c r="G338" s="5" t="s">
        <v>390</v>
      </c>
      <c r="H338" s="5" t="s">
        <v>46</v>
      </c>
      <c r="I338" s="5" t="s">
        <v>14</v>
      </c>
      <c r="J338" s="15">
        <v>1090</v>
      </c>
      <c r="K338" s="7">
        <v>27.3</v>
      </c>
      <c r="L338" s="7">
        <f t="shared" si="51"/>
        <v>39.926739926739927</v>
      </c>
      <c r="M338" s="5" t="s">
        <v>10</v>
      </c>
      <c r="N338" s="5">
        <v>4</v>
      </c>
      <c r="O338" s="6">
        <f t="shared" si="52"/>
        <v>1.0860109823021911</v>
      </c>
      <c r="P338" s="6">
        <f t="shared" si="53"/>
        <v>0.11294514215942787</v>
      </c>
      <c r="Q338" s="10">
        <f t="shared" si="54"/>
        <v>2.3530237949880807E-3</v>
      </c>
      <c r="R338" s="10">
        <f t="shared" si="55"/>
        <v>1.6915030574766531E-2</v>
      </c>
      <c r="S338" s="10">
        <f t="shared" si="56"/>
        <v>1.9268054369754612E-2</v>
      </c>
    </row>
    <row r="339" spans="1:19" x14ac:dyDescent="0.25">
      <c r="A339" s="5" t="s">
        <v>8</v>
      </c>
      <c r="B339" s="5" t="s">
        <v>191</v>
      </c>
      <c r="C339" s="5" t="s">
        <v>27</v>
      </c>
      <c r="D339" s="5" t="s">
        <v>385</v>
      </c>
      <c r="E339" s="5" t="s">
        <v>384</v>
      </c>
      <c r="F339" s="5" t="s">
        <v>45</v>
      </c>
      <c r="G339" s="5" t="s">
        <v>390</v>
      </c>
      <c r="H339" s="5" t="s">
        <v>46</v>
      </c>
      <c r="I339" s="5" t="s">
        <v>14</v>
      </c>
      <c r="J339" s="15">
        <v>1200</v>
      </c>
      <c r="K339" s="7">
        <v>25</v>
      </c>
      <c r="L339" s="7">
        <f t="shared" si="51"/>
        <v>48</v>
      </c>
      <c r="M339" s="5" t="s">
        <v>10</v>
      </c>
      <c r="N339" s="5">
        <v>4</v>
      </c>
      <c r="O339" s="6">
        <f t="shared" si="52"/>
        <v>1.728</v>
      </c>
      <c r="P339" s="6">
        <f t="shared" si="53"/>
        <v>0.17971200000000001</v>
      </c>
      <c r="Q339" s="10">
        <f t="shared" si="54"/>
        <v>3.7439999999999995E-3</v>
      </c>
      <c r="R339" s="10">
        <f t="shared" si="55"/>
        <v>2.3963758151521651E-2</v>
      </c>
      <c r="S339" s="10">
        <f t="shared" si="56"/>
        <v>2.7707758151521652E-2</v>
      </c>
    </row>
    <row r="340" spans="1:19" x14ac:dyDescent="0.25">
      <c r="A340" s="5" t="s">
        <v>8</v>
      </c>
      <c r="B340" s="5" t="s">
        <v>193</v>
      </c>
      <c r="C340" s="5" t="s">
        <v>27</v>
      </c>
      <c r="D340" s="5" t="s">
        <v>385</v>
      </c>
      <c r="E340" s="5" t="s">
        <v>384</v>
      </c>
      <c r="F340" s="5" t="s">
        <v>45</v>
      </c>
      <c r="G340" s="5" t="s">
        <v>390</v>
      </c>
      <c r="H340" s="5" t="s">
        <v>46</v>
      </c>
      <c r="I340" s="5" t="s">
        <v>14</v>
      </c>
      <c r="J340" s="15">
        <v>1110</v>
      </c>
      <c r="K340" s="7">
        <v>24.5</v>
      </c>
      <c r="L340" s="7">
        <f t="shared" si="51"/>
        <v>45.306122448979593</v>
      </c>
      <c r="M340" s="5" t="s">
        <v>10</v>
      </c>
      <c r="N340" s="5">
        <v>4</v>
      </c>
      <c r="O340" s="6">
        <f t="shared" si="52"/>
        <v>1.424022282382341</v>
      </c>
      <c r="P340" s="6">
        <f t="shared" si="53"/>
        <v>0.14809831736776344</v>
      </c>
      <c r="Q340" s="10">
        <f t="shared" si="54"/>
        <v>3.0853816118284055E-3</v>
      </c>
      <c r="R340" s="10">
        <f t="shared" si="55"/>
        <v>2.0726917227040922E-2</v>
      </c>
      <c r="S340" s="10">
        <f t="shared" si="56"/>
        <v>2.3812298838869327E-2</v>
      </c>
    </row>
    <row r="341" spans="1:19" x14ac:dyDescent="0.25">
      <c r="A341" s="5" t="s">
        <v>8</v>
      </c>
      <c r="B341" s="5" t="s">
        <v>194</v>
      </c>
      <c r="C341" s="5" t="s">
        <v>27</v>
      </c>
      <c r="D341" s="5" t="s">
        <v>385</v>
      </c>
      <c r="E341" s="5" t="s">
        <v>384</v>
      </c>
      <c r="F341" s="5" t="s">
        <v>45</v>
      </c>
      <c r="G341" s="5" t="s">
        <v>390</v>
      </c>
      <c r="H341" s="5" t="s">
        <v>46</v>
      </c>
      <c r="I341" s="5" t="s">
        <v>14</v>
      </c>
      <c r="J341" s="15">
        <v>1070</v>
      </c>
      <c r="K341" s="7">
        <v>24.5</v>
      </c>
      <c r="L341" s="7">
        <f t="shared" si="51"/>
        <v>43.673469387755105</v>
      </c>
      <c r="M341" s="5" t="s">
        <v>10</v>
      </c>
      <c r="N341" s="5">
        <v>4</v>
      </c>
      <c r="O341" s="6">
        <f t="shared" si="52"/>
        <v>1.275554977092878</v>
      </c>
      <c r="P341" s="6">
        <f t="shared" si="53"/>
        <v>0.13265771761765932</v>
      </c>
      <c r="Q341" s="10">
        <f t="shared" si="54"/>
        <v>2.7637024503679025E-3</v>
      </c>
      <c r="R341" s="10">
        <f t="shared" si="55"/>
        <v>1.9084092397598378E-2</v>
      </c>
      <c r="S341" s="10">
        <f t="shared" si="56"/>
        <v>2.1847794847966281E-2</v>
      </c>
    </row>
    <row r="342" spans="1:19" x14ac:dyDescent="0.25">
      <c r="A342" s="5" t="s">
        <v>8</v>
      </c>
      <c r="B342" s="5" t="s">
        <v>195</v>
      </c>
      <c r="C342" s="5" t="s">
        <v>27</v>
      </c>
      <c r="D342" s="5" t="s">
        <v>385</v>
      </c>
      <c r="E342" s="5" t="s">
        <v>384</v>
      </c>
      <c r="F342" s="5" t="s">
        <v>45</v>
      </c>
      <c r="G342" s="5" t="s">
        <v>390</v>
      </c>
      <c r="H342" s="5" t="s">
        <v>46</v>
      </c>
      <c r="I342" s="5" t="s">
        <v>14</v>
      </c>
      <c r="J342" s="15">
        <v>1160</v>
      </c>
      <c r="K342" s="7">
        <v>31.9</v>
      </c>
      <c r="L342" s="7">
        <f t="shared" si="51"/>
        <v>36.363636363636367</v>
      </c>
      <c r="M342" s="5" t="s">
        <v>10</v>
      </c>
      <c r="N342" s="5">
        <v>4</v>
      </c>
      <c r="O342" s="6">
        <f t="shared" si="52"/>
        <v>0.95867768595041347</v>
      </c>
      <c r="P342" s="6">
        <f t="shared" si="53"/>
        <v>9.9702479338843006E-2</v>
      </c>
      <c r="Q342" s="10">
        <f t="shared" si="54"/>
        <v>2.0771349862258957E-3</v>
      </c>
      <c r="R342" s="10">
        <f t="shared" si="55"/>
        <v>1.5404641241904566E-2</v>
      </c>
      <c r="S342" s="10">
        <f t="shared" si="56"/>
        <v>1.7481776228130463E-2</v>
      </c>
    </row>
    <row r="343" spans="1:19" x14ac:dyDescent="0.25">
      <c r="A343" s="5" t="s">
        <v>8</v>
      </c>
      <c r="B343" s="5" t="s">
        <v>214</v>
      </c>
      <c r="C343" s="5" t="s">
        <v>27</v>
      </c>
      <c r="D343" s="5" t="s">
        <v>385</v>
      </c>
      <c r="E343" s="5" t="s">
        <v>384</v>
      </c>
      <c r="F343" s="5" t="s">
        <v>45</v>
      </c>
      <c r="G343" s="5" t="s">
        <v>390</v>
      </c>
      <c r="H343" s="5" t="s">
        <v>46</v>
      </c>
      <c r="I343" s="5" t="s">
        <v>14</v>
      </c>
      <c r="J343" s="15">
        <v>1100</v>
      </c>
      <c r="K343" s="7">
        <v>32</v>
      </c>
      <c r="L343" s="7">
        <f t="shared" si="51"/>
        <v>34.375</v>
      </c>
      <c r="M343" s="5" t="s">
        <v>10</v>
      </c>
      <c r="N343" s="5">
        <v>4</v>
      </c>
      <c r="O343" s="6">
        <f t="shared" si="52"/>
        <v>0.8123779296875</v>
      </c>
      <c r="P343" s="6">
        <f t="shared" si="53"/>
        <v>8.4487304687500001E-2</v>
      </c>
      <c r="Q343" s="10">
        <f t="shared" si="54"/>
        <v>1.7601521809895834E-3</v>
      </c>
      <c r="R343" s="10">
        <f t="shared" si="55"/>
        <v>1.3605537743536752E-2</v>
      </c>
      <c r="S343" s="10">
        <f t="shared" si="56"/>
        <v>1.5365689924526336E-2</v>
      </c>
    </row>
    <row r="344" spans="1:19" x14ac:dyDescent="0.25">
      <c r="A344" s="5" t="s">
        <v>8</v>
      </c>
      <c r="B344" s="5" t="s">
        <v>329</v>
      </c>
      <c r="C344" s="5" t="s">
        <v>27</v>
      </c>
      <c r="D344" s="5" t="s">
        <v>385</v>
      </c>
      <c r="E344" s="5" t="s">
        <v>384</v>
      </c>
      <c r="F344" s="5" t="s">
        <v>45</v>
      </c>
      <c r="G344" s="5" t="s">
        <v>390</v>
      </c>
      <c r="H344" s="5" t="s">
        <v>46</v>
      </c>
      <c r="I344" s="5" t="s">
        <v>14</v>
      </c>
      <c r="J344" s="15">
        <v>1120</v>
      </c>
      <c r="K344" s="7">
        <v>36.5</v>
      </c>
      <c r="L344" s="7">
        <f t="shared" si="51"/>
        <v>30.684931506849313</v>
      </c>
      <c r="M344" s="5" t="s">
        <v>10</v>
      </c>
      <c r="N344" s="5">
        <v>4</v>
      </c>
      <c r="O344" s="6">
        <f t="shared" si="52"/>
        <v>0.65909551510602349</v>
      </c>
      <c r="P344" s="6">
        <f t="shared" si="53"/>
        <v>6.8545933571026438E-2</v>
      </c>
      <c r="Q344" s="10">
        <f t="shared" si="54"/>
        <v>1.4280402827297175E-3</v>
      </c>
      <c r="R344" s="10">
        <f t="shared" si="55"/>
        <v>1.1630767966535846E-2</v>
      </c>
      <c r="S344" s="10">
        <f t="shared" si="56"/>
        <v>1.3058808249265565E-2</v>
      </c>
    </row>
    <row r="345" spans="1:19" x14ac:dyDescent="0.25">
      <c r="A345" s="5" t="s">
        <v>8</v>
      </c>
      <c r="B345" s="5" t="s">
        <v>339</v>
      </c>
      <c r="C345" s="5" t="s">
        <v>27</v>
      </c>
      <c r="D345" s="5" t="s">
        <v>385</v>
      </c>
      <c r="E345" s="5" t="s">
        <v>384</v>
      </c>
      <c r="F345" s="5" t="s">
        <v>45</v>
      </c>
      <c r="G345" s="5" t="s">
        <v>390</v>
      </c>
      <c r="H345" s="5" t="s">
        <v>46</v>
      </c>
      <c r="I345" s="5" t="s">
        <v>14</v>
      </c>
      <c r="J345" s="15">
        <v>1010</v>
      </c>
      <c r="K345" s="7">
        <v>21.1</v>
      </c>
      <c r="L345" s="7">
        <f t="shared" si="51"/>
        <v>47.867298578199048</v>
      </c>
      <c r="M345" s="5" t="s">
        <v>10</v>
      </c>
      <c r="N345" s="5">
        <v>4</v>
      </c>
      <c r="O345" s="6">
        <f t="shared" si="52"/>
        <v>1.4463694099413755</v>
      </c>
      <c r="P345" s="6">
        <f t="shared" si="53"/>
        <v>0.15042241863390304</v>
      </c>
      <c r="Q345" s="10">
        <f t="shared" si="54"/>
        <v>3.1338003882063134E-3</v>
      </c>
      <c r="R345" s="10">
        <f t="shared" si="55"/>
        <v>2.0970391834637787E-2</v>
      </c>
      <c r="S345" s="10">
        <f t="shared" si="56"/>
        <v>2.4104192222844101E-2</v>
      </c>
    </row>
    <row r="346" spans="1:19" x14ac:dyDescent="0.25">
      <c r="A346" s="5" t="s">
        <v>8</v>
      </c>
      <c r="B346" s="5" t="s">
        <v>308</v>
      </c>
      <c r="C346" s="5" t="s">
        <v>27</v>
      </c>
      <c r="D346" s="5" t="s">
        <v>385</v>
      </c>
      <c r="E346" s="5" t="s">
        <v>384</v>
      </c>
      <c r="F346" s="5" t="s">
        <v>45</v>
      </c>
      <c r="G346" s="5" t="s">
        <v>390</v>
      </c>
      <c r="H346" s="5" t="s">
        <v>46</v>
      </c>
      <c r="I346" s="5" t="s">
        <v>71</v>
      </c>
      <c r="J346" s="15">
        <v>924</v>
      </c>
      <c r="K346" s="7">
        <v>33</v>
      </c>
      <c r="L346" s="7">
        <f t="shared" si="51"/>
        <v>28</v>
      </c>
      <c r="M346" s="5" t="s">
        <v>10</v>
      </c>
      <c r="N346" s="5">
        <v>4</v>
      </c>
      <c r="O346" s="6">
        <f t="shared" si="52"/>
        <v>0.45276</v>
      </c>
      <c r="P346" s="6">
        <f t="shared" si="53"/>
        <v>4.7087039999999997E-2</v>
      </c>
      <c r="Q346" s="10">
        <f t="shared" si="54"/>
        <v>9.8098E-4</v>
      </c>
      <c r="R346" s="10">
        <f t="shared" si="55"/>
        <v>8.7760312850900107E-3</v>
      </c>
      <c r="S346" s="10">
        <f t="shared" si="56"/>
        <v>9.7570112850900101E-3</v>
      </c>
    </row>
    <row r="347" spans="1:19" x14ac:dyDescent="0.25">
      <c r="A347" s="5" t="s">
        <v>8</v>
      </c>
      <c r="B347" s="5" t="s">
        <v>214</v>
      </c>
      <c r="C347" s="5" t="s">
        <v>27</v>
      </c>
      <c r="D347" s="5" t="s">
        <v>385</v>
      </c>
      <c r="E347" s="5" t="s">
        <v>384</v>
      </c>
      <c r="F347" s="5" t="s">
        <v>45</v>
      </c>
      <c r="G347" s="5" t="s">
        <v>390</v>
      </c>
      <c r="H347" s="5" t="s">
        <v>46</v>
      </c>
      <c r="I347" s="5" t="s">
        <v>215</v>
      </c>
      <c r="J347" s="15">
        <v>1100</v>
      </c>
      <c r="K347" s="7">
        <v>25</v>
      </c>
      <c r="L347" s="7">
        <f t="shared" si="51"/>
        <v>44</v>
      </c>
      <c r="M347" s="5" t="s">
        <v>10</v>
      </c>
      <c r="N347" s="5">
        <v>4</v>
      </c>
      <c r="O347" s="6">
        <f t="shared" si="52"/>
        <v>1.331</v>
      </c>
      <c r="P347" s="6">
        <f t="shared" si="53"/>
        <v>0.13842399999999999</v>
      </c>
      <c r="Q347" s="10">
        <f t="shared" si="54"/>
        <v>2.8838333333333333E-3</v>
      </c>
      <c r="R347" s="10">
        <f t="shared" si="55"/>
        <v>1.9702923264295638E-2</v>
      </c>
      <c r="S347" s="10">
        <f t="shared" si="56"/>
        <v>2.258675659762897E-2</v>
      </c>
    </row>
    <row r="348" spans="1:19" x14ac:dyDescent="0.25">
      <c r="A348" s="5" t="s">
        <v>8</v>
      </c>
      <c r="B348" s="5" t="s">
        <v>311</v>
      </c>
      <c r="C348" s="5" t="s">
        <v>27</v>
      </c>
      <c r="D348" s="5" t="s">
        <v>385</v>
      </c>
      <c r="E348" s="5" t="s">
        <v>384</v>
      </c>
      <c r="F348" s="5" t="s">
        <v>45</v>
      </c>
      <c r="G348" s="5" t="s">
        <v>390</v>
      </c>
      <c r="H348" s="5" t="s">
        <v>46</v>
      </c>
      <c r="I348" s="5" t="s">
        <v>215</v>
      </c>
      <c r="J348" s="15">
        <v>1200</v>
      </c>
      <c r="K348" s="7">
        <v>28</v>
      </c>
      <c r="L348" s="7">
        <f t="shared" si="51"/>
        <v>42.857142857142854</v>
      </c>
      <c r="M348" s="5" t="s">
        <v>10</v>
      </c>
      <c r="N348" s="5">
        <v>4</v>
      </c>
      <c r="O348" s="6">
        <f t="shared" si="52"/>
        <v>1.3775510204081631</v>
      </c>
      <c r="P348" s="6">
        <f t="shared" si="53"/>
        <v>0.14326530612244898</v>
      </c>
      <c r="Q348" s="10">
        <f t="shared" si="54"/>
        <v>2.9846938775510198E-3</v>
      </c>
      <c r="R348" s="10">
        <f t="shared" si="55"/>
        <v>2.0217520582724226E-2</v>
      </c>
      <c r="S348" s="10">
        <f t="shared" si="56"/>
        <v>2.3202214460275247E-2</v>
      </c>
    </row>
    <row r="349" spans="1:19" x14ac:dyDescent="0.25">
      <c r="A349" s="5" t="s">
        <v>8</v>
      </c>
      <c r="B349" s="5" t="s">
        <v>339</v>
      </c>
      <c r="C349" s="5" t="s">
        <v>27</v>
      </c>
      <c r="D349" s="5" t="s">
        <v>385</v>
      </c>
      <c r="E349" s="5" t="s">
        <v>384</v>
      </c>
      <c r="F349" s="5" t="s">
        <v>45</v>
      </c>
      <c r="G349" s="5" t="s">
        <v>390</v>
      </c>
      <c r="H349" s="5" t="s">
        <v>46</v>
      </c>
      <c r="I349" s="5" t="s">
        <v>342</v>
      </c>
      <c r="J349" s="15">
        <v>1400</v>
      </c>
      <c r="K349" s="7">
        <v>25.1</v>
      </c>
      <c r="L349" s="7">
        <f t="shared" si="51"/>
        <v>55.776892430278885</v>
      </c>
      <c r="M349" s="5" t="s">
        <v>10</v>
      </c>
      <c r="N349" s="5">
        <v>4</v>
      </c>
      <c r="O349" s="6">
        <f t="shared" si="52"/>
        <v>2.7221790130315395</v>
      </c>
      <c r="P349" s="6">
        <f t="shared" si="53"/>
        <v>0.28310661735528009</v>
      </c>
      <c r="Q349" s="10">
        <f t="shared" si="54"/>
        <v>5.8980545282350015E-3</v>
      </c>
      <c r="R349" s="10">
        <f t="shared" si="55"/>
        <v>3.3696487711617512E-2</v>
      </c>
      <c r="S349" s="10">
        <f t="shared" si="56"/>
        <v>3.9594542239852516E-2</v>
      </c>
    </row>
    <row r="350" spans="1:19" x14ac:dyDescent="0.25">
      <c r="A350" s="5" t="s">
        <v>8</v>
      </c>
      <c r="B350" s="5" t="s">
        <v>356</v>
      </c>
      <c r="C350" s="5" t="s">
        <v>27</v>
      </c>
      <c r="D350" s="5" t="s">
        <v>385</v>
      </c>
      <c r="E350" s="5" t="s">
        <v>384</v>
      </c>
      <c r="F350" s="5" t="s">
        <v>45</v>
      </c>
      <c r="G350" s="5" t="s">
        <v>390</v>
      </c>
      <c r="H350" s="5" t="s">
        <v>46</v>
      </c>
      <c r="I350" s="5" t="s">
        <v>355</v>
      </c>
      <c r="J350" s="15">
        <v>1145</v>
      </c>
      <c r="K350" s="7">
        <v>25</v>
      </c>
      <c r="L350" s="7">
        <f t="shared" si="51"/>
        <v>45.8</v>
      </c>
      <c r="M350" s="5" t="s">
        <v>10</v>
      </c>
      <c r="N350" s="5">
        <v>4</v>
      </c>
      <c r="O350" s="6">
        <f t="shared" si="52"/>
        <v>1.501123625</v>
      </c>
      <c r="P350" s="6">
        <f t="shared" si="53"/>
        <v>0.15611685699999997</v>
      </c>
      <c r="Q350" s="10">
        <f t="shared" si="54"/>
        <v>3.2524345208333333E-3</v>
      </c>
      <c r="R350" s="10">
        <f t="shared" si="55"/>
        <v>2.156301422213177E-2</v>
      </c>
      <c r="S350" s="10">
        <f t="shared" si="56"/>
        <v>2.4815448742965103E-2</v>
      </c>
    </row>
    <row r="351" spans="1:19" x14ac:dyDescent="0.25">
      <c r="A351" s="5" t="s">
        <v>8</v>
      </c>
      <c r="B351" s="5" t="s">
        <v>354</v>
      </c>
      <c r="C351" s="5" t="s">
        <v>27</v>
      </c>
      <c r="D351" s="5" t="s">
        <v>385</v>
      </c>
      <c r="E351" s="5" t="s">
        <v>384</v>
      </c>
      <c r="F351" s="5" t="s">
        <v>45</v>
      </c>
      <c r="G351" s="5" t="s">
        <v>390</v>
      </c>
      <c r="H351" s="5" t="s">
        <v>46</v>
      </c>
      <c r="I351" s="5" t="s">
        <v>355</v>
      </c>
      <c r="J351" s="15">
        <v>1110</v>
      </c>
      <c r="K351" s="7">
        <v>23.5</v>
      </c>
      <c r="L351" s="7">
        <f t="shared" si="51"/>
        <v>47.234042553191486</v>
      </c>
      <c r="M351" s="5" t="s">
        <v>10</v>
      </c>
      <c r="N351" s="5">
        <v>4</v>
      </c>
      <c r="O351" s="6">
        <f t="shared" si="52"/>
        <v>1.5477942507922133</v>
      </c>
      <c r="P351" s="6">
        <f t="shared" si="53"/>
        <v>0.16097060208239017</v>
      </c>
      <c r="Q351" s="10">
        <f t="shared" si="54"/>
        <v>3.3535542100497952E-3</v>
      </c>
      <c r="R351" s="10">
        <f t="shared" si="55"/>
        <v>2.2063888096792793E-2</v>
      </c>
      <c r="S351" s="10">
        <f t="shared" si="56"/>
        <v>2.5417442306842588E-2</v>
      </c>
    </row>
    <row r="352" spans="1:19" x14ac:dyDescent="0.25">
      <c r="A352" s="5" t="s">
        <v>22</v>
      </c>
      <c r="B352" s="5" t="s">
        <v>26</v>
      </c>
      <c r="C352" s="5" t="s">
        <v>27</v>
      </c>
      <c r="D352" s="5" t="s">
        <v>385</v>
      </c>
      <c r="E352" s="5" t="s">
        <v>384</v>
      </c>
      <c r="F352" s="5" t="s">
        <v>45</v>
      </c>
      <c r="G352" s="5" t="s">
        <v>390</v>
      </c>
      <c r="H352" s="5" t="s">
        <v>46</v>
      </c>
      <c r="I352" s="5" t="s">
        <v>49</v>
      </c>
      <c r="J352" s="15">
        <v>1350</v>
      </c>
      <c r="K352" s="7">
        <v>27</v>
      </c>
      <c r="L352" s="7">
        <f t="shared" si="51"/>
        <v>50</v>
      </c>
      <c r="M352" s="5" t="s">
        <v>10</v>
      </c>
      <c r="N352" s="5">
        <v>4</v>
      </c>
      <c r="O352" s="6">
        <f t="shared" si="52"/>
        <v>2.109375</v>
      </c>
      <c r="P352" s="6">
        <f t="shared" si="53"/>
        <v>0.21937499999999999</v>
      </c>
      <c r="Q352" s="10">
        <f t="shared" si="54"/>
        <v>4.5703124999999997E-3</v>
      </c>
      <c r="R352" s="10">
        <f t="shared" si="55"/>
        <v>2.7829952828119141E-2</v>
      </c>
      <c r="S352" s="10">
        <f t="shared" si="56"/>
        <v>3.2400265328119141E-2</v>
      </c>
    </row>
    <row r="353" spans="1:19" x14ac:dyDescent="0.25">
      <c r="A353" s="5" t="s">
        <v>8</v>
      </c>
      <c r="B353" s="5" t="s">
        <v>161</v>
      </c>
      <c r="C353" s="5" t="s">
        <v>27</v>
      </c>
      <c r="D353" s="5" t="s">
        <v>385</v>
      </c>
      <c r="E353" s="5" t="s">
        <v>384</v>
      </c>
      <c r="F353" s="5" t="s">
        <v>45</v>
      </c>
      <c r="G353" s="5" t="s">
        <v>390</v>
      </c>
      <c r="H353" s="5" t="s">
        <v>46</v>
      </c>
      <c r="I353" s="5" t="s">
        <v>49</v>
      </c>
      <c r="J353" s="15">
        <v>1280</v>
      </c>
      <c r="K353" s="7">
        <v>22</v>
      </c>
      <c r="L353" s="7">
        <f t="shared" si="51"/>
        <v>58.18181818181818</v>
      </c>
      <c r="M353" s="5" t="s">
        <v>10</v>
      </c>
      <c r="N353" s="5">
        <v>4</v>
      </c>
      <c r="O353" s="6">
        <f t="shared" si="52"/>
        <v>2.7080991735537188</v>
      </c>
      <c r="P353" s="6">
        <f t="shared" si="53"/>
        <v>0.28164231404958673</v>
      </c>
      <c r="Q353" s="10">
        <f t="shared" si="54"/>
        <v>5.8675482093663899E-3</v>
      </c>
      <c r="R353" s="10">
        <f t="shared" si="55"/>
        <v>3.3565687567479949E-2</v>
      </c>
      <c r="S353" s="10">
        <f t="shared" si="56"/>
        <v>3.9433235776846341E-2</v>
      </c>
    </row>
    <row r="354" spans="1:19" x14ac:dyDescent="0.25">
      <c r="A354" s="5" t="s">
        <v>8</v>
      </c>
      <c r="B354" s="5" t="s">
        <v>300</v>
      </c>
      <c r="C354" s="5" t="s">
        <v>27</v>
      </c>
      <c r="D354" s="5" t="s">
        <v>385</v>
      </c>
      <c r="E354" s="5" t="s">
        <v>384</v>
      </c>
      <c r="F354" s="5" t="s">
        <v>45</v>
      </c>
      <c r="G354" s="5" t="s">
        <v>390</v>
      </c>
      <c r="H354" s="5" t="s">
        <v>46</v>
      </c>
      <c r="I354" s="5" t="s">
        <v>301</v>
      </c>
      <c r="J354" s="15">
        <v>1165</v>
      </c>
      <c r="K354" s="7">
        <v>30</v>
      </c>
      <c r="L354" s="7">
        <f t="shared" si="51"/>
        <v>38.833333333333336</v>
      </c>
      <c r="M354" s="5" t="s">
        <v>10</v>
      </c>
      <c r="N354" s="5">
        <v>4</v>
      </c>
      <c r="O354" s="6">
        <f t="shared" si="52"/>
        <v>1.0980327256944447</v>
      </c>
      <c r="P354" s="6">
        <f t="shared" si="53"/>
        <v>0.11419540347222225</v>
      </c>
      <c r="Q354" s="10">
        <f t="shared" si="54"/>
        <v>2.3790709056712967E-3</v>
      </c>
      <c r="R354" s="10">
        <f t="shared" si="55"/>
        <v>1.7055269538571984E-2</v>
      </c>
      <c r="S354" s="10">
        <f t="shared" si="56"/>
        <v>1.9434340444243279E-2</v>
      </c>
    </row>
    <row r="355" spans="1:19" x14ac:dyDescent="0.25">
      <c r="A355" s="5" t="s">
        <v>8</v>
      </c>
      <c r="B355" s="5" t="s">
        <v>156</v>
      </c>
      <c r="C355" s="5" t="s">
        <v>27</v>
      </c>
      <c r="D355" s="5" t="s">
        <v>385</v>
      </c>
      <c r="E355" s="5" t="s">
        <v>384</v>
      </c>
      <c r="F355" s="5" t="s">
        <v>45</v>
      </c>
      <c r="G355" s="5" t="s">
        <v>390</v>
      </c>
      <c r="H355" s="5" t="s">
        <v>46</v>
      </c>
      <c r="I355" s="5" t="s">
        <v>159</v>
      </c>
      <c r="J355" s="15">
        <v>850</v>
      </c>
      <c r="K355" s="7">
        <v>30</v>
      </c>
      <c r="L355" s="7">
        <f t="shared" si="51"/>
        <v>28.333333333333332</v>
      </c>
      <c r="M355" s="5" t="s">
        <v>10</v>
      </c>
      <c r="N355" s="5">
        <v>4</v>
      </c>
      <c r="O355" s="6">
        <f t="shared" si="52"/>
        <v>0.42647569444444439</v>
      </c>
      <c r="P355" s="6">
        <f t="shared" si="53"/>
        <v>4.4353472222222218E-2</v>
      </c>
      <c r="Q355" s="10">
        <f t="shared" si="54"/>
        <v>9.2403067129629606E-4</v>
      </c>
      <c r="R355" s="10">
        <f t="shared" si="55"/>
        <v>8.3910795451885949E-3</v>
      </c>
      <c r="S355" s="10">
        <f t="shared" si="56"/>
        <v>9.3151102164848905E-3</v>
      </c>
    </row>
    <row r="356" spans="1:19" x14ac:dyDescent="0.25">
      <c r="A356" s="5" t="s">
        <v>8</v>
      </c>
      <c r="B356" s="5" t="s">
        <v>308</v>
      </c>
      <c r="C356" s="5" t="s">
        <v>27</v>
      </c>
      <c r="D356" s="5" t="s">
        <v>385</v>
      </c>
      <c r="E356" s="5" t="s">
        <v>384</v>
      </c>
      <c r="F356" s="5" t="s">
        <v>45</v>
      </c>
      <c r="G356" s="5" t="s">
        <v>390</v>
      </c>
      <c r="H356" s="5" t="s">
        <v>46</v>
      </c>
      <c r="I356" s="5" t="s">
        <v>159</v>
      </c>
      <c r="J356" s="15">
        <v>886</v>
      </c>
      <c r="K356" s="7">
        <v>27.7</v>
      </c>
      <c r="L356" s="7">
        <f t="shared" si="51"/>
        <v>31.985559566787003</v>
      </c>
      <c r="M356" s="5" t="s">
        <v>10</v>
      </c>
      <c r="N356" s="5">
        <v>4</v>
      </c>
      <c r="O356" s="6">
        <f t="shared" si="52"/>
        <v>0.56652834651826556</v>
      </c>
      <c r="P356" s="6">
        <f t="shared" si="53"/>
        <v>5.8918948037899606E-2</v>
      </c>
      <c r="Q356" s="10">
        <f t="shared" si="54"/>
        <v>1.2274780841229087E-3</v>
      </c>
      <c r="R356" s="10">
        <f t="shared" si="55"/>
        <v>1.0382772973710441E-2</v>
      </c>
      <c r="S356" s="10">
        <f t="shared" si="56"/>
        <v>1.1610251057833349E-2</v>
      </c>
    </row>
    <row r="357" spans="1:19" x14ac:dyDescent="0.25">
      <c r="A357" s="5" t="s">
        <v>22</v>
      </c>
      <c r="B357" s="5" t="s">
        <v>26</v>
      </c>
      <c r="C357" s="5" t="s">
        <v>27</v>
      </c>
      <c r="D357" s="5" t="s">
        <v>385</v>
      </c>
      <c r="E357" s="5" t="s">
        <v>384</v>
      </c>
      <c r="F357" s="5" t="s">
        <v>45</v>
      </c>
      <c r="G357" s="5" t="s">
        <v>390</v>
      </c>
      <c r="H357" s="5" t="s">
        <v>46</v>
      </c>
      <c r="I357" s="5" t="s">
        <v>50</v>
      </c>
      <c r="J357" s="15">
        <v>2050</v>
      </c>
      <c r="K357" s="7">
        <v>33</v>
      </c>
      <c r="L357" s="7">
        <f t="shared" si="51"/>
        <v>62.121212121212125</v>
      </c>
      <c r="M357" s="5" t="s">
        <v>10</v>
      </c>
      <c r="N357" s="5">
        <v>4</v>
      </c>
      <c r="O357" s="6">
        <f t="shared" si="52"/>
        <v>4.94440140036731</v>
      </c>
      <c r="P357" s="6">
        <f t="shared" si="53"/>
        <v>0.51421774563820022</v>
      </c>
      <c r="Q357" s="10">
        <f t="shared" si="54"/>
        <v>1.0712869700795838E-2</v>
      </c>
      <c r="R357" s="10">
        <f t="shared" si="55"/>
        <v>5.2720851367536438E-2</v>
      </c>
      <c r="S357" s="10">
        <f t="shared" si="56"/>
        <v>6.3433721068332283E-2</v>
      </c>
    </row>
    <row r="358" spans="1:19" x14ac:dyDescent="0.25">
      <c r="A358" s="5" t="s">
        <v>8</v>
      </c>
      <c r="B358" s="5" t="s">
        <v>284</v>
      </c>
      <c r="C358" s="5" t="s">
        <v>27</v>
      </c>
      <c r="D358" s="5" t="s">
        <v>385</v>
      </c>
      <c r="E358" s="5" t="s">
        <v>384</v>
      </c>
      <c r="F358" s="5" t="s">
        <v>45</v>
      </c>
      <c r="G358" s="5" t="s">
        <v>390</v>
      </c>
      <c r="H358" s="5" t="s">
        <v>46</v>
      </c>
      <c r="I358" s="5" t="s">
        <v>50</v>
      </c>
      <c r="J358" s="15">
        <v>1800</v>
      </c>
      <c r="K358" s="7">
        <v>36.700000000000003</v>
      </c>
      <c r="L358" s="7">
        <f t="shared" si="51"/>
        <v>49.046321525885553</v>
      </c>
      <c r="M358" s="5" t="s">
        <v>10</v>
      </c>
      <c r="N358" s="5">
        <v>4</v>
      </c>
      <c r="O358" s="6">
        <f t="shared" si="52"/>
        <v>2.7062343621231126</v>
      </c>
      <c r="P358" s="6">
        <f t="shared" si="53"/>
        <v>0.28144837366080372</v>
      </c>
      <c r="Q358" s="10">
        <f t="shared" si="54"/>
        <v>5.8635077846000772E-3</v>
      </c>
      <c r="R358" s="10">
        <f t="shared" si="55"/>
        <v>3.3548350942273784E-2</v>
      </c>
      <c r="S358" s="10">
        <f t="shared" si="56"/>
        <v>3.9411858726873861E-2</v>
      </c>
    </row>
    <row r="359" spans="1:19" x14ac:dyDescent="0.25">
      <c r="A359" s="5" t="s">
        <v>8</v>
      </c>
      <c r="B359" s="5" t="s">
        <v>233</v>
      </c>
      <c r="C359" s="5" t="s">
        <v>27</v>
      </c>
      <c r="D359" s="5" t="s">
        <v>385</v>
      </c>
      <c r="E359" s="5" t="s">
        <v>384</v>
      </c>
      <c r="F359" s="5" t="s">
        <v>45</v>
      </c>
      <c r="G359" s="5" t="s">
        <v>390</v>
      </c>
      <c r="H359" s="5" t="s">
        <v>46</v>
      </c>
      <c r="I359" s="5" t="s">
        <v>234</v>
      </c>
      <c r="J359" s="15">
        <v>1465</v>
      </c>
      <c r="K359" s="7">
        <v>35</v>
      </c>
      <c r="L359" s="7">
        <f t="shared" si="51"/>
        <v>41.857142857142854</v>
      </c>
      <c r="M359" s="5" t="s">
        <v>10</v>
      </c>
      <c r="N359" s="5">
        <v>4</v>
      </c>
      <c r="O359" s="6">
        <f t="shared" si="52"/>
        <v>1.6041936862244897</v>
      </c>
      <c r="P359" s="6">
        <f t="shared" si="53"/>
        <v>0.1668361433673469</v>
      </c>
      <c r="Q359" s="10">
        <f t="shared" si="54"/>
        <v>3.4757529868197274E-3</v>
      </c>
      <c r="R359" s="10">
        <f t="shared" si="55"/>
        <v>2.2664165160455583E-2</v>
      </c>
      <c r="S359" s="10">
        <f t="shared" si="56"/>
        <v>2.6139918147275312E-2</v>
      </c>
    </row>
    <row r="360" spans="1:19" x14ac:dyDescent="0.25">
      <c r="A360" s="5" t="s">
        <v>22</v>
      </c>
      <c r="B360" s="5" t="s">
        <v>26</v>
      </c>
      <c r="C360" s="5" t="s">
        <v>27</v>
      </c>
      <c r="D360" s="5" t="s">
        <v>385</v>
      </c>
      <c r="E360" s="5" t="s">
        <v>384</v>
      </c>
      <c r="F360" s="5" t="s">
        <v>45</v>
      </c>
      <c r="G360" s="5" t="s">
        <v>390</v>
      </c>
      <c r="H360" s="5" t="s">
        <v>46</v>
      </c>
      <c r="I360" s="5" t="s">
        <v>51</v>
      </c>
      <c r="J360" s="15">
        <v>1400</v>
      </c>
      <c r="K360" s="7">
        <v>30.5</v>
      </c>
      <c r="L360" s="7">
        <f t="shared" si="51"/>
        <v>45.901639344262293</v>
      </c>
      <c r="M360" s="5" t="s">
        <v>10</v>
      </c>
      <c r="N360" s="5">
        <v>4</v>
      </c>
      <c r="O360" s="6">
        <f t="shared" si="52"/>
        <v>1.843590432679387</v>
      </c>
      <c r="P360" s="6">
        <f t="shared" si="53"/>
        <v>0.19173340499865626</v>
      </c>
      <c r="Q360" s="10">
        <f t="shared" si="54"/>
        <v>3.9944459374720047E-3</v>
      </c>
      <c r="R360" s="10">
        <f t="shared" si="55"/>
        <v>2.5156224312647517E-2</v>
      </c>
      <c r="S360" s="10">
        <f t="shared" si="56"/>
        <v>2.9150670250119522E-2</v>
      </c>
    </row>
    <row r="361" spans="1:19" x14ac:dyDescent="0.25">
      <c r="A361" s="5" t="s">
        <v>8</v>
      </c>
      <c r="B361" s="5" t="s">
        <v>192</v>
      </c>
      <c r="C361" s="5" t="s">
        <v>27</v>
      </c>
      <c r="D361" s="5" t="s">
        <v>385</v>
      </c>
      <c r="E361" s="5" t="s">
        <v>384</v>
      </c>
      <c r="F361" s="5" t="s">
        <v>45</v>
      </c>
      <c r="G361" s="5" t="s">
        <v>390</v>
      </c>
      <c r="H361" s="5" t="s">
        <v>46</v>
      </c>
      <c r="I361" s="5" t="s">
        <v>51</v>
      </c>
      <c r="J361" s="15">
        <v>1100</v>
      </c>
      <c r="K361" s="7">
        <v>31</v>
      </c>
      <c r="L361" s="7">
        <f t="shared" si="51"/>
        <v>35.483870967741936</v>
      </c>
      <c r="M361" s="5" t="s">
        <v>10</v>
      </c>
      <c r="N361" s="5">
        <v>4</v>
      </c>
      <c r="O361" s="6">
        <f t="shared" si="52"/>
        <v>0.86563475546305946</v>
      </c>
      <c r="P361" s="6">
        <f t="shared" si="53"/>
        <v>9.0026014568158175E-2</v>
      </c>
      <c r="Q361" s="10">
        <f t="shared" si="54"/>
        <v>1.875541970169962E-3</v>
      </c>
      <c r="R361" s="10">
        <f t="shared" si="55"/>
        <v>1.4269151143928181E-2</v>
      </c>
      <c r="S361" s="10">
        <f t="shared" si="56"/>
        <v>1.6144693114098142E-2</v>
      </c>
    </row>
    <row r="362" spans="1:19" x14ac:dyDescent="0.25">
      <c r="A362" s="5" t="s">
        <v>8</v>
      </c>
      <c r="B362" s="5" t="s">
        <v>291</v>
      </c>
      <c r="C362" s="5" t="s">
        <v>27</v>
      </c>
      <c r="D362" s="5" t="s">
        <v>385</v>
      </c>
      <c r="E362" s="5" t="s">
        <v>384</v>
      </c>
      <c r="F362" s="5" t="s">
        <v>45</v>
      </c>
      <c r="G362" s="5" t="s">
        <v>390</v>
      </c>
      <c r="H362" s="5" t="s">
        <v>46</v>
      </c>
      <c r="I362" s="5" t="s">
        <v>51</v>
      </c>
      <c r="J362" s="15">
        <v>1294</v>
      </c>
      <c r="K362" s="7">
        <v>31.7</v>
      </c>
      <c r="L362" s="7">
        <f t="shared" si="51"/>
        <v>40.820189274447948</v>
      </c>
      <c r="M362" s="5" t="s">
        <v>10</v>
      </c>
      <c r="N362" s="5">
        <v>4</v>
      </c>
      <c r="O362" s="6">
        <f t="shared" si="52"/>
        <v>1.3476103006299196</v>
      </c>
      <c r="P362" s="6">
        <f t="shared" si="53"/>
        <v>0.14015147126551164</v>
      </c>
      <c r="Q362" s="10">
        <f t="shared" si="54"/>
        <v>2.9198223180314925E-3</v>
      </c>
      <c r="R362" s="10">
        <f t="shared" si="55"/>
        <v>1.9887050004996944E-2</v>
      </c>
      <c r="S362" s="10">
        <f t="shared" si="56"/>
        <v>2.2806872323028436E-2</v>
      </c>
    </row>
    <row r="363" spans="1:19" x14ac:dyDescent="0.25">
      <c r="A363" s="5" t="s">
        <v>8</v>
      </c>
      <c r="B363" s="5" t="s">
        <v>291</v>
      </c>
      <c r="C363" s="5" t="s">
        <v>27</v>
      </c>
      <c r="D363" s="5" t="s">
        <v>385</v>
      </c>
      <c r="E363" s="5" t="s">
        <v>384</v>
      </c>
      <c r="F363" s="5" t="s">
        <v>45</v>
      </c>
      <c r="G363" s="5" t="s">
        <v>390</v>
      </c>
      <c r="H363" s="5" t="s">
        <v>46</v>
      </c>
      <c r="I363" s="5" t="s">
        <v>51</v>
      </c>
      <c r="J363" s="15">
        <v>1309</v>
      </c>
      <c r="K363" s="7">
        <v>33.4</v>
      </c>
      <c r="L363" s="7">
        <f t="shared" si="51"/>
        <v>39.191616766467071</v>
      </c>
      <c r="M363" s="5" t="s">
        <v>10</v>
      </c>
      <c r="N363" s="5">
        <v>4</v>
      </c>
      <c r="O363" s="6">
        <f t="shared" si="52"/>
        <v>1.2566259485146476</v>
      </c>
      <c r="P363" s="6">
        <f t="shared" si="53"/>
        <v>0.13068909864552336</v>
      </c>
      <c r="Q363" s="10">
        <f t="shared" si="54"/>
        <v>2.7226895551150693E-3</v>
      </c>
      <c r="R363" s="10">
        <f t="shared" si="55"/>
        <v>1.8871292313959852E-2</v>
      </c>
      <c r="S363" s="10">
        <f t="shared" si="56"/>
        <v>2.1593981869074921E-2</v>
      </c>
    </row>
    <row r="364" spans="1:19" x14ac:dyDescent="0.25">
      <c r="A364" s="5" t="s">
        <v>8</v>
      </c>
      <c r="B364" s="5" t="s">
        <v>291</v>
      </c>
      <c r="C364" s="5" t="s">
        <v>27</v>
      </c>
      <c r="D364" s="5" t="s">
        <v>385</v>
      </c>
      <c r="E364" s="5" t="s">
        <v>384</v>
      </c>
      <c r="F364" s="5" t="s">
        <v>45</v>
      </c>
      <c r="G364" s="5" t="s">
        <v>390</v>
      </c>
      <c r="H364" s="5" t="s">
        <v>46</v>
      </c>
      <c r="I364" s="5" t="s">
        <v>51</v>
      </c>
      <c r="J364" s="15">
        <v>1245</v>
      </c>
      <c r="K364" s="7">
        <v>35.700000000000003</v>
      </c>
      <c r="L364" s="7">
        <f t="shared" si="51"/>
        <v>34.87394957983193</v>
      </c>
      <c r="M364" s="5" t="s">
        <v>10</v>
      </c>
      <c r="N364" s="5">
        <v>4</v>
      </c>
      <c r="O364" s="6">
        <f t="shared" si="52"/>
        <v>0.94634967957771321</v>
      </c>
      <c r="P364" s="6">
        <f t="shared" si="53"/>
        <v>9.8420366676082172E-2</v>
      </c>
      <c r="Q364" s="10">
        <f t="shared" si="54"/>
        <v>2.0504243057517121E-3</v>
      </c>
      <c r="R364" s="10">
        <f t="shared" si="55"/>
        <v>1.5255830466574619E-2</v>
      </c>
      <c r="S364" s="10">
        <f t="shared" si="56"/>
        <v>1.7306254772326331E-2</v>
      </c>
    </row>
    <row r="365" spans="1:19" x14ac:dyDescent="0.25">
      <c r="A365" s="5" t="s">
        <v>8</v>
      </c>
      <c r="B365" s="5" t="s">
        <v>291</v>
      </c>
      <c r="C365" s="5" t="s">
        <v>27</v>
      </c>
      <c r="D365" s="5" t="s">
        <v>385</v>
      </c>
      <c r="E365" s="5" t="s">
        <v>384</v>
      </c>
      <c r="F365" s="5" t="s">
        <v>45</v>
      </c>
      <c r="G365" s="5" t="s">
        <v>390</v>
      </c>
      <c r="H365" s="5" t="s">
        <v>46</v>
      </c>
      <c r="I365" s="5" t="s">
        <v>51</v>
      </c>
      <c r="J365" s="15">
        <v>1263</v>
      </c>
      <c r="K365" s="7">
        <v>27.6</v>
      </c>
      <c r="L365" s="7">
        <f t="shared" si="51"/>
        <v>45.760869565217391</v>
      </c>
      <c r="M365" s="5" t="s">
        <v>10</v>
      </c>
      <c r="N365" s="5">
        <v>4</v>
      </c>
      <c r="O365" s="6">
        <f t="shared" si="52"/>
        <v>1.6529963891186199</v>
      </c>
      <c r="P365" s="6">
        <f t="shared" si="53"/>
        <v>0.17191162446833649</v>
      </c>
      <c r="Q365" s="10">
        <f t="shared" si="54"/>
        <v>3.5814921764236764E-3</v>
      </c>
      <c r="R365" s="10">
        <f t="shared" si="55"/>
        <v>2.3179339312449272E-2</v>
      </c>
      <c r="S365" s="10">
        <f t="shared" si="56"/>
        <v>2.6760831488872948E-2</v>
      </c>
    </row>
    <row r="366" spans="1:19" x14ac:dyDescent="0.25">
      <c r="A366" s="5" t="s">
        <v>8</v>
      </c>
      <c r="B366" s="5" t="s">
        <v>291</v>
      </c>
      <c r="C366" s="5" t="s">
        <v>27</v>
      </c>
      <c r="D366" s="5" t="s">
        <v>385</v>
      </c>
      <c r="E366" s="5" t="s">
        <v>384</v>
      </c>
      <c r="F366" s="5" t="s">
        <v>45</v>
      </c>
      <c r="G366" s="5" t="s">
        <v>390</v>
      </c>
      <c r="H366" s="5" t="s">
        <v>46</v>
      </c>
      <c r="I366" s="5" t="s">
        <v>51</v>
      </c>
      <c r="J366" s="15">
        <v>1284</v>
      </c>
      <c r="K366" s="7">
        <v>30</v>
      </c>
      <c r="L366" s="7">
        <f t="shared" si="51"/>
        <v>42.8</v>
      </c>
      <c r="M366" s="5" t="s">
        <v>10</v>
      </c>
      <c r="N366" s="5">
        <v>4</v>
      </c>
      <c r="O366" s="6">
        <f t="shared" si="52"/>
        <v>1.4700515999999997</v>
      </c>
      <c r="P366" s="6">
        <f t="shared" si="53"/>
        <v>0.15288536639999997</v>
      </c>
      <c r="Q366" s="10">
        <f t="shared" si="54"/>
        <v>3.1851117999999994E-3</v>
      </c>
      <c r="R366" s="10">
        <f t="shared" si="55"/>
        <v>2.122738802515543E-2</v>
      </c>
      <c r="S366" s="10">
        <f t="shared" si="56"/>
        <v>2.4412499825155427E-2</v>
      </c>
    </row>
    <row r="367" spans="1:19" x14ac:dyDescent="0.25">
      <c r="A367" s="5" t="s">
        <v>8</v>
      </c>
      <c r="B367" s="5" t="s">
        <v>291</v>
      </c>
      <c r="C367" s="5" t="s">
        <v>27</v>
      </c>
      <c r="D367" s="5" t="s">
        <v>385</v>
      </c>
      <c r="E367" s="5" t="s">
        <v>384</v>
      </c>
      <c r="F367" s="5" t="s">
        <v>45</v>
      </c>
      <c r="G367" s="5" t="s">
        <v>390</v>
      </c>
      <c r="H367" s="5" t="s">
        <v>46</v>
      </c>
      <c r="I367" s="5" t="s">
        <v>51</v>
      </c>
      <c r="J367" s="15">
        <v>1251</v>
      </c>
      <c r="K367" s="7">
        <v>32.700000000000003</v>
      </c>
      <c r="L367" s="7">
        <f t="shared" si="51"/>
        <v>38.256880733944953</v>
      </c>
      <c r="M367" s="5" t="s">
        <v>10</v>
      </c>
      <c r="N367" s="5">
        <v>4</v>
      </c>
      <c r="O367" s="6">
        <f t="shared" si="52"/>
        <v>1.1443435895547511</v>
      </c>
      <c r="P367" s="6">
        <f t="shared" si="53"/>
        <v>0.11901173331369411</v>
      </c>
      <c r="Q367" s="10">
        <f t="shared" si="54"/>
        <v>2.4794111107019606E-3</v>
      </c>
      <c r="R367" s="10">
        <f t="shared" si="55"/>
        <v>1.759196916585937E-2</v>
      </c>
      <c r="S367" s="10">
        <f t="shared" si="56"/>
        <v>2.0071380276561329E-2</v>
      </c>
    </row>
    <row r="368" spans="1:19" x14ac:dyDescent="0.25">
      <c r="A368" s="5" t="s">
        <v>8</v>
      </c>
      <c r="B368" s="5" t="s">
        <v>291</v>
      </c>
      <c r="C368" s="5" t="s">
        <v>27</v>
      </c>
      <c r="D368" s="5" t="s">
        <v>385</v>
      </c>
      <c r="E368" s="5" t="s">
        <v>384</v>
      </c>
      <c r="F368" s="5" t="s">
        <v>45</v>
      </c>
      <c r="G368" s="5" t="s">
        <v>390</v>
      </c>
      <c r="H368" s="5" t="s">
        <v>46</v>
      </c>
      <c r="I368" s="5" t="s">
        <v>51</v>
      </c>
      <c r="J368" s="15">
        <v>1135</v>
      </c>
      <c r="K368" s="7">
        <v>29.2</v>
      </c>
      <c r="L368" s="7">
        <f t="shared" si="51"/>
        <v>38.869863013698634</v>
      </c>
      <c r="M368" s="5" t="s">
        <v>10</v>
      </c>
      <c r="N368" s="5">
        <v>4</v>
      </c>
      <c r="O368" s="6">
        <f t="shared" si="52"/>
        <v>1.0717707465929349</v>
      </c>
      <c r="P368" s="6">
        <f t="shared" si="53"/>
        <v>0.11146415764566524</v>
      </c>
      <c r="Q368" s="10">
        <f t="shared" si="54"/>
        <v>2.3221699509513587E-3</v>
      </c>
      <c r="R368" s="10">
        <f t="shared" si="55"/>
        <v>1.6748408640447264E-2</v>
      </c>
      <c r="S368" s="10">
        <f t="shared" si="56"/>
        <v>1.9070578591398622E-2</v>
      </c>
    </row>
    <row r="369" spans="1:19" x14ac:dyDescent="0.25">
      <c r="A369" s="5" t="s">
        <v>8</v>
      </c>
      <c r="B369" s="5" t="s">
        <v>291</v>
      </c>
      <c r="C369" s="5" t="s">
        <v>27</v>
      </c>
      <c r="D369" s="5" t="s">
        <v>385</v>
      </c>
      <c r="E369" s="5" t="s">
        <v>384</v>
      </c>
      <c r="F369" s="5" t="s">
        <v>45</v>
      </c>
      <c r="G369" s="5" t="s">
        <v>390</v>
      </c>
      <c r="H369" s="5" t="s">
        <v>46</v>
      </c>
      <c r="I369" s="5" t="s">
        <v>51</v>
      </c>
      <c r="J369" s="15">
        <v>1203</v>
      </c>
      <c r="K369" s="7">
        <v>26.7</v>
      </c>
      <c r="L369" s="7">
        <f t="shared" si="51"/>
        <v>45.056179775280903</v>
      </c>
      <c r="M369" s="5" t="s">
        <v>10</v>
      </c>
      <c r="N369" s="5">
        <v>4</v>
      </c>
      <c r="O369" s="6">
        <f t="shared" si="52"/>
        <v>1.526350863211716</v>
      </c>
      <c r="P369" s="6">
        <f t="shared" si="53"/>
        <v>0.15874048977401847</v>
      </c>
      <c r="Q369" s="10">
        <f t="shared" si="54"/>
        <v>3.3070935369587176E-3</v>
      </c>
      <c r="R369" s="10">
        <f t="shared" si="55"/>
        <v>2.1834231306130446E-2</v>
      </c>
      <c r="S369" s="10">
        <f t="shared" si="56"/>
        <v>2.5141324843089164E-2</v>
      </c>
    </row>
    <row r="370" spans="1:19" x14ac:dyDescent="0.25">
      <c r="A370" s="5" t="s">
        <v>8</v>
      </c>
      <c r="B370" s="5" t="s">
        <v>300</v>
      </c>
      <c r="C370" s="5" t="s">
        <v>27</v>
      </c>
      <c r="D370" s="5" t="s">
        <v>385</v>
      </c>
      <c r="E370" s="5" t="s">
        <v>384</v>
      </c>
      <c r="F370" s="5" t="s">
        <v>45</v>
      </c>
      <c r="G370" s="5" t="s">
        <v>390</v>
      </c>
      <c r="H370" s="5" t="s">
        <v>46</v>
      </c>
      <c r="I370" s="5" t="s">
        <v>51</v>
      </c>
      <c r="J370" s="15">
        <v>1263</v>
      </c>
      <c r="K370" s="7">
        <v>31.9</v>
      </c>
      <c r="L370" s="7">
        <f t="shared" si="51"/>
        <v>39.592476489028215</v>
      </c>
      <c r="M370" s="5" t="s">
        <v>10</v>
      </c>
      <c r="N370" s="5">
        <v>4</v>
      </c>
      <c r="O370" s="6">
        <f t="shared" si="52"/>
        <v>1.2373959860604751</v>
      </c>
      <c r="P370" s="6">
        <f t="shared" si="53"/>
        <v>0.12868918255028944</v>
      </c>
      <c r="Q370" s="10">
        <f t="shared" si="54"/>
        <v>2.6810246364643627E-3</v>
      </c>
      <c r="R370" s="10">
        <f t="shared" si="55"/>
        <v>1.8654286884243587E-2</v>
      </c>
      <c r="S370" s="10">
        <f t="shared" si="56"/>
        <v>2.1335311520707952E-2</v>
      </c>
    </row>
    <row r="371" spans="1:19" x14ac:dyDescent="0.25">
      <c r="A371" s="5" t="s">
        <v>8</v>
      </c>
      <c r="B371" s="5" t="s">
        <v>378</v>
      </c>
      <c r="C371" s="5" t="s">
        <v>27</v>
      </c>
      <c r="D371" s="5" t="s">
        <v>385</v>
      </c>
      <c r="E371" s="5" t="s">
        <v>384</v>
      </c>
      <c r="F371" s="5" t="s">
        <v>45</v>
      </c>
      <c r="G371" s="5" t="s">
        <v>390</v>
      </c>
      <c r="H371" s="5" t="s">
        <v>46</v>
      </c>
      <c r="I371" s="5" t="s">
        <v>183</v>
      </c>
      <c r="J371" s="15">
        <v>1470</v>
      </c>
      <c r="K371" s="7">
        <v>38.1</v>
      </c>
      <c r="L371" s="7">
        <f t="shared" si="51"/>
        <v>38.582677165354326</v>
      </c>
      <c r="M371" s="5" t="s">
        <v>10</v>
      </c>
      <c r="N371" s="5">
        <v>4</v>
      </c>
      <c r="O371" s="6">
        <f t="shared" si="52"/>
        <v>1.3676723603447203</v>
      </c>
      <c r="P371" s="6">
        <f t="shared" si="53"/>
        <v>0.14223792547585093</v>
      </c>
      <c r="Q371" s="10">
        <f t="shared" si="54"/>
        <v>2.963290114080227E-3</v>
      </c>
      <c r="R371" s="10">
        <f t="shared" si="55"/>
        <v>2.010868527780138E-2</v>
      </c>
      <c r="S371" s="10">
        <f t="shared" si="56"/>
        <v>2.3071975391881609E-2</v>
      </c>
    </row>
    <row r="372" spans="1:19" x14ac:dyDescent="0.25">
      <c r="A372" s="5" t="s">
        <v>22</v>
      </c>
      <c r="B372" s="5" t="s">
        <v>63</v>
      </c>
      <c r="C372" s="5" t="s">
        <v>27</v>
      </c>
      <c r="D372" s="5" t="s">
        <v>385</v>
      </c>
      <c r="E372" s="5" t="s">
        <v>384</v>
      </c>
      <c r="F372" s="5" t="s">
        <v>45</v>
      </c>
      <c r="G372" s="5" t="s">
        <v>390</v>
      </c>
      <c r="H372" s="5" t="s">
        <v>46</v>
      </c>
      <c r="I372" s="5" t="s">
        <v>153</v>
      </c>
      <c r="J372" s="15">
        <v>1510</v>
      </c>
      <c r="K372" s="7">
        <v>39</v>
      </c>
      <c r="L372" s="7">
        <f t="shared" si="51"/>
        <v>38.717948717948715</v>
      </c>
      <c r="M372" s="5" t="s">
        <v>10</v>
      </c>
      <c r="N372" s="5">
        <v>4</v>
      </c>
      <c r="O372" s="6">
        <f t="shared" si="52"/>
        <v>1.4147563280736355</v>
      </c>
      <c r="P372" s="6">
        <f t="shared" si="53"/>
        <v>0.14713465811965809</v>
      </c>
      <c r="Q372" s="10">
        <f t="shared" si="54"/>
        <v>3.0653053774928767E-3</v>
      </c>
      <c r="R372" s="10">
        <f t="shared" si="55"/>
        <v>2.0625683925483206E-2</v>
      </c>
      <c r="S372" s="10">
        <f t="shared" si="56"/>
        <v>2.3690989302976084E-2</v>
      </c>
    </row>
    <row r="373" spans="1:19" x14ac:dyDescent="0.25">
      <c r="A373" s="5" t="s">
        <v>8</v>
      </c>
      <c r="B373" s="5" t="s">
        <v>375</v>
      </c>
      <c r="C373" s="5" t="s">
        <v>27</v>
      </c>
      <c r="D373" s="5" t="s">
        <v>385</v>
      </c>
      <c r="E373" s="5" t="s">
        <v>384</v>
      </c>
      <c r="F373" s="5" t="s">
        <v>45</v>
      </c>
      <c r="G373" s="5" t="s">
        <v>390</v>
      </c>
      <c r="H373" s="5" t="s">
        <v>46</v>
      </c>
      <c r="I373" s="5" t="s">
        <v>153</v>
      </c>
      <c r="J373" s="15">
        <v>1510</v>
      </c>
      <c r="K373" s="7">
        <v>39</v>
      </c>
      <c r="L373" s="7">
        <f t="shared" si="51"/>
        <v>38.717948717948715</v>
      </c>
      <c r="M373" s="5" t="s">
        <v>10</v>
      </c>
      <c r="N373" s="5">
        <v>4</v>
      </c>
      <c r="O373" s="6">
        <f t="shared" si="52"/>
        <v>1.4147563280736355</v>
      </c>
      <c r="P373" s="6">
        <f t="shared" si="53"/>
        <v>0.14713465811965809</v>
      </c>
      <c r="Q373" s="10">
        <f t="shared" si="54"/>
        <v>3.0653053774928767E-3</v>
      </c>
      <c r="R373" s="10">
        <f t="shared" si="55"/>
        <v>2.0625683925483206E-2</v>
      </c>
      <c r="S373" s="10">
        <f t="shared" si="56"/>
        <v>2.3690989302976084E-2</v>
      </c>
    </row>
    <row r="374" spans="1:19" x14ac:dyDescent="0.25">
      <c r="A374" s="5" t="s">
        <v>8</v>
      </c>
      <c r="B374" s="5" t="s">
        <v>328</v>
      </c>
      <c r="C374" s="5" t="s">
        <v>27</v>
      </c>
      <c r="D374" s="5" t="s">
        <v>385</v>
      </c>
      <c r="E374" s="5" t="s">
        <v>384</v>
      </c>
      <c r="F374" s="5" t="s">
        <v>45</v>
      </c>
      <c r="G374" s="5" t="s">
        <v>390</v>
      </c>
      <c r="H374" s="5" t="s">
        <v>46</v>
      </c>
      <c r="I374" s="5" t="s">
        <v>39</v>
      </c>
      <c r="J374" s="15">
        <v>1735</v>
      </c>
      <c r="K374" s="7">
        <v>27</v>
      </c>
      <c r="L374" s="7">
        <f t="shared" si="51"/>
        <v>64.259259259259252</v>
      </c>
      <c r="M374" s="5" t="s">
        <v>10</v>
      </c>
      <c r="N374" s="5">
        <v>4</v>
      </c>
      <c r="O374" s="6">
        <f t="shared" si="52"/>
        <v>4.4776580718449912</v>
      </c>
      <c r="P374" s="6">
        <f t="shared" si="53"/>
        <v>0.46567643947187914</v>
      </c>
      <c r="Q374" s="10">
        <f t="shared" si="54"/>
        <v>9.7015924889974816E-3</v>
      </c>
      <c r="R374" s="10">
        <f t="shared" si="55"/>
        <v>4.8942406422067777E-2</v>
      </c>
      <c r="S374" s="10">
        <f t="shared" si="56"/>
        <v>5.8643998911065261E-2</v>
      </c>
    </row>
    <row r="375" spans="1:19" x14ac:dyDescent="0.25">
      <c r="A375" s="5" t="s">
        <v>8</v>
      </c>
      <c r="B375" s="5" t="s">
        <v>378</v>
      </c>
      <c r="C375" s="5" t="s">
        <v>27</v>
      </c>
      <c r="D375" s="5" t="s">
        <v>385</v>
      </c>
      <c r="E375" s="5" t="s">
        <v>384</v>
      </c>
      <c r="F375" s="5" t="s">
        <v>45</v>
      </c>
      <c r="G375" s="5" t="s">
        <v>390</v>
      </c>
      <c r="H375" s="5" t="s">
        <v>46</v>
      </c>
      <c r="I375" s="5" t="s">
        <v>379</v>
      </c>
      <c r="J375" s="15">
        <v>1160</v>
      </c>
      <c r="K375" s="7">
        <v>39</v>
      </c>
      <c r="L375" s="7">
        <f t="shared" si="51"/>
        <v>29.743589743589745</v>
      </c>
      <c r="M375" s="5" t="s">
        <v>10</v>
      </c>
      <c r="N375" s="5">
        <v>4</v>
      </c>
      <c r="O375" s="6">
        <f t="shared" si="52"/>
        <v>0.64139381985535826</v>
      </c>
      <c r="P375" s="6">
        <f t="shared" si="53"/>
        <v>6.670495726495726E-2</v>
      </c>
      <c r="Q375" s="10">
        <f t="shared" si="54"/>
        <v>1.3896866096866096E-3</v>
      </c>
      <c r="R375" s="10">
        <f t="shared" si="55"/>
        <v>1.1395691995518462E-2</v>
      </c>
      <c r="S375" s="10">
        <f t="shared" si="56"/>
        <v>1.2785378605205072E-2</v>
      </c>
    </row>
    <row r="376" spans="1:19" x14ac:dyDescent="0.25">
      <c r="A376" s="5" t="s">
        <v>8</v>
      </c>
      <c r="B376" s="5" t="s">
        <v>339</v>
      </c>
      <c r="C376" s="5" t="s">
        <v>27</v>
      </c>
      <c r="D376" s="5" t="s">
        <v>385</v>
      </c>
      <c r="E376" s="5" t="s">
        <v>384</v>
      </c>
      <c r="F376" s="5" t="s">
        <v>45</v>
      </c>
      <c r="G376" s="5" t="s">
        <v>390</v>
      </c>
      <c r="H376" s="5" t="s">
        <v>46</v>
      </c>
      <c r="I376" s="5" t="s">
        <v>343</v>
      </c>
      <c r="J376" s="15">
        <v>917</v>
      </c>
      <c r="K376" s="7">
        <v>21.1</v>
      </c>
      <c r="L376" s="7">
        <f t="shared" si="51"/>
        <v>43.459715639810426</v>
      </c>
      <c r="M376" s="5" t="s">
        <v>10</v>
      </c>
      <c r="N376" s="5">
        <v>4</v>
      </c>
      <c r="O376" s="6">
        <f t="shared" si="52"/>
        <v>1.0824880576020304</v>
      </c>
      <c r="P376" s="6">
        <f t="shared" si="53"/>
        <v>0.11257875799061115</v>
      </c>
      <c r="Q376" s="10">
        <f t="shared" si="54"/>
        <v>2.3453907914710655E-3</v>
      </c>
      <c r="R376" s="10">
        <f t="shared" si="55"/>
        <v>1.6873860704511252E-2</v>
      </c>
      <c r="S376" s="10">
        <f t="shared" si="56"/>
        <v>1.9219251495982317E-2</v>
      </c>
    </row>
    <row r="377" spans="1:19" x14ac:dyDescent="0.25">
      <c r="A377" s="5" t="s">
        <v>8</v>
      </c>
      <c r="B377" s="5" t="s">
        <v>161</v>
      </c>
      <c r="C377" s="5" t="s">
        <v>27</v>
      </c>
      <c r="D377" s="5" t="s">
        <v>385</v>
      </c>
      <c r="E377" s="5" t="s">
        <v>384</v>
      </c>
      <c r="F377" s="5" t="s">
        <v>45</v>
      </c>
      <c r="G377" s="5" t="s">
        <v>390</v>
      </c>
      <c r="H377" s="5" t="s">
        <v>46</v>
      </c>
      <c r="I377" s="5" t="s">
        <v>163</v>
      </c>
      <c r="J377" s="15">
        <v>1320</v>
      </c>
      <c r="K377" s="7">
        <v>31</v>
      </c>
      <c r="L377" s="7">
        <f t="shared" si="51"/>
        <v>42.58064516129032</v>
      </c>
      <c r="M377" s="5" t="s">
        <v>10</v>
      </c>
      <c r="N377" s="5">
        <v>4</v>
      </c>
      <c r="O377" s="6">
        <f t="shared" si="52"/>
        <v>1.4958168574401665</v>
      </c>
      <c r="P377" s="6">
        <f t="shared" si="53"/>
        <v>0.1555649531737773</v>
      </c>
      <c r="Q377" s="10">
        <f t="shared" si="54"/>
        <v>3.2409365244536938E-3</v>
      </c>
      <c r="R377" s="10">
        <f t="shared" si="55"/>
        <v>2.1505816795006499E-2</v>
      </c>
      <c r="S377" s="10">
        <f t="shared" si="56"/>
        <v>2.4746753319460191E-2</v>
      </c>
    </row>
    <row r="378" spans="1:19" x14ac:dyDescent="0.25">
      <c r="A378" s="5" t="s">
        <v>22</v>
      </c>
      <c r="B378" s="5" t="s">
        <v>63</v>
      </c>
      <c r="C378" s="5" t="s">
        <v>27</v>
      </c>
      <c r="D378" s="5" t="s">
        <v>385</v>
      </c>
      <c r="E378" s="5" t="s">
        <v>384</v>
      </c>
      <c r="F378" s="5" t="s">
        <v>45</v>
      </c>
      <c r="G378" s="5" t="s">
        <v>390</v>
      </c>
      <c r="H378" s="5" t="s">
        <v>72</v>
      </c>
      <c r="I378" s="5" t="s">
        <v>73</v>
      </c>
      <c r="J378" s="15">
        <v>1100</v>
      </c>
      <c r="K378" s="7">
        <v>29</v>
      </c>
      <c r="L378" s="7">
        <f t="shared" si="51"/>
        <v>37.931034482758619</v>
      </c>
      <c r="M378" s="5" t="s">
        <v>10</v>
      </c>
      <c r="N378" s="5">
        <v>4</v>
      </c>
      <c r="O378" s="6">
        <f t="shared" si="52"/>
        <v>0.9891498216409037</v>
      </c>
      <c r="P378" s="6">
        <f t="shared" si="53"/>
        <v>0.10287158145065398</v>
      </c>
      <c r="Q378" s="10">
        <f t="shared" si="54"/>
        <v>2.1431579468886245E-3</v>
      </c>
      <c r="R378" s="10">
        <f t="shared" si="55"/>
        <v>1.5770435338965008E-2</v>
      </c>
      <c r="S378" s="10">
        <f t="shared" si="56"/>
        <v>1.7913593285853631E-2</v>
      </c>
    </row>
    <row r="379" spans="1:19" x14ac:dyDescent="0.25">
      <c r="A379" s="5" t="s">
        <v>22</v>
      </c>
      <c r="B379" s="5" t="s">
        <v>63</v>
      </c>
      <c r="C379" s="5" t="s">
        <v>27</v>
      </c>
      <c r="D379" s="5" t="s">
        <v>385</v>
      </c>
      <c r="E379" s="5" t="s">
        <v>384</v>
      </c>
      <c r="F379" s="5" t="s">
        <v>45</v>
      </c>
      <c r="G379" s="5" t="s">
        <v>390</v>
      </c>
      <c r="H379" s="5" t="s">
        <v>77</v>
      </c>
      <c r="I379" s="5" t="s">
        <v>78</v>
      </c>
      <c r="J379" s="15">
        <v>750</v>
      </c>
      <c r="K379" s="7">
        <v>25.5</v>
      </c>
      <c r="L379" s="7">
        <f t="shared" si="51"/>
        <v>29.411764705882351</v>
      </c>
      <c r="M379" s="5" t="s">
        <v>10</v>
      </c>
      <c r="N379" s="5">
        <v>4</v>
      </c>
      <c r="O379" s="6">
        <f t="shared" si="52"/>
        <v>0.40549307958477504</v>
      </c>
      <c r="P379" s="6">
        <f t="shared" si="53"/>
        <v>4.2171280276816603E-2</v>
      </c>
      <c r="Q379" s="10">
        <f t="shared" si="54"/>
        <v>8.7856833910034593E-4</v>
      </c>
      <c r="R379" s="10">
        <f t="shared" si="55"/>
        <v>8.0795041676919276E-3</v>
      </c>
      <c r="S379" s="10">
        <f t="shared" si="56"/>
        <v>8.958072506792274E-3</v>
      </c>
    </row>
    <row r="380" spans="1:19" x14ac:dyDescent="0.25">
      <c r="A380" s="5" t="s">
        <v>8</v>
      </c>
      <c r="B380" s="5" t="s">
        <v>296</v>
      </c>
      <c r="C380" s="5" t="s">
        <v>27</v>
      </c>
      <c r="D380" s="5" t="s">
        <v>385</v>
      </c>
      <c r="E380" s="5" t="s">
        <v>384</v>
      </c>
      <c r="F380" s="5" t="s">
        <v>45</v>
      </c>
      <c r="G380" s="5" t="s">
        <v>390</v>
      </c>
      <c r="H380" s="5" t="s">
        <v>77</v>
      </c>
      <c r="I380" s="5" t="s">
        <v>297</v>
      </c>
      <c r="J380" s="15">
        <v>740</v>
      </c>
      <c r="K380" s="7">
        <v>26</v>
      </c>
      <c r="L380" s="7">
        <f t="shared" si="51"/>
        <v>28.46153846153846</v>
      </c>
      <c r="M380" s="5" t="s">
        <v>10</v>
      </c>
      <c r="N380" s="5">
        <v>4</v>
      </c>
      <c r="O380" s="6">
        <f t="shared" si="52"/>
        <v>0.37465236686390524</v>
      </c>
      <c r="P380" s="6">
        <f t="shared" si="53"/>
        <v>3.8963846153846148E-2</v>
      </c>
      <c r="Q380" s="10">
        <f t="shared" si="54"/>
        <v>8.117467948717946E-4</v>
      </c>
      <c r="R380" s="10">
        <f t="shared" si="55"/>
        <v>7.6140983946227968E-3</v>
      </c>
      <c r="S380" s="10">
        <f t="shared" si="56"/>
        <v>8.4258451894945914E-3</v>
      </c>
    </row>
    <row r="381" spans="1:19" x14ac:dyDescent="0.25">
      <c r="A381" s="5" t="s">
        <v>8</v>
      </c>
      <c r="B381" s="5" t="s">
        <v>322</v>
      </c>
      <c r="C381" s="5" t="s">
        <v>27</v>
      </c>
      <c r="D381" s="5" t="s">
        <v>385</v>
      </c>
      <c r="E381" s="5" t="s">
        <v>384</v>
      </c>
      <c r="F381" s="5" t="s">
        <v>45</v>
      </c>
      <c r="G381" s="5" t="s">
        <v>390</v>
      </c>
      <c r="H381" s="5" t="s">
        <v>77</v>
      </c>
      <c r="I381" s="5" t="s">
        <v>324</v>
      </c>
      <c r="J381" s="15">
        <v>1100</v>
      </c>
      <c r="K381" s="7">
        <v>37</v>
      </c>
      <c r="L381" s="7">
        <f t="shared" si="51"/>
        <v>29.72972972972973</v>
      </c>
      <c r="M381" s="5" t="s">
        <v>10</v>
      </c>
      <c r="N381" s="5">
        <v>4</v>
      </c>
      <c r="O381" s="6">
        <f t="shared" si="52"/>
        <v>0.60765157048940832</v>
      </c>
      <c r="P381" s="6">
        <f t="shared" si="53"/>
        <v>6.3195763330898463E-2</v>
      </c>
      <c r="Q381" s="10">
        <f t="shared" si="54"/>
        <v>1.3165784027270512E-3</v>
      </c>
      <c r="R381" s="10">
        <f t="shared" si="55"/>
        <v>1.0943042674342459E-2</v>
      </c>
      <c r="S381" s="10">
        <f t="shared" si="56"/>
        <v>1.2259621077069511E-2</v>
      </c>
    </row>
    <row r="382" spans="1:19" x14ac:dyDescent="0.25">
      <c r="A382" s="5" t="s">
        <v>8</v>
      </c>
      <c r="B382" s="5" t="s">
        <v>322</v>
      </c>
      <c r="C382" s="5" t="s">
        <v>27</v>
      </c>
      <c r="D382" s="5" t="s">
        <v>385</v>
      </c>
      <c r="E382" s="5" t="s">
        <v>384</v>
      </c>
      <c r="F382" s="5" t="s">
        <v>45</v>
      </c>
      <c r="G382" s="5" t="s">
        <v>390</v>
      </c>
      <c r="H382" s="5" t="s">
        <v>77</v>
      </c>
      <c r="I382" s="5" t="s">
        <v>71</v>
      </c>
      <c r="J382" s="15">
        <v>1000</v>
      </c>
      <c r="K382" s="7">
        <v>34</v>
      </c>
      <c r="L382" s="7">
        <f t="shared" si="51"/>
        <v>29.411764705882351</v>
      </c>
      <c r="M382" s="5" t="s">
        <v>10</v>
      </c>
      <c r="N382" s="5">
        <v>4</v>
      </c>
      <c r="O382" s="6">
        <f t="shared" si="52"/>
        <v>0.54065743944636668</v>
      </c>
      <c r="P382" s="6">
        <f t="shared" si="53"/>
        <v>5.6228373702422139E-2</v>
      </c>
      <c r="Q382" s="10">
        <f t="shared" si="54"/>
        <v>1.1714244521337945E-3</v>
      </c>
      <c r="R382" s="10">
        <f t="shared" si="55"/>
        <v>1.0025101116786362E-2</v>
      </c>
      <c r="S382" s="10">
        <f t="shared" si="56"/>
        <v>1.1196525568920156E-2</v>
      </c>
    </row>
    <row r="383" spans="1:19" x14ac:dyDescent="0.25">
      <c r="A383" s="5" t="s">
        <v>22</v>
      </c>
      <c r="B383" s="5" t="s">
        <v>63</v>
      </c>
      <c r="C383" s="5" t="s">
        <v>27</v>
      </c>
      <c r="D383" s="5" t="s">
        <v>385</v>
      </c>
      <c r="E383" s="5" t="s">
        <v>384</v>
      </c>
      <c r="F383" s="5" t="s">
        <v>45</v>
      </c>
      <c r="G383" s="5" t="s">
        <v>390</v>
      </c>
      <c r="H383" s="5" t="s">
        <v>74</v>
      </c>
      <c r="I383" s="5" t="s">
        <v>24</v>
      </c>
      <c r="J383" s="15">
        <v>1000</v>
      </c>
      <c r="K383" s="7">
        <v>30</v>
      </c>
      <c r="L383" s="7">
        <f t="shared" si="51"/>
        <v>33.333333333333336</v>
      </c>
      <c r="M383" s="5" t="s">
        <v>10</v>
      </c>
      <c r="N383" s="5">
        <v>4</v>
      </c>
      <c r="O383" s="6">
        <f t="shared" si="52"/>
        <v>0.69444444444444453</v>
      </c>
      <c r="P383" s="6">
        <f t="shared" si="53"/>
        <v>7.2222222222222229E-2</v>
      </c>
      <c r="Q383" s="10">
        <f t="shared" si="54"/>
        <v>1.5046296296296298E-3</v>
      </c>
      <c r="R383" s="10">
        <f t="shared" si="55"/>
        <v>1.2095539811572421E-2</v>
      </c>
      <c r="S383" s="10">
        <f t="shared" si="56"/>
        <v>1.3600169441202051E-2</v>
      </c>
    </row>
    <row r="384" spans="1:19" x14ac:dyDescent="0.25">
      <c r="A384" s="5" t="s">
        <v>8</v>
      </c>
      <c r="B384" s="5" t="s">
        <v>264</v>
      </c>
      <c r="C384" s="5" t="s">
        <v>27</v>
      </c>
      <c r="D384" s="5" t="s">
        <v>385</v>
      </c>
      <c r="E384" s="5" t="s">
        <v>384</v>
      </c>
      <c r="F384" s="5" t="s">
        <v>45</v>
      </c>
      <c r="G384" s="5" t="s">
        <v>383</v>
      </c>
      <c r="H384" s="5" t="s">
        <v>89</v>
      </c>
      <c r="I384" s="5" t="s">
        <v>266</v>
      </c>
      <c r="J384" s="15">
        <v>1120</v>
      </c>
      <c r="K384" s="7">
        <v>29.2</v>
      </c>
      <c r="L384" s="7">
        <f t="shared" si="51"/>
        <v>38.356164383561648</v>
      </c>
      <c r="M384" s="5" t="s">
        <v>10</v>
      </c>
      <c r="N384" s="5">
        <v>4</v>
      </c>
      <c r="O384" s="6">
        <f t="shared" si="52"/>
        <v>1.029836742353162</v>
      </c>
      <c r="P384" s="6">
        <f t="shared" si="53"/>
        <v>0.10710302120472885</v>
      </c>
      <c r="Q384" s="10">
        <f t="shared" si="54"/>
        <v>2.2313129417651846E-3</v>
      </c>
      <c r="R384" s="10">
        <f t="shared" si="55"/>
        <v>1.6254492377313225E-2</v>
      </c>
      <c r="S384" s="10">
        <f t="shared" si="56"/>
        <v>1.8485805319078411E-2</v>
      </c>
    </row>
    <row r="385" spans="1:19" x14ac:dyDescent="0.25">
      <c r="A385" s="5" t="s">
        <v>8</v>
      </c>
      <c r="B385" s="5" t="s">
        <v>358</v>
      </c>
      <c r="C385" s="5" t="s">
        <v>27</v>
      </c>
      <c r="D385" s="5" t="s">
        <v>385</v>
      </c>
      <c r="E385" s="5" t="s">
        <v>384</v>
      </c>
      <c r="F385" s="5" t="s">
        <v>45</v>
      </c>
      <c r="G385" s="5" t="s">
        <v>383</v>
      </c>
      <c r="H385" s="5" t="s">
        <v>89</v>
      </c>
      <c r="I385" s="5" t="s">
        <v>267</v>
      </c>
      <c r="J385" s="15">
        <v>1425</v>
      </c>
      <c r="K385" s="7">
        <v>33.5</v>
      </c>
      <c r="L385" s="7">
        <f t="shared" si="51"/>
        <v>42.537313432835823</v>
      </c>
      <c r="M385" s="5" t="s">
        <v>10</v>
      </c>
      <c r="N385" s="5">
        <v>4</v>
      </c>
      <c r="O385" s="6">
        <f t="shared" si="52"/>
        <v>1.6115173897304527</v>
      </c>
      <c r="P385" s="6">
        <f t="shared" si="53"/>
        <v>0.16759780853196707</v>
      </c>
      <c r="Q385" s="10">
        <f t="shared" si="54"/>
        <v>3.4916210110826473E-3</v>
      </c>
      <c r="R385" s="10">
        <f t="shared" si="55"/>
        <v>2.2741723321392279E-2</v>
      </c>
      <c r="S385" s="10">
        <f t="shared" si="56"/>
        <v>2.6233344332474928E-2</v>
      </c>
    </row>
    <row r="386" spans="1:19" x14ac:dyDescent="0.25">
      <c r="A386" s="5" t="s">
        <v>8</v>
      </c>
      <c r="B386" s="5" t="s">
        <v>264</v>
      </c>
      <c r="C386" s="5" t="s">
        <v>27</v>
      </c>
      <c r="D386" s="5" t="s">
        <v>385</v>
      </c>
      <c r="E386" s="5" t="s">
        <v>384</v>
      </c>
      <c r="F386" s="5" t="s">
        <v>45</v>
      </c>
      <c r="G386" s="5" t="s">
        <v>383</v>
      </c>
      <c r="H386" s="5" t="s">
        <v>89</v>
      </c>
      <c r="I386" s="5" t="s">
        <v>267</v>
      </c>
      <c r="J386" s="15">
        <v>1300</v>
      </c>
      <c r="K386" s="7">
        <v>33.5</v>
      </c>
      <c r="L386" s="7">
        <f t="shared" si="51"/>
        <v>38.805970149253731</v>
      </c>
      <c r="M386" s="5" t="s">
        <v>10</v>
      </c>
      <c r="N386" s="5">
        <v>4</v>
      </c>
      <c r="O386" s="6">
        <f t="shared" si="52"/>
        <v>1.2235464468701269</v>
      </c>
      <c r="P386" s="6">
        <f t="shared" si="53"/>
        <v>0.1272488304744932</v>
      </c>
      <c r="Q386" s="10">
        <f t="shared" si="54"/>
        <v>2.6510173015519417E-3</v>
      </c>
      <c r="R386" s="10">
        <f t="shared" si="55"/>
        <v>1.8497475870327421E-2</v>
      </c>
      <c r="S386" s="10">
        <f t="shared" si="56"/>
        <v>2.1148493171879362E-2</v>
      </c>
    </row>
    <row r="387" spans="1:19" x14ac:dyDescent="0.25">
      <c r="A387" s="5" t="s">
        <v>22</v>
      </c>
      <c r="B387" s="5" t="s">
        <v>63</v>
      </c>
      <c r="C387" s="5" t="s">
        <v>27</v>
      </c>
      <c r="D387" s="5" t="s">
        <v>385</v>
      </c>
      <c r="E387" s="5" t="s">
        <v>384</v>
      </c>
      <c r="F387" s="5" t="s">
        <v>45</v>
      </c>
      <c r="G387" s="5" t="s">
        <v>383</v>
      </c>
      <c r="H387" s="5" t="s">
        <v>89</v>
      </c>
      <c r="I387" s="5" t="s">
        <v>90</v>
      </c>
      <c r="J387" s="15">
        <v>840</v>
      </c>
      <c r="K387" s="7">
        <v>21.5</v>
      </c>
      <c r="L387" s="7">
        <f t="shared" si="51"/>
        <v>39.069767441860463</v>
      </c>
      <c r="M387" s="5" t="s">
        <v>10</v>
      </c>
      <c r="N387" s="5">
        <v>4</v>
      </c>
      <c r="O387" s="6">
        <f t="shared" si="52"/>
        <v>0.80138453217955641</v>
      </c>
      <c r="P387" s="6">
        <f t="shared" si="53"/>
        <v>8.3343991346673862E-2</v>
      </c>
      <c r="Q387" s="10">
        <f t="shared" si="54"/>
        <v>1.7363331530557055E-3</v>
      </c>
      <c r="R387" s="10">
        <f t="shared" si="55"/>
        <v>1.3467216474127932E-2</v>
      </c>
      <c r="S387" s="10">
        <f t="shared" si="56"/>
        <v>1.5203549627183637E-2</v>
      </c>
    </row>
    <row r="388" spans="1:19" x14ac:dyDescent="0.25">
      <c r="A388" s="5" t="s">
        <v>8</v>
      </c>
      <c r="B388" s="5" t="s">
        <v>359</v>
      </c>
      <c r="C388" s="5" t="s">
        <v>27</v>
      </c>
      <c r="D388" s="5" t="s">
        <v>385</v>
      </c>
      <c r="E388" s="5" t="s">
        <v>384</v>
      </c>
      <c r="F388" s="5" t="s">
        <v>45</v>
      </c>
      <c r="G388" s="5" t="s">
        <v>383</v>
      </c>
      <c r="H388" s="5" t="s">
        <v>89</v>
      </c>
      <c r="I388" s="5" t="s">
        <v>90</v>
      </c>
      <c r="J388" s="15">
        <v>840</v>
      </c>
      <c r="K388" s="7">
        <v>21.5</v>
      </c>
      <c r="L388" s="7">
        <f t="shared" si="51"/>
        <v>39.069767441860463</v>
      </c>
      <c r="M388" s="5" t="s">
        <v>10</v>
      </c>
      <c r="N388" s="5">
        <v>4</v>
      </c>
      <c r="O388" s="6">
        <f t="shared" si="52"/>
        <v>0.80138453217955641</v>
      </c>
      <c r="P388" s="6">
        <f t="shared" si="53"/>
        <v>8.3343991346673862E-2</v>
      </c>
      <c r="Q388" s="10">
        <f t="shared" si="54"/>
        <v>1.7363331530557055E-3</v>
      </c>
      <c r="R388" s="10">
        <f t="shared" si="55"/>
        <v>1.3467216474127932E-2</v>
      </c>
      <c r="S388" s="10">
        <f t="shared" si="56"/>
        <v>1.5203549627183637E-2</v>
      </c>
    </row>
    <row r="389" spans="1:19" x14ac:dyDescent="0.25">
      <c r="A389" s="5" t="s">
        <v>8</v>
      </c>
      <c r="B389" s="5" t="s">
        <v>360</v>
      </c>
      <c r="C389" s="5" t="s">
        <v>27</v>
      </c>
      <c r="D389" s="5" t="s">
        <v>385</v>
      </c>
      <c r="E389" s="5" t="s">
        <v>384</v>
      </c>
      <c r="F389" s="5" t="s">
        <v>45</v>
      </c>
      <c r="G389" s="5" t="s">
        <v>383</v>
      </c>
      <c r="H389" s="5" t="s">
        <v>89</v>
      </c>
      <c r="I389" s="5" t="s">
        <v>90</v>
      </c>
      <c r="J389" s="15">
        <v>1190</v>
      </c>
      <c r="K389" s="7">
        <v>22.5</v>
      </c>
      <c r="L389" s="7">
        <f t="shared" si="51"/>
        <v>52.888888888888886</v>
      </c>
      <c r="M389" s="5" t="s">
        <v>10</v>
      </c>
      <c r="N389" s="5">
        <v>4</v>
      </c>
      <c r="O389" s="6">
        <f t="shared" si="52"/>
        <v>2.0804432098765431</v>
      </c>
      <c r="P389" s="6">
        <f t="shared" si="53"/>
        <v>0.21636609382716043</v>
      </c>
      <c r="Q389" s="10">
        <f t="shared" si="54"/>
        <v>4.5076269547325099E-3</v>
      </c>
      <c r="R389" s="10">
        <f t="shared" si="55"/>
        <v>2.7543176383485118E-2</v>
      </c>
      <c r="S389" s="10">
        <f t="shared" si="56"/>
        <v>3.205080333821763E-2</v>
      </c>
    </row>
    <row r="390" spans="1:19" x14ac:dyDescent="0.25">
      <c r="A390" s="5" t="s">
        <v>8</v>
      </c>
      <c r="B390" s="5" t="s">
        <v>264</v>
      </c>
      <c r="C390" s="5" t="s">
        <v>27</v>
      </c>
      <c r="D390" s="5" t="s">
        <v>385</v>
      </c>
      <c r="E390" s="5" t="s">
        <v>384</v>
      </c>
      <c r="F390" s="5" t="s">
        <v>45</v>
      </c>
      <c r="G390" s="5" t="s">
        <v>383</v>
      </c>
      <c r="H390" s="5" t="s">
        <v>89</v>
      </c>
      <c r="I390" s="5" t="s">
        <v>90</v>
      </c>
      <c r="J390" s="15">
        <v>1000</v>
      </c>
      <c r="K390" s="7">
        <v>22</v>
      </c>
      <c r="L390" s="7">
        <f t="shared" si="51"/>
        <v>45.454545454545453</v>
      </c>
      <c r="M390" s="5" t="s">
        <v>10</v>
      </c>
      <c r="N390" s="5">
        <v>4</v>
      </c>
      <c r="O390" s="6">
        <f t="shared" si="52"/>
        <v>1.2913223140495866</v>
      </c>
      <c r="P390" s="6">
        <f t="shared" si="53"/>
        <v>0.13429752066115702</v>
      </c>
      <c r="Q390" s="10">
        <f t="shared" si="54"/>
        <v>2.7978650137741039E-3</v>
      </c>
      <c r="R390" s="10">
        <f t="shared" si="55"/>
        <v>1.9260746534398895E-2</v>
      </c>
      <c r="S390" s="10">
        <f t="shared" si="56"/>
        <v>2.2058611548172999E-2</v>
      </c>
    </row>
    <row r="391" spans="1:19" x14ac:dyDescent="0.25">
      <c r="A391" s="5" t="s">
        <v>8</v>
      </c>
      <c r="B391" s="5" t="s">
        <v>264</v>
      </c>
      <c r="C391" s="5" t="s">
        <v>27</v>
      </c>
      <c r="D391" s="5" t="s">
        <v>385</v>
      </c>
      <c r="E391" s="5" t="s">
        <v>384</v>
      </c>
      <c r="F391" s="5" t="s">
        <v>45</v>
      </c>
      <c r="G391" s="5" t="s">
        <v>383</v>
      </c>
      <c r="H391" s="5" t="s">
        <v>89</v>
      </c>
      <c r="I391" s="5" t="s">
        <v>265</v>
      </c>
      <c r="J391" s="15">
        <v>1000</v>
      </c>
      <c r="K391" s="7">
        <v>25</v>
      </c>
      <c r="L391" s="7">
        <f t="shared" si="51"/>
        <v>40</v>
      </c>
      <c r="M391" s="5" t="s">
        <v>10</v>
      </c>
      <c r="N391" s="5">
        <v>4</v>
      </c>
      <c r="O391" s="6">
        <f t="shared" si="52"/>
        <v>1</v>
      </c>
      <c r="P391" s="6">
        <f t="shared" si="53"/>
        <v>0.104</v>
      </c>
      <c r="Q391" s="10">
        <f t="shared" si="54"/>
        <v>2.1666666666666666E-3</v>
      </c>
      <c r="R391" s="10">
        <f t="shared" si="55"/>
        <v>1.5900000000000001E-2</v>
      </c>
      <c r="S391" s="10">
        <f t="shared" si="56"/>
        <v>1.8066666666666668E-2</v>
      </c>
    </row>
    <row r="392" spans="1:19" x14ac:dyDescent="0.25">
      <c r="A392" s="5" t="s">
        <v>8</v>
      </c>
      <c r="B392" s="5" t="s">
        <v>264</v>
      </c>
      <c r="C392" s="5" t="s">
        <v>27</v>
      </c>
      <c r="D392" s="5" t="s">
        <v>385</v>
      </c>
      <c r="E392" s="5" t="s">
        <v>384</v>
      </c>
      <c r="F392" s="5" t="s">
        <v>45</v>
      </c>
      <c r="G392" s="5" t="s">
        <v>383</v>
      </c>
      <c r="H392" s="5" t="s">
        <v>89</v>
      </c>
      <c r="I392" s="5" t="s">
        <v>268</v>
      </c>
      <c r="J392" s="15">
        <v>1300</v>
      </c>
      <c r="K392" s="7">
        <v>27.5</v>
      </c>
      <c r="L392" s="7">
        <f t="shared" ref="L392:L411" si="57">J392/K392</f>
        <v>47.272727272727273</v>
      </c>
      <c r="M392" s="5" t="s">
        <v>10</v>
      </c>
      <c r="N392" s="5">
        <v>4</v>
      </c>
      <c r="O392" s="6">
        <f t="shared" ref="O392:O411" si="58">(J392*L392^2)/(1.6*10^6)</f>
        <v>1.815702479338843</v>
      </c>
      <c r="P392" s="6">
        <f t="shared" ref="P392:P411" si="59">(0.104*J392*L392^2)/(1.6*10^6)</f>
        <v>0.18883305785123963</v>
      </c>
      <c r="Q392" s="10">
        <f t="shared" ref="Q392:Q411" si="60">(0.104*O392)/(12*N392)</f>
        <v>3.9340220385674926E-3</v>
      </c>
      <c r="R392" s="10">
        <f t="shared" ref="R392:R411" si="61">0.0159*O392^0.75</f>
        <v>2.4870277967481078E-2</v>
      </c>
      <c r="S392" s="10">
        <f t="shared" ref="S392:S411" si="62">Q392+R392</f>
        <v>2.8804300006048569E-2</v>
      </c>
    </row>
    <row r="393" spans="1:19" x14ac:dyDescent="0.25">
      <c r="A393" s="5" t="s">
        <v>8</v>
      </c>
      <c r="B393" s="5" t="s">
        <v>358</v>
      </c>
      <c r="C393" s="5" t="s">
        <v>27</v>
      </c>
      <c r="D393" s="5" t="s">
        <v>385</v>
      </c>
      <c r="E393" s="5" t="s">
        <v>384</v>
      </c>
      <c r="F393" s="5" t="s">
        <v>45</v>
      </c>
      <c r="G393" s="5" t="s">
        <v>383</v>
      </c>
      <c r="H393" s="5" t="s">
        <v>89</v>
      </c>
      <c r="I393" s="5" t="s">
        <v>269</v>
      </c>
      <c r="J393" s="15">
        <v>1150</v>
      </c>
      <c r="K393" s="7">
        <v>25.8</v>
      </c>
      <c r="L393" s="7">
        <f t="shared" si="57"/>
        <v>44.573643410852711</v>
      </c>
      <c r="M393" s="5" t="s">
        <v>10</v>
      </c>
      <c r="N393" s="5">
        <v>4</v>
      </c>
      <c r="O393" s="6">
        <f t="shared" si="58"/>
        <v>1.4280194624722071</v>
      </c>
      <c r="P393" s="6">
        <f t="shared" si="59"/>
        <v>0.14851402409710951</v>
      </c>
      <c r="Q393" s="10">
        <f t="shared" si="60"/>
        <v>3.0940421686897822E-3</v>
      </c>
      <c r="R393" s="10">
        <f t="shared" si="61"/>
        <v>2.0770536726440858E-2</v>
      </c>
      <c r="S393" s="10">
        <f t="shared" si="62"/>
        <v>2.3864578895130641E-2</v>
      </c>
    </row>
    <row r="394" spans="1:19" x14ac:dyDescent="0.25">
      <c r="A394" s="5" t="s">
        <v>8</v>
      </c>
      <c r="B394" s="5" t="s">
        <v>264</v>
      </c>
      <c r="C394" s="5" t="s">
        <v>27</v>
      </c>
      <c r="D394" s="5" t="s">
        <v>385</v>
      </c>
      <c r="E394" s="5" t="s">
        <v>384</v>
      </c>
      <c r="F394" s="5" t="s">
        <v>45</v>
      </c>
      <c r="G394" s="5" t="s">
        <v>383</v>
      </c>
      <c r="H394" s="5" t="s">
        <v>89</v>
      </c>
      <c r="I394" s="5" t="s">
        <v>269</v>
      </c>
      <c r="J394" s="15">
        <v>1060</v>
      </c>
      <c r="K394" s="7">
        <v>23.5</v>
      </c>
      <c r="L394" s="7">
        <f t="shared" si="57"/>
        <v>45.106382978723403</v>
      </c>
      <c r="M394" s="5" t="s">
        <v>10</v>
      </c>
      <c r="N394" s="5">
        <v>4</v>
      </c>
      <c r="O394" s="6">
        <f t="shared" si="58"/>
        <v>1.3479130828429153</v>
      </c>
      <c r="P394" s="6">
        <f t="shared" si="59"/>
        <v>0.14018296061566318</v>
      </c>
      <c r="Q394" s="10">
        <f t="shared" si="60"/>
        <v>2.9204783461596498E-3</v>
      </c>
      <c r="R394" s="10">
        <f t="shared" si="61"/>
        <v>1.9890401090197855E-2</v>
      </c>
      <c r="S394" s="10">
        <f t="shared" si="62"/>
        <v>2.2810879436357505E-2</v>
      </c>
    </row>
    <row r="395" spans="1:19" x14ac:dyDescent="0.25">
      <c r="A395" s="5" t="s">
        <v>8</v>
      </c>
      <c r="B395" s="5" t="s">
        <v>312</v>
      </c>
      <c r="C395" s="5" t="s">
        <v>27</v>
      </c>
      <c r="D395" s="5" t="s">
        <v>385</v>
      </c>
      <c r="E395" s="5" t="s">
        <v>384</v>
      </c>
      <c r="F395" s="5" t="s">
        <v>45</v>
      </c>
      <c r="G395" s="5" t="s">
        <v>383</v>
      </c>
      <c r="H395" s="5" t="s">
        <v>89</v>
      </c>
      <c r="I395" s="5" t="s">
        <v>269</v>
      </c>
      <c r="J395" s="15">
        <v>1040</v>
      </c>
      <c r="K395" s="7">
        <v>22</v>
      </c>
      <c r="L395" s="7">
        <f t="shared" si="57"/>
        <v>47.272727272727273</v>
      </c>
      <c r="M395" s="5" t="s">
        <v>10</v>
      </c>
      <c r="N395" s="5">
        <v>4</v>
      </c>
      <c r="O395" s="6">
        <f t="shared" si="58"/>
        <v>1.4525619834710741</v>
      </c>
      <c r="P395" s="6">
        <f t="shared" si="59"/>
        <v>0.15106644628099172</v>
      </c>
      <c r="Q395" s="10">
        <f t="shared" si="60"/>
        <v>3.1472176308539935E-3</v>
      </c>
      <c r="R395" s="10">
        <f t="shared" si="61"/>
        <v>2.1037693789274791E-2</v>
      </c>
      <c r="S395" s="10">
        <f t="shared" si="62"/>
        <v>2.4184911420128786E-2</v>
      </c>
    </row>
    <row r="396" spans="1:19" x14ac:dyDescent="0.25">
      <c r="A396" s="5" t="s">
        <v>8</v>
      </c>
      <c r="B396" s="5" t="s">
        <v>312</v>
      </c>
      <c r="C396" s="5" t="s">
        <v>27</v>
      </c>
      <c r="D396" s="5" t="s">
        <v>385</v>
      </c>
      <c r="E396" s="5" t="s">
        <v>384</v>
      </c>
      <c r="F396" s="5" t="s">
        <v>45</v>
      </c>
      <c r="G396" s="5" t="s">
        <v>383</v>
      </c>
      <c r="H396" s="5" t="s">
        <v>89</v>
      </c>
      <c r="I396" s="5" t="s">
        <v>269</v>
      </c>
      <c r="J396" s="15">
        <v>1215</v>
      </c>
      <c r="K396" s="7">
        <v>26.3</v>
      </c>
      <c r="L396" s="7">
        <f t="shared" si="57"/>
        <v>46.197718631178709</v>
      </c>
      <c r="M396" s="5" t="s">
        <v>10</v>
      </c>
      <c r="N396" s="5">
        <v>4</v>
      </c>
      <c r="O396" s="6">
        <f t="shared" si="58"/>
        <v>1.6206803038572197</v>
      </c>
      <c r="P396" s="6">
        <f t="shared" si="59"/>
        <v>0.16855075160115085</v>
      </c>
      <c r="Q396" s="10">
        <f t="shared" si="60"/>
        <v>3.5114739916906426E-3</v>
      </c>
      <c r="R396" s="10">
        <f t="shared" si="61"/>
        <v>2.2838634796892455E-2</v>
      </c>
      <c r="S396" s="10">
        <f t="shared" si="62"/>
        <v>2.6350108788583099E-2</v>
      </c>
    </row>
    <row r="397" spans="1:19" x14ac:dyDescent="0.25">
      <c r="A397" s="5" t="s">
        <v>8</v>
      </c>
      <c r="B397" s="5" t="s">
        <v>264</v>
      </c>
      <c r="C397" s="5" t="s">
        <v>27</v>
      </c>
      <c r="D397" s="5" t="s">
        <v>385</v>
      </c>
      <c r="E397" s="5" t="s">
        <v>384</v>
      </c>
      <c r="F397" s="5" t="s">
        <v>45</v>
      </c>
      <c r="G397" s="5" t="s">
        <v>383</v>
      </c>
      <c r="H397" s="5" t="s">
        <v>89</v>
      </c>
      <c r="I397" s="5" t="s">
        <v>130</v>
      </c>
      <c r="J397" s="15">
        <v>1385</v>
      </c>
      <c r="K397" s="7">
        <v>26.4</v>
      </c>
      <c r="L397" s="7">
        <f t="shared" si="57"/>
        <v>52.462121212121218</v>
      </c>
      <c r="M397" s="5" t="s">
        <v>10</v>
      </c>
      <c r="N397" s="5">
        <v>4</v>
      </c>
      <c r="O397" s="6">
        <f t="shared" si="58"/>
        <v>2.3824373215464307</v>
      </c>
      <c r="P397" s="6">
        <f t="shared" si="59"/>
        <v>0.24777348144082881</v>
      </c>
      <c r="Q397" s="10">
        <f t="shared" si="60"/>
        <v>5.1619475300172663E-3</v>
      </c>
      <c r="R397" s="10">
        <f t="shared" si="61"/>
        <v>3.0490408095780776E-2</v>
      </c>
      <c r="S397" s="10">
        <f t="shared" si="62"/>
        <v>3.5652355625798042E-2</v>
      </c>
    </row>
    <row r="398" spans="1:19" x14ac:dyDescent="0.25">
      <c r="A398" s="5" t="s">
        <v>22</v>
      </c>
      <c r="B398" s="5" t="s">
        <v>63</v>
      </c>
      <c r="C398" s="5" t="s">
        <v>27</v>
      </c>
      <c r="D398" s="5" t="s">
        <v>385</v>
      </c>
      <c r="E398" s="5" t="s">
        <v>384</v>
      </c>
      <c r="F398" s="5" t="s">
        <v>45</v>
      </c>
      <c r="G398" s="5" t="s">
        <v>383</v>
      </c>
      <c r="H398" s="5" t="s">
        <v>84</v>
      </c>
      <c r="I398" s="5" t="s">
        <v>85</v>
      </c>
      <c r="J398" s="15">
        <v>1150</v>
      </c>
      <c r="K398" s="7">
        <v>26</v>
      </c>
      <c r="L398" s="7">
        <f t="shared" si="57"/>
        <v>44.230769230769234</v>
      </c>
      <c r="M398" s="5" t="s">
        <v>10</v>
      </c>
      <c r="N398" s="5">
        <v>4</v>
      </c>
      <c r="O398" s="6">
        <f t="shared" si="58"/>
        <v>1.4061344304733729</v>
      </c>
      <c r="P398" s="6">
        <f t="shared" si="59"/>
        <v>0.14623798076923078</v>
      </c>
      <c r="Q398" s="10">
        <f t="shared" si="60"/>
        <v>3.0466245993589747E-3</v>
      </c>
      <c r="R398" s="10">
        <f t="shared" si="61"/>
        <v>2.0531338164569143E-2</v>
      </c>
      <c r="S398" s="10">
        <f t="shared" si="62"/>
        <v>2.3577962763928116E-2</v>
      </c>
    </row>
    <row r="399" spans="1:19" x14ac:dyDescent="0.25">
      <c r="A399" s="5" t="s">
        <v>8</v>
      </c>
      <c r="B399" s="5" t="s">
        <v>326</v>
      </c>
      <c r="C399" s="5" t="s">
        <v>27</v>
      </c>
      <c r="D399" s="5" t="s">
        <v>385</v>
      </c>
      <c r="E399" s="5" t="s">
        <v>384</v>
      </c>
      <c r="F399" s="5" t="s">
        <v>45</v>
      </c>
      <c r="G399" s="5" t="s">
        <v>383</v>
      </c>
      <c r="H399" s="5" t="s">
        <v>84</v>
      </c>
      <c r="I399" s="5" t="s">
        <v>327</v>
      </c>
      <c r="J399" s="15">
        <v>1150</v>
      </c>
      <c r="K399" s="7">
        <v>21</v>
      </c>
      <c r="L399" s="7">
        <f t="shared" si="57"/>
        <v>54.761904761904759</v>
      </c>
      <c r="M399" s="5" t="s">
        <v>10</v>
      </c>
      <c r="N399" s="5">
        <v>4</v>
      </c>
      <c r="O399" s="6">
        <f t="shared" si="58"/>
        <v>2.1554350907029476</v>
      </c>
      <c r="P399" s="6">
        <f t="shared" si="59"/>
        <v>0.22416524943310653</v>
      </c>
      <c r="Q399" s="10">
        <f t="shared" si="60"/>
        <v>4.6701093631897192E-3</v>
      </c>
      <c r="R399" s="10">
        <f t="shared" si="61"/>
        <v>2.828448893687794E-2</v>
      </c>
      <c r="S399" s="10">
        <f t="shared" si="62"/>
        <v>3.295459830006766E-2</v>
      </c>
    </row>
    <row r="400" spans="1:19" x14ac:dyDescent="0.25">
      <c r="A400" s="5" t="s">
        <v>8</v>
      </c>
      <c r="B400" s="5" t="s">
        <v>322</v>
      </c>
      <c r="C400" s="5" t="s">
        <v>27</v>
      </c>
      <c r="D400" s="5" t="s">
        <v>385</v>
      </c>
      <c r="E400" s="5" t="s">
        <v>384</v>
      </c>
      <c r="F400" s="5" t="s">
        <v>45</v>
      </c>
      <c r="G400" s="5" t="s">
        <v>383</v>
      </c>
      <c r="H400" s="5" t="s">
        <v>84</v>
      </c>
      <c r="I400" s="5" t="s">
        <v>211</v>
      </c>
      <c r="J400" s="15">
        <v>1350</v>
      </c>
      <c r="K400" s="7">
        <v>35</v>
      </c>
      <c r="L400" s="7">
        <f t="shared" si="57"/>
        <v>38.571428571428569</v>
      </c>
      <c r="M400" s="5" t="s">
        <v>10</v>
      </c>
      <c r="N400" s="5">
        <v>4</v>
      </c>
      <c r="O400" s="6">
        <f t="shared" si="58"/>
        <v>1.2552933673469386</v>
      </c>
      <c r="P400" s="6">
        <f t="shared" si="59"/>
        <v>0.13055051020408162</v>
      </c>
      <c r="Q400" s="10">
        <f t="shared" si="60"/>
        <v>2.719802295918367E-3</v>
      </c>
      <c r="R400" s="10">
        <f t="shared" si="61"/>
        <v>1.8856281365180333E-2</v>
      </c>
      <c r="S400" s="10">
        <f t="shared" si="62"/>
        <v>2.1576083661098699E-2</v>
      </c>
    </row>
    <row r="401" spans="1:19" x14ac:dyDescent="0.25">
      <c r="A401" s="5" t="s">
        <v>8</v>
      </c>
      <c r="B401" s="5" t="s">
        <v>206</v>
      </c>
      <c r="C401" s="5" t="s">
        <v>27</v>
      </c>
      <c r="D401" s="5" t="s">
        <v>385</v>
      </c>
      <c r="E401" s="5" t="s">
        <v>384</v>
      </c>
      <c r="F401" s="5" t="s">
        <v>45</v>
      </c>
      <c r="G401" s="5" t="s">
        <v>383</v>
      </c>
      <c r="H401" s="5" t="s">
        <v>84</v>
      </c>
      <c r="I401" s="5" t="s">
        <v>211</v>
      </c>
      <c r="J401" s="15">
        <v>1050</v>
      </c>
      <c r="K401" s="7">
        <v>20</v>
      </c>
      <c r="L401" s="7">
        <f t="shared" si="57"/>
        <v>52.5</v>
      </c>
      <c r="M401" s="5" t="s">
        <v>10</v>
      </c>
      <c r="N401" s="5">
        <v>4</v>
      </c>
      <c r="O401" s="6">
        <f t="shared" si="58"/>
        <v>1.8087890625</v>
      </c>
      <c r="P401" s="6">
        <f t="shared" si="59"/>
        <v>0.18811406249999996</v>
      </c>
      <c r="Q401" s="10">
        <f t="shared" si="60"/>
        <v>3.9190429687499997E-3</v>
      </c>
      <c r="R401" s="10">
        <f t="shared" si="61"/>
        <v>2.4799222591898096E-2</v>
      </c>
      <c r="S401" s="10">
        <f t="shared" si="62"/>
        <v>2.8718265560648097E-2</v>
      </c>
    </row>
    <row r="402" spans="1:19" x14ac:dyDescent="0.25">
      <c r="A402" s="5" t="s">
        <v>8</v>
      </c>
      <c r="B402" s="5" t="s">
        <v>204</v>
      </c>
      <c r="C402" s="5" t="s">
        <v>27</v>
      </c>
      <c r="D402" s="5" t="s">
        <v>385</v>
      </c>
      <c r="E402" s="5" t="s">
        <v>384</v>
      </c>
      <c r="F402" s="5" t="s">
        <v>45</v>
      </c>
      <c r="G402" s="5" t="s">
        <v>383</v>
      </c>
      <c r="H402" s="5" t="s">
        <v>84</v>
      </c>
      <c r="I402" s="5" t="s">
        <v>211</v>
      </c>
      <c r="J402" s="15">
        <v>1300</v>
      </c>
      <c r="K402" s="7">
        <v>31</v>
      </c>
      <c r="L402" s="7">
        <f t="shared" si="57"/>
        <v>41.935483870967744</v>
      </c>
      <c r="M402" s="5" t="s">
        <v>10</v>
      </c>
      <c r="N402" s="5">
        <v>4</v>
      </c>
      <c r="O402" s="6">
        <f t="shared" si="58"/>
        <v>1.4288501560874092</v>
      </c>
      <c r="P402" s="6">
        <f t="shared" si="59"/>
        <v>0.14860041623309053</v>
      </c>
      <c r="Q402" s="10">
        <f t="shared" si="60"/>
        <v>3.0958420048560532E-3</v>
      </c>
      <c r="R402" s="10">
        <f t="shared" si="61"/>
        <v>2.0779597893882982E-2</v>
      </c>
      <c r="S402" s="10">
        <f t="shared" si="62"/>
        <v>2.3875439898739036E-2</v>
      </c>
    </row>
    <row r="403" spans="1:19" x14ac:dyDescent="0.25">
      <c r="A403" s="5" t="s">
        <v>8</v>
      </c>
      <c r="B403" s="5" t="s">
        <v>192</v>
      </c>
      <c r="C403" s="5" t="s">
        <v>27</v>
      </c>
      <c r="D403" s="5" t="s">
        <v>385</v>
      </c>
      <c r="E403" s="5" t="s">
        <v>384</v>
      </c>
      <c r="F403" s="5" t="s">
        <v>45</v>
      </c>
      <c r="G403" s="5" t="s">
        <v>383</v>
      </c>
      <c r="H403" s="5" t="s">
        <v>84</v>
      </c>
      <c r="I403" s="5" t="s">
        <v>211</v>
      </c>
      <c r="J403" s="15">
        <v>1240</v>
      </c>
      <c r="K403" s="7">
        <v>33</v>
      </c>
      <c r="L403" s="7">
        <f t="shared" si="57"/>
        <v>37.575757575757578</v>
      </c>
      <c r="M403" s="5" t="s">
        <v>10</v>
      </c>
      <c r="N403" s="5">
        <v>4</v>
      </c>
      <c r="O403" s="6">
        <f t="shared" si="58"/>
        <v>1.0942516069788797</v>
      </c>
      <c r="P403" s="6">
        <f t="shared" si="59"/>
        <v>0.1138021671258035</v>
      </c>
      <c r="Q403" s="10">
        <f t="shared" si="60"/>
        <v>2.3708784817875728E-3</v>
      </c>
      <c r="R403" s="10">
        <f t="shared" si="61"/>
        <v>1.7011202684541326E-2</v>
      </c>
      <c r="S403" s="10">
        <f t="shared" si="62"/>
        <v>1.9382081166328897E-2</v>
      </c>
    </row>
    <row r="404" spans="1:19" x14ac:dyDescent="0.25">
      <c r="A404" s="5" t="s">
        <v>22</v>
      </c>
      <c r="B404" s="5" t="s">
        <v>63</v>
      </c>
      <c r="C404" s="5" t="s">
        <v>27</v>
      </c>
      <c r="D404" s="5" t="s">
        <v>385</v>
      </c>
      <c r="E404" s="5" t="s">
        <v>384</v>
      </c>
      <c r="F404" s="5" t="s">
        <v>45</v>
      </c>
      <c r="G404" s="5" t="s">
        <v>383</v>
      </c>
      <c r="H404" s="5" t="s">
        <v>86</v>
      </c>
      <c r="I404" s="5" t="s">
        <v>87</v>
      </c>
      <c r="J404" s="15">
        <v>1500</v>
      </c>
      <c r="K404" s="7">
        <v>36</v>
      </c>
      <c r="L404" s="7">
        <f t="shared" si="57"/>
        <v>41.666666666666664</v>
      </c>
      <c r="M404" s="5" t="s">
        <v>10</v>
      </c>
      <c r="N404" s="5">
        <v>4</v>
      </c>
      <c r="O404" s="6">
        <f t="shared" si="58"/>
        <v>1.6276041666666665</v>
      </c>
      <c r="P404" s="6">
        <f t="shared" si="59"/>
        <v>0.16927083333333331</v>
      </c>
      <c r="Q404" s="10">
        <f t="shared" si="60"/>
        <v>3.5264756944444441E-3</v>
      </c>
      <c r="R404" s="10">
        <f t="shared" si="61"/>
        <v>2.2911774118795719E-2</v>
      </c>
      <c r="S404" s="10">
        <f t="shared" si="62"/>
        <v>2.6438249813240163E-2</v>
      </c>
    </row>
    <row r="405" spans="1:19" x14ac:dyDescent="0.25">
      <c r="A405" s="5" t="s">
        <v>22</v>
      </c>
      <c r="B405" s="5" t="s">
        <v>63</v>
      </c>
      <c r="C405" s="5" t="s">
        <v>27</v>
      </c>
      <c r="D405" s="5" t="s">
        <v>385</v>
      </c>
      <c r="E405" s="5" t="s">
        <v>384</v>
      </c>
      <c r="F405" s="5" t="s">
        <v>45</v>
      </c>
      <c r="G405" s="5" t="s">
        <v>383</v>
      </c>
      <c r="H405" s="5" t="s">
        <v>88</v>
      </c>
      <c r="I405" s="5" t="s">
        <v>15</v>
      </c>
      <c r="J405" s="15">
        <v>1700</v>
      </c>
      <c r="K405" s="7">
        <v>22</v>
      </c>
      <c r="L405" s="7">
        <f t="shared" si="57"/>
        <v>77.272727272727266</v>
      </c>
      <c r="M405" s="5" t="s">
        <v>10</v>
      </c>
      <c r="N405" s="5">
        <v>4</v>
      </c>
      <c r="O405" s="6">
        <f t="shared" si="58"/>
        <v>6.344266528925619</v>
      </c>
      <c r="P405" s="6">
        <f t="shared" si="59"/>
        <v>0.65980371900826429</v>
      </c>
      <c r="Q405" s="10">
        <f t="shared" si="60"/>
        <v>1.3745910812672174E-2</v>
      </c>
      <c r="R405" s="10">
        <f t="shared" si="61"/>
        <v>6.3559897650201369E-2</v>
      </c>
      <c r="S405" s="10">
        <f t="shared" si="62"/>
        <v>7.7305808462873549E-2</v>
      </c>
    </row>
    <row r="406" spans="1:19" x14ac:dyDescent="0.25">
      <c r="A406" s="5" t="s">
        <v>22</v>
      </c>
      <c r="B406" s="5" t="s">
        <v>63</v>
      </c>
      <c r="C406" s="5" t="s">
        <v>27</v>
      </c>
      <c r="D406" s="5" t="s">
        <v>385</v>
      </c>
      <c r="E406" s="5" t="s">
        <v>384</v>
      </c>
      <c r="F406" s="5" t="s">
        <v>45</v>
      </c>
      <c r="G406" s="5" t="s">
        <v>383</v>
      </c>
      <c r="H406" s="5" t="s">
        <v>83</v>
      </c>
      <c r="I406" s="5" t="s">
        <v>62</v>
      </c>
      <c r="J406" s="15">
        <v>1300</v>
      </c>
      <c r="K406" s="7">
        <v>28</v>
      </c>
      <c r="L406" s="7">
        <f t="shared" si="57"/>
        <v>46.428571428571431</v>
      </c>
      <c r="M406" s="5" t="s">
        <v>10</v>
      </c>
      <c r="N406" s="5">
        <v>4</v>
      </c>
      <c r="O406" s="6">
        <f t="shared" si="58"/>
        <v>1.751434948979592</v>
      </c>
      <c r="P406" s="6">
        <f t="shared" si="59"/>
        <v>0.18214923469387756</v>
      </c>
      <c r="Q406" s="10">
        <f t="shared" si="60"/>
        <v>3.7947757227891157E-3</v>
      </c>
      <c r="R406" s="10">
        <f t="shared" si="61"/>
        <v>2.4207092683528889E-2</v>
      </c>
      <c r="S406" s="10">
        <f t="shared" si="62"/>
        <v>2.8001868406318006E-2</v>
      </c>
    </row>
    <row r="407" spans="1:19" x14ac:dyDescent="0.25">
      <c r="A407" s="5" t="s">
        <v>8</v>
      </c>
      <c r="B407" s="5" t="s">
        <v>339</v>
      </c>
      <c r="C407" s="5" t="s">
        <v>27</v>
      </c>
      <c r="D407" s="5" t="s">
        <v>385</v>
      </c>
      <c r="E407" s="5" t="s">
        <v>384</v>
      </c>
      <c r="F407" s="5" t="s">
        <v>45</v>
      </c>
      <c r="G407" s="5" t="s">
        <v>383</v>
      </c>
      <c r="H407" s="5" t="s">
        <v>83</v>
      </c>
      <c r="I407" s="5" t="s">
        <v>341</v>
      </c>
      <c r="J407" s="15">
        <v>1103</v>
      </c>
      <c r="K407" s="7">
        <v>27.5</v>
      </c>
      <c r="L407" s="7">
        <f t="shared" si="57"/>
        <v>40.109090909090909</v>
      </c>
      <c r="M407" s="5" t="s">
        <v>10</v>
      </c>
      <c r="N407" s="5">
        <v>4</v>
      </c>
      <c r="O407" s="6">
        <f t="shared" si="58"/>
        <v>1.109024567768595</v>
      </c>
      <c r="P407" s="6">
        <f t="shared" si="59"/>
        <v>0.11533855504793387</v>
      </c>
      <c r="Q407" s="10">
        <f t="shared" si="60"/>
        <v>2.4028865634986222E-3</v>
      </c>
      <c r="R407" s="10">
        <f t="shared" si="61"/>
        <v>1.7183158637034863E-2</v>
      </c>
      <c r="S407" s="10">
        <f t="shared" si="62"/>
        <v>1.9586045200533485E-2</v>
      </c>
    </row>
    <row r="408" spans="1:19" x14ac:dyDescent="0.25">
      <c r="A408" s="5" t="s">
        <v>8</v>
      </c>
      <c r="B408" s="5" t="s">
        <v>369</v>
      </c>
      <c r="C408" s="5" t="s">
        <v>27</v>
      </c>
      <c r="D408" s="5" t="s">
        <v>385</v>
      </c>
      <c r="E408" s="5" t="s">
        <v>384</v>
      </c>
      <c r="F408" s="5" t="s">
        <v>45</v>
      </c>
      <c r="G408" s="5" t="s">
        <v>383</v>
      </c>
      <c r="H408" s="5" t="s">
        <v>83</v>
      </c>
      <c r="I408" s="5" t="s">
        <v>341</v>
      </c>
      <c r="J408" s="15">
        <v>1260</v>
      </c>
      <c r="K408" s="7">
        <v>29.9</v>
      </c>
      <c r="L408" s="7">
        <f t="shared" si="57"/>
        <v>42.140468227424748</v>
      </c>
      <c r="M408" s="5" t="s">
        <v>10</v>
      </c>
      <c r="N408" s="5">
        <v>4</v>
      </c>
      <c r="O408" s="6">
        <f t="shared" si="58"/>
        <v>1.3984575116609432</v>
      </c>
      <c r="P408" s="6">
        <f t="shared" si="59"/>
        <v>0.14543958121273809</v>
      </c>
      <c r="Q408" s="10">
        <f t="shared" si="60"/>
        <v>3.029991275265377E-3</v>
      </c>
      <c r="R408" s="10">
        <f t="shared" si="61"/>
        <v>2.0447211129455776E-2</v>
      </c>
      <c r="S408" s="10">
        <f t="shared" si="62"/>
        <v>2.3477202404721152E-2</v>
      </c>
    </row>
    <row r="409" spans="1:19" x14ac:dyDescent="0.25">
      <c r="A409" s="5" t="s">
        <v>8</v>
      </c>
      <c r="B409" s="5" t="s">
        <v>339</v>
      </c>
      <c r="C409" s="5" t="s">
        <v>27</v>
      </c>
      <c r="D409" s="5" t="s">
        <v>385</v>
      </c>
      <c r="E409" s="5" t="s">
        <v>384</v>
      </c>
      <c r="F409" s="5" t="s">
        <v>45</v>
      </c>
      <c r="G409" s="5" t="s">
        <v>383</v>
      </c>
      <c r="H409" s="5" t="s">
        <v>83</v>
      </c>
      <c r="I409" s="5" t="s">
        <v>340</v>
      </c>
      <c r="J409" s="15">
        <v>1023</v>
      </c>
      <c r="K409" s="7">
        <v>26.4</v>
      </c>
      <c r="L409" s="7">
        <f t="shared" si="57"/>
        <v>38.75</v>
      </c>
      <c r="M409" s="5" t="s">
        <v>10</v>
      </c>
      <c r="N409" s="5">
        <v>4</v>
      </c>
      <c r="O409" s="6">
        <f t="shared" si="58"/>
        <v>0.96006152343749995</v>
      </c>
      <c r="P409" s="6">
        <f t="shared" si="59"/>
        <v>9.9846398437499997E-2</v>
      </c>
      <c r="Q409" s="10">
        <f t="shared" si="60"/>
        <v>2.0801333007812498E-3</v>
      </c>
      <c r="R409" s="10">
        <f t="shared" si="61"/>
        <v>1.5421315518521045E-2</v>
      </c>
      <c r="S409" s="10">
        <f t="shared" si="62"/>
        <v>1.7501448819302295E-2</v>
      </c>
    </row>
    <row r="410" spans="1:19" x14ac:dyDescent="0.25">
      <c r="A410" s="5" t="s">
        <v>8</v>
      </c>
      <c r="B410" s="5" t="s">
        <v>339</v>
      </c>
      <c r="C410" s="5" t="s">
        <v>27</v>
      </c>
      <c r="D410" s="5" t="s">
        <v>385</v>
      </c>
      <c r="E410" s="5" t="s">
        <v>384</v>
      </c>
      <c r="F410" s="5" t="s">
        <v>45</v>
      </c>
      <c r="G410" s="5" t="s">
        <v>383</v>
      </c>
      <c r="H410" s="5" t="s">
        <v>83</v>
      </c>
      <c r="I410" s="5" t="s">
        <v>340</v>
      </c>
      <c r="J410" s="15">
        <v>1009</v>
      </c>
      <c r="K410" s="7">
        <v>22.1</v>
      </c>
      <c r="L410" s="7">
        <f t="shared" si="57"/>
        <v>45.656108597285062</v>
      </c>
      <c r="M410" s="5" t="s">
        <v>10</v>
      </c>
      <c r="N410" s="5">
        <v>4</v>
      </c>
      <c r="O410" s="6">
        <f t="shared" si="58"/>
        <v>1.314525359073319</v>
      </c>
      <c r="P410" s="6">
        <f t="shared" si="59"/>
        <v>0.13671063734362518</v>
      </c>
      <c r="Q410" s="10">
        <f t="shared" si="60"/>
        <v>2.8481382779921914E-3</v>
      </c>
      <c r="R410" s="10">
        <f t="shared" si="61"/>
        <v>1.9519732008710461E-2</v>
      </c>
      <c r="S410" s="10">
        <f t="shared" si="62"/>
        <v>2.2367870286702653E-2</v>
      </c>
    </row>
    <row r="411" spans="1:19" x14ac:dyDescent="0.25">
      <c r="A411" s="5" t="s">
        <v>8</v>
      </c>
      <c r="B411" s="5" t="s">
        <v>369</v>
      </c>
      <c r="C411" s="5" t="s">
        <v>27</v>
      </c>
      <c r="D411" s="5" t="s">
        <v>385</v>
      </c>
      <c r="E411" s="5" t="s">
        <v>384</v>
      </c>
      <c r="F411" s="5" t="s">
        <v>45</v>
      </c>
      <c r="G411" s="5" t="s">
        <v>383</v>
      </c>
      <c r="H411" s="5" t="s">
        <v>83</v>
      </c>
      <c r="I411" s="5" t="s">
        <v>340</v>
      </c>
      <c r="J411" s="15">
        <v>1340</v>
      </c>
      <c r="K411" s="7">
        <v>36.5</v>
      </c>
      <c r="L411" s="7">
        <f t="shared" si="57"/>
        <v>36.712328767123289</v>
      </c>
      <c r="M411" s="5" t="s">
        <v>10</v>
      </c>
      <c r="N411" s="5">
        <v>4</v>
      </c>
      <c r="O411" s="6">
        <f t="shared" si="58"/>
        <v>1.1287783824357291</v>
      </c>
      <c r="P411" s="6">
        <f t="shared" si="59"/>
        <v>0.11739295177331582</v>
      </c>
      <c r="Q411" s="10">
        <f t="shared" si="60"/>
        <v>2.4456864952774131E-3</v>
      </c>
      <c r="R411" s="10">
        <f t="shared" si="61"/>
        <v>1.7412199601379269E-2</v>
      </c>
      <c r="S411" s="10">
        <f t="shared" si="62"/>
        <v>1.9857886096656681E-2</v>
      </c>
    </row>
    <row r="412" spans="1:19" x14ac:dyDescent="0.25">
      <c r="J412" s="16">
        <f t="shared" ref="J412:S412" si="63">AVERAGE(J138:J411)</f>
        <v>1631.1386861313867</v>
      </c>
      <c r="K412" s="12">
        <f t="shared" si="63"/>
        <v>29.099270072992695</v>
      </c>
      <c r="L412" s="12">
        <f t="shared" si="63"/>
        <v>56.619457139268462</v>
      </c>
      <c r="M412" s="11" t="e">
        <f t="shared" si="63"/>
        <v>#DIV/0!</v>
      </c>
      <c r="N412" s="11">
        <f t="shared" si="63"/>
        <v>4</v>
      </c>
      <c r="O412" s="13">
        <f t="shared" si="63"/>
        <v>5.5135964444421175</v>
      </c>
      <c r="P412" s="13">
        <f t="shared" si="63"/>
        <v>0.57341403022198034</v>
      </c>
      <c r="Q412" s="14">
        <f t="shared" si="63"/>
        <v>1.194612562962459E-2</v>
      </c>
      <c r="R412" s="14">
        <f t="shared" si="63"/>
        <v>4.8930633679363518E-2</v>
      </c>
      <c r="S412" s="14">
        <f t="shared" si="63"/>
        <v>6.087675930898806E-2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"/>
  <sheetViews>
    <sheetView topLeftCell="B1" workbookViewId="0">
      <pane ySplit="1" topLeftCell="A135" activePane="bottomLeft" state="frozen"/>
      <selection pane="bottomLeft" activeCell="I159" sqref="I138:I159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890</v>
      </c>
      <c r="K2" s="7">
        <v>19</v>
      </c>
      <c r="L2" s="7">
        <f>J2/K2</f>
        <v>46.842105263157897</v>
      </c>
      <c r="M2" s="5" t="s">
        <v>9</v>
      </c>
      <c r="N2" s="5">
        <v>4</v>
      </c>
      <c r="O2" s="6">
        <f>(J2*L2^2)/(1.6*10^6)</f>
        <v>1.2205141966759003</v>
      </c>
      <c r="P2" s="6">
        <f>(0.104*J2*L2^2)/(1.6*10^6)</f>
        <v>0.12693347645429362</v>
      </c>
      <c r="Q2" s="10">
        <f>(0.104*O2)/(12*N2)</f>
        <v>2.6444474261311172E-3</v>
      </c>
      <c r="R2" s="10">
        <f>0.0159*O2^0.75</f>
        <v>1.8463084224508496E-2</v>
      </c>
      <c r="S2" s="10">
        <f>Q2+R2</f>
        <v>2.1107531650639614E-2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850</v>
      </c>
      <c r="K3" s="7">
        <v>13</v>
      </c>
      <c r="L3" s="7">
        <f>J3/K3</f>
        <v>65.384615384615387</v>
      </c>
      <c r="M3" s="5" t="s">
        <v>9</v>
      </c>
      <c r="N3" s="5">
        <v>4</v>
      </c>
      <c r="O3" s="6">
        <f>(J3*L3^2)/(1.6*10^6)</f>
        <v>2.2711723372781067</v>
      </c>
      <c r="P3" s="6">
        <f>(0.104*J3*L3^2)/(1.6*10^6)</f>
        <v>0.23620192307692309</v>
      </c>
      <c r="Q3" s="10">
        <f>(0.104*O3)/(12*N3)</f>
        <v>4.9208733974358976E-3</v>
      </c>
      <c r="R3" s="10">
        <f>0.0159*O3^0.75</f>
        <v>2.9416072803725764E-2</v>
      </c>
      <c r="S3" s="10">
        <f>Q3+R3</f>
        <v>3.4336946201161664E-2</v>
      </c>
    </row>
    <row r="4" spans="1:19" x14ac:dyDescent="0.25">
      <c r="J4" s="16">
        <f>AVERAGE(J2:J3)</f>
        <v>870</v>
      </c>
      <c r="K4" s="12">
        <f t="shared" ref="K4:S4" si="0">AVERAGE(K2:K3)</f>
        <v>16</v>
      </c>
      <c r="L4" s="12">
        <f t="shared" si="0"/>
        <v>56.113360323886639</v>
      </c>
      <c r="M4" s="11" t="e">
        <f t="shared" si="0"/>
        <v>#DIV/0!</v>
      </c>
      <c r="N4" s="11">
        <f t="shared" si="0"/>
        <v>4</v>
      </c>
      <c r="O4" s="13">
        <f t="shared" si="0"/>
        <v>1.7458432669770034</v>
      </c>
      <c r="P4" s="13">
        <f t="shared" si="0"/>
        <v>0.18156769976560835</v>
      </c>
      <c r="Q4" s="14">
        <f t="shared" si="0"/>
        <v>3.7826604117835077E-3</v>
      </c>
      <c r="R4" s="14">
        <f t="shared" si="0"/>
        <v>2.393957851411713E-2</v>
      </c>
      <c r="S4" s="14">
        <f t="shared" si="0"/>
        <v>2.7722238925900637E-2</v>
      </c>
    </row>
    <row r="5" spans="1:19" x14ac:dyDescent="0.25">
      <c r="A5" s="5" t="s">
        <v>22</v>
      </c>
      <c r="B5" s="5" t="s">
        <v>63</v>
      </c>
      <c r="C5" s="5" t="s">
        <v>27</v>
      </c>
      <c r="D5" s="5" t="s">
        <v>389</v>
      </c>
      <c r="E5" s="5" t="s">
        <v>388</v>
      </c>
      <c r="F5" s="5" t="s">
        <v>28</v>
      </c>
      <c r="G5" s="5" t="s">
        <v>398</v>
      </c>
      <c r="H5" s="5" t="s">
        <v>133</v>
      </c>
      <c r="I5" s="5" t="s">
        <v>25</v>
      </c>
      <c r="J5" s="15">
        <v>1900</v>
      </c>
      <c r="K5" s="7">
        <v>50</v>
      </c>
      <c r="L5" s="7">
        <f>J5/K5</f>
        <v>38</v>
      </c>
      <c r="M5" s="5" t="s">
        <v>9</v>
      </c>
      <c r="N5" s="5">
        <v>4</v>
      </c>
      <c r="O5" s="6">
        <f>(J5*L5^2)/(1.6*10^6)</f>
        <v>1.71475</v>
      </c>
      <c r="P5" s="6">
        <f>(0.104*J5*L5^2)/(1.6*10^6)</f>
        <v>0.17833399999999996</v>
      </c>
      <c r="Q5" s="10">
        <f>(0.104*O5)/(12*N5)</f>
        <v>3.7152916666666667E-3</v>
      </c>
      <c r="R5" s="10">
        <f>0.0159*O5^0.75</f>
        <v>2.3825813226263679E-2</v>
      </c>
      <c r="S5" s="10">
        <f>Q5+R5</f>
        <v>2.7541104892930345E-2</v>
      </c>
    </row>
    <row r="7" spans="1:19" x14ac:dyDescent="0.25">
      <c r="A7" s="5" t="s">
        <v>8</v>
      </c>
      <c r="B7" s="5" t="s">
        <v>277</v>
      </c>
      <c r="C7" s="5" t="s">
        <v>27</v>
      </c>
      <c r="D7" s="5" t="s">
        <v>385</v>
      </c>
      <c r="E7" s="5" t="s">
        <v>387</v>
      </c>
      <c r="F7" s="5" t="s">
        <v>52</v>
      </c>
      <c r="G7" s="5" t="s">
        <v>386</v>
      </c>
      <c r="H7" s="5" t="s">
        <v>58</v>
      </c>
      <c r="I7" s="5" t="s">
        <v>278</v>
      </c>
      <c r="J7" s="15">
        <v>1640</v>
      </c>
      <c r="K7" s="7">
        <v>34.5</v>
      </c>
      <c r="L7" s="7">
        <f t="shared" ref="L7:L46" si="1">J7/K7</f>
        <v>47.536231884057969</v>
      </c>
      <c r="M7" s="5" t="s">
        <v>9</v>
      </c>
      <c r="N7" s="5">
        <v>4</v>
      </c>
      <c r="O7" s="6">
        <f t="shared" ref="O7:O46" si="2">(J7*L7^2)/(1.6*10^6)</f>
        <v>2.316185675278303</v>
      </c>
      <c r="P7" s="6">
        <f t="shared" ref="P7:P46" si="3">(0.104*J7*L7^2)/(1.6*10^6)</f>
        <v>0.24088331022894349</v>
      </c>
      <c r="Q7" s="10">
        <f t="shared" ref="Q7:Q46" si="4">(0.104*O7)/(12*N7)</f>
        <v>5.0184022964363225E-3</v>
      </c>
      <c r="R7" s="10">
        <f t="shared" ref="R7:R46" si="5">0.0159*O7^0.75</f>
        <v>2.9852255693463999E-2</v>
      </c>
      <c r="S7" s="10">
        <f t="shared" ref="S7:S46" si="6">Q7+R7</f>
        <v>3.4870657989900321E-2</v>
      </c>
    </row>
    <row r="8" spans="1:19" x14ac:dyDescent="0.25">
      <c r="A8" s="5" t="s">
        <v>8</v>
      </c>
      <c r="B8" s="5" t="s">
        <v>291</v>
      </c>
      <c r="C8" s="5" t="s">
        <v>27</v>
      </c>
      <c r="D8" s="5" t="s">
        <v>385</v>
      </c>
      <c r="E8" s="5" t="s">
        <v>387</v>
      </c>
      <c r="F8" s="5" t="s">
        <v>52</v>
      </c>
      <c r="G8" s="5" t="s">
        <v>386</v>
      </c>
      <c r="H8" s="5" t="s">
        <v>58</v>
      </c>
      <c r="I8" s="5" t="s">
        <v>278</v>
      </c>
      <c r="J8" s="15">
        <v>1650</v>
      </c>
      <c r="K8" s="7">
        <v>36.5</v>
      </c>
      <c r="L8" s="7">
        <f t="shared" si="1"/>
        <v>45.205479452054796</v>
      </c>
      <c r="M8" s="5" t="s">
        <v>9</v>
      </c>
      <c r="N8" s="5">
        <v>4</v>
      </c>
      <c r="O8" s="6">
        <f t="shared" si="2"/>
        <v>2.1073958528804653</v>
      </c>
      <c r="P8" s="6">
        <f t="shared" si="3"/>
        <v>0.2191691686995684</v>
      </c>
      <c r="Q8" s="10">
        <f t="shared" si="4"/>
        <v>4.5660243479076741E-3</v>
      </c>
      <c r="R8" s="10">
        <f t="shared" si="5"/>
        <v>2.7810366682914086E-2</v>
      </c>
      <c r="S8" s="10">
        <f t="shared" si="6"/>
        <v>3.2376391030821759E-2</v>
      </c>
    </row>
    <row r="9" spans="1:19" x14ac:dyDescent="0.25">
      <c r="A9" s="5" t="s">
        <v>8</v>
      </c>
      <c r="B9" s="5" t="s">
        <v>291</v>
      </c>
      <c r="C9" s="5" t="s">
        <v>27</v>
      </c>
      <c r="D9" s="5" t="s">
        <v>385</v>
      </c>
      <c r="E9" s="5" t="s">
        <v>387</v>
      </c>
      <c r="F9" s="5" t="s">
        <v>52</v>
      </c>
      <c r="G9" s="5" t="s">
        <v>386</v>
      </c>
      <c r="H9" s="5" t="s">
        <v>58</v>
      </c>
      <c r="I9" s="5" t="s">
        <v>257</v>
      </c>
      <c r="J9" s="15">
        <v>3200</v>
      </c>
      <c r="K9" s="7">
        <v>50</v>
      </c>
      <c r="L9" s="7">
        <f t="shared" si="1"/>
        <v>64</v>
      </c>
      <c r="M9" s="5" t="s">
        <v>9</v>
      </c>
      <c r="N9" s="5">
        <v>4</v>
      </c>
      <c r="O9" s="6">
        <f t="shared" si="2"/>
        <v>8.1920000000000002</v>
      </c>
      <c r="P9" s="6">
        <f t="shared" si="3"/>
        <v>0.85196800000000006</v>
      </c>
      <c r="Q9" s="10">
        <f t="shared" si="4"/>
        <v>1.7749333333333332E-2</v>
      </c>
      <c r="R9" s="10">
        <f t="shared" si="5"/>
        <v>7.6990932905730558E-2</v>
      </c>
      <c r="S9" s="10">
        <f t="shared" si="6"/>
        <v>9.4740266239063897E-2</v>
      </c>
    </row>
    <row r="10" spans="1:19" x14ac:dyDescent="0.25">
      <c r="A10" s="5" t="s">
        <v>8</v>
      </c>
      <c r="B10" s="5" t="s">
        <v>291</v>
      </c>
      <c r="C10" s="5" t="s">
        <v>27</v>
      </c>
      <c r="D10" s="5" t="s">
        <v>385</v>
      </c>
      <c r="E10" s="5" t="s">
        <v>387</v>
      </c>
      <c r="F10" s="5" t="s">
        <v>52</v>
      </c>
      <c r="G10" s="5" t="s">
        <v>386</v>
      </c>
      <c r="H10" s="5" t="s">
        <v>58</v>
      </c>
      <c r="I10" s="5" t="s">
        <v>292</v>
      </c>
      <c r="J10" s="15">
        <v>2200</v>
      </c>
      <c r="K10" s="7">
        <v>30.5</v>
      </c>
      <c r="L10" s="7">
        <f t="shared" si="1"/>
        <v>72.131147540983605</v>
      </c>
      <c r="M10" s="5" t="s">
        <v>9</v>
      </c>
      <c r="N10" s="5">
        <v>4</v>
      </c>
      <c r="O10" s="6">
        <f t="shared" si="2"/>
        <v>7.153990862671324</v>
      </c>
      <c r="P10" s="6">
        <f t="shared" si="3"/>
        <v>0.74401504971781773</v>
      </c>
      <c r="Q10" s="10">
        <f t="shared" si="4"/>
        <v>1.5500313535787867E-2</v>
      </c>
      <c r="R10" s="10">
        <f t="shared" si="5"/>
        <v>6.9551805788942461E-2</v>
      </c>
      <c r="S10" s="10">
        <f t="shared" si="6"/>
        <v>8.5052119324730335E-2</v>
      </c>
    </row>
    <row r="11" spans="1:19" x14ac:dyDescent="0.25">
      <c r="A11" s="5" t="s">
        <v>22</v>
      </c>
      <c r="B11" s="5" t="s">
        <v>26</v>
      </c>
      <c r="C11" s="5" t="s">
        <v>27</v>
      </c>
      <c r="D11" s="5" t="s">
        <v>385</v>
      </c>
      <c r="E11" s="5" t="s">
        <v>387</v>
      </c>
      <c r="F11" s="5" t="s">
        <v>52</v>
      </c>
      <c r="G11" s="5" t="s">
        <v>386</v>
      </c>
      <c r="H11" s="5" t="s">
        <v>58</v>
      </c>
      <c r="I11" s="5" t="s">
        <v>59</v>
      </c>
      <c r="J11" s="15">
        <v>1650</v>
      </c>
      <c r="K11" s="7">
        <v>33</v>
      </c>
      <c r="L11" s="7">
        <f t="shared" si="1"/>
        <v>50</v>
      </c>
      <c r="M11" s="5" t="s">
        <v>9</v>
      </c>
      <c r="N11" s="5">
        <v>4</v>
      </c>
      <c r="O11" s="6">
        <f t="shared" si="2"/>
        <v>2.578125</v>
      </c>
      <c r="P11" s="6">
        <f t="shared" si="3"/>
        <v>0.268125</v>
      </c>
      <c r="Q11" s="10">
        <f t="shared" si="4"/>
        <v>5.5859374999999998E-3</v>
      </c>
      <c r="R11" s="10">
        <f t="shared" si="5"/>
        <v>3.2350060856390632E-2</v>
      </c>
      <c r="S11" s="10">
        <f t="shared" si="6"/>
        <v>3.7935998356390631E-2</v>
      </c>
    </row>
    <row r="12" spans="1:19" x14ac:dyDescent="0.25">
      <c r="A12" s="5" t="s">
        <v>8</v>
      </c>
      <c r="B12" s="5" t="s">
        <v>291</v>
      </c>
      <c r="C12" s="5" t="s">
        <v>27</v>
      </c>
      <c r="D12" s="5" t="s">
        <v>385</v>
      </c>
      <c r="E12" s="5" t="s">
        <v>387</v>
      </c>
      <c r="F12" s="5" t="s">
        <v>52</v>
      </c>
      <c r="G12" s="5" t="s">
        <v>386</v>
      </c>
      <c r="H12" s="5" t="s">
        <v>58</v>
      </c>
      <c r="I12" s="5" t="s">
        <v>59</v>
      </c>
      <c r="J12" s="15">
        <v>1650</v>
      </c>
      <c r="K12" s="7">
        <v>33</v>
      </c>
      <c r="L12" s="7">
        <f t="shared" si="1"/>
        <v>50</v>
      </c>
      <c r="M12" s="5" t="s">
        <v>9</v>
      </c>
      <c r="N12" s="5">
        <v>4</v>
      </c>
      <c r="O12" s="6">
        <f t="shared" si="2"/>
        <v>2.578125</v>
      </c>
      <c r="P12" s="6">
        <f t="shared" si="3"/>
        <v>0.268125</v>
      </c>
      <c r="Q12" s="10">
        <f t="shared" si="4"/>
        <v>5.5859374999999998E-3</v>
      </c>
      <c r="R12" s="10">
        <f t="shared" si="5"/>
        <v>3.2350060856390632E-2</v>
      </c>
      <c r="S12" s="10">
        <f t="shared" si="6"/>
        <v>3.7935998356390631E-2</v>
      </c>
    </row>
    <row r="13" spans="1:19" x14ac:dyDescent="0.25">
      <c r="A13" s="5" t="s">
        <v>8</v>
      </c>
      <c r="B13" s="5" t="s">
        <v>291</v>
      </c>
      <c r="C13" s="5" t="s">
        <v>27</v>
      </c>
      <c r="D13" s="5" t="s">
        <v>385</v>
      </c>
      <c r="E13" s="5" t="s">
        <v>387</v>
      </c>
      <c r="F13" s="5" t="s">
        <v>52</v>
      </c>
      <c r="G13" s="5" t="s">
        <v>386</v>
      </c>
      <c r="H13" s="5" t="s">
        <v>58</v>
      </c>
      <c r="I13" s="5" t="s">
        <v>59</v>
      </c>
      <c r="J13" s="15">
        <v>1650</v>
      </c>
      <c r="K13" s="7">
        <v>28</v>
      </c>
      <c r="L13" s="7">
        <f t="shared" si="1"/>
        <v>58.928571428571431</v>
      </c>
      <c r="M13" s="5" t="s">
        <v>9</v>
      </c>
      <c r="N13" s="5">
        <v>4</v>
      </c>
      <c r="O13" s="6">
        <f t="shared" si="2"/>
        <v>3.581094547193878</v>
      </c>
      <c r="P13" s="6">
        <f t="shared" si="3"/>
        <v>0.37243383290816329</v>
      </c>
      <c r="Q13" s="10">
        <f t="shared" si="4"/>
        <v>7.7590381855867354E-3</v>
      </c>
      <c r="R13" s="10">
        <f t="shared" si="5"/>
        <v>4.1391290283335047E-2</v>
      </c>
      <c r="S13" s="10">
        <f t="shared" si="6"/>
        <v>4.9150328468921783E-2</v>
      </c>
    </row>
    <row r="14" spans="1:19" x14ac:dyDescent="0.25">
      <c r="A14" s="5" t="s">
        <v>8</v>
      </c>
      <c r="B14" s="5" t="s">
        <v>291</v>
      </c>
      <c r="C14" s="5" t="s">
        <v>27</v>
      </c>
      <c r="D14" s="5" t="s">
        <v>385</v>
      </c>
      <c r="E14" s="5" t="s">
        <v>387</v>
      </c>
      <c r="F14" s="5" t="s">
        <v>52</v>
      </c>
      <c r="G14" s="5" t="s">
        <v>386</v>
      </c>
      <c r="H14" s="5" t="s">
        <v>58</v>
      </c>
      <c r="I14" s="5" t="s">
        <v>59</v>
      </c>
      <c r="J14" s="15">
        <v>1650</v>
      </c>
      <c r="K14" s="7">
        <v>21</v>
      </c>
      <c r="L14" s="7">
        <f t="shared" si="1"/>
        <v>78.571428571428569</v>
      </c>
      <c r="M14" s="5" t="s">
        <v>9</v>
      </c>
      <c r="N14" s="5">
        <v>4</v>
      </c>
      <c r="O14" s="6">
        <f t="shared" si="2"/>
        <v>6.3663903061224483</v>
      </c>
      <c r="P14" s="6">
        <f t="shared" si="3"/>
        <v>0.66210459183673465</v>
      </c>
      <c r="Q14" s="10">
        <f t="shared" si="4"/>
        <v>1.3793845663265303E-2</v>
      </c>
      <c r="R14" s="10">
        <f t="shared" si="5"/>
        <v>6.3726060232505155E-2</v>
      </c>
      <c r="S14" s="10">
        <f t="shared" si="6"/>
        <v>7.7519905895770458E-2</v>
      </c>
    </row>
    <row r="15" spans="1:19" x14ac:dyDescent="0.25">
      <c r="A15" s="5" t="s">
        <v>8</v>
      </c>
      <c r="B15" s="5" t="s">
        <v>291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59</v>
      </c>
      <c r="J15" s="15">
        <v>1800</v>
      </c>
      <c r="K15" s="7">
        <v>35.5</v>
      </c>
      <c r="L15" s="7">
        <f t="shared" si="1"/>
        <v>50.70422535211268</v>
      </c>
      <c r="M15" s="5" t="s">
        <v>9</v>
      </c>
      <c r="N15" s="5">
        <v>4</v>
      </c>
      <c r="O15" s="6">
        <f t="shared" si="2"/>
        <v>2.8922832771275542</v>
      </c>
      <c r="P15" s="6">
        <f t="shared" si="3"/>
        <v>0.30079746082126563</v>
      </c>
      <c r="Q15" s="10">
        <f t="shared" si="4"/>
        <v>6.2666137671097003E-3</v>
      </c>
      <c r="R15" s="10">
        <f t="shared" si="5"/>
        <v>3.526368912472827E-2</v>
      </c>
      <c r="S15" s="10">
        <f t="shared" si="6"/>
        <v>4.153030289183797E-2</v>
      </c>
    </row>
    <row r="16" spans="1:19" x14ac:dyDescent="0.25">
      <c r="A16" s="5" t="s">
        <v>8</v>
      </c>
      <c r="B16" s="5" t="s">
        <v>319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59</v>
      </c>
      <c r="J16" s="15">
        <v>1850</v>
      </c>
      <c r="K16" s="7">
        <v>35</v>
      </c>
      <c r="L16" s="7">
        <f t="shared" si="1"/>
        <v>52.857142857142854</v>
      </c>
      <c r="M16" s="5" t="s">
        <v>9</v>
      </c>
      <c r="N16" s="5">
        <v>4</v>
      </c>
      <c r="O16" s="6">
        <f t="shared" si="2"/>
        <v>3.2304209183673462</v>
      </c>
      <c r="P16" s="6">
        <f t="shared" si="3"/>
        <v>0.33596377551020401</v>
      </c>
      <c r="Q16" s="10">
        <f t="shared" si="4"/>
        <v>6.9992453231292502E-3</v>
      </c>
      <c r="R16" s="10">
        <f t="shared" si="5"/>
        <v>3.8312585381453851E-2</v>
      </c>
      <c r="S16" s="10">
        <f t="shared" si="6"/>
        <v>4.5311830704583098E-2</v>
      </c>
    </row>
    <row r="17" spans="1:19" x14ac:dyDescent="0.25">
      <c r="A17" s="5" t="s">
        <v>8</v>
      </c>
      <c r="B17" s="5" t="s">
        <v>291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295</v>
      </c>
      <c r="J17" s="15">
        <v>2000</v>
      </c>
      <c r="K17" s="7">
        <v>35</v>
      </c>
      <c r="L17" s="7">
        <f t="shared" si="1"/>
        <v>57.142857142857146</v>
      </c>
      <c r="M17" s="5" t="s">
        <v>9</v>
      </c>
      <c r="N17" s="5">
        <v>4</v>
      </c>
      <c r="O17" s="6">
        <f t="shared" si="2"/>
        <v>4.0816326530612246</v>
      </c>
      <c r="P17" s="6">
        <f t="shared" si="3"/>
        <v>0.42448979591836739</v>
      </c>
      <c r="Q17" s="10">
        <f t="shared" si="4"/>
        <v>8.8435374149659855E-3</v>
      </c>
      <c r="R17" s="10">
        <f t="shared" si="5"/>
        <v>4.5658596864765109E-2</v>
      </c>
      <c r="S17" s="10">
        <f t="shared" si="6"/>
        <v>5.4502134279731093E-2</v>
      </c>
    </row>
    <row r="18" spans="1:19" x14ac:dyDescent="0.25">
      <c r="A18" s="5" t="s">
        <v>22</v>
      </c>
      <c r="B18" s="5" t="s">
        <v>26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60</v>
      </c>
      <c r="J18" s="15">
        <v>2050</v>
      </c>
      <c r="K18" s="7">
        <v>33.5</v>
      </c>
      <c r="L18" s="7">
        <f t="shared" si="1"/>
        <v>61.194029850746269</v>
      </c>
      <c r="M18" s="5" t="s">
        <v>9</v>
      </c>
      <c r="N18" s="5">
        <v>4</v>
      </c>
      <c r="O18" s="6">
        <f t="shared" si="2"/>
        <v>4.7979087770104698</v>
      </c>
      <c r="P18" s="6">
        <f t="shared" si="3"/>
        <v>0.4989825128090889</v>
      </c>
      <c r="Q18" s="10">
        <f t="shared" si="4"/>
        <v>1.0395469016856018E-2</v>
      </c>
      <c r="R18" s="10">
        <f t="shared" si="5"/>
        <v>5.1544948987063487E-2</v>
      </c>
      <c r="S18" s="10">
        <f t="shared" si="6"/>
        <v>6.1940418003919501E-2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60</v>
      </c>
      <c r="J19" s="15">
        <v>1900</v>
      </c>
      <c r="K19" s="7">
        <v>30</v>
      </c>
      <c r="L19" s="7">
        <f t="shared" si="1"/>
        <v>63.333333333333336</v>
      </c>
      <c r="M19" s="5" t="s">
        <v>9</v>
      </c>
      <c r="N19" s="5">
        <v>4</v>
      </c>
      <c r="O19" s="6">
        <f t="shared" si="2"/>
        <v>4.7631944444444452</v>
      </c>
      <c r="P19" s="6">
        <f t="shared" si="3"/>
        <v>0.49537222222222227</v>
      </c>
      <c r="Q19" s="10">
        <f t="shared" si="4"/>
        <v>1.0320254629629631E-2</v>
      </c>
      <c r="R19" s="10">
        <f t="shared" si="5"/>
        <v>5.1264987686204244E-2</v>
      </c>
      <c r="S19" s="10">
        <f t="shared" si="6"/>
        <v>6.1585242315833871E-2</v>
      </c>
    </row>
    <row r="20" spans="1:19" x14ac:dyDescent="0.25">
      <c r="A20" s="5" t="s">
        <v>8</v>
      </c>
      <c r="B20" s="5" t="s">
        <v>291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60</v>
      </c>
      <c r="J20" s="15">
        <v>2050</v>
      </c>
      <c r="K20" s="7">
        <v>33.5</v>
      </c>
      <c r="L20" s="7">
        <f t="shared" si="1"/>
        <v>61.194029850746269</v>
      </c>
      <c r="M20" s="5" t="s">
        <v>9</v>
      </c>
      <c r="N20" s="5">
        <v>4</v>
      </c>
      <c r="O20" s="6">
        <f t="shared" si="2"/>
        <v>4.7979087770104698</v>
      </c>
      <c r="P20" s="6">
        <f t="shared" si="3"/>
        <v>0.4989825128090889</v>
      </c>
      <c r="Q20" s="10">
        <f t="shared" si="4"/>
        <v>1.0395469016856018E-2</v>
      </c>
      <c r="R20" s="10">
        <f t="shared" si="5"/>
        <v>5.1544948987063487E-2</v>
      </c>
      <c r="S20" s="10">
        <f t="shared" si="6"/>
        <v>6.1940418003919501E-2</v>
      </c>
    </row>
    <row r="21" spans="1:19" x14ac:dyDescent="0.25">
      <c r="A21" s="5" t="s">
        <v>22</v>
      </c>
      <c r="B21" s="5" t="s">
        <v>26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61</v>
      </c>
      <c r="J21" s="15">
        <v>2550</v>
      </c>
      <c r="K21" s="7">
        <v>35</v>
      </c>
      <c r="L21" s="7">
        <f t="shared" si="1"/>
        <v>72.857142857142861</v>
      </c>
      <c r="M21" s="5" t="s">
        <v>9</v>
      </c>
      <c r="N21" s="5">
        <v>4</v>
      </c>
      <c r="O21" s="6">
        <f t="shared" si="2"/>
        <v>8.459885204081635</v>
      </c>
      <c r="P21" s="6">
        <f t="shared" si="3"/>
        <v>0.87982806122448998</v>
      </c>
      <c r="Q21" s="10">
        <f t="shared" si="4"/>
        <v>1.8329751275510207E-2</v>
      </c>
      <c r="R21" s="10">
        <f t="shared" si="5"/>
        <v>7.8871568346940854E-2</v>
      </c>
      <c r="S21" s="10">
        <f t="shared" si="6"/>
        <v>9.7201319622451057E-2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61</v>
      </c>
      <c r="J22" s="15">
        <v>2600</v>
      </c>
      <c r="K22" s="7">
        <v>35</v>
      </c>
      <c r="L22" s="7">
        <f t="shared" si="1"/>
        <v>74.285714285714292</v>
      </c>
      <c r="M22" s="5" t="s">
        <v>9</v>
      </c>
      <c r="N22" s="5">
        <v>4</v>
      </c>
      <c r="O22" s="6">
        <f t="shared" si="2"/>
        <v>8.9673469387755116</v>
      </c>
      <c r="P22" s="6">
        <f t="shared" si="3"/>
        <v>0.93260408163265329</v>
      </c>
      <c r="Q22" s="10">
        <f t="shared" si="4"/>
        <v>1.9429251700680276E-2</v>
      </c>
      <c r="R22" s="10">
        <f t="shared" si="5"/>
        <v>8.2393908285298398E-2</v>
      </c>
      <c r="S22" s="10">
        <f t="shared" si="6"/>
        <v>0.10182315998597867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61</v>
      </c>
      <c r="J23" s="15">
        <v>2350</v>
      </c>
      <c r="K23" s="7">
        <v>30</v>
      </c>
      <c r="L23" s="7">
        <f t="shared" si="1"/>
        <v>78.333333333333329</v>
      </c>
      <c r="M23" s="5" t="s">
        <v>9</v>
      </c>
      <c r="N23" s="5">
        <v>4</v>
      </c>
      <c r="O23" s="6">
        <f t="shared" si="2"/>
        <v>9.0124131944444432</v>
      </c>
      <c r="P23" s="6">
        <f t="shared" si="3"/>
        <v>0.93729097222222202</v>
      </c>
      <c r="Q23" s="10">
        <f t="shared" si="4"/>
        <v>1.9526895254629625E-2</v>
      </c>
      <c r="R23" s="10">
        <f t="shared" si="5"/>
        <v>8.2704272421860542E-2</v>
      </c>
      <c r="S23" s="10">
        <f t="shared" si="6"/>
        <v>0.10223116767649017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61</v>
      </c>
      <c r="J24" s="15">
        <v>2600</v>
      </c>
      <c r="K24" s="7">
        <v>30</v>
      </c>
      <c r="L24" s="7">
        <f t="shared" si="1"/>
        <v>86.666666666666671</v>
      </c>
      <c r="M24" s="5" t="s">
        <v>9</v>
      </c>
      <c r="N24" s="5">
        <v>4</v>
      </c>
      <c r="O24" s="6">
        <f t="shared" si="2"/>
        <v>12.205555555555557</v>
      </c>
      <c r="P24" s="6">
        <f t="shared" si="3"/>
        <v>1.2693777777777777</v>
      </c>
      <c r="Q24" s="10">
        <f t="shared" si="4"/>
        <v>2.6445370370370373E-2</v>
      </c>
      <c r="R24" s="10">
        <f t="shared" si="5"/>
        <v>0.10382819119660902</v>
      </c>
      <c r="S24" s="10">
        <f t="shared" si="6"/>
        <v>0.13027356156697939</v>
      </c>
    </row>
    <row r="25" spans="1:19" x14ac:dyDescent="0.25">
      <c r="A25" s="5" t="s">
        <v>8</v>
      </c>
      <c r="B25" s="5" t="s">
        <v>291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61</v>
      </c>
      <c r="J25" s="15">
        <v>2550</v>
      </c>
      <c r="K25" s="7">
        <v>35</v>
      </c>
      <c r="L25" s="7">
        <f t="shared" si="1"/>
        <v>72.857142857142861</v>
      </c>
      <c r="M25" s="5" t="s">
        <v>9</v>
      </c>
      <c r="N25" s="5">
        <v>4</v>
      </c>
      <c r="O25" s="6">
        <f t="shared" si="2"/>
        <v>8.459885204081635</v>
      </c>
      <c r="P25" s="6">
        <f t="shared" si="3"/>
        <v>0.87982806122448998</v>
      </c>
      <c r="Q25" s="10">
        <f t="shared" si="4"/>
        <v>1.8329751275510207E-2</v>
      </c>
      <c r="R25" s="10">
        <f t="shared" si="5"/>
        <v>7.8871568346940854E-2</v>
      </c>
      <c r="S25" s="10">
        <f t="shared" si="6"/>
        <v>9.7201319622451057E-2</v>
      </c>
    </row>
    <row r="26" spans="1:19" x14ac:dyDescent="0.25">
      <c r="A26" s="5" t="s">
        <v>8</v>
      </c>
      <c r="B26" s="5" t="s">
        <v>319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61</v>
      </c>
      <c r="J26" s="15">
        <v>2400</v>
      </c>
      <c r="K26" s="7">
        <v>30</v>
      </c>
      <c r="L26" s="7">
        <f t="shared" si="1"/>
        <v>80</v>
      </c>
      <c r="M26" s="5" t="s">
        <v>9</v>
      </c>
      <c r="N26" s="5">
        <v>4</v>
      </c>
      <c r="O26" s="6">
        <f t="shared" si="2"/>
        <v>9.6</v>
      </c>
      <c r="P26" s="6">
        <f t="shared" si="3"/>
        <v>0.99839999999999995</v>
      </c>
      <c r="Q26" s="10">
        <f t="shared" si="4"/>
        <v>2.0799999999999999E-2</v>
      </c>
      <c r="R26" s="10">
        <f t="shared" si="5"/>
        <v>8.671626204879955E-2</v>
      </c>
      <c r="S26" s="10">
        <f t="shared" si="6"/>
        <v>0.10751626204879955</v>
      </c>
    </row>
    <row r="27" spans="1:19" x14ac:dyDescent="0.25">
      <c r="A27" s="5" t="s">
        <v>22</v>
      </c>
      <c r="B27" s="5" t="s">
        <v>63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97</v>
      </c>
      <c r="I27" s="5" t="s">
        <v>61</v>
      </c>
      <c r="J27" s="15">
        <v>2600</v>
      </c>
      <c r="K27" s="7">
        <v>35</v>
      </c>
      <c r="L27" s="7">
        <f t="shared" si="1"/>
        <v>74.285714285714292</v>
      </c>
      <c r="M27" s="5" t="s">
        <v>9</v>
      </c>
      <c r="N27" s="5">
        <v>4</v>
      </c>
      <c r="O27" s="6">
        <f t="shared" si="2"/>
        <v>8.9673469387755116</v>
      </c>
      <c r="P27" s="6">
        <f t="shared" si="3"/>
        <v>0.93260408163265329</v>
      </c>
      <c r="Q27" s="10">
        <f t="shared" si="4"/>
        <v>1.9429251700680276E-2</v>
      </c>
      <c r="R27" s="10">
        <f t="shared" si="5"/>
        <v>8.2393908285298398E-2</v>
      </c>
      <c r="S27" s="10">
        <f t="shared" si="6"/>
        <v>0.10182315998597867</v>
      </c>
    </row>
    <row r="28" spans="1:19" x14ac:dyDescent="0.25">
      <c r="A28" s="5" t="s">
        <v>8</v>
      </c>
      <c r="B28" s="5" t="s">
        <v>287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102</v>
      </c>
      <c r="I28" s="5" t="s">
        <v>218</v>
      </c>
      <c r="J28" s="15">
        <v>2300</v>
      </c>
      <c r="K28" s="7">
        <v>35.700000000000003</v>
      </c>
      <c r="L28" s="7">
        <f t="shared" si="1"/>
        <v>64.425770308123248</v>
      </c>
      <c r="M28" s="5" t="s">
        <v>9</v>
      </c>
      <c r="N28" s="5">
        <v>4</v>
      </c>
      <c r="O28" s="6">
        <f t="shared" si="2"/>
        <v>5.9666023272053916</v>
      </c>
      <c r="P28" s="6">
        <f t="shared" si="3"/>
        <v>0.6205266420293607</v>
      </c>
      <c r="Q28" s="10">
        <f t="shared" si="4"/>
        <v>1.2927638375611681E-2</v>
      </c>
      <c r="R28" s="10">
        <f t="shared" si="5"/>
        <v>6.0700524564906364E-2</v>
      </c>
      <c r="S28" s="10">
        <f t="shared" si="6"/>
        <v>7.3628162940518049E-2</v>
      </c>
    </row>
    <row r="29" spans="1:19" x14ac:dyDescent="0.25">
      <c r="A29" s="5" t="s">
        <v>22</v>
      </c>
      <c r="B29" s="5" t="s">
        <v>63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98</v>
      </c>
      <c r="I29" s="5" t="s">
        <v>99</v>
      </c>
      <c r="J29" s="15">
        <v>2950</v>
      </c>
      <c r="K29" s="7">
        <v>38</v>
      </c>
      <c r="L29" s="7">
        <f t="shared" si="1"/>
        <v>77.631578947368425</v>
      </c>
      <c r="M29" s="5" t="s">
        <v>9</v>
      </c>
      <c r="N29" s="5">
        <v>4</v>
      </c>
      <c r="O29" s="6">
        <f t="shared" si="2"/>
        <v>11.111658154432133</v>
      </c>
      <c r="P29" s="6">
        <f t="shared" si="3"/>
        <v>1.155612448060942</v>
      </c>
      <c r="Q29" s="10">
        <f t="shared" si="4"/>
        <v>2.4075259334602955E-2</v>
      </c>
      <c r="R29" s="10">
        <f t="shared" si="5"/>
        <v>9.6767891534095082E-2</v>
      </c>
      <c r="S29" s="10">
        <f t="shared" si="6"/>
        <v>0.12084315086869804</v>
      </c>
    </row>
    <row r="30" spans="1:19" x14ac:dyDescent="0.25">
      <c r="A30" s="5" t="s">
        <v>8</v>
      </c>
      <c r="B30" s="5" t="s">
        <v>319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98</v>
      </c>
      <c r="I30" s="5" t="s">
        <v>99</v>
      </c>
      <c r="J30" s="15">
        <v>2300</v>
      </c>
      <c r="K30" s="7">
        <v>27.5</v>
      </c>
      <c r="L30" s="7">
        <f t="shared" si="1"/>
        <v>83.63636363636364</v>
      </c>
      <c r="M30" s="5" t="s">
        <v>9</v>
      </c>
      <c r="N30" s="5">
        <v>4</v>
      </c>
      <c r="O30" s="6">
        <f t="shared" si="2"/>
        <v>10.055371900826447</v>
      </c>
      <c r="P30" s="6">
        <f t="shared" si="3"/>
        <v>1.0457586776859504</v>
      </c>
      <c r="Q30" s="10">
        <f t="shared" si="4"/>
        <v>2.17866391184573E-2</v>
      </c>
      <c r="R30" s="10">
        <f t="shared" si="5"/>
        <v>8.9783333841978313E-2</v>
      </c>
      <c r="S30" s="10">
        <f t="shared" si="6"/>
        <v>0.11156997296043561</v>
      </c>
    </row>
    <row r="31" spans="1:19" x14ac:dyDescent="0.25">
      <c r="A31" s="5" t="s">
        <v>8</v>
      </c>
      <c r="B31" s="5" t="s">
        <v>319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98</v>
      </c>
      <c r="I31" s="5" t="s">
        <v>321</v>
      </c>
      <c r="J31" s="15">
        <v>2379</v>
      </c>
      <c r="K31" s="7">
        <v>28</v>
      </c>
      <c r="L31" s="7">
        <f t="shared" si="1"/>
        <v>84.964285714285708</v>
      </c>
      <c r="M31" s="5" t="s">
        <v>9</v>
      </c>
      <c r="N31" s="5">
        <v>4</v>
      </c>
      <c r="O31" s="6">
        <f t="shared" si="2"/>
        <v>10.733646316167091</v>
      </c>
      <c r="P31" s="6">
        <f t="shared" si="3"/>
        <v>1.1162992168813775</v>
      </c>
      <c r="Q31" s="10">
        <f t="shared" si="4"/>
        <v>2.3256233685028698E-2</v>
      </c>
      <c r="R31" s="10">
        <f t="shared" si="5"/>
        <v>9.4288252092691066E-2</v>
      </c>
      <c r="S31" s="10">
        <f t="shared" si="6"/>
        <v>0.11754448577771977</v>
      </c>
    </row>
    <row r="32" spans="1:19" x14ac:dyDescent="0.25">
      <c r="A32" s="5" t="s">
        <v>22</v>
      </c>
      <c r="B32" s="5" t="s">
        <v>63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100</v>
      </c>
      <c r="I32" s="5" t="s">
        <v>101</v>
      </c>
      <c r="J32" s="15">
        <v>2550</v>
      </c>
      <c r="K32" s="7">
        <v>41.5</v>
      </c>
      <c r="L32" s="7">
        <f t="shared" si="1"/>
        <v>61.445783132530117</v>
      </c>
      <c r="M32" s="5" t="s">
        <v>9</v>
      </c>
      <c r="N32" s="5">
        <v>4</v>
      </c>
      <c r="O32" s="6">
        <f t="shared" si="2"/>
        <v>6.0173374219770652</v>
      </c>
      <c r="P32" s="6">
        <f t="shared" si="3"/>
        <v>0.62580309188561467</v>
      </c>
      <c r="Q32" s="10">
        <f t="shared" si="4"/>
        <v>1.3037564414283642E-2</v>
      </c>
      <c r="R32" s="10">
        <f t="shared" si="5"/>
        <v>6.1087225180813873E-2</v>
      </c>
      <c r="S32" s="10">
        <f t="shared" si="6"/>
        <v>7.4124789595097509E-2</v>
      </c>
    </row>
    <row r="33" spans="1:19" x14ac:dyDescent="0.25">
      <c r="A33" s="5" t="s">
        <v>22</v>
      </c>
      <c r="B33" s="5" t="s">
        <v>63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394</v>
      </c>
      <c r="H33" s="5" t="s">
        <v>104</v>
      </c>
      <c r="I33" s="5" t="s">
        <v>105</v>
      </c>
      <c r="J33" s="15">
        <v>1150</v>
      </c>
      <c r="K33" s="7">
        <v>33.5</v>
      </c>
      <c r="L33" s="7">
        <f t="shared" si="1"/>
        <v>34.328358208955223</v>
      </c>
      <c r="M33" s="5" t="s">
        <v>9</v>
      </c>
      <c r="N33" s="5">
        <v>4</v>
      </c>
      <c r="O33" s="6">
        <f t="shared" si="2"/>
        <v>0.8470010024504343</v>
      </c>
      <c r="P33" s="6">
        <f t="shared" si="3"/>
        <v>8.8088104254845159E-2</v>
      </c>
      <c r="Q33" s="10">
        <f t="shared" si="4"/>
        <v>1.8351688386426075E-3</v>
      </c>
      <c r="R33" s="10">
        <f t="shared" si="5"/>
        <v>1.4038156107889724E-2</v>
      </c>
      <c r="S33" s="10">
        <f t="shared" si="6"/>
        <v>1.5873324946532333E-2</v>
      </c>
    </row>
    <row r="34" spans="1:19" x14ac:dyDescent="0.25">
      <c r="A34" s="5" t="s">
        <v>22</v>
      </c>
      <c r="B34" s="5" t="s">
        <v>63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394</v>
      </c>
      <c r="H34" s="5" t="s">
        <v>110</v>
      </c>
      <c r="I34" s="5" t="s">
        <v>111</v>
      </c>
      <c r="J34" s="15">
        <v>3075</v>
      </c>
      <c r="K34" s="7">
        <v>36</v>
      </c>
      <c r="L34" s="7">
        <f t="shared" si="1"/>
        <v>85.416666666666671</v>
      </c>
      <c r="M34" s="5" t="s">
        <v>9</v>
      </c>
      <c r="N34" s="5">
        <v>4</v>
      </c>
      <c r="O34" s="6">
        <f t="shared" si="2"/>
        <v>14.022013346354168</v>
      </c>
      <c r="P34" s="6">
        <f t="shared" si="3"/>
        <v>1.4582893880208334</v>
      </c>
      <c r="Q34" s="10">
        <f t="shared" si="4"/>
        <v>3.0381028917100695E-2</v>
      </c>
      <c r="R34" s="10">
        <f t="shared" si="5"/>
        <v>0.11521390760074078</v>
      </c>
      <c r="S34" s="10">
        <f t="shared" si="6"/>
        <v>0.14559493651784147</v>
      </c>
    </row>
    <row r="35" spans="1:19" x14ac:dyDescent="0.25">
      <c r="A35" s="5" t="s">
        <v>8</v>
      </c>
      <c r="B35" s="5" t="s">
        <v>161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394</v>
      </c>
      <c r="H35" s="5" t="s">
        <v>110</v>
      </c>
      <c r="I35" s="5" t="s">
        <v>162</v>
      </c>
      <c r="J35" s="15">
        <v>2220</v>
      </c>
      <c r="K35" s="7">
        <v>45.5</v>
      </c>
      <c r="L35" s="7">
        <f t="shared" si="1"/>
        <v>48.791208791208788</v>
      </c>
      <c r="M35" s="5" t="s">
        <v>9</v>
      </c>
      <c r="N35" s="5">
        <v>4</v>
      </c>
      <c r="O35" s="6">
        <f t="shared" si="2"/>
        <v>3.3030576017389204</v>
      </c>
      <c r="P35" s="6">
        <f t="shared" si="3"/>
        <v>0.3435179905808477</v>
      </c>
      <c r="Q35" s="10">
        <f t="shared" si="4"/>
        <v>7.1566248037676604E-3</v>
      </c>
      <c r="R35" s="10">
        <f t="shared" si="5"/>
        <v>3.8956886034440183E-2</v>
      </c>
      <c r="S35" s="10">
        <f t="shared" si="6"/>
        <v>4.6113510838207847E-2</v>
      </c>
    </row>
    <row r="36" spans="1:19" x14ac:dyDescent="0.25">
      <c r="A36" s="5" t="s">
        <v>8</v>
      </c>
      <c r="B36" s="5" t="s">
        <v>161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394</v>
      </c>
      <c r="H36" s="5" t="s">
        <v>110</v>
      </c>
      <c r="I36" s="5" t="s">
        <v>162</v>
      </c>
      <c r="J36" s="15">
        <v>2035</v>
      </c>
      <c r="K36" s="7">
        <v>39.5</v>
      </c>
      <c r="L36" s="7">
        <f t="shared" si="1"/>
        <v>51.518987341772153</v>
      </c>
      <c r="M36" s="5" t="s">
        <v>9</v>
      </c>
      <c r="N36" s="5">
        <v>4</v>
      </c>
      <c r="O36" s="6">
        <f t="shared" si="2"/>
        <v>3.3758183283928864</v>
      </c>
      <c r="P36" s="6">
        <f t="shared" si="3"/>
        <v>0.35108510615286009</v>
      </c>
      <c r="Q36" s="10">
        <f t="shared" si="4"/>
        <v>7.3142730448512534E-3</v>
      </c>
      <c r="R36" s="10">
        <f t="shared" si="5"/>
        <v>3.9598745211520084E-2</v>
      </c>
      <c r="S36" s="10">
        <f t="shared" si="6"/>
        <v>4.6913018256371335E-2</v>
      </c>
    </row>
    <row r="37" spans="1:19" x14ac:dyDescent="0.25">
      <c r="A37" s="5" t="s">
        <v>22</v>
      </c>
      <c r="B37" s="5" t="s">
        <v>63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394</v>
      </c>
      <c r="H37" s="5" t="s">
        <v>56</v>
      </c>
      <c r="I37" s="5" t="s">
        <v>103</v>
      </c>
      <c r="J37" s="15">
        <v>1600</v>
      </c>
      <c r="K37" s="7">
        <v>36.5</v>
      </c>
      <c r="L37" s="7">
        <f t="shared" si="1"/>
        <v>43.835616438356162</v>
      </c>
      <c r="M37" s="5" t="s">
        <v>9</v>
      </c>
      <c r="N37" s="5">
        <v>4</v>
      </c>
      <c r="O37" s="6">
        <f t="shared" si="2"/>
        <v>1.9215612685306809</v>
      </c>
      <c r="P37" s="6">
        <f t="shared" si="3"/>
        <v>0.19984237192719084</v>
      </c>
      <c r="Q37" s="10">
        <f t="shared" si="4"/>
        <v>4.163382748483142E-3</v>
      </c>
      <c r="R37" s="10">
        <f t="shared" si="5"/>
        <v>2.5950026257178908E-2</v>
      </c>
      <c r="S37" s="10">
        <f t="shared" si="6"/>
        <v>3.0113409005662048E-2</v>
      </c>
    </row>
    <row r="38" spans="1:19" x14ac:dyDescent="0.25">
      <c r="A38" s="5" t="s">
        <v>8</v>
      </c>
      <c r="B38" s="5" t="s">
        <v>165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394</v>
      </c>
      <c r="H38" s="5" t="s">
        <v>56</v>
      </c>
      <c r="I38" s="5" t="s">
        <v>169</v>
      </c>
      <c r="J38" s="15">
        <v>1980</v>
      </c>
      <c r="K38" s="7">
        <v>32</v>
      </c>
      <c r="L38" s="7">
        <f t="shared" si="1"/>
        <v>61.875</v>
      </c>
      <c r="M38" s="5" t="s">
        <v>9</v>
      </c>
      <c r="N38" s="5">
        <v>4</v>
      </c>
      <c r="O38" s="6">
        <f t="shared" si="2"/>
        <v>4.7377880859374999</v>
      </c>
      <c r="P38" s="6">
        <f t="shared" si="3"/>
        <v>0.49272996093749999</v>
      </c>
      <c r="Q38" s="10">
        <f t="shared" si="4"/>
        <v>1.026520751953125E-2</v>
      </c>
      <c r="R38" s="10">
        <f t="shared" si="5"/>
        <v>5.1059769265745597E-2</v>
      </c>
      <c r="S38" s="10">
        <f t="shared" si="6"/>
        <v>6.1324976785276847E-2</v>
      </c>
    </row>
    <row r="39" spans="1:19" x14ac:dyDescent="0.25">
      <c r="A39" s="5" t="s">
        <v>22</v>
      </c>
      <c r="B39" s="5" t="s">
        <v>26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394</v>
      </c>
      <c r="H39" s="5" t="s">
        <v>56</v>
      </c>
      <c r="I39" s="5" t="s">
        <v>57</v>
      </c>
      <c r="J39" s="15">
        <v>1750</v>
      </c>
      <c r="K39" s="7">
        <v>28.5</v>
      </c>
      <c r="L39" s="7">
        <f t="shared" si="1"/>
        <v>61.403508771929822</v>
      </c>
      <c r="M39" s="5" t="s">
        <v>9</v>
      </c>
      <c r="N39" s="5">
        <v>4</v>
      </c>
      <c r="O39" s="6">
        <f t="shared" si="2"/>
        <v>4.1238650353955055</v>
      </c>
      <c r="P39" s="6">
        <f t="shared" si="3"/>
        <v>0.42888196368113263</v>
      </c>
      <c r="Q39" s="10">
        <f t="shared" si="4"/>
        <v>8.9350409100235947E-3</v>
      </c>
      <c r="R39" s="10">
        <f t="shared" si="5"/>
        <v>4.6012460418506596E-2</v>
      </c>
      <c r="S39" s="10">
        <f t="shared" si="6"/>
        <v>5.4947501328530192E-2</v>
      </c>
    </row>
    <row r="40" spans="1:19" x14ac:dyDescent="0.25">
      <c r="A40" s="5" t="s">
        <v>8</v>
      </c>
      <c r="B40" s="5" t="s">
        <v>187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394</v>
      </c>
      <c r="H40" s="5" t="s">
        <v>56</v>
      </c>
      <c r="I40" s="5" t="s">
        <v>57</v>
      </c>
      <c r="J40" s="15">
        <v>2120</v>
      </c>
      <c r="K40" s="7">
        <v>32.200000000000003</v>
      </c>
      <c r="L40" s="7">
        <f t="shared" si="1"/>
        <v>65.838509316770185</v>
      </c>
      <c r="M40" s="5" t="s">
        <v>9</v>
      </c>
      <c r="N40" s="5">
        <v>4</v>
      </c>
      <c r="O40" s="6">
        <f t="shared" si="2"/>
        <v>5.7434898344971259</v>
      </c>
      <c r="P40" s="6">
        <f t="shared" si="3"/>
        <v>0.59732294278770115</v>
      </c>
      <c r="Q40" s="10">
        <f t="shared" si="4"/>
        <v>1.2444227974743772E-2</v>
      </c>
      <c r="R40" s="10">
        <f t="shared" si="5"/>
        <v>5.89900843101481E-2</v>
      </c>
      <c r="S40" s="10">
        <f t="shared" si="6"/>
        <v>7.1434312284891874E-2</v>
      </c>
    </row>
    <row r="41" spans="1:19" x14ac:dyDescent="0.25">
      <c r="A41" s="5" t="s">
        <v>8</v>
      </c>
      <c r="B41" s="5" t="s">
        <v>187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394</v>
      </c>
      <c r="H41" s="5" t="s">
        <v>56</v>
      </c>
      <c r="I41" s="5" t="s">
        <v>57</v>
      </c>
      <c r="J41" s="15">
        <v>2070</v>
      </c>
      <c r="K41" s="7">
        <v>31.4</v>
      </c>
      <c r="L41" s="7">
        <f t="shared" si="1"/>
        <v>65.923566878980893</v>
      </c>
      <c r="M41" s="5" t="s">
        <v>9</v>
      </c>
      <c r="N41" s="5">
        <v>4</v>
      </c>
      <c r="O41" s="6">
        <f t="shared" si="2"/>
        <v>5.6225296918739085</v>
      </c>
      <c r="P41" s="6">
        <f t="shared" si="3"/>
        <v>0.58474308795488661</v>
      </c>
      <c r="Q41" s="10">
        <f t="shared" si="4"/>
        <v>1.2182147665726803E-2</v>
      </c>
      <c r="R41" s="10">
        <f t="shared" si="5"/>
        <v>5.8055843919859323E-2</v>
      </c>
      <c r="S41" s="10">
        <f t="shared" si="6"/>
        <v>7.0237991585586121E-2</v>
      </c>
    </row>
    <row r="42" spans="1:19" x14ac:dyDescent="0.25">
      <c r="A42" s="5" t="s">
        <v>8</v>
      </c>
      <c r="B42" s="5" t="s">
        <v>187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394</v>
      </c>
      <c r="H42" s="5" t="s">
        <v>56</v>
      </c>
      <c r="I42" s="5" t="s">
        <v>57</v>
      </c>
      <c r="J42" s="15">
        <v>2010</v>
      </c>
      <c r="K42" s="7">
        <v>31.4</v>
      </c>
      <c r="L42" s="7">
        <f t="shared" si="1"/>
        <v>64.012738853503194</v>
      </c>
      <c r="M42" s="5" t="s">
        <v>9</v>
      </c>
      <c r="N42" s="5">
        <v>4</v>
      </c>
      <c r="O42" s="6">
        <f t="shared" si="2"/>
        <v>5.1476486115055389</v>
      </c>
      <c r="P42" s="6">
        <f t="shared" si="3"/>
        <v>0.53535545559657605</v>
      </c>
      <c r="Q42" s="10">
        <f t="shared" si="4"/>
        <v>1.1153238658262002E-2</v>
      </c>
      <c r="R42" s="10">
        <f t="shared" si="5"/>
        <v>5.4338018137809183E-2</v>
      </c>
      <c r="S42" s="10">
        <f t="shared" si="6"/>
        <v>6.5491256796071179E-2</v>
      </c>
    </row>
    <row r="43" spans="1:19" x14ac:dyDescent="0.25">
      <c r="A43" s="5" t="s">
        <v>8</v>
      </c>
      <c r="B43" s="5" t="s">
        <v>187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394</v>
      </c>
      <c r="H43" s="5" t="s">
        <v>56</v>
      </c>
      <c r="I43" s="5" t="s">
        <v>57</v>
      </c>
      <c r="J43" s="15">
        <v>1990</v>
      </c>
      <c r="K43" s="7">
        <v>29.5</v>
      </c>
      <c r="L43" s="7">
        <f t="shared" si="1"/>
        <v>67.457627118644069</v>
      </c>
      <c r="M43" s="5" t="s">
        <v>9</v>
      </c>
      <c r="N43" s="5">
        <v>4</v>
      </c>
      <c r="O43" s="6">
        <f t="shared" si="2"/>
        <v>5.6597234989945413</v>
      </c>
      <c r="P43" s="6">
        <f t="shared" si="3"/>
        <v>0.58861124389543229</v>
      </c>
      <c r="Q43" s="10">
        <f t="shared" si="4"/>
        <v>1.2262734247821505E-2</v>
      </c>
      <c r="R43" s="10">
        <f t="shared" si="5"/>
        <v>5.8343641943083634E-2</v>
      </c>
      <c r="S43" s="10">
        <f t="shared" si="6"/>
        <v>7.0606376190905137E-2</v>
      </c>
    </row>
    <row r="44" spans="1:19" x14ac:dyDescent="0.25">
      <c r="A44" s="5" t="s">
        <v>22</v>
      </c>
      <c r="B44" s="5" t="s">
        <v>63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394</v>
      </c>
      <c r="H44" s="5" t="s">
        <v>56</v>
      </c>
      <c r="I44" s="5" t="s">
        <v>151</v>
      </c>
      <c r="J44" s="15">
        <v>3550</v>
      </c>
      <c r="K44" s="7">
        <v>33.5</v>
      </c>
      <c r="L44" s="7">
        <f t="shared" si="1"/>
        <v>105.97014925373135</v>
      </c>
      <c r="M44" s="5" t="s">
        <v>9</v>
      </c>
      <c r="N44" s="5">
        <v>4</v>
      </c>
      <c r="O44" s="6">
        <f t="shared" si="2"/>
        <v>24.91583593227891</v>
      </c>
      <c r="P44" s="6">
        <f t="shared" si="3"/>
        <v>2.5912469369570066</v>
      </c>
      <c r="Q44" s="10">
        <f t="shared" si="4"/>
        <v>5.3984311186604302E-2</v>
      </c>
      <c r="R44" s="10">
        <f t="shared" si="5"/>
        <v>0.1773183662256573</v>
      </c>
      <c r="S44" s="10">
        <f t="shared" si="6"/>
        <v>0.2313026774122616</v>
      </c>
    </row>
    <row r="45" spans="1:19" x14ac:dyDescent="0.25">
      <c r="A45" s="5" t="s">
        <v>8</v>
      </c>
      <c r="B45" s="5" t="s">
        <v>217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394</v>
      </c>
      <c r="H45" s="5" t="s">
        <v>56</v>
      </c>
      <c r="I45" s="5" t="s">
        <v>151</v>
      </c>
      <c r="J45" s="15">
        <v>3550</v>
      </c>
      <c r="K45" s="7">
        <v>33.5</v>
      </c>
      <c r="L45" s="7">
        <f t="shared" si="1"/>
        <v>105.97014925373135</v>
      </c>
      <c r="M45" s="5" t="s">
        <v>9</v>
      </c>
      <c r="N45" s="5">
        <v>4</v>
      </c>
      <c r="O45" s="6">
        <f t="shared" si="2"/>
        <v>24.91583593227891</v>
      </c>
      <c r="P45" s="6">
        <f t="shared" si="3"/>
        <v>2.5912469369570066</v>
      </c>
      <c r="Q45" s="10">
        <f t="shared" si="4"/>
        <v>5.3984311186604302E-2</v>
      </c>
      <c r="R45" s="10">
        <f t="shared" si="5"/>
        <v>0.1773183662256573</v>
      </c>
      <c r="S45" s="10">
        <f t="shared" si="6"/>
        <v>0.2313026774122616</v>
      </c>
    </row>
    <row r="46" spans="1:19" x14ac:dyDescent="0.25">
      <c r="A46" s="5" t="s">
        <v>22</v>
      </c>
      <c r="B46" s="5" t="s">
        <v>63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394</v>
      </c>
      <c r="H46" s="5" t="s">
        <v>108</v>
      </c>
      <c r="I46" s="5" t="s">
        <v>109</v>
      </c>
      <c r="J46" s="15">
        <v>1600</v>
      </c>
      <c r="K46" s="7">
        <v>36</v>
      </c>
      <c r="L46" s="7">
        <f t="shared" si="1"/>
        <v>44.444444444444443</v>
      </c>
      <c r="M46" s="5" t="s">
        <v>9</v>
      </c>
      <c r="N46" s="5">
        <v>4</v>
      </c>
      <c r="O46" s="6">
        <f t="shared" si="2"/>
        <v>1.9753086419753083</v>
      </c>
      <c r="P46" s="6">
        <f t="shared" si="3"/>
        <v>0.20543209876543209</v>
      </c>
      <c r="Q46" s="10">
        <f t="shared" si="4"/>
        <v>4.2798353909465009E-3</v>
      </c>
      <c r="R46" s="10">
        <f t="shared" si="5"/>
        <v>2.6492524653412002E-2</v>
      </c>
      <c r="S46" s="10">
        <f t="shared" si="6"/>
        <v>3.0772360044358502E-2</v>
      </c>
    </row>
    <row r="47" spans="1:19" x14ac:dyDescent="0.25">
      <c r="J47" s="16">
        <f t="shared" ref="J47:S47" si="7">AVERAGE(J7:J46)</f>
        <v>2194.2249999999999</v>
      </c>
      <c r="K47" s="12">
        <f t="shared" si="7"/>
        <v>33.717500000000008</v>
      </c>
      <c r="L47" s="12">
        <f t="shared" si="7"/>
        <v>65.774362615677887</v>
      </c>
      <c r="M47" s="11" t="e">
        <f t="shared" si="7"/>
        <v>#DIV/0!</v>
      </c>
      <c r="N47" s="11">
        <f t="shared" si="7"/>
        <v>4</v>
      </c>
      <c r="O47" s="13">
        <f t="shared" si="7"/>
        <v>6.8826295514923661</v>
      </c>
      <c r="P47" s="13">
        <f t="shared" si="7"/>
        <v>0.71579347335520616</v>
      </c>
      <c r="Q47" s="14">
        <f t="shared" si="7"/>
        <v>1.4912364028233463E-2</v>
      </c>
      <c r="R47" s="14">
        <f t="shared" si="7"/>
        <v>6.469265731972082E-2</v>
      </c>
      <c r="S47" s="14">
        <f t="shared" si="7"/>
        <v>7.9605021347954261E-2</v>
      </c>
    </row>
    <row r="48" spans="1:19" x14ac:dyDescent="0.25">
      <c r="A48" s="5" t="s">
        <v>22</v>
      </c>
      <c r="B48" s="5" t="s">
        <v>63</v>
      </c>
      <c r="C48" s="5" t="s">
        <v>27</v>
      </c>
      <c r="D48" s="5" t="s">
        <v>385</v>
      </c>
      <c r="E48" s="5" t="s">
        <v>387</v>
      </c>
      <c r="F48" s="5" t="s">
        <v>112</v>
      </c>
      <c r="G48" s="5" t="s">
        <v>395</v>
      </c>
      <c r="H48" s="5" t="s">
        <v>129</v>
      </c>
      <c r="I48" s="5" t="s">
        <v>130</v>
      </c>
      <c r="J48" s="15">
        <v>2560</v>
      </c>
      <c r="K48" s="7">
        <v>44</v>
      </c>
      <c r="L48" s="7">
        <f t="shared" ref="L48:L67" si="8">J48/K48</f>
        <v>58.18181818181818</v>
      </c>
      <c r="M48" s="5" t="s">
        <v>9</v>
      </c>
      <c r="N48" s="5">
        <v>4</v>
      </c>
      <c r="O48" s="6">
        <f t="shared" ref="O48:O67" si="9">(J48*L48^2)/(1.6*10^6)</f>
        <v>5.4161983471074375</v>
      </c>
      <c r="P48" s="6">
        <f t="shared" ref="P48:P67" si="10">(0.104*J48*L48^2)/(1.6*10^6)</f>
        <v>0.56328462809917346</v>
      </c>
      <c r="Q48" s="10">
        <f t="shared" ref="Q48:Q67" si="11">(0.104*O48)/(12*N48)</f>
        <v>1.173509641873278E-2</v>
      </c>
      <c r="R48" s="10">
        <f t="shared" ref="R48:R67" si="12">0.0159*O48^0.75</f>
        <v>5.6450532702040132E-2</v>
      </c>
      <c r="S48" s="10">
        <f t="shared" ref="S48:S67" si="13">Q48+R48</f>
        <v>6.8185629120772917E-2</v>
      </c>
    </row>
    <row r="49" spans="1:19" x14ac:dyDescent="0.25">
      <c r="A49" s="5" t="s">
        <v>22</v>
      </c>
      <c r="B49" s="5" t="s">
        <v>63</v>
      </c>
      <c r="C49" s="5" t="s">
        <v>27</v>
      </c>
      <c r="D49" s="5" t="s">
        <v>385</v>
      </c>
      <c r="E49" s="5" t="s">
        <v>387</v>
      </c>
      <c r="F49" s="5" t="s">
        <v>112</v>
      </c>
      <c r="G49" s="5" t="s">
        <v>395</v>
      </c>
      <c r="H49" s="5" t="s">
        <v>123</v>
      </c>
      <c r="I49" s="5" t="s">
        <v>124</v>
      </c>
      <c r="J49" s="15">
        <v>1700</v>
      </c>
      <c r="K49" s="7">
        <v>36.5</v>
      </c>
      <c r="L49" s="7">
        <f t="shared" si="8"/>
        <v>46.575342465753423</v>
      </c>
      <c r="M49" s="5" t="s">
        <v>9</v>
      </c>
      <c r="N49" s="5">
        <v>4</v>
      </c>
      <c r="O49" s="6">
        <f t="shared" si="9"/>
        <v>2.3048414336648522</v>
      </c>
      <c r="P49" s="6">
        <f t="shared" si="10"/>
        <v>0.23970350910114463</v>
      </c>
      <c r="Q49" s="10">
        <f t="shared" si="11"/>
        <v>4.9938231062738462E-3</v>
      </c>
      <c r="R49" s="10">
        <f t="shared" si="12"/>
        <v>2.974253037207969E-2</v>
      </c>
      <c r="S49" s="10">
        <f t="shared" si="13"/>
        <v>3.4736353478353535E-2</v>
      </c>
    </row>
    <row r="50" spans="1:19" x14ac:dyDescent="0.25">
      <c r="A50" s="5" t="s">
        <v>22</v>
      </c>
      <c r="B50" s="5" t="s">
        <v>63</v>
      </c>
      <c r="C50" s="5" t="s">
        <v>27</v>
      </c>
      <c r="D50" s="5" t="s">
        <v>385</v>
      </c>
      <c r="E50" s="5" t="s">
        <v>387</v>
      </c>
      <c r="F50" s="5" t="s">
        <v>112</v>
      </c>
      <c r="G50" s="5" t="s">
        <v>395</v>
      </c>
      <c r="H50" s="5" t="s">
        <v>127</v>
      </c>
      <c r="I50" s="5" t="s">
        <v>128</v>
      </c>
      <c r="J50" s="15">
        <v>2495</v>
      </c>
      <c r="K50" s="7">
        <v>37</v>
      </c>
      <c r="L50" s="7">
        <f t="shared" si="8"/>
        <v>67.432432432432435</v>
      </c>
      <c r="M50" s="5" t="s">
        <v>9</v>
      </c>
      <c r="N50" s="5">
        <v>4</v>
      </c>
      <c r="O50" s="6">
        <f t="shared" si="9"/>
        <v>7.090685434167276</v>
      </c>
      <c r="P50" s="6">
        <f t="shared" si="10"/>
        <v>0.73743128515339662</v>
      </c>
      <c r="Q50" s="10">
        <f t="shared" si="11"/>
        <v>1.5363151774029096E-2</v>
      </c>
      <c r="R50" s="10">
        <f t="shared" si="12"/>
        <v>6.9089697094163655E-2</v>
      </c>
      <c r="S50" s="10">
        <f t="shared" si="13"/>
        <v>8.4452848868192751E-2</v>
      </c>
    </row>
    <row r="51" spans="1:19" x14ac:dyDescent="0.25">
      <c r="A51" s="5" t="s">
        <v>8</v>
      </c>
      <c r="B51" s="5" t="s">
        <v>239</v>
      </c>
      <c r="C51" s="5" t="s">
        <v>27</v>
      </c>
      <c r="D51" s="5" t="s">
        <v>385</v>
      </c>
      <c r="E51" s="5" t="s">
        <v>387</v>
      </c>
      <c r="F51" s="5" t="s">
        <v>112</v>
      </c>
      <c r="G51" s="5" t="s">
        <v>395</v>
      </c>
      <c r="H51" s="5" t="s">
        <v>127</v>
      </c>
      <c r="I51" s="5" t="s">
        <v>240</v>
      </c>
      <c r="J51" s="15">
        <v>3180</v>
      </c>
      <c r="K51" s="7">
        <v>49.3</v>
      </c>
      <c r="L51" s="7">
        <f t="shared" si="8"/>
        <v>64.503042596348891</v>
      </c>
      <c r="M51" s="5" t="s">
        <v>9</v>
      </c>
      <c r="N51" s="5">
        <v>4</v>
      </c>
      <c r="O51" s="6">
        <f t="shared" si="9"/>
        <v>8.2692769770704686</v>
      </c>
      <c r="P51" s="6">
        <f t="shared" si="10"/>
        <v>0.86000480561532866</v>
      </c>
      <c r="Q51" s="10">
        <f t="shared" si="11"/>
        <v>1.7916766783652682E-2</v>
      </c>
      <c r="R51" s="10">
        <f t="shared" si="12"/>
        <v>7.7534997706638811E-2</v>
      </c>
      <c r="S51" s="10">
        <f t="shared" si="13"/>
        <v>9.5451764490291496E-2</v>
      </c>
    </row>
    <row r="52" spans="1:19" x14ac:dyDescent="0.25">
      <c r="A52" s="5" t="s">
        <v>8</v>
      </c>
      <c r="B52" s="5" t="s">
        <v>333</v>
      </c>
      <c r="C52" s="5" t="s">
        <v>27</v>
      </c>
      <c r="D52" s="5" t="s">
        <v>385</v>
      </c>
      <c r="E52" s="5" t="s">
        <v>387</v>
      </c>
      <c r="F52" s="5" t="s">
        <v>112</v>
      </c>
      <c r="G52" s="5" t="s">
        <v>395</v>
      </c>
      <c r="H52" s="5" t="s">
        <v>127</v>
      </c>
      <c r="I52" s="5" t="s">
        <v>240</v>
      </c>
      <c r="J52" s="15">
        <v>2290</v>
      </c>
      <c r="K52" s="7">
        <v>25.4</v>
      </c>
      <c r="L52" s="7">
        <f t="shared" si="8"/>
        <v>90.157480314960637</v>
      </c>
      <c r="M52" s="5" t="s">
        <v>9</v>
      </c>
      <c r="N52" s="5">
        <v>4</v>
      </c>
      <c r="O52" s="6">
        <f t="shared" si="9"/>
        <v>11.633731361212723</v>
      </c>
      <c r="P52" s="6">
        <f t="shared" si="10"/>
        <v>1.2099080615661233</v>
      </c>
      <c r="Q52" s="10">
        <f t="shared" si="11"/>
        <v>2.5206417949294232E-2</v>
      </c>
      <c r="R52" s="10">
        <f t="shared" si="12"/>
        <v>0.10015817386585321</v>
      </c>
      <c r="S52" s="10">
        <f t="shared" si="13"/>
        <v>0.12536459181514745</v>
      </c>
    </row>
    <row r="53" spans="1:19" x14ac:dyDescent="0.25">
      <c r="A53" s="5" t="s">
        <v>8</v>
      </c>
      <c r="B53" s="5" t="s">
        <v>333</v>
      </c>
      <c r="C53" s="5" t="s">
        <v>27</v>
      </c>
      <c r="D53" s="5" t="s">
        <v>385</v>
      </c>
      <c r="E53" s="5" t="s">
        <v>387</v>
      </c>
      <c r="F53" s="5" t="s">
        <v>112</v>
      </c>
      <c r="G53" s="5" t="s">
        <v>395</v>
      </c>
      <c r="H53" s="5" t="s">
        <v>127</v>
      </c>
      <c r="I53" s="5" t="s">
        <v>334</v>
      </c>
      <c r="J53" s="15">
        <v>1900</v>
      </c>
      <c r="K53" s="7">
        <v>34.200000000000003</v>
      </c>
      <c r="L53" s="7">
        <f t="shared" si="8"/>
        <v>55.55555555555555</v>
      </c>
      <c r="M53" s="5" t="s">
        <v>9</v>
      </c>
      <c r="N53" s="5">
        <v>4</v>
      </c>
      <c r="O53" s="6">
        <f t="shared" si="9"/>
        <v>3.6651234567901225</v>
      </c>
      <c r="P53" s="6">
        <f t="shared" si="10"/>
        <v>0.38117283950617276</v>
      </c>
      <c r="Q53" s="10">
        <f t="shared" si="11"/>
        <v>7.9411008230452652E-3</v>
      </c>
      <c r="R53" s="10">
        <f t="shared" si="12"/>
        <v>4.2117596577025559E-2</v>
      </c>
      <c r="S53" s="10">
        <f t="shared" si="13"/>
        <v>5.0058697400070823E-2</v>
      </c>
    </row>
    <row r="54" spans="1:19" x14ac:dyDescent="0.25">
      <c r="A54" s="5" t="s">
        <v>8</v>
      </c>
      <c r="B54" s="5" t="s">
        <v>350</v>
      </c>
      <c r="C54" s="5" t="s">
        <v>27</v>
      </c>
      <c r="D54" s="5" t="s">
        <v>385</v>
      </c>
      <c r="E54" s="5" t="s">
        <v>387</v>
      </c>
      <c r="F54" s="5" t="s">
        <v>112</v>
      </c>
      <c r="G54" s="5" t="s">
        <v>391</v>
      </c>
      <c r="H54" s="5" t="s">
        <v>53</v>
      </c>
      <c r="I54" s="5" t="s">
        <v>349</v>
      </c>
      <c r="J54" s="15">
        <v>2700</v>
      </c>
      <c r="K54" s="7">
        <v>40.5</v>
      </c>
      <c r="L54" s="7">
        <f t="shared" si="8"/>
        <v>66.666666666666671</v>
      </c>
      <c r="M54" s="5" t="s">
        <v>9</v>
      </c>
      <c r="N54" s="5">
        <v>4</v>
      </c>
      <c r="O54" s="6">
        <f t="shared" si="9"/>
        <v>7.5000000000000009</v>
      </c>
      <c r="P54" s="6">
        <f t="shared" si="10"/>
        <v>0.78000000000000014</v>
      </c>
      <c r="Q54" s="10">
        <f t="shared" si="11"/>
        <v>1.6250000000000001E-2</v>
      </c>
      <c r="R54" s="10">
        <f t="shared" si="12"/>
        <v>7.2059803226958916E-2</v>
      </c>
      <c r="S54" s="10">
        <f t="shared" si="13"/>
        <v>8.8309803226958916E-2</v>
      </c>
    </row>
    <row r="55" spans="1:19" x14ac:dyDescent="0.25">
      <c r="A55" s="5" t="s">
        <v>8</v>
      </c>
      <c r="B55" s="5" t="s">
        <v>347</v>
      </c>
      <c r="C55" s="5" t="s">
        <v>27</v>
      </c>
      <c r="D55" s="5" t="s">
        <v>385</v>
      </c>
      <c r="E55" s="5" t="s">
        <v>387</v>
      </c>
      <c r="F55" s="5" t="s">
        <v>112</v>
      </c>
      <c r="G55" s="5" t="s">
        <v>391</v>
      </c>
      <c r="H55" s="5" t="s">
        <v>53</v>
      </c>
      <c r="I55" s="5" t="s">
        <v>349</v>
      </c>
      <c r="J55" s="15">
        <v>2500</v>
      </c>
      <c r="K55" s="7">
        <v>31</v>
      </c>
      <c r="L55" s="7">
        <f t="shared" si="8"/>
        <v>80.645161290322577</v>
      </c>
      <c r="M55" s="5" t="s">
        <v>9</v>
      </c>
      <c r="N55" s="5">
        <v>4</v>
      </c>
      <c r="O55" s="6">
        <f t="shared" si="9"/>
        <v>10.161940686784598</v>
      </c>
      <c r="P55" s="6">
        <f t="shared" si="10"/>
        <v>1.0568418314255983</v>
      </c>
      <c r="Q55" s="10">
        <f t="shared" si="11"/>
        <v>2.2017538154699964E-2</v>
      </c>
      <c r="R55" s="10">
        <f t="shared" si="12"/>
        <v>9.0496048477232735E-2</v>
      </c>
      <c r="S55" s="10">
        <f t="shared" si="13"/>
        <v>0.1125135866319327</v>
      </c>
    </row>
    <row r="56" spans="1:19" x14ac:dyDescent="0.25">
      <c r="A56" s="5" t="s">
        <v>22</v>
      </c>
      <c r="B56" s="5" t="s">
        <v>63</v>
      </c>
      <c r="C56" s="5" t="s">
        <v>27</v>
      </c>
      <c r="D56" s="5" t="s">
        <v>385</v>
      </c>
      <c r="E56" s="5" t="s">
        <v>387</v>
      </c>
      <c r="F56" s="5" t="s">
        <v>112</v>
      </c>
      <c r="G56" s="5" t="s">
        <v>391</v>
      </c>
      <c r="H56" s="5" t="s">
        <v>53</v>
      </c>
      <c r="I56" s="5" t="s">
        <v>145</v>
      </c>
      <c r="J56" s="15">
        <v>2200</v>
      </c>
      <c r="K56" s="7">
        <v>42.5</v>
      </c>
      <c r="L56" s="7">
        <f t="shared" si="8"/>
        <v>51.764705882352942</v>
      </c>
      <c r="M56" s="5" t="s">
        <v>9</v>
      </c>
      <c r="N56" s="5">
        <v>4</v>
      </c>
      <c r="O56" s="6">
        <f t="shared" si="9"/>
        <v>3.6844290657439451</v>
      </c>
      <c r="P56" s="6">
        <f t="shared" si="10"/>
        <v>0.38318062283737025</v>
      </c>
      <c r="Q56" s="10">
        <f t="shared" si="11"/>
        <v>7.9829296424452131E-3</v>
      </c>
      <c r="R56" s="10">
        <f t="shared" si="12"/>
        <v>4.2283874397514749E-2</v>
      </c>
      <c r="S56" s="10">
        <f t="shared" si="13"/>
        <v>5.0266804039959964E-2</v>
      </c>
    </row>
    <row r="57" spans="1:19" x14ac:dyDescent="0.25">
      <c r="A57" s="5" t="s">
        <v>8</v>
      </c>
      <c r="B57" s="5" t="s">
        <v>303</v>
      </c>
      <c r="C57" s="5" t="s">
        <v>27</v>
      </c>
      <c r="D57" s="5" t="s">
        <v>385</v>
      </c>
      <c r="E57" s="5" t="s">
        <v>387</v>
      </c>
      <c r="F57" s="5" t="s">
        <v>112</v>
      </c>
      <c r="G57" s="5" t="s">
        <v>391</v>
      </c>
      <c r="H57" s="5" t="s">
        <v>53</v>
      </c>
      <c r="I57" s="5" t="s">
        <v>305</v>
      </c>
      <c r="J57" s="15">
        <v>2710</v>
      </c>
      <c r="K57" s="7">
        <v>38</v>
      </c>
      <c r="L57" s="7">
        <f t="shared" si="8"/>
        <v>71.315789473684205</v>
      </c>
      <c r="M57" s="5" t="s">
        <v>9</v>
      </c>
      <c r="N57" s="5">
        <v>4</v>
      </c>
      <c r="O57" s="6">
        <f t="shared" si="9"/>
        <v>8.6143139716066468</v>
      </c>
      <c r="P57" s="6">
        <f t="shared" si="10"/>
        <v>0.8958886530470912</v>
      </c>
      <c r="Q57" s="10">
        <f t="shared" si="11"/>
        <v>1.8664346938481065E-2</v>
      </c>
      <c r="R57" s="10">
        <f t="shared" si="12"/>
        <v>7.9948928370579042E-2</v>
      </c>
      <c r="S57" s="10">
        <f t="shared" si="13"/>
        <v>9.8613275309060111E-2</v>
      </c>
    </row>
    <row r="58" spans="1:19" x14ac:dyDescent="0.25">
      <c r="A58" s="5" t="s">
        <v>8</v>
      </c>
      <c r="B58" s="5" t="s">
        <v>303</v>
      </c>
      <c r="C58" s="5" t="s">
        <v>27</v>
      </c>
      <c r="D58" s="5" t="s">
        <v>385</v>
      </c>
      <c r="E58" s="5" t="s">
        <v>387</v>
      </c>
      <c r="F58" s="5" t="s">
        <v>112</v>
      </c>
      <c r="G58" s="5" t="s">
        <v>391</v>
      </c>
      <c r="H58" s="5" t="s">
        <v>53</v>
      </c>
      <c r="I58" s="5" t="s">
        <v>305</v>
      </c>
      <c r="J58" s="15">
        <v>2500</v>
      </c>
      <c r="K58" s="7">
        <v>35</v>
      </c>
      <c r="L58" s="7">
        <f t="shared" si="8"/>
        <v>71.428571428571431</v>
      </c>
      <c r="M58" s="5" t="s">
        <v>9</v>
      </c>
      <c r="N58" s="5">
        <v>4</v>
      </c>
      <c r="O58" s="6">
        <f t="shared" si="9"/>
        <v>7.9719387755102051</v>
      </c>
      <c r="P58" s="6">
        <f t="shared" si="10"/>
        <v>0.82908163265306123</v>
      </c>
      <c r="Q58" s="10">
        <f t="shared" si="11"/>
        <v>1.7272534013605446E-2</v>
      </c>
      <c r="R58" s="10">
        <f t="shared" si="12"/>
        <v>7.5434512896593864E-2</v>
      </c>
      <c r="S58" s="10">
        <f t="shared" si="13"/>
        <v>9.2707046910199306E-2</v>
      </c>
    </row>
    <row r="59" spans="1:19" x14ac:dyDescent="0.25">
      <c r="A59" s="5" t="s">
        <v>8</v>
      </c>
      <c r="B59" s="5" t="s">
        <v>228</v>
      </c>
      <c r="C59" s="5" t="s">
        <v>27</v>
      </c>
      <c r="D59" s="5" t="s">
        <v>385</v>
      </c>
      <c r="E59" s="5" t="s">
        <v>387</v>
      </c>
      <c r="F59" s="5" t="s">
        <v>112</v>
      </c>
      <c r="G59" s="5" t="s">
        <v>391</v>
      </c>
      <c r="H59" s="5" t="s">
        <v>53</v>
      </c>
      <c r="I59" s="5" t="s">
        <v>230</v>
      </c>
      <c r="J59" s="15">
        <v>2600</v>
      </c>
      <c r="K59" s="7">
        <v>39.5</v>
      </c>
      <c r="L59" s="7">
        <f t="shared" si="8"/>
        <v>65.822784810126578</v>
      </c>
      <c r="M59" s="5" t="s">
        <v>9</v>
      </c>
      <c r="N59" s="5">
        <v>4</v>
      </c>
      <c r="O59" s="6">
        <f t="shared" si="9"/>
        <v>7.0405383752603745</v>
      </c>
      <c r="P59" s="6">
        <f t="shared" si="10"/>
        <v>0.73221599102707891</v>
      </c>
      <c r="Q59" s="10">
        <f t="shared" si="11"/>
        <v>1.5254499813064143E-2</v>
      </c>
      <c r="R59" s="10">
        <f t="shared" si="12"/>
        <v>6.8722907763020355E-2</v>
      </c>
      <c r="S59" s="10">
        <f t="shared" si="13"/>
        <v>8.3977407576084503E-2</v>
      </c>
    </row>
    <row r="60" spans="1:19" x14ac:dyDescent="0.25">
      <c r="A60" s="5" t="s">
        <v>8</v>
      </c>
      <c r="B60" s="5" t="s">
        <v>284</v>
      </c>
      <c r="C60" s="5" t="s">
        <v>27</v>
      </c>
      <c r="D60" s="5" t="s">
        <v>385</v>
      </c>
      <c r="E60" s="5" t="s">
        <v>387</v>
      </c>
      <c r="F60" s="5" t="s">
        <v>112</v>
      </c>
      <c r="G60" s="5" t="s">
        <v>391</v>
      </c>
      <c r="H60" s="5" t="s">
        <v>53</v>
      </c>
      <c r="I60" s="5" t="s">
        <v>285</v>
      </c>
      <c r="J60" s="15">
        <v>3000</v>
      </c>
      <c r="K60" s="7">
        <v>46.3</v>
      </c>
      <c r="L60" s="7">
        <f t="shared" si="8"/>
        <v>64.794816414686835</v>
      </c>
      <c r="M60" s="5" t="s">
        <v>9</v>
      </c>
      <c r="N60" s="5">
        <v>4</v>
      </c>
      <c r="O60" s="6">
        <f t="shared" si="9"/>
        <v>7.8719404391493191</v>
      </c>
      <c r="P60" s="6">
        <f t="shared" si="10"/>
        <v>0.81868180567152926</v>
      </c>
      <c r="Q60" s="10">
        <f t="shared" si="11"/>
        <v>1.7055870951490189E-2</v>
      </c>
      <c r="R60" s="10">
        <f t="shared" si="12"/>
        <v>7.4723718195041214E-2</v>
      </c>
      <c r="S60" s="10">
        <f t="shared" si="13"/>
        <v>9.1779589146531407E-2</v>
      </c>
    </row>
    <row r="61" spans="1:19" x14ac:dyDescent="0.25">
      <c r="A61" s="5" t="s">
        <v>8</v>
      </c>
      <c r="B61" s="5" t="s">
        <v>303</v>
      </c>
      <c r="C61" s="5" t="s">
        <v>27</v>
      </c>
      <c r="D61" s="5" t="s">
        <v>385</v>
      </c>
      <c r="E61" s="5" t="s">
        <v>387</v>
      </c>
      <c r="F61" s="5" t="s">
        <v>112</v>
      </c>
      <c r="G61" s="5" t="s">
        <v>391</v>
      </c>
      <c r="H61" s="5" t="s">
        <v>53</v>
      </c>
      <c r="I61" s="5" t="s">
        <v>304</v>
      </c>
      <c r="J61" s="15">
        <v>2330</v>
      </c>
      <c r="K61" s="7">
        <v>32</v>
      </c>
      <c r="L61" s="7">
        <f t="shared" si="8"/>
        <v>72.8125</v>
      </c>
      <c r="M61" s="5" t="s">
        <v>9</v>
      </c>
      <c r="N61" s="5">
        <v>4</v>
      </c>
      <c r="O61" s="6">
        <f t="shared" si="9"/>
        <v>7.7205426025390622</v>
      </c>
      <c r="P61" s="6">
        <f t="shared" si="10"/>
        <v>0.80293643066406251</v>
      </c>
      <c r="Q61" s="10">
        <f t="shared" si="11"/>
        <v>1.6727842305501301E-2</v>
      </c>
      <c r="R61" s="10">
        <f t="shared" si="12"/>
        <v>7.3643257759382366E-2</v>
      </c>
      <c r="S61" s="10">
        <f t="shared" si="13"/>
        <v>9.0371100064883664E-2</v>
      </c>
    </row>
    <row r="62" spans="1:19" x14ac:dyDescent="0.25">
      <c r="A62" s="5" t="s">
        <v>22</v>
      </c>
      <c r="B62" s="5" t="s">
        <v>63</v>
      </c>
      <c r="C62" s="5" t="s">
        <v>27</v>
      </c>
      <c r="D62" s="5" t="s">
        <v>385</v>
      </c>
      <c r="E62" s="5" t="s">
        <v>387</v>
      </c>
      <c r="F62" s="5" t="s">
        <v>112</v>
      </c>
      <c r="G62" s="5" t="s">
        <v>391</v>
      </c>
      <c r="H62" s="5" t="s">
        <v>53</v>
      </c>
      <c r="I62" s="5" t="s">
        <v>147</v>
      </c>
      <c r="J62" s="15">
        <v>2200</v>
      </c>
      <c r="K62" s="7">
        <v>33</v>
      </c>
      <c r="L62" s="7">
        <f t="shared" si="8"/>
        <v>66.666666666666671</v>
      </c>
      <c r="M62" s="5" t="s">
        <v>9</v>
      </c>
      <c r="N62" s="5">
        <v>4</v>
      </c>
      <c r="O62" s="6">
        <f t="shared" si="9"/>
        <v>6.1111111111111125</v>
      </c>
      <c r="P62" s="6">
        <f t="shared" si="10"/>
        <v>0.63555555555555565</v>
      </c>
      <c r="Q62" s="10">
        <f t="shared" si="11"/>
        <v>1.3240740740740742E-2</v>
      </c>
      <c r="R62" s="10">
        <f t="shared" si="12"/>
        <v>6.1799827002558427E-2</v>
      </c>
      <c r="S62" s="10">
        <f t="shared" si="13"/>
        <v>7.5040567743299175E-2</v>
      </c>
    </row>
    <row r="63" spans="1:19" x14ac:dyDescent="0.25">
      <c r="A63" s="5" t="s">
        <v>8</v>
      </c>
      <c r="B63" s="5" t="s">
        <v>228</v>
      </c>
      <c r="C63" s="5" t="s">
        <v>27</v>
      </c>
      <c r="D63" s="5" t="s">
        <v>385</v>
      </c>
      <c r="E63" s="5" t="s">
        <v>387</v>
      </c>
      <c r="F63" s="5" t="s">
        <v>112</v>
      </c>
      <c r="G63" s="5" t="s">
        <v>391</v>
      </c>
      <c r="H63" s="5" t="s">
        <v>53</v>
      </c>
      <c r="I63" s="5" t="s">
        <v>229</v>
      </c>
      <c r="J63" s="15">
        <v>2100</v>
      </c>
      <c r="K63" s="7">
        <v>34</v>
      </c>
      <c r="L63" s="7">
        <f t="shared" si="8"/>
        <v>61.764705882352942</v>
      </c>
      <c r="M63" s="5" t="s">
        <v>9</v>
      </c>
      <c r="N63" s="5">
        <v>4</v>
      </c>
      <c r="O63" s="6">
        <f t="shared" si="9"/>
        <v>5.0070285467128031</v>
      </c>
      <c r="P63" s="6">
        <f t="shared" si="10"/>
        <v>0.52073096885813142</v>
      </c>
      <c r="Q63" s="10">
        <f t="shared" si="11"/>
        <v>1.0848561851211073E-2</v>
      </c>
      <c r="R63" s="10">
        <f t="shared" si="12"/>
        <v>5.3220895151738591E-2</v>
      </c>
      <c r="S63" s="10">
        <f t="shared" si="13"/>
        <v>6.4069457002949665E-2</v>
      </c>
    </row>
    <row r="64" spans="1:19" x14ac:dyDescent="0.25">
      <c r="A64" s="5" t="s">
        <v>22</v>
      </c>
      <c r="B64" s="5" t="s">
        <v>26</v>
      </c>
      <c r="C64" s="5" t="s">
        <v>27</v>
      </c>
      <c r="D64" s="5" t="s">
        <v>385</v>
      </c>
      <c r="E64" s="5" t="s">
        <v>387</v>
      </c>
      <c r="F64" s="5" t="s">
        <v>112</v>
      </c>
      <c r="G64" s="5" t="s">
        <v>391</v>
      </c>
      <c r="H64" s="5" t="s">
        <v>53</v>
      </c>
      <c r="I64" s="5" t="s">
        <v>55</v>
      </c>
      <c r="J64" s="15">
        <v>3400</v>
      </c>
      <c r="K64" s="7">
        <v>37.5</v>
      </c>
      <c r="L64" s="7">
        <f t="shared" si="8"/>
        <v>90.666666666666671</v>
      </c>
      <c r="M64" s="5" t="s">
        <v>9</v>
      </c>
      <c r="N64" s="5">
        <v>4</v>
      </c>
      <c r="O64" s="6">
        <f t="shared" si="9"/>
        <v>17.468444444444447</v>
      </c>
      <c r="P64" s="6">
        <f t="shared" si="10"/>
        <v>1.8167182222222222</v>
      </c>
      <c r="Q64" s="10">
        <f t="shared" si="11"/>
        <v>3.7848296296296303E-2</v>
      </c>
      <c r="R64" s="10">
        <f t="shared" si="12"/>
        <v>0.13585880775908216</v>
      </c>
      <c r="S64" s="10">
        <f t="shared" si="13"/>
        <v>0.17370710405537845</v>
      </c>
    </row>
    <row r="65" spans="1:19" x14ac:dyDescent="0.25">
      <c r="A65" s="5" t="s">
        <v>8</v>
      </c>
      <c r="B65" s="5" t="s">
        <v>372</v>
      </c>
      <c r="C65" s="5" t="s">
        <v>27</v>
      </c>
      <c r="D65" s="5" t="s">
        <v>385</v>
      </c>
      <c r="E65" s="5" t="s">
        <v>387</v>
      </c>
      <c r="F65" s="5" t="s">
        <v>112</v>
      </c>
      <c r="G65" s="5" t="s">
        <v>391</v>
      </c>
      <c r="H65" s="5" t="s">
        <v>53</v>
      </c>
      <c r="I65" s="5" t="s">
        <v>374</v>
      </c>
      <c r="J65" s="15">
        <v>3460</v>
      </c>
      <c r="K65" s="7">
        <v>50.7</v>
      </c>
      <c r="L65" s="7">
        <f t="shared" si="8"/>
        <v>68.244575936883621</v>
      </c>
      <c r="M65" s="5" t="s">
        <v>9</v>
      </c>
      <c r="N65" s="5">
        <v>4</v>
      </c>
      <c r="O65" s="6">
        <f t="shared" si="9"/>
        <v>10.071459138140973</v>
      </c>
      <c r="P65" s="6">
        <f t="shared" si="10"/>
        <v>1.0474317503666613</v>
      </c>
      <c r="Q65" s="10">
        <f t="shared" si="11"/>
        <v>2.1821494799305442E-2</v>
      </c>
      <c r="R65" s="10">
        <f t="shared" si="12"/>
        <v>8.9891043220326733E-2</v>
      </c>
      <c r="S65" s="10">
        <f t="shared" si="13"/>
        <v>0.11171253801963217</v>
      </c>
    </row>
    <row r="66" spans="1:19" x14ac:dyDescent="0.25">
      <c r="A66" s="5" t="s">
        <v>22</v>
      </c>
      <c r="B66" s="5" t="s">
        <v>63</v>
      </c>
      <c r="C66" s="5" t="s">
        <v>27</v>
      </c>
      <c r="D66" s="5" t="s">
        <v>385</v>
      </c>
      <c r="E66" s="5" t="s">
        <v>387</v>
      </c>
      <c r="F66" s="5" t="s">
        <v>112</v>
      </c>
      <c r="G66" s="5" t="s">
        <v>391</v>
      </c>
      <c r="H66" s="5" t="s">
        <v>53</v>
      </c>
      <c r="I66" s="5" t="s">
        <v>114</v>
      </c>
      <c r="J66" s="15">
        <v>1700</v>
      </c>
      <c r="K66" s="7">
        <v>28</v>
      </c>
      <c r="L66" s="7">
        <f t="shared" si="8"/>
        <v>60.714285714285715</v>
      </c>
      <c r="M66" s="5" t="s">
        <v>9</v>
      </c>
      <c r="N66" s="5">
        <v>4</v>
      </c>
      <c r="O66" s="6">
        <f t="shared" si="9"/>
        <v>3.9166135204081631</v>
      </c>
      <c r="P66" s="6">
        <f t="shared" si="10"/>
        <v>0.40732780612244895</v>
      </c>
      <c r="Q66" s="10">
        <f t="shared" si="11"/>
        <v>8.4859959608843526E-3</v>
      </c>
      <c r="R66" s="10">
        <f t="shared" si="12"/>
        <v>4.4267007423098879E-2</v>
      </c>
      <c r="S66" s="10">
        <f t="shared" si="13"/>
        <v>5.2753003383983234E-2</v>
      </c>
    </row>
    <row r="67" spans="1:19" x14ac:dyDescent="0.25">
      <c r="A67" s="5" t="s">
        <v>22</v>
      </c>
      <c r="B67" s="5" t="s">
        <v>63</v>
      </c>
      <c r="C67" s="5" t="s">
        <v>27</v>
      </c>
      <c r="D67" s="5" t="s">
        <v>385</v>
      </c>
      <c r="E67" s="5" t="s">
        <v>387</v>
      </c>
      <c r="F67" s="5" t="s">
        <v>112</v>
      </c>
      <c r="G67" s="5" t="s">
        <v>391</v>
      </c>
      <c r="H67" s="5" t="s">
        <v>115</v>
      </c>
      <c r="I67" s="5" t="s">
        <v>116</v>
      </c>
      <c r="J67" s="15">
        <v>750</v>
      </c>
      <c r="K67" s="7">
        <v>23</v>
      </c>
      <c r="L67" s="7">
        <f t="shared" si="8"/>
        <v>32.608695652173914</v>
      </c>
      <c r="M67" s="5" t="s">
        <v>9</v>
      </c>
      <c r="N67" s="5">
        <v>4</v>
      </c>
      <c r="O67" s="6">
        <f t="shared" si="9"/>
        <v>0.49843454631379974</v>
      </c>
      <c r="P67" s="6">
        <f t="shared" si="10"/>
        <v>5.1837192816635173E-2</v>
      </c>
      <c r="Q67" s="10">
        <f t="shared" si="11"/>
        <v>1.0799415170132329E-3</v>
      </c>
      <c r="R67" s="10">
        <f t="shared" si="12"/>
        <v>9.431987704294223E-3</v>
      </c>
      <c r="S67" s="10">
        <f t="shared" si="13"/>
        <v>1.0511929221307456E-2</v>
      </c>
    </row>
    <row r="68" spans="1:19" x14ac:dyDescent="0.25">
      <c r="J68" s="16">
        <f>AVERAGE(J48:J67)</f>
        <v>2413.75</v>
      </c>
      <c r="K68" s="12">
        <f t="shared" ref="K68:S68" si="14">AVERAGE(K48:K67)</f>
        <v>36.870000000000005</v>
      </c>
      <c r="L68" s="12">
        <f t="shared" si="14"/>
        <v>65.416113201615502</v>
      </c>
      <c r="M68" s="11" t="e">
        <f t="shared" si="14"/>
        <v>#DIV/0!</v>
      </c>
      <c r="N68" s="11">
        <f t="shared" si="14"/>
        <v>4</v>
      </c>
      <c r="O68" s="13">
        <f t="shared" si="14"/>
        <v>7.1009296116869169</v>
      </c>
      <c r="P68" s="13">
        <f t="shared" si="14"/>
        <v>0.7384966796154393</v>
      </c>
      <c r="Q68" s="14">
        <f t="shared" si="14"/>
        <v>1.5385347491988322E-2</v>
      </c>
      <c r="R68" s="14">
        <f t="shared" si="14"/>
        <v>6.7343807383261164E-2</v>
      </c>
      <c r="S68" s="14">
        <f t="shared" si="14"/>
        <v>8.2729154875249483E-2</v>
      </c>
    </row>
    <row r="69" spans="1:19" x14ac:dyDescent="0.25">
      <c r="A69" s="5" t="s">
        <v>8</v>
      </c>
      <c r="B69" s="5" t="s">
        <v>372</v>
      </c>
      <c r="C69" s="5" t="s">
        <v>27</v>
      </c>
      <c r="D69" s="5" t="s">
        <v>385</v>
      </c>
      <c r="E69" s="5" t="s">
        <v>384</v>
      </c>
      <c r="F69" s="5" t="s">
        <v>91</v>
      </c>
      <c r="G69" s="5" t="s">
        <v>393</v>
      </c>
      <c r="H69" s="5" t="s">
        <v>92</v>
      </c>
      <c r="I69" s="5" t="s">
        <v>373</v>
      </c>
      <c r="J69" s="15">
        <v>2510</v>
      </c>
      <c r="K69" s="7">
        <v>41.4</v>
      </c>
      <c r="L69" s="7">
        <f t="shared" ref="L69:L74" si="15">J69/K69</f>
        <v>60.628019323671502</v>
      </c>
      <c r="M69" s="5" t="s">
        <v>9</v>
      </c>
      <c r="N69" s="5">
        <v>4</v>
      </c>
      <c r="O69" s="6">
        <f t="shared" ref="O69:O74" si="16">(J69*L69^2)/(1.6*10^6)</f>
        <v>5.7663433656561418</v>
      </c>
      <c r="P69" s="6">
        <f t="shared" ref="P69:P74" si="17">(0.104*J69*L69^2)/(1.6*10^6)</f>
        <v>0.59969971002823874</v>
      </c>
      <c r="Q69" s="10">
        <f t="shared" ref="Q69:Q74" si="18">(0.104*O69)/(12*N69)</f>
        <v>1.249374395892164E-2</v>
      </c>
      <c r="R69" s="10">
        <f t="shared" ref="R69:R74" si="19">0.0159*O69^0.75</f>
        <v>5.9166039480103155E-2</v>
      </c>
      <c r="S69" s="10">
        <f t="shared" ref="S69:S74" si="20">Q69+R69</f>
        <v>7.1659783439024793E-2</v>
      </c>
    </row>
    <row r="70" spans="1:19" x14ac:dyDescent="0.25">
      <c r="A70" s="5" t="s">
        <v>22</v>
      </c>
      <c r="B70" s="5" t="s">
        <v>63</v>
      </c>
      <c r="C70" s="5" t="s">
        <v>27</v>
      </c>
      <c r="D70" s="5" t="s">
        <v>385</v>
      </c>
      <c r="E70" s="5" t="s">
        <v>384</v>
      </c>
      <c r="F70" s="5" t="s">
        <v>91</v>
      </c>
      <c r="G70" s="5" t="s">
        <v>393</v>
      </c>
      <c r="H70" s="5" t="s">
        <v>92</v>
      </c>
      <c r="I70" s="5" t="s">
        <v>19</v>
      </c>
      <c r="J70" s="15">
        <v>1585</v>
      </c>
      <c r="K70" s="7">
        <v>66</v>
      </c>
      <c r="L70" s="7">
        <f t="shared" si="15"/>
        <v>24.015151515151516</v>
      </c>
      <c r="M70" s="5" t="s">
        <v>9</v>
      </c>
      <c r="N70" s="5">
        <v>4</v>
      </c>
      <c r="O70" s="6">
        <f t="shared" si="16"/>
        <v>0.57132068196166208</v>
      </c>
      <c r="P70" s="6">
        <f t="shared" si="17"/>
        <v>5.941735092401286E-2</v>
      </c>
      <c r="Q70" s="10">
        <f t="shared" si="18"/>
        <v>1.2378614775836012E-3</v>
      </c>
      <c r="R70" s="10">
        <f t="shared" si="19"/>
        <v>1.0448575464998765E-2</v>
      </c>
      <c r="S70" s="10">
        <f t="shared" si="20"/>
        <v>1.1686436942582366E-2</v>
      </c>
    </row>
    <row r="71" spans="1:19" x14ac:dyDescent="0.25">
      <c r="A71" s="5" t="s">
        <v>8</v>
      </c>
      <c r="B71" s="5" t="s">
        <v>308</v>
      </c>
      <c r="C71" s="5" t="s">
        <v>27</v>
      </c>
      <c r="D71" s="5" t="s">
        <v>385</v>
      </c>
      <c r="E71" s="5" t="s">
        <v>384</v>
      </c>
      <c r="F71" s="5" t="s">
        <v>91</v>
      </c>
      <c r="G71" s="5" t="s">
        <v>393</v>
      </c>
      <c r="H71" s="5" t="s">
        <v>92</v>
      </c>
      <c r="I71" s="5" t="s">
        <v>309</v>
      </c>
      <c r="J71" s="15">
        <v>1215</v>
      </c>
      <c r="K71" s="7">
        <v>41</v>
      </c>
      <c r="L71" s="7">
        <f t="shared" si="15"/>
        <v>29.634146341463413</v>
      </c>
      <c r="M71" s="5" t="s">
        <v>9</v>
      </c>
      <c r="N71" s="5">
        <v>4</v>
      </c>
      <c r="O71" s="6">
        <f t="shared" si="16"/>
        <v>0.66686993419095775</v>
      </c>
      <c r="P71" s="6">
        <f t="shared" si="17"/>
        <v>6.9354473155859603E-2</v>
      </c>
      <c r="Q71" s="10">
        <f t="shared" si="18"/>
        <v>1.4448848574137418E-3</v>
      </c>
      <c r="R71" s="10">
        <f t="shared" si="19"/>
        <v>1.1733510805087846E-2</v>
      </c>
      <c r="S71" s="10">
        <f t="shared" si="20"/>
        <v>1.3178395662501587E-2</v>
      </c>
    </row>
    <row r="72" spans="1:19" x14ac:dyDescent="0.25">
      <c r="A72" s="5" t="s">
        <v>22</v>
      </c>
      <c r="B72" s="5" t="s">
        <v>63</v>
      </c>
      <c r="C72" s="5" t="s">
        <v>27</v>
      </c>
      <c r="D72" s="5" t="s">
        <v>385</v>
      </c>
      <c r="E72" s="5" t="s">
        <v>384</v>
      </c>
      <c r="F72" s="5" t="s">
        <v>91</v>
      </c>
      <c r="G72" s="5" t="s">
        <v>393</v>
      </c>
      <c r="H72" s="5" t="s">
        <v>93</v>
      </c>
      <c r="I72" s="5" t="s">
        <v>94</v>
      </c>
      <c r="J72" s="15">
        <v>2400</v>
      </c>
      <c r="K72" s="7">
        <v>30</v>
      </c>
      <c r="L72" s="7">
        <f t="shared" si="15"/>
        <v>80</v>
      </c>
      <c r="M72" s="5" t="s">
        <v>9</v>
      </c>
      <c r="N72" s="5">
        <v>4</v>
      </c>
      <c r="O72" s="6">
        <f t="shared" si="16"/>
        <v>9.6</v>
      </c>
      <c r="P72" s="6">
        <f t="shared" si="17"/>
        <v>0.99839999999999995</v>
      </c>
      <c r="Q72" s="10">
        <f t="shared" si="18"/>
        <v>2.0799999999999999E-2</v>
      </c>
      <c r="R72" s="10">
        <f t="shared" si="19"/>
        <v>8.671626204879955E-2</v>
      </c>
      <c r="S72" s="10">
        <f t="shared" si="20"/>
        <v>0.10751626204879955</v>
      </c>
    </row>
    <row r="73" spans="1:19" x14ac:dyDescent="0.25">
      <c r="A73" s="5" t="s">
        <v>8</v>
      </c>
      <c r="B73" s="5" t="s">
        <v>336</v>
      </c>
      <c r="C73" s="5" t="s">
        <v>27</v>
      </c>
      <c r="D73" s="5" t="s">
        <v>385</v>
      </c>
      <c r="E73" s="5" t="s">
        <v>384</v>
      </c>
      <c r="F73" s="5" t="s">
        <v>91</v>
      </c>
      <c r="G73" s="5" t="s">
        <v>393</v>
      </c>
      <c r="H73" s="5" t="s">
        <v>93</v>
      </c>
      <c r="I73" s="5" t="s">
        <v>94</v>
      </c>
      <c r="J73" s="15">
        <v>2840</v>
      </c>
      <c r="K73" s="7">
        <v>30</v>
      </c>
      <c r="L73" s="7">
        <f t="shared" si="15"/>
        <v>94.666666666666671</v>
      </c>
      <c r="M73" s="5" t="s">
        <v>9</v>
      </c>
      <c r="N73" s="5">
        <v>4</v>
      </c>
      <c r="O73" s="6">
        <f t="shared" si="16"/>
        <v>15.907155555555557</v>
      </c>
      <c r="P73" s="6">
        <f t="shared" si="17"/>
        <v>1.6543441777777783</v>
      </c>
      <c r="Q73" s="10">
        <f t="shared" si="18"/>
        <v>3.4465503703703708E-2</v>
      </c>
      <c r="R73" s="10">
        <f t="shared" si="19"/>
        <v>0.12664601248462076</v>
      </c>
      <c r="S73" s="10">
        <f t="shared" si="20"/>
        <v>0.16111151618832448</v>
      </c>
    </row>
    <row r="74" spans="1:19" x14ac:dyDescent="0.25">
      <c r="A74" s="5" t="s">
        <v>8</v>
      </c>
      <c r="B74" s="5" t="s">
        <v>336</v>
      </c>
      <c r="C74" s="5" t="s">
        <v>27</v>
      </c>
      <c r="D74" s="5" t="s">
        <v>385</v>
      </c>
      <c r="E74" s="5" t="s">
        <v>384</v>
      </c>
      <c r="F74" s="5" t="s">
        <v>91</v>
      </c>
      <c r="G74" s="5" t="s">
        <v>393</v>
      </c>
      <c r="H74" s="5" t="s">
        <v>93</v>
      </c>
      <c r="I74" s="5" t="s">
        <v>338</v>
      </c>
      <c r="J74" s="15">
        <v>2620</v>
      </c>
      <c r="K74" s="7">
        <v>30.5</v>
      </c>
      <c r="L74" s="7">
        <f t="shared" si="15"/>
        <v>85.901639344262293</v>
      </c>
      <c r="M74" s="5" t="s">
        <v>9</v>
      </c>
      <c r="N74" s="5">
        <v>4</v>
      </c>
      <c r="O74" s="6">
        <f t="shared" si="16"/>
        <v>12.083262563826928</v>
      </c>
      <c r="P74" s="6">
        <f t="shared" si="17"/>
        <v>1.2566593066380003</v>
      </c>
      <c r="Q74" s="10">
        <f t="shared" si="18"/>
        <v>2.6180402221625012E-2</v>
      </c>
      <c r="R74" s="10">
        <f t="shared" si="19"/>
        <v>0.10304698364299147</v>
      </c>
      <c r="S74" s="10">
        <f t="shared" si="20"/>
        <v>0.12922738586461649</v>
      </c>
    </row>
    <row r="75" spans="1:19" x14ac:dyDescent="0.25">
      <c r="J75" s="16">
        <f>AVERAGE(J69:J74)</f>
        <v>2195</v>
      </c>
      <c r="K75" s="12">
        <f t="shared" ref="K75:S75" si="21">AVERAGE(K69:K74)</f>
        <v>39.81666666666667</v>
      </c>
      <c r="L75" s="12">
        <f t="shared" si="21"/>
        <v>62.47427053186923</v>
      </c>
      <c r="M75" s="11" t="e">
        <f t="shared" si="21"/>
        <v>#DIV/0!</v>
      </c>
      <c r="N75" s="11">
        <f t="shared" si="21"/>
        <v>4</v>
      </c>
      <c r="O75" s="13">
        <f t="shared" si="21"/>
        <v>7.4324920168652078</v>
      </c>
      <c r="P75" s="13">
        <f t="shared" si="21"/>
        <v>0.77297916975398151</v>
      </c>
      <c r="Q75" s="14">
        <f t="shared" si="21"/>
        <v>1.6103732703207949E-2</v>
      </c>
      <c r="R75" s="14">
        <f t="shared" si="21"/>
        <v>6.6292897321100261E-2</v>
      </c>
      <c r="S75" s="14">
        <f t="shared" si="21"/>
        <v>8.2396630024308207E-2</v>
      </c>
    </row>
    <row r="76" spans="1:19" x14ac:dyDescent="0.25">
      <c r="A76" s="5" t="s">
        <v>8</v>
      </c>
      <c r="B76" s="5" t="s">
        <v>165</v>
      </c>
      <c r="C76" s="5" t="s">
        <v>27</v>
      </c>
      <c r="D76" s="5" t="s">
        <v>385</v>
      </c>
      <c r="E76" s="5" t="s">
        <v>384</v>
      </c>
      <c r="F76" s="5" t="s">
        <v>30</v>
      </c>
      <c r="G76" s="5" t="s">
        <v>397</v>
      </c>
      <c r="H76" s="5" t="s">
        <v>36</v>
      </c>
      <c r="I76" s="5" t="s">
        <v>173</v>
      </c>
      <c r="J76" s="15">
        <v>3000</v>
      </c>
      <c r="K76" s="7">
        <v>21.5</v>
      </c>
      <c r="L76" s="7">
        <f t="shared" ref="L76:L106" si="22">J76/K76</f>
        <v>139.53488372093022</v>
      </c>
      <c r="M76" s="5" t="s">
        <v>9</v>
      </c>
      <c r="N76" s="5">
        <v>4</v>
      </c>
      <c r="O76" s="6">
        <f t="shared" ref="O76:O106" si="23">(J76*L76^2)/(1.6*10^6)</f>
        <v>36.50621957815035</v>
      </c>
      <c r="P76" s="6">
        <f t="shared" ref="P76:P106" si="24">(0.104*J76*L76^2)/(1.6*10^6)</f>
        <v>3.7966468361276364</v>
      </c>
      <c r="Q76" s="10">
        <f t="shared" ref="Q76:Q106" si="25">(0.104*O76)/(12*N76)</f>
        <v>7.9096809085992426E-2</v>
      </c>
      <c r="R76" s="10">
        <f t="shared" ref="R76:R106" si="26">0.0159*O76^0.75</f>
        <v>0.23614147442789565</v>
      </c>
      <c r="S76" s="10">
        <f t="shared" ref="S76:S106" si="27">Q76+R76</f>
        <v>0.31523828351388805</v>
      </c>
    </row>
    <row r="77" spans="1:19" x14ac:dyDescent="0.25">
      <c r="A77" s="5" t="s">
        <v>8</v>
      </c>
      <c r="B77" s="5" t="s">
        <v>165</v>
      </c>
      <c r="C77" s="5" t="s">
        <v>27</v>
      </c>
      <c r="D77" s="5" t="s">
        <v>385</v>
      </c>
      <c r="E77" s="5" t="s">
        <v>384</v>
      </c>
      <c r="F77" s="5" t="s">
        <v>30</v>
      </c>
      <c r="G77" s="5" t="s">
        <v>397</v>
      </c>
      <c r="H77" s="5" t="s">
        <v>36</v>
      </c>
      <c r="I77" s="5" t="s">
        <v>174</v>
      </c>
      <c r="J77" s="15">
        <v>4700</v>
      </c>
      <c r="K77" s="7">
        <v>37</v>
      </c>
      <c r="L77" s="7">
        <f t="shared" si="22"/>
        <v>127.02702702702703</v>
      </c>
      <c r="M77" s="5" t="s">
        <v>9</v>
      </c>
      <c r="N77" s="5">
        <v>4</v>
      </c>
      <c r="O77" s="6">
        <f t="shared" si="23"/>
        <v>47.399105186267356</v>
      </c>
      <c r="P77" s="6">
        <f t="shared" si="24"/>
        <v>4.9295069393718043</v>
      </c>
      <c r="Q77" s="10">
        <f t="shared" si="25"/>
        <v>0.10269806123691261</v>
      </c>
      <c r="R77" s="10">
        <f t="shared" si="26"/>
        <v>0.28722664908804313</v>
      </c>
      <c r="S77" s="10">
        <f t="shared" si="27"/>
        <v>0.38992471032495574</v>
      </c>
    </row>
    <row r="78" spans="1:19" x14ac:dyDescent="0.25">
      <c r="A78" s="5" t="s">
        <v>22</v>
      </c>
      <c r="B78" s="5" t="s">
        <v>26</v>
      </c>
      <c r="C78" s="5" t="s">
        <v>27</v>
      </c>
      <c r="D78" s="5" t="s">
        <v>385</v>
      </c>
      <c r="E78" s="5" t="s">
        <v>384</v>
      </c>
      <c r="F78" s="5" t="s">
        <v>30</v>
      </c>
      <c r="G78" s="5" t="s">
        <v>397</v>
      </c>
      <c r="H78" s="5" t="s">
        <v>36</v>
      </c>
      <c r="I78" s="5" t="s">
        <v>18</v>
      </c>
      <c r="J78" s="15">
        <v>1850</v>
      </c>
      <c r="K78" s="7">
        <v>29</v>
      </c>
      <c r="L78" s="7">
        <f t="shared" si="22"/>
        <v>63.793103448275865</v>
      </c>
      <c r="M78" s="5" t="s">
        <v>9</v>
      </c>
      <c r="N78" s="5">
        <v>4</v>
      </c>
      <c r="O78" s="6">
        <f t="shared" si="23"/>
        <v>4.7054288049940549</v>
      </c>
      <c r="P78" s="6">
        <f t="shared" si="24"/>
        <v>0.48936459571938168</v>
      </c>
      <c r="Q78" s="10">
        <f t="shared" si="25"/>
        <v>1.0195095744153785E-2</v>
      </c>
      <c r="R78" s="10">
        <f t="shared" si="26"/>
        <v>5.0797990133562676E-2</v>
      </c>
      <c r="S78" s="10">
        <f t="shared" si="27"/>
        <v>6.0993085877716458E-2</v>
      </c>
    </row>
    <row r="79" spans="1:19" x14ac:dyDescent="0.25">
      <c r="A79" s="5" t="s">
        <v>8</v>
      </c>
      <c r="B79" s="5" t="s">
        <v>165</v>
      </c>
      <c r="C79" s="5" t="s">
        <v>27</v>
      </c>
      <c r="D79" s="5" t="s">
        <v>385</v>
      </c>
      <c r="E79" s="5" t="s">
        <v>384</v>
      </c>
      <c r="F79" s="5" t="s">
        <v>30</v>
      </c>
      <c r="G79" s="5" t="s">
        <v>397</v>
      </c>
      <c r="H79" s="5" t="s">
        <v>36</v>
      </c>
      <c r="I79" s="5" t="s">
        <v>18</v>
      </c>
      <c r="J79" s="15">
        <v>1600</v>
      </c>
      <c r="K79" s="7">
        <v>29</v>
      </c>
      <c r="L79" s="7">
        <f t="shared" si="22"/>
        <v>55.172413793103445</v>
      </c>
      <c r="M79" s="5" t="s">
        <v>9</v>
      </c>
      <c r="N79" s="5">
        <v>4</v>
      </c>
      <c r="O79" s="6">
        <f t="shared" si="23"/>
        <v>3.0439952437574314</v>
      </c>
      <c r="P79" s="6">
        <f t="shared" si="24"/>
        <v>0.31657550535077283</v>
      </c>
      <c r="Q79" s="10">
        <f t="shared" si="25"/>
        <v>6.5953230281411007E-3</v>
      </c>
      <c r="R79" s="10">
        <f t="shared" si="26"/>
        <v>3.6642078556231465E-2</v>
      </c>
      <c r="S79" s="10">
        <f t="shared" si="27"/>
        <v>4.3237401584372566E-2</v>
      </c>
    </row>
    <row r="80" spans="1:19" x14ac:dyDescent="0.25">
      <c r="A80" s="5" t="s">
        <v>8</v>
      </c>
      <c r="B80" s="5" t="s">
        <v>165</v>
      </c>
      <c r="C80" s="5" t="s">
        <v>27</v>
      </c>
      <c r="D80" s="5" t="s">
        <v>385</v>
      </c>
      <c r="E80" s="5" t="s">
        <v>384</v>
      </c>
      <c r="F80" s="5" t="s">
        <v>30</v>
      </c>
      <c r="G80" s="5" t="s">
        <v>397</v>
      </c>
      <c r="H80" s="5" t="s">
        <v>36</v>
      </c>
      <c r="I80" s="5" t="s">
        <v>180</v>
      </c>
      <c r="J80" s="15">
        <v>3850</v>
      </c>
      <c r="K80" s="7">
        <v>31</v>
      </c>
      <c r="L80" s="7">
        <f t="shared" si="22"/>
        <v>124.19354838709677</v>
      </c>
      <c r="M80" s="5" t="s">
        <v>9</v>
      </c>
      <c r="N80" s="5">
        <v>4</v>
      </c>
      <c r="O80" s="6">
        <f t="shared" si="23"/>
        <v>37.114090140478666</v>
      </c>
      <c r="P80" s="6">
        <f t="shared" si="24"/>
        <v>3.8598653746097806</v>
      </c>
      <c r="Q80" s="10">
        <f t="shared" si="25"/>
        <v>8.0413861971037101E-2</v>
      </c>
      <c r="R80" s="10">
        <f t="shared" si="26"/>
        <v>0.23908439899747766</v>
      </c>
      <c r="S80" s="10">
        <f t="shared" si="27"/>
        <v>0.31949826096851475</v>
      </c>
    </row>
    <row r="81" spans="1:19" x14ac:dyDescent="0.25">
      <c r="A81" s="5" t="s">
        <v>8</v>
      </c>
      <c r="B81" s="5" t="s">
        <v>165</v>
      </c>
      <c r="C81" s="5" t="s">
        <v>27</v>
      </c>
      <c r="D81" s="5" t="s">
        <v>385</v>
      </c>
      <c r="E81" s="5" t="s">
        <v>384</v>
      </c>
      <c r="F81" s="5" t="s">
        <v>30</v>
      </c>
      <c r="G81" s="5" t="s">
        <v>397</v>
      </c>
      <c r="H81" s="5" t="s">
        <v>36</v>
      </c>
      <c r="I81" s="5" t="s">
        <v>71</v>
      </c>
      <c r="J81" s="15">
        <v>2850</v>
      </c>
      <c r="K81" s="7">
        <v>31.5</v>
      </c>
      <c r="L81" s="7">
        <f t="shared" si="22"/>
        <v>90.476190476190482</v>
      </c>
      <c r="M81" s="5" t="s">
        <v>9</v>
      </c>
      <c r="N81" s="5">
        <v>4</v>
      </c>
      <c r="O81" s="6">
        <f t="shared" si="23"/>
        <v>14.5812074829932</v>
      </c>
      <c r="P81" s="6">
        <f t="shared" si="24"/>
        <v>1.5164455782312927</v>
      </c>
      <c r="Q81" s="10">
        <f t="shared" si="25"/>
        <v>3.1592616213151931E-2</v>
      </c>
      <c r="R81" s="10">
        <f t="shared" si="26"/>
        <v>0.11864303331746644</v>
      </c>
      <c r="S81" s="10">
        <f t="shared" si="27"/>
        <v>0.15023564953061835</v>
      </c>
    </row>
    <row r="82" spans="1:19" x14ac:dyDescent="0.25">
      <c r="A82" s="5" t="s">
        <v>22</v>
      </c>
      <c r="B82" s="5" t="s">
        <v>26</v>
      </c>
      <c r="C82" s="5" t="s">
        <v>27</v>
      </c>
      <c r="D82" s="5" t="s">
        <v>385</v>
      </c>
      <c r="E82" s="5" t="s">
        <v>384</v>
      </c>
      <c r="F82" s="5" t="s">
        <v>30</v>
      </c>
      <c r="G82" s="5" t="s">
        <v>397</v>
      </c>
      <c r="H82" s="5" t="s">
        <v>36</v>
      </c>
      <c r="I82" s="5" t="s">
        <v>37</v>
      </c>
      <c r="J82" s="15">
        <v>3100</v>
      </c>
      <c r="K82" s="7">
        <v>36</v>
      </c>
      <c r="L82" s="7">
        <f t="shared" si="22"/>
        <v>86.111111111111114</v>
      </c>
      <c r="M82" s="5" t="s">
        <v>9</v>
      </c>
      <c r="N82" s="5">
        <v>4</v>
      </c>
      <c r="O82" s="6">
        <f t="shared" si="23"/>
        <v>14.366801697530866</v>
      </c>
      <c r="P82" s="6">
        <f t="shared" si="24"/>
        <v>1.4941473765432098</v>
      </c>
      <c r="Q82" s="10">
        <f t="shared" si="25"/>
        <v>3.1128070344650208E-2</v>
      </c>
      <c r="R82" s="10">
        <f t="shared" si="26"/>
        <v>0.11733219553044927</v>
      </c>
      <c r="S82" s="10">
        <f t="shared" si="27"/>
        <v>0.14846026587509947</v>
      </c>
    </row>
    <row r="83" spans="1:19" x14ac:dyDescent="0.25">
      <c r="A83" s="5" t="s">
        <v>8</v>
      </c>
      <c r="B83" s="5" t="s">
        <v>165</v>
      </c>
      <c r="C83" s="5" t="s">
        <v>27</v>
      </c>
      <c r="D83" s="5" t="s">
        <v>385</v>
      </c>
      <c r="E83" s="5" t="s">
        <v>384</v>
      </c>
      <c r="F83" s="5" t="s">
        <v>30</v>
      </c>
      <c r="G83" s="5" t="s">
        <v>397</v>
      </c>
      <c r="H83" s="5" t="s">
        <v>36</v>
      </c>
      <c r="I83" s="5" t="s">
        <v>37</v>
      </c>
      <c r="J83" s="15">
        <v>3000</v>
      </c>
      <c r="K83" s="7">
        <v>34</v>
      </c>
      <c r="L83" s="7">
        <f t="shared" si="22"/>
        <v>88.235294117647058</v>
      </c>
      <c r="M83" s="5" t="s">
        <v>9</v>
      </c>
      <c r="N83" s="5">
        <v>4</v>
      </c>
      <c r="O83" s="6">
        <f t="shared" si="23"/>
        <v>14.597750865051902</v>
      </c>
      <c r="P83" s="6">
        <f t="shared" si="24"/>
        <v>1.5181660899653979</v>
      </c>
      <c r="Q83" s="10">
        <f t="shared" si="25"/>
        <v>3.1628460207612452E-2</v>
      </c>
      <c r="R83" s="10">
        <f t="shared" si="26"/>
        <v>0.11874397551321185</v>
      </c>
      <c r="S83" s="10">
        <f t="shared" si="27"/>
        <v>0.15037243572082432</v>
      </c>
    </row>
    <row r="84" spans="1:19" x14ac:dyDescent="0.25">
      <c r="A84" s="5" t="s">
        <v>8</v>
      </c>
      <c r="B84" s="5" t="s">
        <v>165</v>
      </c>
      <c r="C84" s="5" t="s">
        <v>27</v>
      </c>
      <c r="D84" s="5" t="s">
        <v>385</v>
      </c>
      <c r="E84" s="5" t="s">
        <v>384</v>
      </c>
      <c r="F84" s="5" t="s">
        <v>30</v>
      </c>
      <c r="G84" s="5" t="s">
        <v>397</v>
      </c>
      <c r="H84" s="5" t="s">
        <v>36</v>
      </c>
      <c r="I84" s="5" t="s">
        <v>182</v>
      </c>
      <c r="J84" s="15">
        <v>1450</v>
      </c>
      <c r="K84" s="7">
        <v>32</v>
      </c>
      <c r="L84" s="7">
        <f t="shared" si="22"/>
        <v>45.3125</v>
      </c>
      <c r="M84" s="5" t="s">
        <v>9</v>
      </c>
      <c r="N84" s="5">
        <v>4</v>
      </c>
      <c r="O84" s="6">
        <f t="shared" si="23"/>
        <v>1.8607330322265625</v>
      </c>
      <c r="P84" s="6">
        <f t="shared" si="24"/>
        <v>0.19351623535156245</v>
      </c>
      <c r="Q84" s="10">
        <f t="shared" si="25"/>
        <v>4.031588236490885E-3</v>
      </c>
      <c r="R84" s="10">
        <f t="shared" si="26"/>
        <v>2.5331457284123761E-2</v>
      </c>
      <c r="S84" s="10">
        <f t="shared" si="27"/>
        <v>2.9363045520614646E-2</v>
      </c>
    </row>
    <row r="85" spans="1:19" x14ac:dyDescent="0.25">
      <c r="A85" s="5" t="s">
        <v>8</v>
      </c>
      <c r="B85" s="5" t="s">
        <v>165</v>
      </c>
      <c r="C85" s="5" t="s">
        <v>27</v>
      </c>
      <c r="D85" s="5" t="s">
        <v>385</v>
      </c>
      <c r="E85" s="5" t="s">
        <v>384</v>
      </c>
      <c r="F85" s="5" t="s">
        <v>30</v>
      </c>
      <c r="G85" s="5" t="s">
        <v>397</v>
      </c>
      <c r="H85" s="5" t="s">
        <v>36</v>
      </c>
      <c r="I85" s="5" t="s">
        <v>184</v>
      </c>
      <c r="J85" s="15">
        <v>5250</v>
      </c>
      <c r="K85" s="7">
        <v>42.5</v>
      </c>
      <c r="L85" s="7">
        <f t="shared" si="22"/>
        <v>123.52941176470588</v>
      </c>
      <c r="M85" s="5" t="s">
        <v>9</v>
      </c>
      <c r="N85" s="5">
        <v>4</v>
      </c>
      <c r="O85" s="6">
        <f t="shared" si="23"/>
        <v>50.070285467128031</v>
      </c>
      <c r="P85" s="6">
        <f t="shared" si="24"/>
        <v>5.207309688581315</v>
      </c>
      <c r="Q85" s="10">
        <f t="shared" si="25"/>
        <v>0.10848561851211073</v>
      </c>
      <c r="R85" s="10">
        <f t="shared" si="26"/>
        <v>0.29928308707445306</v>
      </c>
      <c r="S85" s="10">
        <f t="shared" si="27"/>
        <v>0.40776870558656381</v>
      </c>
    </row>
    <row r="86" spans="1:19" x14ac:dyDescent="0.25">
      <c r="A86" s="5" t="s">
        <v>8</v>
      </c>
      <c r="B86" s="5" t="s">
        <v>165</v>
      </c>
      <c r="C86" s="5" t="s">
        <v>27</v>
      </c>
      <c r="D86" s="5" t="s">
        <v>385</v>
      </c>
      <c r="E86" s="5" t="s">
        <v>384</v>
      </c>
      <c r="F86" s="5" t="s">
        <v>30</v>
      </c>
      <c r="G86" s="5" t="s">
        <v>397</v>
      </c>
      <c r="H86" s="5" t="s">
        <v>36</v>
      </c>
      <c r="I86" s="5" t="s">
        <v>185</v>
      </c>
      <c r="J86" s="15">
        <v>3800</v>
      </c>
      <c r="K86" s="7">
        <v>19.5</v>
      </c>
      <c r="L86" s="7">
        <f t="shared" si="22"/>
        <v>194.87179487179486</v>
      </c>
      <c r="M86" s="5" t="s">
        <v>9</v>
      </c>
      <c r="N86" s="5">
        <v>4</v>
      </c>
      <c r="O86" s="6">
        <f t="shared" si="23"/>
        <v>90.190664036817864</v>
      </c>
      <c r="P86" s="6">
        <f t="shared" si="24"/>
        <v>9.3798290598290581</v>
      </c>
      <c r="Q86" s="10">
        <f t="shared" si="25"/>
        <v>0.19541310541310539</v>
      </c>
      <c r="R86" s="10">
        <f t="shared" si="26"/>
        <v>0.4653377789945094</v>
      </c>
      <c r="S86" s="10">
        <f t="shared" si="27"/>
        <v>0.66075088440761476</v>
      </c>
    </row>
    <row r="87" spans="1:19" x14ac:dyDescent="0.25">
      <c r="A87" s="5" t="s">
        <v>22</v>
      </c>
      <c r="B87" s="5" t="s">
        <v>26</v>
      </c>
      <c r="C87" s="5" t="s">
        <v>27</v>
      </c>
      <c r="D87" s="5" t="s">
        <v>385</v>
      </c>
      <c r="E87" s="5" t="s">
        <v>384</v>
      </c>
      <c r="F87" s="5" t="s">
        <v>30</v>
      </c>
      <c r="G87" s="5" t="s">
        <v>397</v>
      </c>
      <c r="H87" s="5" t="s">
        <v>36</v>
      </c>
      <c r="I87" s="5" t="s">
        <v>39</v>
      </c>
      <c r="J87" s="15">
        <v>1950</v>
      </c>
      <c r="K87" s="7">
        <v>38.5</v>
      </c>
      <c r="L87" s="7">
        <f t="shared" si="22"/>
        <v>50.649350649350652</v>
      </c>
      <c r="M87" s="5" t="s">
        <v>9</v>
      </c>
      <c r="N87" s="5">
        <v>4</v>
      </c>
      <c r="O87" s="6">
        <f t="shared" si="23"/>
        <v>3.1265285039635695</v>
      </c>
      <c r="P87" s="6">
        <f t="shared" si="24"/>
        <v>0.3251589644122112</v>
      </c>
      <c r="Q87" s="10">
        <f t="shared" si="25"/>
        <v>6.7741450919210668E-3</v>
      </c>
      <c r="R87" s="10">
        <f t="shared" si="26"/>
        <v>3.7384701610242169E-2</v>
      </c>
      <c r="S87" s="10">
        <f t="shared" si="27"/>
        <v>4.4158846702163232E-2</v>
      </c>
    </row>
    <row r="88" spans="1:19" x14ac:dyDescent="0.25">
      <c r="A88" s="5" t="s">
        <v>22</v>
      </c>
      <c r="B88" s="5" t="s">
        <v>63</v>
      </c>
      <c r="C88" s="5" t="s">
        <v>27</v>
      </c>
      <c r="D88" s="5" t="s">
        <v>385</v>
      </c>
      <c r="E88" s="5" t="s">
        <v>384</v>
      </c>
      <c r="F88" s="5" t="s">
        <v>30</v>
      </c>
      <c r="G88" s="5" t="s">
        <v>397</v>
      </c>
      <c r="H88" s="5" t="s">
        <v>36</v>
      </c>
      <c r="I88" s="5" t="s">
        <v>39</v>
      </c>
      <c r="J88" s="15">
        <v>1950</v>
      </c>
      <c r="K88" s="7">
        <v>38.5</v>
      </c>
      <c r="L88" s="7">
        <f t="shared" si="22"/>
        <v>50.649350649350652</v>
      </c>
      <c r="M88" s="5" t="s">
        <v>9</v>
      </c>
      <c r="N88" s="5">
        <v>4</v>
      </c>
      <c r="O88" s="6">
        <f t="shared" si="23"/>
        <v>3.1265285039635695</v>
      </c>
      <c r="P88" s="6">
        <f t="shared" si="24"/>
        <v>0.3251589644122112</v>
      </c>
      <c r="Q88" s="10">
        <f t="shared" si="25"/>
        <v>6.7741450919210668E-3</v>
      </c>
      <c r="R88" s="10">
        <f t="shared" si="26"/>
        <v>3.7384701610242169E-2</v>
      </c>
      <c r="S88" s="10">
        <f t="shared" si="27"/>
        <v>4.4158846702163232E-2</v>
      </c>
    </row>
    <row r="89" spans="1:19" x14ac:dyDescent="0.25">
      <c r="A89" s="5" t="s">
        <v>8</v>
      </c>
      <c r="B89" s="5" t="s">
        <v>165</v>
      </c>
      <c r="C89" s="5" t="s">
        <v>27</v>
      </c>
      <c r="D89" s="5" t="s">
        <v>385</v>
      </c>
      <c r="E89" s="5" t="s">
        <v>384</v>
      </c>
      <c r="F89" s="5" t="s">
        <v>30</v>
      </c>
      <c r="G89" s="5" t="s">
        <v>397</v>
      </c>
      <c r="H89" s="5" t="s">
        <v>36</v>
      </c>
      <c r="I89" s="5" t="s">
        <v>39</v>
      </c>
      <c r="J89" s="15">
        <v>1800</v>
      </c>
      <c r="K89" s="7">
        <v>38</v>
      </c>
      <c r="L89" s="7">
        <f t="shared" si="22"/>
        <v>47.368421052631582</v>
      </c>
      <c r="M89" s="5" t="s">
        <v>9</v>
      </c>
      <c r="N89" s="5">
        <v>4</v>
      </c>
      <c r="O89" s="6">
        <f t="shared" si="23"/>
        <v>2.5242382271468147</v>
      </c>
      <c r="P89" s="6">
        <f t="shared" si="24"/>
        <v>0.2625207756232687</v>
      </c>
      <c r="Q89" s="10">
        <f t="shared" si="25"/>
        <v>5.4691828254847643E-3</v>
      </c>
      <c r="R89" s="10">
        <f t="shared" si="26"/>
        <v>3.1841599745227871E-2</v>
      </c>
      <c r="S89" s="10">
        <f t="shared" si="27"/>
        <v>3.7310782570712638E-2</v>
      </c>
    </row>
    <row r="90" spans="1:19" x14ac:dyDescent="0.25">
      <c r="A90" s="5" t="s">
        <v>8</v>
      </c>
      <c r="B90" s="5" t="s">
        <v>165</v>
      </c>
      <c r="C90" s="5" t="s">
        <v>27</v>
      </c>
      <c r="D90" s="5" t="s">
        <v>385</v>
      </c>
      <c r="E90" s="5" t="s">
        <v>384</v>
      </c>
      <c r="F90" s="5" t="s">
        <v>30</v>
      </c>
      <c r="G90" s="5" t="s">
        <v>397</v>
      </c>
      <c r="H90" s="5" t="s">
        <v>36</v>
      </c>
      <c r="I90" s="5" t="s">
        <v>39</v>
      </c>
      <c r="J90" s="15">
        <v>1850</v>
      </c>
      <c r="K90" s="7">
        <v>38.5</v>
      </c>
      <c r="L90" s="7">
        <f t="shared" si="22"/>
        <v>48.051948051948052</v>
      </c>
      <c r="M90" s="5" t="s">
        <v>9</v>
      </c>
      <c r="N90" s="5">
        <v>4</v>
      </c>
      <c r="O90" s="6">
        <f t="shared" si="23"/>
        <v>2.6697693540226006</v>
      </c>
      <c r="P90" s="6">
        <f t="shared" si="24"/>
        <v>0.27765601281835045</v>
      </c>
      <c r="Q90" s="10">
        <f t="shared" si="25"/>
        <v>5.7845002670489677E-3</v>
      </c>
      <c r="R90" s="10">
        <f t="shared" si="26"/>
        <v>3.3208742598630749E-2</v>
      </c>
      <c r="S90" s="10">
        <f t="shared" si="27"/>
        <v>3.899324286567972E-2</v>
      </c>
    </row>
    <row r="91" spans="1:19" x14ac:dyDescent="0.25">
      <c r="A91" s="5" t="s">
        <v>8</v>
      </c>
      <c r="B91" s="5" t="s">
        <v>165</v>
      </c>
      <c r="C91" s="5" t="s">
        <v>27</v>
      </c>
      <c r="D91" s="5" t="s">
        <v>385</v>
      </c>
      <c r="E91" s="5" t="s">
        <v>384</v>
      </c>
      <c r="F91" s="5" t="s">
        <v>30</v>
      </c>
      <c r="G91" s="5" t="s">
        <v>397</v>
      </c>
      <c r="H91" s="5" t="s">
        <v>36</v>
      </c>
      <c r="I91" s="5" t="s">
        <v>186</v>
      </c>
      <c r="J91" s="15">
        <v>1250</v>
      </c>
      <c r="K91" s="7">
        <v>34</v>
      </c>
      <c r="L91" s="7">
        <f t="shared" si="22"/>
        <v>36.764705882352942</v>
      </c>
      <c r="M91" s="5" t="s">
        <v>9</v>
      </c>
      <c r="N91" s="5">
        <v>4</v>
      </c>
      <c r="O91" s="6">
        <f t="shared" si="23"/>
        <v>1.0559715614186851</v>
      </c>
      <c r="P91" s="6">
        <f t="shared" si="24"/>
        <v>0.10982104238754326</v>
      </c>
      <c r="Q91" s="10">
        <f t="shared" si="25"/>
        <v>2.2879383830738177E-3</v>
      </c>
      <c r="R91" s="10">
        <f t="shared" si="26"/>
        <v>1.65628966155872E-2</v>
      </c>
      <c r="S91" s="10">
        <f t="shared" si="27"/>
        <v>1.8850834998661019E-2</v>
      </c>
    </row>
    <row r="92" spans="1:19" x14ac:dyDescent="0.25">
      <c r="A92" s="5" t="s">
        <v>8</v>
      </c>
      <c r="B92" s="5" t="s">
        <v>220</v>
      </c>
      <c r="C92" s="5" t="s">
        <v>27</v>
      </c>
      <c r="D92" s="5" t="s">
        <v>385</v>
      </c>
      <c r="E92" s="5" t="s">
        <v>384</v>
      </c>
      <c r="F92" s="5" t="s">
        <v>30</v>
      </c>
      <c r="G92" s="5" t="s">
        <v>397</v>
      </c>
      <c r="H92" s="5" t="s">
        <v>64</v>
      </c>
      <c r="I92" s="5" t="s">
        <v>221</v>
      </c>
      <c r="J92" s="15">
        <v>4675</v>
      </c>
      <c r="K92" s="7">
        <v>30</v>
      </c>
      <c r="L92" s="7">
        <f t="shared" si="22"/>
        <v>155.83333333333334</v>
      </c>
      <c r="M92" s="5" t="s">
        <v>9</v>
      </c>
      <c r="N92" s="5">
        <v>4</v>
      </c>
      <c r="O92" s="6">
        <f t="shared" si="23"/>
        <v>70.954893663194454</v>
      </c>
      <c r="P92" s="6">
        <f t="shared" si="24"/>
        <v>7.3793089409722228</v>
      </c>
      <c r="Q92" s="10">
        <f t="shared" si="25"/>
        <v>0.15373560293692132</v>
      </c>
      <c r="R92" s="10">
        <f t="shared" si="26"/>
        <v>0.38871731788170716</v>
      </c>
      <c r="S92" s="10">
        <f t="shared" si="27"/>
        <v>0.5424529208186285</v>
      </c>
    </row>
    <row r="93" spans="1:19" x14ac:dyDescent="0.25">
      <c r="A93" s="5" t="s">
        <v>8</v>
      </c>
      <c r="B93" s="5" t="s">
        <v>220</v>
      </c>
      <c r="C93" s="5" t="s">
        <v>27</v>
      </c>
      <c r="D93" s="5" t="s">
        <v>385</v>
      </c>
      <c r="E93" s="5" t="s">
        <v>384</v>
      </c>
      <c r="F93" s="5" t="s">
        <v>30</v>
      </c>
      <c r="G93" s="5" t="s">
        <v>397</v>
      </c>
      <c r="H93" s="5" t="s">
        <v>64</v>
      </c>
      <c r="I93" s="5" t="s">
        <v>222</v>
      </c>
      <c r="J93" s="15">
        <v>7318</v>
      </c>
      <c r="K93" s="7">
        <v>42</v>
      </c>
      <c r="L93" s="7">
        <f t="shared" si="22"/>
        <v>174.23809523809524</v>
      </c>
      <c r="M93" s="5" t="s">
        <v>9</v>
      </c>
      <c r="N93" s="5">
        <v>4</v>
      </c>
      <c r="O93" s="6">
        <f t="shared" si="23"/>
        <v>138.85408214002268</v>
      </c>
      <c r="P93" s="6">
        <f t="shared" si="24"/>
        <v>14.440824542562359</v>
      </c>
      <c r="Q93" s="10">
        <f t="shared" si="25"/>
        <v>0.30085051130338247</v>
      </c>
      <c r="R93" s="10">
        <f t="shared" si="26"/>
        <v>0.64315568574253767</v>
      </c>
      <c r="S93" s="10">
        <f t="shared" si="27"/>
        <v>0.94400619704592015</v>
      </c>
    </row>
    <row r="94" spans="1:19" x14ac:dyDescent="0.25">
      <c r="A94" s="5" t="s">
        <v>8</v>
      </c>
      <c r="B94" s="5" t="s">
        <v>220</v>
      </c>
      <c r="C94" s="5" t="s">
        <v>27</v>
      </c>
      <c r="D94" s="5" t="s">
        <v>385</v>
      </c>
      <c r="E94" s="5" t="s">
        <v>384</v>
      </c>
      <c r="F94" s="5" t="s">
        <v>30</v>
      </c>
      <c r="G94" s="5" t="s">
        <v>397</v>
      </c>
      <c r="H94" s="5" t="s">
        <v>64</v>
      </c>
      <c r="I94" s="5" t="s">
        <v>222</v>
      </c>
      <c r="J94" s="15">
        <v>7175</v>
      </c>
      <c r="K94" s="7">
        <v>38</v>
      </c>
      <c r="L94" s="7">
        <f t="shared" si="22"/>
        <v>188.81578947368422</v>
      </c>
      <c r="M94" s="5" t="s">
        <v>9</v>
      </c>
      <c r="N94" s="5">
        <v>4</v>
      </c>
      <c r="O94" s="6">
        <f t="shared" si="23"/>
        <v>159.87425743377773</v>
      </c>
      <c r="P94" s="6">
        <f t="shared" si="24"/>
        <v>16.626922773112884</v>
      </c>
      <c r="Q94" s="10">
        <f t="shared" si="25"/>
        <v>0.34639422443985174</v>
      </c>
      <c r="R94" s="10">
        <f t="shared" si="26"/>
        <v>0.71487651439725008</v>
      </c>
      <c r="S94" s="10">
        <f t="shared" si="27"/>
        <v>1.0612707388371019</v>
      </c>
    </row>
    <row r="95" spans="1:19" x14ac:dyDescent="0.25">
      <c r="A95" s="5" t="s">
        <v>8</v>
      </c>
      <c r="B95" s="5" t="s">
        <v>220</v>
      </c>
      <c r="C95" s="5" t="s">
        <v>27</v>
      </c>
      <c r="D95" s="5" t="s">
        <v>385</v>
      </c>
      <c r="E95" s="5" t="s">
        <v>384</v>
      </c>
      <c r="F95" s="5" t="s">
        <v>30</v>
      </c>
      <c r="G95" s="5" t="s">
        <v>397</v>
      </c>
      <c r="H95" s="5" t="s">
        <v>64</v>
      </c>
      <c r="I95" s="5" t="s">
        <v>223</v>
      </c>
      <c r="J95" s="15">
        <v>2448</v>
      </c>
      <c r="K95" s="7">
        <v>17</v>
      </c>
      <c r="L95" s="7">
        <f t="shared" si="22"/>
        <v>144</v>
      </c>
      <c r="M95" s="5" t="s">
        <v>9</v>
      </c>
      <c r="N95" s="5">
        <v>4</v>
      </c>
      <c r="O95" s="6">
        <f t="shared" si="23"/>
        <v>31.72608</v>
      </c>
      <c r="P95" s="6">
        <f t="shared" si="24"/>
        <v>3.2995123199999994</v>
      </c>
      <c r="Q95" s="10">
        <f t="shared" si="25"/>
        <v>6.8739839999999997E-2</v>
      </c>
      <c r="R95" s="10">
        <f t="shared" si="26"/>
        <v>0.21254918085556765</v>
      </c>
      <c r="S95" s="10">
        <f t="shared" si="27"/>
        <v>0.28128902085556762</v>
      </c>
    </row>
    <row r="96" spans="1:19" x14ac:dyDescent="0.25">
      <c r="A96" s="5" t="s">
        <v>22</v>
      </c>
      <c r="B96" s="5" t="s">
        <v>26</v>
      </c>
      <c r="C96" s="5" t="s">
        <v>27</v>
      </c>
      <c r="D96" s="5" t="s">
        <v>385</v>
      </c>
      <c r="E96" s="5" t="s">
        <v>384</v>
      </c>
      <c r="F96" s="5" t="s">
        <v>30</v>
      </c>
      <c r="G96" s="5" t="s">
        <v>392</v>
      </c>
      <c r="H96" s="5" t="s">
        <v>31</v>
      </c>
      <c r="I96" s="5" t="s">
        <v>33</v>
      </c>
      <c r="J96" s="15">
        <v>1250</v>
      </c>
      <c r="K96" s="7">
        <v>25</v>
      </c>
      <c r="L96" s="7">
        <f t="shared" si="22"/>
        <v>50</v>
      </c>
      <c r="M96" s="5" t="s">
        <v>9</v>
      </c>
      <c r="N96" s="5">
        <v>4</v>
      </c>
      <c r="O96" s="6">
        <f t="shared" si="23"/>
        <v>1.953125</v>
      </c>
      <c r="P96" s="6">
        <f t="shared" si="24"/>
        <v>0.203125</v>
      </c>
      <c r="Q96" s="10">
        <f t="shared" si="25"/>
        <v>4.231770833333333E-3</v>
      </c>
      <c r="R96" s="10">
        <f t="shared" si="26"/>
        <v>2.6269067326101514E-2</v>
      </c>
      <c r="S96" s="10">
        <f t="shared" si="27"/>
        <v>3.0500838159434846E-2</v>
      </c>
    </row>
    <row r="97" spans="1:19" x14ac:dyDescent="0.25">
      <c r="A97" s="5" t="s">
        <v>22</v>
      </c>
      <c r="B97" s="5" t="s">
        <v>63</v>
      </c>
      <c r="C97" s="5" t="s">
        <v>27</v>
      </c>
      <c r="D97" s="5" t="s">
        <v>385</v>
      </c>
      <c r="E97" s="5" t="s">
        <v>384</v>
      </c>
      <c r="F97" s="5" t="s">
        <v>30</v>
      </c>
      <c r="G97" s="5" t="s">
        <v>392</v>
      </c>
      <c r="H97" s="5" t="s">
        <v>31</v>
      </c>
      <c r="I97" s="5" t="s">
        <v>33</v>
      </c>
      <c r="J97" s="15">
        <v>1050</v>
      </c>
      <c r="K97" s="7">
        <v>24.5</v>
      </c>
      <c r="L97" s="7">
        <f t="shared" si="22"/>
        <v>42.857142857142854</v>
      </c>
      <c r="M97" s="5" t="s">
        <v>9</v>
      </c>
      <c r="N97" s="5">
        <v>4</v>
      </c>
      <c r="O97" s="6">
        <f t="shared" si="23"/>
        <v>1.2053571428571428</v>
      </c>
      <c r="P97" s="6">
        <f t="shared" si="24"/>
        <v>0.12535714285714283</v>
      </c>
      <c r="Q97" s="10">
        <f t="shared" si="25"/>
        <v>2.6116071428571425E-3</v>
      </c>
      <c r="R97" s="10">
        <f t="shared" si="26"/>
        <v>1.8290851916478671E-2</v>
      </c>
      <c r="S97" s="10">
        <f t="shared" si="27"/>
        <v>2.0902459059335812E-2</v>
      </c>
    </row>
    <row r="98" spans="1:19" x14ac:dyDescent="0.25">
      <c r="A98" s="5" t="s">
        <v>8</v>
      </c>
      <c r="B98" s="5" t="s">
        <v>287</v>
      </c>
      <c r="C98" s="5" t="s">
        <v>27</v>
      </c>
      <c r="D98" s="5" t="s">
        <v>385</v>
      </c>
      <c r="E98" s="5" t="s">
        <v>384</v>
      </c>
      <c r="F98" s="5" t="s">
        <v>30</v>
      </c>
      <c r="G98" s="5" t="s">
        <v>392</v>
      </c>
      <c r="H98" s="5" t="s">
        <v>31</v>
      </c>
      <c r="I98" s="5" t="s">
        <v>33</v>
      </c>
      <c r="J98" s="15">
        <v>1000</v>
      </c>
      <c r="K98" s="7">
        <v>26.5</v>
      </c>
      <c r="L98" s="7">
        <f t="shared" si="22"/>
        <v>37.735849056603776</v>
      </c>
      <c r="M98" s="5" t="s">
        <v>9</v>
      </c>
      <c r="N98" s="5">
        <v>4</v>
      </c>
      <c r="O98" s="6">
        <f t="shared" si="23"/>
        <v>0.88999644001424005</v>
      </c>
      <c r="P98" s="6">
        <f t="shared" si="24"/>
        <v>9.2559629761480952E-2</v>
      </c>
      <c r="Q98" s="10">
        <f t="shared" si="25"/>
        <v>1.9283256200308535E-3</v>
      </c>
      <c r="R98" s="10">
        <f t="shared" si="26"/>
        <v>1.4569287935358966E-2</v>
      </c>
      <c r="S98" s="10">
        <f t="shared" si="27"/>
        <v>1.6497613555389819E-2</v>
      </c>
    </row>
    <row r="99" spans="1:19" x14ac:dyDescent="0.25">
      <c r="A99" s="5" t="s">
        <v>22</v>
      </c>
      <c r="B99" s="5" t="s">
        <v>63</v>
      </c>
      <c r="C99" s="5" t="s">
        <v>27</v>
      </c>
      <c r="D99" s="5" t="s">
        <v>385</v>
      </c>
      <c r="E99" s="5" t="s">
        <v>384</v>
      </c>
      <c r="F99" s="5" t="s">
        <v>30</v>
      </c>
      <c r="G99" s="5" t="s">
        <v>392</v>
      </c>
      <c r="H99" s="5" t="s">
        <v>31</v>
      </c>
      <c r="I99" s="5" t="s">
        <v>141</v>
      </c>
      <c r="J99" s="15">
        <v>3070</v>
      </c>
      <c r="K99" s="7">
        <v>32.5</v>
      </c>
      <c r="L99" s="7">
        <f t="shared" si="22"/>
        <v>94.461538461538467</v>
      </c>
      <c r="M99" s="5" t="s">
        <v>9</v>
      </c>
      <c r="N99" s="5">
        <v>4</v>
      </c>
      <c r="O99" s="6">
        <f t="shared" si="23"/>
        <v>17.120972189349114</v>
      </c>
      <c r="P99" s="6">
        <f t="shared" si="24"/>
        <v>1.7805811076923079</v>
      </c>
      <c r="Q99" s="10">
        <f t="shared" si="25"/>
        <v>3.7095439743589746E-2</v>
      </c>
      <c r="R99" s="10">
        <f t="shared" si="26"/>
        <v>0.13382690699889258</v>
      </c>
      <c r="S99" s="10">
        <f t="shared" si="27"/>
        <v>0.17092234674248233</v>
      </c>
    </row>
    <row r="100" spans="1:19" x14ac:dyDescent="0.25">
      <c r="A100" s="5" t="s">
        <v>8</v>
      </c>
      <c r="B100" s="5" t="s">
        <v>370</v>
      </c>
      <c r="C100" s="5" t="s">
        <v>27</v>
      </c>
      <c r="D100" s="5" t="s">
        <v>385</v>
      </c>
      <c r="E100" s="5" t="s">
        <v>384</v>
      </c>
      <c r="F100" s="5" t="s">
        <v>30</v>
      </c>
      <c r="G100" s="5" t="s">
        <v>392</v>
      </c>
      <c r="H100" s="5" t="s">
        <v>34</v>
      </c>
      <c r="I100" s="5" t="s">
        <v>371</v>
      </c>
      <c r="J100" s="15">
        <v>799</v>
      </c>
      <c r="K100" s="7">
        <v>21.8</v>
      </c>
      <c r="L100" s="7">
        <f t="shared" si="22"/>
        <v>36.651376146788991</v>
      </c>
      <c r="M100" s="5" t="s">
        <v>9</v>
      </c>
      <c r="N100" s="5">
        <v>4</v>
      </c>
      <c r="O100" s="6">
        <f t="shared" si="23"/>
        <v>0.67082210961829813</v>
      </c>
      <c r="P100" s="6">
        <f t="shared" si="24"/>
        <v>6.9765499400302994E-2</v>
      </c>
      <c r="Q100" s="10">
        <f t="shared" si="25"/>
        <v>1.4534479041729794E-3</v>
      </c>
      <c r="R100" s="10">
        <f t="shared" si="26"/>
        <v>1.1785625867435959E-2</v>
      </c>
      <c r="S100" s="10">
        <f t="shared" si="27"/>
        <v>1.3239073771608939E-2</v>
      </c>
    </row>
    <row r="101" spans="1:19" x14ac:dyDescent="0.25">
      <c r="A101" s="5" t="s">
        <v>8</v>
      </c>
      <c r="B101" s="5" t="s">
        <v>370</v>
      </c>
      <c r="C101" s="5" t="s">
        <v>27</v>
      </c>
      <c r="D101" s="5" t="s">
        <v>385</v>
      </c>
      <c r="E101" s="5" t="s">
        <v>384</v>
      </c>
      <c r="F101" s="5" t="s">
        <v>30</v>
      </c>
      <c r="G101" s="5" t="s">
        <v>392</v>
      </c>
      <c r="H101" s="5" t="s">
        <v>34</v>
      </c>
      <c r="I101" s="5" t="s">
        <v>371</v>
      </c>
      <c r="J101" s="15">
        <v>695</v>
      </c>
      <c r="K101" s="7">
        <v>19.5</v>
      </c>
      <c r="L101" s="7">
        <f t="shared" si="22"/>
        <v>35.641025641025642</v>
      </c>
      <c r="M101" s="5" t="s">
        <v>9</v>
      </c>
      <c r="N101" s="5">
        <v>4</v>
      </c>
      <c r="O101" s="6">
        <f t="shared" si="23"/>
        <v>0.55177905161078245</v>
      </c>
      <c r="P101" s="6">
        <f t="shared" si="24"/>
        <v>5.7385021367521369E-2</v>
      </c>
      <c r="Q101" s="10">
        <f t="shared" si="25"/>
        <v>1.1955212784900285E-3</v>
      </c>
      <c r="R101" s="10">
        <f t="shared" si="26"/>
        <v>1.0179373052067059E-2</v>
      </c>
      <c r="S101" s="10">
        <f t="shared" si="27"/>
        <v>1.1374894330557089E-2</v>
      </c>
    </row>
    <row r="102" spans="1:19" x14ac:dyDescent="0.25">
      <c r="A102" s="5" t="s">
        <v>8</v>
      </c>
      <c r="B102" s="5" t="s">
        <v>270</v>
      </c>
      <c r="C102" s="5" t="s">
        <v>27</v>
      </c>
      <c r="D102" s="5" t="s">
        <v>385</v>
      </c>
      <c r="E102" s="5" t="s">
        <v>384</v>
      </c>
      <c r="F102" s="5" t="s">
        <v>30</v>
      </c>
      <c r="G102" s="5" t="s">
        <v>392</v>
      </c>
      <c r="H102" s="5" t="s">
        <v>34</v>
      </c>
      <c r="I102" s="5" t="s">
        <v>274</v>
      </c>
      <c r="J102" s="15">
        <v>3450</v>
      </c>
      <c r="K102" s="7">
        <v>45</v>
      </c>
      <c r="L102" s="7">
        <f t="shared" si="22"/>
        <v>76.666666666666671</v>
      </c>
      <c r="M102" s="5" t="s">
        <v>9</v>
      </c>
      <c r="N102" s="5">
        <v>4</v>
      </c>
      <c r="O102" s="6">
        <f t="shared" si="23"/>
        <v>12.673958333333335</v>
      </c>
      <c r="P102" s="6">
        <f t="shared" si="24"/>
        <v>1.3180916666666669</v>
      </c>
      <c r="Q102" s="10">
        <f t="shared" si="25"/>
        <v>2.7460243055555559E-2</v>
      </c>
      <c r="R102" s="10">
        <f t="shared" si="26"/>
        <v>0.10680247834350282</v>
      </c>
      <c r="S102" s="10">
        <f t="shared" si="27"/>
        <v>0.13426272139905837</v>
      </c>
    </row>
    <row r="103" spans="1:19" x14ac:dyDescent="0.25">
      <c r="A103" s="5" t="s">
        <v>8</v>
      </c>
      <c r="B103" s="5" t="s">
        <v>270</v>
      </c>
      <c r="C103" s="5" t="s">
        <v>27</v>
      </c>
      <c r="D103" s="5" t="s">
        <v>385</v>
      </c>
      <c r="E103" s="5" t="s">
        <v>384</v>
      </c>
      <c r="F103" s="5" t="s">
        <v>30</v>
      </c>
      <c r="G103" s="5" t="s">
        <v>392</v>
      </c>
      <c r="H103" s="5" t="s">
        <v>34</v>
      </c>
      <c r="I103" s="5" t="s">
        <v>271</v>
      </c>
      <c r="J103" s="15">
        <v>3400</v>
      </c>
      <c r="K103" s="7">
        <v>38</v>
      </c>
      <c r="L103" s="7">
        <f t="shared" si="22"/>
        <v>89.473684210526315</v>
      </c>
      <c r="M103" s="5" t="s">
        <v>9</v>
      </c>
      <c r="N103" s="5">
        <v>4</v>
      </c>
      <c r="O103" s="6">
        <f t="shared" si="23"/>
        <v>17.011772853185594</v>
      </c>
      <c r="P103" s="6">
        <f t="shared" si="24"/>
        <v>1.7692243767313018</v>
      </c>
      <c r="Q103" s="10">
        <f t="shared" si="25"/>
        <v>3.6858841181902115E-2</v>
      </c>
      <c r="R103" s="10">
        <f t="shared" si="26"/>
        <v>0.13318622383409978</v>
      </c>
      <c r="S103" s="10">
        <f t="shared" si="27"/>
        <v>0.17004506501600189</v>
      </c>
    </row>
    <row r="104" spans="1:19" x14ac:dyDescent="0.25">
      <c r="A104" s="5" t="s">
        <v>8</v>
      </c>
      <c r="B104" s="5" t="s">
        <v>270</v>
      </c>
      <c r="C104" s="5" t="s">
        <v>27</v>
      </c>
      <c r="D104" s="5" t="s">
        <v>385</v>
      </c>
      <c r="E104" s="5" t="s">
        <v>384</v>
      </c>
      <c r="F104" s="5" t="s">
        <v>30</v>
      </c>
      <c r="G104" s="5" t="s">
        <v>392</v>
      </c>
      <c r="H104" s="5" t="s">
        <v>34</v>
      </c>
      <c r="I104" s="5" t="s">
        <v>276</v>
      </c>
      <c r="J104" s="15">
        <v>1900</v>
      </c>
      <c r="K104" s="7">
        <v>29.8</v>
      </c>
      <c r="L104" s="7">
        <f t="shared" si="22"/>
        <v>63.758389261744966</v>
      </c>
      <c r="M104" s="5" t="s">
        <v>9</v>
      </c>
      <c r="N104" s="5">
        <v>4</v>
      </c>
      <c r="O104" s="6">
        <f t="shared" si="23"/>
        <v>4.8273444889869825</v>
      </c>
      <c r="P104" s="6">
        <f t="shared" si="24"/>
        <v>0.50204382685464621</v>
      </c>
      <c r="Q104" s="10">
        <f t="shared" si="25"/>
        <v>1.0459246392805129E-2</v>
      </c>
      <c r="R104" s="10">
        <f t="shared" si="26"/>
        <v>5.1781943123725895E-2</v>
      </c>
      <c r="S104" s="10">
        <f t="shared" si="27"/>
        <v>6.2241189516531022E-2</v>
      </c>
    </row>
    <row r="105" spans="1:19" x14ac:dyDescent="0.25">
      <c r="A105" s="5" t="s">
        <v>8</v>
      </c>
      <c r="B105" s="5" t="s">
        <v>270</v>
      </c>
      <c r="C105" s="5" t="s">
        <v>27</v>
      </c>
      <c r="D105" s="5" t="s">
        <v>385</v>
      </c>
      <c r="E105" s="5" t="s">
        <v>384</v>
      </c>
      <c r="F105" s="5" t="s">
        <v>30</v>
      </c>
      <c r="G105" s="5" t="s">
        <v>392</v>
      </c>
      <c r="H105" s="5" t="s">
        <v>34</v>
      </c>
      <c r="I105" s="5" t="s">
        <v>275</v>
      </c>
      <c r="J105" s="15">
        <v>2390</v>
      </c>
      <c r="K105" s="7">
        <v>31.7</v>
      </c>
      <c r="L105" s="7">
        <f t="shared" si="22"/>
        <v>75.394321766561518</v>
      </c>
      <c r="M105" s="5" t="s">
        <v>9</v>
      </c>
      <c r="N105" s="5">
        <v>4</v>
      </c>
      <c r="O105" s="6">
        <f t="shared" si="23"/>
        <v>8.4909287334932184</v>
      </c>
      <c r="P105" s="6">
        <f t="shared" si="24"/>
        <v>0.88305658828329481</v>
      </c>
      <c r="Q105" s="10">
        <f t="shared" si="25"/>
        <v>1.8397012255901974E-2</v>
      </c>
      <c r="R105" s="10">
        <f t="shared" si="26"/>
        <v>7.9088533214020734E-2</v>
      </c>
      <c r="S105" s="10">
        <f t="shared" si="27"/>
        <v>9.7485545469922705E-2</v>
      </c>
    </row>
    <row r="106" spans="1:19" x14ac:dyDescent="0.25">
      <c r="A106" s="5" t="s">
        <v>8</v>
      </c>
      <c r="B106" s="5" t="s">
        <v>270</v>
      </c>
      <c r="C106" s="5" t="s">
        <v>27</v>
      </c>
      <c r="D106" s="5" t="s">
        <v>385</v>
      </c>
      <c r="E106" s="5" t="s">
        <v>384</v>
      </c>
      <c r="F106" s="5" t="s">
        <v>30</v>
      </c>
      <c r="G106" s="5" t="s">
        <v>392</v>
      </c>
      <c r="H106" s="5" t="s">
        <v>34</v>
      </c>
      <c r="I106" s="5" t="s">
        <v>272</v>
      </c>
      <c r="J106" s="15">
        <v>3180</v>
      </c>
      <c r="K106" s="7">
        <v>35</v>
      </c>
      <c r="L106" s="7">
        <f t="shared" si="22"/>
        <v>90.857142857142861</v>
      </c>
      <c r="M106" s="5" t="s">
        <v>9</v>
      </c>
      <c r="N106" s="5">
        <v>4</v>
      </c>
      <c r="O106" s="6">
        <f t="shared" si="23"/>
        <v>16.406853061224488</v>
      </c>
      <c r="P106" s="6">
        <f t="shared" si="24"/>
        <v>1.706312718367347</v>
      </c>
      <c r="Q106" s="10">
        <f t="shared" si="25"/>
        <v>3.554818163265306E-2</v>
      </c>
      <c r="R106" s="10">
        <f t="shared" si="26"/>
        <v>0.12961823122752753</v>
      </c>
      <c r="S106" s="10">
        <f t="shared" si="27"/>
        <v>0.16516641286018058</v>
      </c>
    </row>
    <row r="107" spans="1:19" x14ac:dyDescent="0.25">
      <c r="A107" s="5" t="s">
        <v>8</v>
      </c>
      <c r="B107" s="5" t="s">
        <v>270</v>
      </c>
      <c r="C107" s="5" t="s">
        <v>27</v>
      </c>
      <c r="D107" s="5" t="s">
        <v>385</v>
      </c>
      <c r="E107" s="5" t="s">
        <v>384</v>
      </c>
      <c r="F107" s="5" t="s">
        <v>30</v>
      </c>
      <c r="G107" s="5" t="s">
        <v>392</v>
      </c>
      <c r="H107" s="5" t="s">
        <v>34</v>
      </c>
      <c r="I107" s="5" t="s">
        <v>272</v>
      </c>
      <c r="J107" s="15">
        <v>3510</v>
      </c>
      <c r="K107" s="7">
        <v>38.200000000000003</v>
      </c>
      <c r="L107" s="7">
        <f t="shared" ref="L107:L136" si="28">J107/K107</f>
        <v>91.8848167539267</v>
      </c>
      <c r="M107" s="5" t="s">
        <v>9</v>
      </c>
      <c r="N107" s="5">
        <v>4</v>
      </c>
      <c r="O107" s="6">
        <f t="shared" ref="O107:O136" si="29">(J107*L107^2)/(1.6*10^6)</f>
        <v>18.52143538759902</v>
      </c>
      <c r="P107" s="6">
        <f t="shared" ref="P107:P136" si="30">(0.104*J107*L107^2)/(1.6*10^6)</f>
        <v>1.9262292803102978</v>
      </c>
      <c r="Q107" s="10">
        <f t="shared" ref="Q107:Q136" si="31">(0.104*O107)/(12*N107)</f>
        <v>4.0129776673131209E-2</v>
      </c>
      <c r="R107" s="10">
        <f t="shared" ref="R107:R136" si="32">0.0159*O107^0.75</f>
        <v>0.14195578806050616</v>
      </c>
      <c r="S107" s="10">
        <f t="shared" ref="S107:S136" si="33">Q107+R107</f>
        <v>0.18208556473363735</v>
      </c>
    </row>
    <row r="108" spans="1:19" x14ac:dyDescent="0.25">
      <c r="A108" s="5" t="s">
        <v>8</v>
      </c>
      <c r="B108" s="5" t="s">
        <v>357</v>
      </c>
      <c r="C108" s="5" t="s">
        <v>27</v>
      </c>
      <c r="D108" s="5" t="s">
        <v>385</v>
      </c>
      <c r="E108" s="5" t="s">
        <v>384</v>
      </c>
      <c r="F108" s="5" t="s">
        <v>30</v>
      </c>
      <c r="G108" s="5" t="s">
        <v>392</v>
      </c>
      <c r="H108" s="5" t="s">
        <v>34</v>
      </c>
      <c r="I108" s="5" t="s">
        <v>318</v>
      </c>
      <c r="J108" s="15">
        <v>1800</v>
      </c>
      <c r="K108" s="7">
        <v>32</v>
      </c>
      <c r="L108" s="7">
        <f t="shared" si="28"/>
        <v>56.25</v>
      </c>
      <c r="M108" s="5" t="s">
        <v>9</v>
      </c>
      <c r="N108" s="5">
        <v>4</v>
      </c>
      <c r="O108" s="6">
        <f t="shared" si="29"/>
        <v>3.5595703125</v>
      </c>
      <c r="P108" s="6">
        <f t="shared" si="30"/>
        <v>0.37019531249999998</v>
      </c>
      <c r="Q108" s="10">
        <f t="shared" si="31"/>
        <v>7.71240234375E-3</v>
      </c>
      <c r="R108" s="10">
        <f t="shared" si="32"/>
        <v>4.1204562411128992E-2</v>
      </c>
      <c r="S108" s="10">
        <f t="shared" si="33"/>
        <v>4.8916964754878993E-2</v>
      </c>
    </row>
    <row r="109" spans="1:19" x14ac:dyDescent="0.25">
      <c r="A109" s="5" t="s">
        <v>22</v>
      </c>
      <c r="B109" s="5" t="s">
        <v>26</v>
      </c>
      <c r="C109" s="5" t="s">
        <v>27</v>
      </c>
      <c r="D109" s="5" t="s">
        <v>385</v>
      </c>
      <c r="E109" s="5" t="s">
        <v>384</v>
      </c>
      <c r="F109" s="5" t="s">
        <v>30</v>
      </c>
      <c r="G109" s="5" t="s">
        <v>392</v>
      </c>
      <c r="H109" s="5" t="s">
        <v>34</v>
      </c>
      <c r="I109" s="5" t="s">
        <v>35</v>
      </c>
      <c r="J109" s="15">
        <v>2500</v>
      </c>
      <c r="K109" s="7">
        <v>29.5</v>
      </c>
      <c r="L109" s="7">
        <f t="shared" si="28"/>
        <v>84.745762711864401</v>
      </c>
      <c r="M109" s="5" t="s">
        <v>9</v>
      </c>
      <c r="N109" s="5">
        <v>4</v>
      </c>
      <c r="O109" s="6">
        <f t="shared" si="29"/>
        <v>11.221631715024417</v>
      </c>
      <c r="P109" s="6">
        <f t="shared" si="30"/>
        <v>1.1670496983625394</v>
      </c>
      <c r="Q109" s="10">
        <f t="shared" si="31"/>
        <v>2.4313535382552903E-2</v>
      </c>
      <c r="R109" s="10">
        <f t="shared" si="32"/>
        <v>9.7485300079983322E-2</v>
      </c>
      <c r="S109" s="10">
        <f t="shared" si="33"/>
        <v>0.12179883546253623</v>
      </c>
    </row>
    <row r="110" spans="1:19" x14ac:dyDescent="0.25">
      <c r="A110" s="5" t="s">
        <v>8</v>
      </c>
      <c r="B110" s="5" t="s">
        <v>366</v>
      </c>
      <c r="C110" s="5" t="s">
        <v>27</v>
      </c>
      <c r="D110" s="5" t="s">
        <v>385</v>
      </c>
      <c r="E110" s="5" t="s">
        <v>384</v>
      </c>
      <c r="F110" s="5" t="s">
        <v>30</v>
      </c>
      <c r="G110" s="5" t="s">
        <v>392</v>
      </c>
      <c r="H110" s="5" t="s">
        <v>232</v>
      </c>
      <c r="I110" s="5" t="s">
        <v>367</v>
      </c>
      <c r="J110" s="15">
        <v>2530</v>
      </c>
      <c r="K110" s="7">
        <v>31.5</v>
      </c>
      <c r="L110" s="7">
        <f t="shared" si="28"/>
        <v>80.317460317460316</v>
      </c>
      <c r="M110" s="5" t="s">
        <v>9</v>
      </c>
      <c r="N110" s="5">
        <v>4</v>
      </c>
      <c r="O110" s="6">
        <f t="shared" si="29"/>
        <v>10.200476820357773</v>
      </c>
      <c r="P110" s="6">
        <f t="shared" si="30"/>
        <v>1.0608495893172085</v>
      </c>
      <c r="Q110" s="10">
        <f t="shared" si="31"/>
        <v>2.2101033110775173E-2</v>
      </c>
      <c r="R110" s="10">
        <f t="shared" si="32"/>
        <v>9.07533111467419E-2</v>
      </c>
      <c r="S110" s="10">
        <f t="shared" si="33"/>
        <v>0.11285434425751707</v>
      </c>
    </row>
    <row r="111" spans="1:19" x14ac:dyDescent="0.25">
      <c r="A111" s="5" t="s">
        <v>8</v>
      </c>
      <c r="B111" s="5" t="s">
        <v>346</v>
      </c>
      <c r="C111" s="5" t="s">
        <v>27</v>
      </c>
      <c r="D111" s="5" t="s">
        <v>385</v>
      </c>
      <c r="E111" s="5" t="s">
        <v>384</v>
      </c>
      <c r="F111" s="5" t="s">
        <v>30</v>
      </c>
      <c r="G111" s="5" t="s">
        <v>392</v>
      </c>
      <c r="H111" s="5" t="s">
        <v>232</v>
      </c>
      <c r="I111" s="5" t="s">
        <v>345</v>
      </c>
      <c r="J111" s="15">
        <v>3230</v>
      </c>
      <c r="K111" s="7">
        <v>33</v>
      </c>
      <c r="L111" s="7">
        <f t="shared" si="28"/>
        <v>97.878787878787875</v>
      </c>
      <c r="M111" s="5" t="s">
        <v>9</v>
      </c>
      <c r="N111" s="5">
        <v>4</v>
      </c>
      <c r="O111" s="6">
        <f t="shared" si="29"/>
        <v>19.340144054178143</v>
      </c>
      <c r="P111" s="6">
        <f t="shared" si="30"/>
        <v>2.0113749816345265</v>
      </c>
      <c r="Q111" s="10">
        <f t="shared" si="31"/>
        <v>4.1903645450719312E-2</v>
      </c>
      <c r="R111" s="10">
        <f t="shared" si="32"/>
        <v>0.14663643809535123</v>
      </c>
      <c r="S111" s="10">
        <f t="shared" si="33"/>
        <v>0.18854008354607055</v>
      </c>
    </row>
    <row r="112" spans="1:19" x14ac:dyDescent="0.25">
      <c r="A112" s="5" t="s">
        <v>8</v>
      </c>
      <c r="B112" s="5" t="s">
        <v>346</v>
      </c>
      <c r="C112" s="5" t="s">
        <v>27</v>
      </c>
      <c r="D112" s="5" t="s">
        <v>385</v>
      </c>
      <c r="E112" s="5" t="s">
        <v>384</v>
      </c>
      <c r="F112" s="5" t="s">
        <v>30</v>
      </c>
      <c r="G112" s="5" t="s">
        <v>392</v>
      </c>
      <c r="H112" s="5" t="s">
        <v>232</v>
      </c>
      <c r="I112" s="5" t="s">
        <v>345</v>
      </c>
      <c r="J112" s="15">
        <v>2950</v>
      </c>
      <c r="K112" s="7">
        <v>27.5</v>
      </c>
      <c r="L112" s="7">
        <f t="shared" si="28"/>
        <v>107.27272727272727</v>
      </c>
      <c r="M112" s="5" t="s">
        <v>9</v>
      </c>
      <c r="N112" s="5">
        <v>4</v>
      </c>
      <c r="O112" s="6">
        <f t="shared" si="29"/>
        <v>21.216838842975204</v>
      </c>
      <c r="P112" s="6">
        <f t="shared" si="30"/>
        <v>2.2065512396694213</v>
      </c>
      <c r="Q112" s="10">
        <f t="shared" si="31"/>
        <v>4.5969817493112936E-2</v>
      </c>
      <c r="R112" s="10">
        <f t="shared" si="32"/>
        <v>0.15718374523111669</v>
      </c>
      <c r="S112" s="10">
        <f t="shared" si="33"/>
        <v>0.20315356272422963</v>
      </c>
    </row>
    <row r="113" spans="1:19" x14ac:dyDescent="0.25">
      <c r="A113" s="5" t="s">
        <v>8</v>
      </c>
      <c r="B113" s="5" t="s">
        <v>344</v>
      </c>
      <c r="C113" s="5" t="s">
        <v>27</v>
      </c>
      <c r="D113" s="5" t="s">
        <v>385</v>
      </c>
      <c r="E113" s="5" t="s">
        <v>384</v>
      </c>
      <c r="F113" s="5" t="s">
        <v>30</v>
      </c>
      <c r="G113" s="5" t="s">
        <v>392</v>
      </c>
      <c r="H113" s="5" t="s">
        <v>232</v>
      </c>
      <c r="I113" s="5" t="s">
        <v>345</v>
      </c>
      <c r="J113" s="15">
        <v>3320</v>
      </c>
      <c r="K113" s="7">
        <v>30.8</v>
      </c>
      <c r="L113" s="7">
        <f t="shared" si="28"/>
        <v>107.79220779220779</v>
      </c>
      <c r="M113" s="5" t="s">
        <v>9</v>
      </c>
      <c r="N113" s="5">
        <v>4</v>
      </c>
      <c r="O113" s="6">
        <f t="shared" si="29"/>
        <v>24.109757125990889</v>
      </c>
      <c r="P113" s="6">
        <f t="shared" si="30"/>
        <v>2.5074147411030521</v>
      </c>
      <c r="Q113" s="10">
        <f t="shared" si="31"/>
        <v>5.2237807106313594E-2</v>
      </c>
      <c r="R113" s="10">
        <f t="shared" si="32"/>
        <v>0.17299826631519027</v>
      </c>
      <c r="S113" s="10">
        <f t="shared" si="33"/>
        <v>0.22523607342150387</v>
      </c>
    </row>
    <row r="114" spans="1:19" x14ac:dyDescent="0.25">
      <c r="A114" s="5" t="s">
        <v>8</v>
      </c>
      <c r="B114" s="5" t="s">
        <v>231</v>
      </c>
      <c r="C114" s="5" t="s">
        <v>27</v>
      </c>
      <c r="D114" s="5" t="s">
        <v>385</v>
      </c>
      <c r="E114" s="5" t="s">
        <v>384</v>
      </c>
      <c r="F114" s="5" t="s">
        <v>30</v>
      </c>
      <c r="G114" s="5" t="s">
        <v>392</v>
      </c>
      <c r="H114" s="5" t="s">
        <v>232</v>
      </c>
      <c r="I114" s="5" t="s">
        <v>67</v>
      </c>
      <c r="J114" s="15">
        <v>2290</v>
      </c>
      <c r="K114" s="7">
        <v>29</v>
      </c>
      <c r="L114" s="7">
        <f t="shared" si="28"/>
        <v>78.965517241379317</v>
      </c>
      <c r="M114" s="5" t="s">
        <v>9</v>
      </c>
      <c r="N114" s="5">
        <v>4</v>
      </c>
      <c r="O114" s="6">
        <f t="shared" si="29"/>
        <v>8.9246351070154581</v>
      </c>
      <c r="P114" s="6">
        <f t="shared" si="30"/>
        <v>0.9281620511296077</v>
      </c>
      <c r="Q114" s="10">
        <f t="shared" si="31"/>
        <v>1.9336709398533491E-2</v>
      </c>
      <c r="R114" s="10">
        <f t="shared" si="32"/>
        <v>8.2099398588030822E-2</v>
      </c>
      <c r="S114" s="10">
        <f t="shared" si="33"/>
        <v>0.10143610798656431</v>
      </c>
    </row>
    <row r="115" spans="1:19" x14ac:dyDescent="0.25">
      <c r="A115" s="5" t="s">
        <v>8</v>
      </c>
      <c r="B115" s="5" t="s">
        <v>366</v>
      </c>
      <c r="C115" s="5" t="s">
        <v>27</v>
      </c>
      <c r="D115" s="5" t="s">
        <v>385</v>
      </c>
      <c r="E115" s="5" t="s">
        <v>384</v>
      </c>
      <c r="F115" s="5" t="s">
        <v>30</v>
      </c>
      <c r="G115" s="5" t="s">
        <v>392</v>
      </c>
      <c r="H115" s="5" t="s">
        <v>232</v>
      </c>
      <c r="I115" s="5" t="s">
        <v>368</v>
      </c>
      <c r="J115" s="15">
        <v>2450</v>
      </c>
      <c r="K115" s="7">
        <v>30.5</v>
      </c>
      <c r="L115" s="7">
        <f t="shared" si="28"/>
        <v>80.327868852459019</v>
      </c>
      <c r="M115" s="5" t="s">
        <v>9</v>
      </c>
      <c r="N115" s="5">
        <v>4</v>
      </c>
      <c r="O115" s="6">
        <f t="shared" si="29"/>
        <v>9.880492475141093</v>
      </c>
      <c r="P115" s="6">
        <f t="shared" si="30"/>
        <v>1.0275712174146734</v>
      </c>
      <c r="Q115" s="10">
        <f t="shared" si="31"/>
        <v>2.1407733696139034E-2</v>
      </c>
      <c r="R115" s="10">
        <f t="shared" si="32"/>
        <v>8.8609659587763734E-2</v>
      </c>
      <c r="S115" s="10">
        <f t="shared" si="33"/>
        <v>0.11001739328390277</v>
      </c>
    </row>
    <row r="116" spans="1:19" x14ac:dyDescent="0.25">
      <c r="A116" s="5" t="s">
        <v>8</v>
      </c>
      <c r="B116" s="5" t="s">
        <v>366</v>
      </c>
      <c r="C116" s="5" t="s">
        <v>27</v>
      </c>
      <c r="D116" s="5" t="s">
        <v>385</v>
      </c>
      <c r="E116" s="5" t="s">
        <v>384</v>
      </c>
      <c r="F116" s="5" t="s">
        <v>30</v>
      </c>
      <c r="G116" s="5" t="s">
        <v>392</v>
      </c>
      <c r="H116" s="5" t="s">
        <v>232</v>
      </c>
      <c r="I116" s="5" t="s">
        <v>368</v>
      </c>
      <c r="J116" s="15">
        <v>2753</v>
      </c>
      <c r="K116" s="7">
        <v>32.799999999999997</v>
      </c>
      <c r="L116" s="7">
        <f t="shared" si="28"/>
        <v>83.932926829268297</v>
      </c>
      <c r="M116" s="5" t="s">
        <v>9</v>
      </c>
      <c r="N116" s="5">
        <v>4</v>
      </c>
      <c r="O116" s="6">
        <f t="shared" si="29"/>
        <v>12.121349234667795</v>
      </c>
      <c r="P116" s="6">
        <f t="shared" si="30"/>
        <v>1.2606203204054509</v>
      </c>
      <c r="Q116" s="10">
        <f t="shared" si="31"/>
        <v>2.6262923341780223E-2</v>
      </c>
      <c r="R116" s="10">
        <f t="shared" si="32"/>
        <v>0.10329049231083934</v>
      </c>
      <c r="S116" s="10">
        <f t="shared" si="33"/>
        <v>0.12955341565261957</v>
      </c>
    </row>
    <row r="117" spans="1:19" x14ac:dyDescent="0.25">
      <c r="A117" s="5" t="s">
        <v>8</v>
      </c>
      <c r="B117" s="5" t="s">
        <v>366</v>
      </c>
      <c r="C117" s="5" t="s">
        <v>27</v>
      </c>
      <c r="D117" s="5" t="s">
        <v>385</v>
      </c>
      <c r="E117" s="5" t="s">
        <v>384</v>
      </c>
      <c r="F117" s="5" t="s">
        <v>30</v>
      </c>
      <c r="G117" s="5" t="s">
        <v>392</v>
      </c>
      <c r="H117" s="5" t="s">
        <v>232</v>
      </c>
      <c r="I117" s="5" t="s">
        <v>35</v>
      </c>
      <c r="J117" s="15">
        <v>2748</v>
      </c>
      <c r="K117" s="7">
        <v>36.6</v>
      </c>
      <c r="L117" s="7">
        <f t="shared" si="28"/>
        <v>75.081967213114751</v>
      </c>
      <c r="M117" s="5" t="s">
        <v>9</v>
      </c>
      <c r="N117" s="5">
        <v>4</v>
      </c>
      <c r="O117" s="6">
        <f t="shared" si="29"/>
        <v>9.6820658425154509</v>
      </c>
      <c r="P117" s="6">
        <f t="shared" si="30"/>
        <v>1.0069348476216069</v>
      </c>
      <c r="Q117" s="10">
        <f t="shared" si="31"/>
        <v>2.0977809325450143E-2</v>
      </c>
      <c r="R117" s="10">
        <f t="shared" si="32"/>
        <v>8.7271642179623674E-2</v>
      </c>
      <c r="S117" s="10">
        <f t="shared" si="33"/>
        <v>0.10824945150507381</v>
      </c>
    </row>
    <row r="118" spans="1:19" x14ac:dyDescent="0.25">
      <c r="A118" s="5" t="s">
        <v>22</v>
      </c>
      <c r="B118" s="5" t="s">
        <v>63</v>
      </c>
      <c r="C118" s="5" t="s">
        <v>27</v>
      </c>
      <c r="D118" s="5" t="s">
        <v>385</v>
      </c>
      <c r="E118" s="5" t="s">
        <v>384</v>
      </c>
      <c r="F118" s="5" t="s">
        <v>30</v>
      </c>
      <c r="G118" s="5" t="s">
        <v>392</v>
      </c>
      <c r="H118" s="5" t="s">
        <v>66</v>
      </c>
      <c r="I118" s="5" t="s">
        <v>67</v>
      </c>
      <c r="J118" s="15">
        <v>2280</v>
      </c>
      <c r="K118" s="7">
        <v>29</v>
      </c>
      <c r="L118" s="7">
        <f t="shared" si="28"/>
        <v>78.620689655172413</v>
      </c>
      <c r="M118" s="5" t="s">
        <v>9</v>
      </c>
      <c r="N118" s="5">
        <v>4</v>
      </c>
      <c r="O118" s="6">
        <f t="shared" si="29"/>
        <v>8.8082282996432824</v>
      </c>
      <c r="P118" s="6">
        <f t="shared" si="30"/>
        <v>0.91605574316290117</v>
      </c>
      <c r="Q118" s="10">
        <f t="shared" si="31"/>
        <v>1.908449464922711E-2</v>
      </c>
      <c r="R118" s="10">
        <f t="shared" si="32"/>
        <v>8.1294945871818847E-2</v>
      </c>
      <c r="S118" s="10">
        <f t="shared" si="33"/>
        <v>0.10037944052104596</v>
      </c>
    </row>
    <row r="119" spans="1:19" x14ac:dyDescent="0.25">
      <c r="A119" s="5" t="s">
        <v>8</v>
      </c>
      <c r="B119" s="5" t="s">
        <v>241</v>
      </c>
      <c r="C119" s="5" t="s">
        <v>27</v>
      </c>
      <c r="D119" s="5" t="s">
        <v>385</v>
      </c>
      <c r="E119" s="5" t="s">
        <v>384</v>
      </c>
      <c r="F119" s="5" t="s">
        <v>30</v>
      </c>
      <c r="G119" s="5" t="s">
        <v>392</v>
      </c>
      <c r="H119" s="5" t="s">
        <v>40</v>
      </c>
      <c r="I119" s="5" t="s">
        <v>190</v>
      </c>
      <c r="J119" s="15">
        <v>2720</v>
      </c>
      <c r="K119" s="7">
        <v>30.3</v>
      </c>
      <c r="L119" s="7">
        <f t="shared" si="28"/>
        <v>89.768976897689768</v>
      </c>
      <c r="M119" s="5" t="s">
        <v>9</v>
      </c>
      <c r="N119" s="5">
        <v>4</v>
      </c>
      <c r="O119" s="6">
        <f t="shared" si="29"/>
        <v>13.69939766253853</v>
      </c>
      <c r="P119" s="6">
        <f t="shared" si="30"/>
        <v>1.4247373569040074</v>
      </c>
      <c r="Q119" s="10">
        <f t="shared" si="31"/>
        <v>2.9682028268833482E-2</v>
      </c>
      <c r="R119" s="10">
        <f t="shared" si="32"/>
        <v>0.11322002036146131</v>
      </c>
      <c r="S119" s="10">
        <f t="shared" si="33"/>
        <v>0.14290204863029479</v>
      </c>
    </row>
    <row r="120" spans="1:19" x14ac:dyDescent="0.25">
      <c r="A120" s="5" t="s">
        <v>8</v>
      </c>
      <c r="B120" s="5" t="s">
        <v>241</v>
      </c>
      <c r="C120" s="5" t="s">
        <v>27</v>
      </c>
      <c r="D120" s="5" t="s">
        <v>385</v>
      </c>
      <c r="E120" s="5" t="s">
        <v>384</v>
      </c>
      <c r="F120" s="5" t="s">
        <v>30</v>
      </c>
      <c r="G120" s="5" t="s">
        <v>392</v>
      </c>
      <c r="H120" s="5" t="s">
        <v>40</v>
      </c>
      <c r="I120" s="5" t="s">
        <v>258</v>
      </c>
      <c r="J120" s="15">
        <v>2320</v>
      </c>
      <c r="K120" s="7">
        <v>27.8</v>
      </c>
      <c r="L120" s="7">
        <f t="shared" si="28"/>
        <v>83.453237410071935</v>
      </c>
      <c r="M120" s="5" t="s">
        <v>9</v>
      </c>
      <c r="N120" s="5">
        <v>4</v>
      </c>
      <c r="O120" s="6">
        <f t="shared" si="29"/>
        <v>10.098442109621653</v>
      </c>
      <c r="P120" s="6">
        <f t="shared" si="30"/>
        <v>1.050237979400652</v>
      </c>
      <c r="Q120" s="10">
        <f t="shared" si="31"/>
        <v>2.1879957904180247E-2</v>
      </c>
      <c r="R120" s="10">
        <f t="shared" si="32"/>
        <v>9.0071606634706189E-2</v>
      </c>
      <c r="S120" s="10">
        <f t="shared" si="33"/>
        <v>0.11195156453888644</v>
      </c>
    </row>
    <row r="121" spans="1:19" x14ac:dyDescent="0.25">
      <c r="A121" s="5" t="s">
        <v>8</v>
      </c>
      <c r="B121" s="5" t="s">
        <v>241</v>
      </c>
      <c r="C121" s="5" t="s">
        <v>27</v>
      </c>
      <c r="D121" s="5" t="s">
        <v>385</v>
      </c>
      <c r="E121" s="5" t="s">
        <v>384</v>
      </c>
      <c r="F121" s="5" t="s">
        <v>30</v>
      </c>
      <c r="G121" s="5" t="s">
        <v>392</v>
      </c>
      <c r="H121" s="5" t="s">
        <v>40</v>
      </c>
      <c r="I121" s="5" t="s">
        <v>251</v>
      </c>
      <c r="J121" s="15">
        <v>1810</v>
      </c>
      <c r="K121" s="7">
        <v>26.5</v>
      </c>
      <c r="L121" s="7">
        <f t="shared" si="28"/>
        <v>68.301886792452834</v>
      </c>
      <c r="M121" s="5" t="s">
        <v>9</v>
      </c>
      <c r="N121" s="5">
        <v>4</v>
      </c>
      <c r="O121" s="6">
        <f t="shared" si="29"/>
        <v>5.2774483802064802</v>
      </c>
      <c r="P121" s="6">
        <f t="shared" si="30"/>
        <v>0.54885463154147374</v>
      </c>
      <c r="Q121" s="10">
        <f t="shared" si="31"/>
        <v>1.1434471490447374E-2</v>
      </c>
      <c r="R121" s="10">
        <f t="shared" si="32"/>
        <v>5.536242690304656E-2</v>
      </c>
      <c r="S121" s="10">
        <f t="shared" si="33"/>
        <v>6.6796898393493939E-2</v>
      </c>
    </row>
    <row r="122" spans="1:19" x14ac:dyDescent="0.25">
      <c r="A122" s="5" t="s">
        <v>8</v>
      </c>
      <c r="B122" s="5" t="s">
        <v>241</v>
      </c>
      <c r="C122" s="5" t="s">
        <v>27</v>
      </c>
      <c r="D122" s="5" t="s">
        <v>385</v>
      </c>
      <c r="E122" s="5" t="s">
        <v>384</v>
      </c>
      <c r="F122" s="5" t="s">
        <v>30</v>
      </c>
      <c r="G122" s="5" t="s">
        <v>392</v>
      </c>
      <c r="H122" s="5" t="s">
        <v>40</v>
      </c>
      <c r="I122" s="5" t="s">
        <v>261</v>
      </c>
      <c r="J122" s="15">
        <v>2450</v>
      </c>
      <c r="K122" s="7">
        <v>28</v>
      </c>
      <c r="L122" s="7">
        <f t="shared" si="28"/>
        <v>87.5</v>
      </c>
      <c r="M122" s="5" t="s">
        <v>9</v>
      </c>
      <c r="N122" s="5">
        <v>4</v>
      </c>
      <c r="O122" s="6">
        <f t="shared" si="29"/>
        <v>11.7236328125</v>
      </c>
      <c r="P122" s="6">
        <f t="shared" si="30"/>
        <v>1.2192578124999998</v>
      </c>
      <c r="Q122" s="10">
        <f t="shared" si="31"/>
        <v>2.5401204427083334E-2</v>
      </c>
      <c r="R122" s="10">
        <f t="shared" si="32"/>
        <v>0.10073810572305898</v>
      </c>
      <c r="S122" s="10">
        <f t="shared" si="33"/>
        <v>0.12613931015014232</v>
      </c>
    </row>
    <row r="123" spans="1:19" x14ac:dyDescent="0.25">
      <c r="A123" s="5" t="s">
        <v>8</v>
      </c>
      <c r="B123" s="5" t="s">
        <v>241</v>
      </c>
      <c r="C123" s="5" t="s">
        <v>27</v>
      </c>
      <c r="D123" s="5" t="s">
        <v>385</v>
      </c>
      <c r="E123" s="5" t="s">
        <v>384</v>
      </c>
      <c r="F123" s="5" t="s">
        <v>30</v>
      </c>
      <c r="G123" s="5" t="s">
        <v>392</v>
      </c>
      <c r="H123" s="5" t="s">
        <v>40</v>
      </c>
      <c r="I123" s="5" t="s">
        <v>243</v>
      </c>
      <c r="J123" s="15">
        <v>4550</v>
      </c>
      <c r="K123" s="7">
        <v>36</v>
      </c>
      <c r="L123" s="7">
        <f t="shared" si="28"/>
        <v>126.38888888888889</v>
      </c>
      <c r="M123" s="5" t="s">
        <v>9</v>
      </c>
      <c r="N123" s="5">
        <v>4</v>
      </c>
      <c r="O123" s="6">
        <f t="shared" si="29"/>
        <v>45.426492573302461</v>
      </c>
      <c r="P123" s="6">
        <f t="shared" si="30"/>
        <v>4.7243552276234562</v>
      </c>
      <c r="Q123" s="10">
        <f t="shared" si="31"/>
        <v>9.8424067242155341E-2</v>
      </c>
      <c r="R123" s="10">
        <f t="shared" si="32"/>
        <v>0.27821403095946923</v>
      </c>
      <c r="S123" s="10">
        <f t="shared" si="33"/>
        <v>0.37663809820162458</v>
      </c>
    </row>
    <row r="124" spans="1:19" x14ac:dyDescent="0.25">
      <c r="A124" s="5" t="s">
        <v>22</v>
      </c>
      <c r="B124" s="5" t="s">
        <v>63</v>
      </c>
      <c r="C124" s="5" t="s">
        <v>27</v>
      </c>
      <c r="D124" s="5" t="s">
        <v>385</v>
      </c>
      <c r="E124" s="5" t="s">
        <v>384</v>
      </c>
      <c r="F124" s="5" t="s">
        <v>30</v>
      </c>
      <c r="G124" s="5" t="s">
        <v>392</v>
      </c>
      <c r="H124" s="5" t="s">
        <v>40</v>
      </c>
      <c r="I124" s="5" t="s">
        <v>65</v>
      </c>
      <c r="J124" s="15">
        <v>2330</v>
      </c>
      <c r="K124" s="7">
        <v>27.5</v>
      </c>
      <c r="L124" s="7">
        <f t="shared" si="28"/>
        <v>84.727272727272734</v>
      </c>
      <c r="M124" s="5" t="s">
        <v>9</v>
      </c>
      <c r="N124" s="5">
        <v>4</v>
      </c>
      <c r="O124" s="6">
        <f t="shared" si="29"/>
        <v>10.453997520661158</v>
      </c>
      <c r="P124" s="6">
        <f t="shared" si="30"/>
        <v>1.0872157421487605</v>
      </c>
      <c r="Q124" s="10">
        <f t="shared" si="31"/>
        <v>2.2650327961432504E-2</v>
      </c>
      <c r="R124" s="10">
        <f t="shared" si="32"/>
        <v>9.2439783335974496E-2</v>
      </c>
      <c r="S124" s="10">
        <f t="shared" si="33"/>
        <v>0.115090111297407</v>
      </c>
    </row>
    <row r="125" spans="1:19" x14ac:dyDescent="0.25">
      <c r="A125" s="5" t="s">
        <v>22</v>
      </c>
      <c r="B125" s="5" t="s">
        <v>26</v>
      </c>
      <c r="C125" s="5" t="s">
        <v>27</v>
      </c>
      <c r="D125" s="5" t="s">
        <v>385</v>
      </c>
      <c r="E125" s="5" t="s">
        <v>384</v>
      </c>
      <c r="F125" s="5" t="s">
        <v>30</v>
      </c>
      <c r="G125" s="5" t="s">
        <v>392</v>
      </c>
      <c r="H125" s="5" t="s">
        <v>40</v>
      </c>
      <c r="I125" s="5" t="s">
        <v>42</v>
      </c>
      <c r="J125" s="15">
        <v>2100</v>
      </c>
      <c r="K125" s="7">
        <v>36</v>
      </c>
      <c r="L125" s="7">
        <f t="shared" si="28"/>
        <v>58.333333333333336</v>
      </c>
      <c r="M125" s="5" t="s">
        <v>9</v>
      </c>
      <c r="N125" s="5">
        <v>4</v>
      </c>
      <c r="O125" s="6">
        <f t="shared" si="29"/>
        <v>4.466145833333333</v>
      </c>
      <c r="P125" s="6">
        <f t="shared" si="30"/>
        <v>0.46447916666666667</v>
      </c>
      <c r="Q125" s="10">
        <f t="shared" si="31"/>
        <v>9.6766493055555538E-3</v>
      </c>
      <c r="R125" s="10">
        <f t="shared" si="32"/>
        <v>4.8848001391821147E-2</v>
      </c>
      <c r="S125" s="10">
        <f t="shared" si="33"/>
        <v>5.8524650697376703E-2</v>
      </c>
    </row>
    <row r="126" spans="1:19" x14ac:dyDescent="0.25">
      <c r="A126" s="5" t="s">
        <v>8</v>
      </c>
      <c r="B126" s="5" t="s">
        <v>241</v>
      </c>
      <c r="C126" s="5" t="s">
        <v>27</v>
      </c>
      <c r="D126" s="5" t="s">
        <v>385</v>
      </c>
      <c r="E126" s="5" t="s">
        <v>384</v>
      </c>
      <c r="F126" s="5" t="s">
        <v>30</v>
      </c>
      <c r="G126" s="5" t="s">
        <v>392</v>
      </c>
      <c r="H126" s="5" t="s">
        <v>40</v>
      </c>
      <c r="I126" s="5" t="s">
        <v>42</v>
      </c>
      <c r="J126" s="15">
        <v>2200</v>
      </c>
      <c r="K126" s="7">
        <v>36.5</v>
      </c>
      <c r="L126" s="7">
        <f t="shared" si="28"/>
        <v>60.273972602739725</v>
      </c>
      <c r="M126" s="5" t="s">
        <v>9</v>
      </c>
      <c r="N126" s="5">
        <v>4</v>
      </c>
      <c r="O126" s="6">
        <f t="shared" si="29"/>
        <v>4.995308688309251</v>
      </c>
      <c r="P126" s="6">
        <f t="shared" si="30"/>
        <v>0.51951210358416211</v>
      </c>
      <c r="Q126" s="10">
        <f t="shared" si="31"/>
        <v>1.0823168824670043E-2</v>
      </c>
      <c r="R126" s="10">
        <f t="shared" si="32"/>
        <v>5.3127437920794114E-2</v>
      </c>
      <c r="S126" s="10">
        <f t="shared" si="33"/>
        <v>6.3950606745464156E-2</v>
      </c>
    </row>
    <row r="127" spans="1:19" x14ac:dyDescent="0.25">
      <c r="A127" s="5" t="s">
        <v>8</v>
      </c>
      <c r="B127" s="5" t="s">
        <v>241</v>
      </c>
      <c r="C127" s="5" t="s">
        <v>27</v>
      </c>
      <c r="D127" s="5" t="s">
        <v>385</v>
      </c>
      <c r="E127" s="5" t="s">
        <v>384</v>
      </c>
      <c r="F127" s="5" t="s">
        <v>30</v>
      </c>
      <c r="G127" s="5" t="s">
        <v>392</v>
      </c>
      <c r="H127" s="5" t="s">
        <v>40</v>
      </c>
      <c r="I127" s="5" t="s">
        <v>259</v>
      </c>
      <c r="J127" s="15">
        <v>2340</v>
      </c>
      <c r="K127" s="7">
        <v>34.200000000000003</v>
      </c>
      <c r="L127" s="7">
        <f t="shared" si="28"/>
        <v>68.421052631578945</v>
      </c>
      <c r="M127" s="5" t="s">
        <v>9</v>
      </c>
      <c r="N127" s="5">
        <v>4</v>
      </c>
      <c r="O127" s="6">
        <f t="shared" si="29"/>
        <v>6.8466066481994456</v>
      </c>
      <c r="P127" s="6">
        <f t="shared" si="30"/>
        <v>0.71204709141274225</v>
      </c>
      <c r="Q127" s="10">
        <f t="shared" si="31"/>
        <v>1.4834314404432133E-2</v>
      </c>
      <c r="R127" s="10">
        <f t="shared" si="32"/>
        <v>6.7298232379061906E-2</v>
      </c>
      <c r="S127" s="10">
        <f t="shared" si="33"/>
        <v>8.2132546783494034E-2</v>
      </c>
    </row>
    <row r="128" spans="1:19" x14ac:dyDescent="0.25">
      <c r="A128" s="5" t="s">
        <v>8</v>
      </c>
      <c r="B128" s="5" t="s">
        <v>241</v>
      </c>
      <c r="C128" s="5" t="s">
        <v>27</v>
      </c>
      <c r="D128" s="5" t="s">
        <v>385</v>
      </c>
      <c r="E128" s="5" t="s">
        <v>384</v>
      </c>
      <c r="F128" s="5" t="s">
        <v>30</v>
      </c>
      <c r="G128" s="5" t="s">
        <v>392</v>
      </c>
      <c r="H128" s="5" t="s">
        <v>40</v>
      </c>
      <c r="I128" s="5" t="s">
        <v>50</v>
      </c>
      <c r="J128" s="15">
        <v>1915</v>
      </c>
      <c r="K128" s="7">
        <v>30</v>
      </c>
      <c r="L128" s="7">
        <f t="shared" si="28"/>
        <v>63.833333333333336</v>
      </c>
      <c r="M128" s="5" t="s">
        <v>9</v>
      </c>
      <c r="N128" s="5">
        <v>4</v>
      </c>
      <c r="O128" s="6">
        <f t="shared" si="29"/>
        <v>4.8768999131944453</v>
      </c>
      <c r="P128" s="6">
        <f t="shared" si="30"/>
        <v>0.50719759097222228</v>
      </c>
      <c r="Q128" s="10">
        <f t="shared" si="31"/>
        <v>1.0566616478587964E-2</v>
      </c>
      <c r="R128" s="10">
        <f t="shared" si="32"/>
        <v>5.2180111939267297E-2</v>
      </c>
      <c r="S128" s="10">
        <f t="shared" si="33"/>
        <v>6.2746728417855266E-2</v>
      </c>
    </row>
    <row r="129" spans="1:19" x14ac:dyDescent="0.25">
      <c r="A129" s="5" t="s">
        <v>8</v>
      </c>
      <c r="B129" s="5" t="s">
        <v>241</v>
      </c>
      <c r="C129" s="5" t="s">
        <v>27</v>
      </c>
      <c r="D129" s="5" t="s">
        <v>385</v>
      </c>
      <c r="E129" s="5" t="s">
        <v>384</v>
      </c>
      <c r="F129" s="5" t="s">
        <v>30</v>
      </c>
      <c r="G129" s="5" t="s">
        <v>392</v>
      </c>
      <c r="H129" s="5" t="s">
        <v>40</v>
      </c>
      <c r="I129" s="5" t="s">
        <v>262</v>
      </c>
      <c r="J129" s="15">
        <v>2100</v>
      </c>
      <c r="K129" s="7">
        <v>32</v>
      </c>
      <c r="L129" s="7">
        <f t="shared" si="28"/>
        <v>65.625</v>
      </c>
      <c r="M129" s="5" t="s">
        <v>9</v>
      </c>
      <c r="N129" s="5">
        <v>4</v>
      </c>
      <c r="O129" s="6">
        <f t="shared" si="29"/>
        <v>5.6524658203125</v>
      </c>
      <c r="P129" s="6">
        <f t="shared" si="30"/>
        <v>0.58785644531249992</v>
      </c>
      <c r="Q129" s="10">
        <f t="shared" si="31"/>
        <v>1.2247009277343748E-2</v>
      </c>
      <c r="R129" s="10">
        <f t="shared" si="32"/>
        <v>5.8287520740768706E-2</v>
      </c>
      <c r="S129" s="10">
        <f t="shared" si="33"/>
        <v>7.0534530018112454E-2</v>
      </c>
    </row>
    <row r="130" spans="1:19" x14ac:dyDescent="0.25">
      <c r="A130" s="5" t="s">
        <v>22</v>
      </c>
      <c r="B130" s="5" t="s">
        <v>26</v>
      </c>
      <c r="C130" s="5" t="s">
        <v>27</v>
      </c>
      <c r="D130" s="5" t="s">
        <v>385</v>
      </c>
      <c r="E130" s="5" t="s">
        <v>384</v>
      </c>
      <c r="F130" s="5" t="s">
        <v>30</v>
      </c>
      <c r="G130" s="5" t="s">
        <v>392</v>
      </c>
      <c r="H130" s="5" t="s">
        <v>40</v>
      </c>
      <c r="I130" s="5" t="s">
        <v>43</v>
      </c>
      <c r="J130" s="15">
        <v>2200</v>
      </c>
      <c r="K130" s="7">
        <v>36</v>
      </c>
      <c r="L130" s="7">
        <f t="shared" si="28"/>
        <v>61.111111111111114</v>
      </c>
      <c r="M130" s="5" t="s">
        <v>9</v>
      </c>
      <c r="N130" s="5">
        <v>4</v>
      </c>
      <c r="O130" s="6">
        <f t="shared" si="29"/>
        <v>5.1350308641975309</v>
      </c>
      <c r="P130" s="6">
        <f t="shared" si="30"/>
        <v>0.53404320987654319</v>
      </c>
      <c r="Q130" s="10">
        <f t="shared" si="31"/>
        <v>1.1125900205761317E-2</v>
      </c>
      <c r="R130" s="10">
        <f t="shared" si="32"/>
        <v>5.4238093824659765E-2</v>
      </c>
      <c r="S130" s="10">
        <f t="shared" si="33"/>
        <v>6.5363994030421077E-2</v>
      </c>
    </row>
    <row r="131" spans="1:19" x14ac:dyDescent="0.25">
      <c r="A131" s="5" t="s">
        <v>8</v>
      </c>
      <c r="B131" s="5" t="s">
        <v>241</v>
      </c>
      <c r="C131" s="5" t="s">
        <v>27</v>
      </c>
      <c r="D131" s="5" t="s">
        <v>385</v>
      </c>
      <c r="E131" s="5" t="s">
        <v>384</v>
      </c>
      <c r="F131" s="5" t="s">
        <v>30</v>
      </c>
      <c r="G131" s="5" t="s">
        <v>392</v>
      </c>
      <c r="H131" s="5" t="s">
        <v>40</v>
      </c>
      <c r="I131" s="5" t="s">
        <v>43</v>
      </c>
      <c r="J131" s="15">
        <v>2200</v>
      </c>
      <c r="K131" s="7">
        <v>33</v>
      </c>
      <c r="L131" s="7">
        <f t="shared" si="28"/>
        <v>66.666666666666671</v>
      </c>
      <c r="M131" s="5" t="s">
        <v>9</v>
      </c>
      <c r="N131" s="5">
        <v>4</v>
      </c>
      <c r="O131" s="6">
        <f t="shared" si="29"/>
        <v>6.1111111111111125</v>
      </c>
      <c r="P131" s="6">
        <f t="shared" si="30"/>
        <v>0.63555555555555565</v>
      </c>
      <c r="Q131" s="10">
        <f t="shared" si="31"/>
        <v>1.3240740740740742E-2</v>
      </c>
      <c r="R131" s="10">
        <f t="shared" si="32"/>
        <v>6.1799827002558427E-2</v>
      </c>
      <c r="S131" s="10">
        <f t="shared" si="33"/>
        <v>7.5040567743299175E-2</v>
      </c>
    </row>
    <row r="132" spans="1:19" x14ac:dyDescent="0.25">
      <c r="A132" s="5" t="s">
        <v>8</v>
      </c>
      <c r="B132" s="5" t="s">
        <v>241</v>
      </c>
      <c r="C132" s="5" t="s">
        <v>27</v>
      </c>
      <c r="D132" s="5" t="s">
        <v>385</v>
      </c>
      <c r="E132" s="5" t="s">
        <v>384</v>
      </c>
      <c r="F132" s="5" t="s">
        <v>30</v>
      </c>
      <c r="G132" s="5" t="s">
        <v>392</v>
      </c>
      <c r="H132" s="5" t="s">
        <v>40</v>
      </c>
      <c r="I132" s="5" t="s">
        <v>263</v>
      </c>
      <c r="J132" s="15">
        <v>2340</v>
      </c>
      <c r="K132" s="7">
        <v>42.5</v>
      </c>
      <c r="L132" s="7">
        <f t="shared" si="28"/>
        <v>55.058823529411768</v>
      </c>
      <c r="M132" s="5" t="s">
        <v>9</v>
      </c>
      <c r="N132" s="5">
        <v>4</v>
      </c>
      <c r="O132" s="6">
        <f t="shared" si="29"/>
        <v>4.4335307958477514</v>
      </c>
      <c r="P132" s="6">
        <f t="shared" si="30"/>
        <v>0.46108720276816617</v>
      </c>
      <c r="Q132" s="10">
        <f t="shared" si="31"/>
        <v>9.6059833910034607E-3</v>
      </c>
      <c r="R132" s="10">
        <f t="shared" si="32"/>
        <v>4.8580213759297074E-2</v>
      </c>
      <c r="S132" s="10">
        <f t="shared" si="33"/>
        <v>5.8186197150300531E-2</v>
      </c>
    </row>
    <row r="133" spans="1:19" x14ac:dyDescent="0.25">
      <c r="A133" s="5" t="s">
        <v>22</v>
      </c>
      <c r="B133" s="5" t="s">
        <v>26</v>
      </c>
      <c r="C133" s="5" t="s">
        <v>27</v>
      </c>
      <c r="D133" s="5" t="s">
        <v>385</v>
      </c>
      <c r="E133" s="5" t="s">
        <v>384</v>
      </c>
      <c r="F133" s="5" t="s">
        <v>30</v>
      </c>
      <c r="G133" s="5" t="s">
        <v>392</v>
      </c>
      <c r="H133" s="5" t="s">
        <v>40</v>
      </c>
      <c r="I133" s="5" t="s">
        <v>44</v>
      </c>
      <c r="J133" s="15">
        <v>3100</v>
      </c>
      <c r="K133" s="7">
        <v>40</v>
      </c>
      <c r="L133" s="7">
        <f t="shared" si="28"/>
        <v>77.5</v>
      </c>
      <c r="M133" s="5" t="s">
        <v>9</v>
      </c>
      <c r="N133" s="5">
        <v>4</v>
      </c>
      <c r="O133" s="6">
        <f t="shared" si="29"/>
        <v>11.637109375</v>
      </c>
      <c r="P133" s="6">
        <f t="shared" si="30"/>
        <v>1.2102593749999999</v>
      </c>
      <c r="Q133" s="10">
        <f t="shared" si="31"/>
        <v>2.5213736979166665E-2</v>
      </c>
      <c r="R133" s="10">
        <f t="shared" si="32"/>
        <v>0.10017998480100093</v>
      </c>
      <c r="S133" s="10">
        <f t="shared" si="33"/>
        <v>0.12539372178016761</v>
      </c>
    </row>
    <row r="134" spans="1:19" x14ac:dyDescent="0.25">
      <c r="A134" s="5" t="s">
        <v>8</v>
      </c>
      <c r="B134" s="5" t="s">
        <v>241</v>
      </c>
      <c r="C134" s="5" t="s">
        <v>27</v>
      </c>
      <c r="D134" s="5" t="s">
        <v>385</v>
      </c>
      <c r="E134" s="5" t="s">
        <v>384</v>
      </c>
      <c r="F134" s="5" t="s">
        <v>30</v>
      </c>
      <c r="G134" s="5" t="s">
        <v>392</v>
      </c>
      <c r="H134" s="5" t="s">
        <v>40</v>
      </c>
      <c r="I134" s="5" t="s">
        <v>44</v>
      </c>
      <c r="J134" s="15">
        <v>3100</v>
      </c>
      <c r="K134" s="7">
        <v>42.5</v>
      </c>
      <c r="L134" s="7">
        <f t="shared" si="28"/>
        <v>72.941176470588232</v>
      </c>
      <c r="M134" s="5" t="s">
        <v>9</v>
      </c>
      <c r="N134" s="5">
        <v>4</v>
      </c>
      <c r="O134" s="6">
        <f t="shared" si="29"/>
        <v>10.308304498269894</v>
      </c>
      <c r="P134" s="6">
        <f t="shared" si="30"/>
        <v>1.072063667820069</v>
      </c>
      <c r="Q134" s="10">
        <f t="shared" si="31"/>
        <v>2.2334659746251439E-2</v>
      </c>
      <c r="R134" s="10">
        <f t="shared" si="32"/>
        <v>9.1471869100578224E-2</v>
      </c>
      <c r="S134" s="10">
        <f t="shared" si="33"/>
        <v>0.11380652884682967</v>
      </c>
    </row>
    <row r="135" spans="1:19" x14ac:dyDescent="0.25">
      <c r="A135" s="5" t="s">
        <v>8</v>
      </c>
      <c r="B135" s="5" t="s">
        <v>241</v>
      </c>
      <c r="C135" s="5" t="s">
        <v>27</v>
      </c>
      <c r="D135" s="5" t="s">
        <v>385</v>
      </c>
      <c r="E135" s="5" t="s">
        <v>384</v>
      </c>
      <c r="F135" s="5" t="s">
        <v>30</v>
      </c>
      <c r="G135" s="5" t="s">
        <v>392</v>
      </c>
      <c r="H135" s="5" t="s">
        <v>40</v>
      </c>
      <c r="I135" s="5" t="s">
        <v>247</v>
      </c>
      <c r="J135" s="15">
        <v>2470</v>
      </c>
      <c r="K135" s="7">
        <v>33.5</v>
      </c>
      <c r="L135" s="7">
        <f t="shared" si="28"/>
        <v>73.731343283582092</v>
      </c>
      <c r="M135" s="5" t="s">
        <v>9</v>
      </c>
      <c r="N135" s="5">
        <v>4</v>
      </c>
      <c r="O135" s="6">
        <f t="shared" si="29"/>
        <v>8.3923050790822025</v>
      </c>
      <c r="P135" s="6">
        <f t="shared" si="30"/>
        <v>0.87279972822454899</v>
      </c>
      <c r="Q135" s="10">
        <f t="shared" si="31"/>
        <v>1.8183327671344771E-2</v>
      </c>
      <c r="R135" s="10">
        <f t="shared" si="32"/>
        <v>7.8398557442714095E-2</v>
      </c>
      <c r="S135" s="10">
        <f t="shared" si="33"/>
        <v>9.6581885114058866E-2</v>
      </c>
    </row>
    <row r="136" spans="1:19" x14ac:dyDescent="0.25">
      <c r="A136" s="5" t="s">
        <v>8</v>
      </c>
      <c r="B136" s="5" t="s">
        <v>241</v>
      </c>
      <c r="C136" s="5" t="s">
        <v>27</v>
      </c>
      <c r="D136" s="5" t="s">
        <v>385</v>
      </c>
      <c r="E136" s="5" t="s">
        <v>384</v>
      </c>
      <c r="F136" s="5" t="s">
        <v>30</v>
      </c>
      <c r="G136" s="5" t="s">
        <v>392</v>
      </c>
      <c r="H136" s="5" t="s">
        <v>40</v>
      </c>
      <c r="I136" s="5" t="s">
        <v>245</v>
      </c>
      <c r="J136" s="15">
        <v>1200</v>
      </c>
      <c r="K136" s="7">
        <v>18</v>
      </c>
      <c r="L136" s="7">
        <f t="shared" si="28"/>
        <v>66.666666666666671</v>
      </c>
      <c r="M136" s="5" t="s">
        <v>9</v>
      </c>
      <c r="N136" s="5">
        <v>4</v>
      </c>
      <c r="O136" s="6">
        <f t="shared" si="29"/>
        <v>3.3333333333333339</v>
      </c>
      <c r="P136" s="6">
        <f t="shared" si="30"/>
        <v>0.34666666666666673</v>
      </c>
      <c r="Q136" s="10">
        <f t="shared" si="31"/>
        <v>7.2222222222222236E-3</v>
      </c>
      <c r="R136" s="10">
        <f t="shared" si="32"/>
        <v>3.9224388638091127E-2</v>
      </c>
      <c r="S136" s="10">
        <f t="shared" si="33"/>
        <v>4.6446610860313348E-2</v>
      </c>
    </row>
    <row r="137" spans="1:19" x14ac:dyDescent="0.25">
      <c r="J137" s="16">
        <f t="shared" ref="J137:S137" si="34">AVERAGE(J76:J136)</f>
        <v>2669.7704918032787</v>
      </c>
      <c r="K137" s="12">
        <f t="shared" si="34"/>
        <v>32.090163934426229</v>
      </c>
      <c r="L137" s="12">
        <f t="shared" si="34"/>
        <v>83.303260407182407</v>
      </c>
      <c r="M137" s="11" t="e">
        <f t="shared" si="34"/>
        <v>#DIV/0!</v>
      </c>
      <c r="N137" s="11">
        <f t="shared" si="34"/>
        <v>4</v>
      </c>
      <c r="O137" s="13">
        <f t="shared" si="34"/>
        <v>18.698454566609982</v>
      </c>
      <c r="P137" s="13">
        <f t="shared" si="34"/>
        <v>1.9446392749274388</v>
      </c>
      <c r="Q137" s="14">
        <f t="shared" si="34"/>
        <v>4.0513318227654971E-2</v>
      </c>
      <c r="R137" s="14">
        <f t="shared" si="34"/>
        <v>0.12459193025491888</v>
      </c>
      <c r="S137" s="14">
        <f t="shared" si="34"/>
        <v>0.16510524848257388</v>
      </c>
    </row>
    <row r="138" spans="1:19" x14ac:dyDescent="0.25">
      <c r="A138" s="5" t="s">
        <v>22</v>
      </c>
      <c r="B138" s="5" t="s">
        <v>63</v>
      </c>
      <c r="C138" s="5" t="s">
        <v>27</v>
      </c>
      <c r="D138" s="5" t="s">
        <v>385</v>
      </c>
      <c r="E138" s="5" t="s">
        <v>384</v>
      </c>
      <c r="F138" s="5" t="s">
        <v>45</v>
      </c>
      <c r="G138" s="5" t="s">
        <v>390</v>
      </c>
      <c r="H138" s="5" t="s">
        <v>79</v>
      </c>
      <c r="I138" s="5" t="s">
        <v>80</v>
      </c>
      <c r="J138" s="15">
        <v>1225</v>
      </c>
      <c r="K138" s="7">
        <v>45</v>
      </c>
      <c r="L138" s="7">
        <f t="shared" ref="L138:L159" si="35">J138/K138</f>
        <v>27.222222222222221</v>
      </c>
      <c r="M138" s="5" t="s">
        <v>9</v>
      </c>
      <c r="N138" s="5">
        <v>4</v>
      </c>
      <c r="O138" s="6">
        <f t="shared" ref="O138:O159" si="36">(J138*L138^2)/(1.6*10^6)</f>
        <v>0.5673659336419753</v>
      </c>
      <c r="P138" s="6">
        <f t="shared" ref="P138:P159" si="37">(0.104*J138*L138^2)/(1.6*10^6)</f>
        <v>5.900605709876542E-2</v>
      </c>
      <c r="Q138" s="10">
        <f t="shared" ref="Q138:Q159" si="38">(0.104*O138)/(12*N138)</f>
        <v>1.2292928562242797E-3</v>
      </c>
      <c r="R138" s="10">
        <f t="shared" ref="R138:R159" si="39">0.0159*O138^0.75</f>
        <v>1.0394283700610837E-2</v>
      </c>
      <c r="S138" s="10">
        <f t="shared" ref="S138:S159" si="40">Q138+R138</f>
        <v>1.1623576556835116E-2</v>
      </c>
    </row>
    <row r="139" spans="1:19" x14ac:dyDescent="0.25">
      <c r="A139" s="5" t="s">
        <v>22</v>
      </c>
      <c r="B139" s="5" t="s">
        <v>63</v>
      </c>
      <c r="C139" s="5" t="s">
        <v>27</v>
      </c>
      <c r="D139" s="5" t="s">
        <v>385</v>
      </c>
      <c r="E139" s="5" t="s">
        <v>384</v>
      </c>
      <c r="F139" s="5" t="s">
        <v>45</v>
      </c>
      <c r="G139" s="5" t="s">
        <v>390</v>
      </c>
      <c r="H139" s="5" t="s">
        <v>75</v>
      </c>
      <c r="I139" s="5" t="s">
        <v>76</v>
      </c>
      <c r="J139" s="15">
        <v>1450</v>
      </c>
      <c r="K139" s="7">
        <v>48.5</v>
      </c>
      <c r="L139" s="7">
        <f t="shared" si="35"/>
        <v>29.896907216494846</v>
      </c>
      <c r="M139" s="5" t="s">
        <v>9</v>
      </c>
      <c r="N139" s="5">
        <v>4</v>
      </c>
      <c r="O139" s="6">
        <f t="shared" si="36"/>
        <v>0.81002896163247951</v>
      </c>
      <c r="P139" s="6">
        <f t="shared" si="37"/>
        <v>8.4243012009777865E-2</v>
      </c>
      <c r="Q139" s="10">
        <f t="shared" si="38"/>
        <v>1.7550627502037055E-3</v>
      </c>
      <c r="R139" s="10">
        <f t="shared" si="39"/>
        <v>1.3576022042751284E-2</v>
      </c>
      <c r="S139" s="10">
        <f t="shared" si="40"/>
        <v>1.5331084792954988E-2</v>
      </c>
    </row>
    <row r="140" spans="1:19" x14ac:dyDescent="0.25">
      <c r="A140" s="5" t="s">
        <v>8</v>
      </c>
      <c r="B140" s="5" t="s">
        <v>206</v>
      </c>
      <c r="C140" s="5" t="s">
        <v>27</v>
      </c>
      <c r="D140" s="5" t="s">
        <v>385</v>
      </c>
      <c r="E140" s="5" t="s">
        <v>384</v>
      </c>
      <c r="F140" s="5" t="s">
        <v>45</v>
      </c>
      <c r="G140" s="5" t="s">
        <v>390</v>
      </c>
      <c r="H140" s="5" t="s">
        <v>46</v>
      </c>
      <c r="I140" s="5" t="s">
        <v>207</v>
      </c>
      <c r="J140" s="15">
        <v>1100</v>
      </c>
      <c r="K140" s="7">
        <v>32</v>
      </c>
      <c r="L140" s="7">
        <f t="shared" si="35"/>
        <v>34.375</v>
      </c>
      <c r="M140" s="5" t="s">
        <v>9</v>
      </c>
      <c r="N140" s="5">
        <v>4</v>
      </c>
      <c r="O140" s="6">
        <f t="shared" si="36"/>
        <v>0.8123779296875</v>
      </c>
      <c r="P140" s="6">
        <f t="shared" si="37"/>
        <v>8.4487304687500001E-2</v>
      </c>
      <c r="Q140" s="10">
        <f t="shared" si="38"/>
        <v>1.7601521809895834E-3</v>
      </c>
      <c r="R140" s="10">
        <f t="shared" si="39"/>
        <v>1.3605537743536752E-2</v>
      </c>
      <c r="S140" s="10">
        <f t="shared" si="40"/>
        <v>1.5365689924526336E-2</v>
      </c>
    </row>
    <row r="141" spans="1:19" x14ac:dyDescent="0.25">
      <c r="A141" s="5" t="s">
        <v>8</v>
      </c>
      <c r="B141" s="5" t="s">
        <v>209</v>
      </c>
      <c r="C141" s="5" t="s">
        <v>27</v>
      </c>
      <c r="D141" s="5" t="s">
        <v>385</v>
      </c>
      <c r="E141" s="5" t="s">
        <v>384</v>
      </c>
      <c r="F141" s="5" t="s">
        <v>45</v>
      </c>
      <c r="G141" s="5" t="s">
        <v>390</v>
      </c>
      <c r="H141" s="5" t="s">
        <v>46</v>
      </c>
      <c r="I141" s="5" t="s">
        <v>207</v>
      </c>
      <c r="J141" s="15">
        <v>1580</v>
      </c>
      <c r="K141" s="7">
        <v>52.7</v>
      </c>
      <c r="L141" s="7">
        <f t="shared" si="35"/>
        <v>29.981024667931688</v>
      </c>
      <c r="M141" s="5" t="s">
        <v>9</v>
      </c>
      <c r="N141" s="5">
        <v>4</v>
      </c>
      <c r="O141" s="6">
        <f t="shared" si="36"/>
        <v>0.88762606713738934</v>
      </c>
      <c r="P141" s="6">
        <f t="shared" si="37"/>
        <v>9.231311098228849E-2</v>
      </c>
      <c r="Q141" s="10">
        <f t="shared" si="38"/>
        <v>1.9231898121310103E-3</v>
      </c>
      <c r="R141" s="10">
        <f t="shared" si="39"/>
        <v>1.4540175890565775E-2</v>
      </c>
      <c r="S141" s="10">
        <f t="shared" si="40"/>
        <v>1.6463365702696783E-2</v>
      </c>
    </row>
    <row r="142" spans="1:19" x14ac:dyDescent="0.25">
      <c r="A142" s="5" t="s">
        <v>22</v>
      </c>
      <c r="B142" s="5" t="s">
        <v>26</v>
      </c>
      <c r="C142" s="5" t="s">
        <v>27</v>
      </c>
      <c r="D142" s="5" t="s">
        <v>385</v>
      </c>
      <c r="E142" s="5" t="s">
        <v>384</v>
      </c>
      <c r="F142" s="5" t="s">
        <v>45</v>
      </c>
      <c r="G142" s="5" t="s">
        <v>390</v>
      </c>
      <c r="H142" s="5" t="s">
        <v>46</v>
      </c>
      <c r="I142" s="5" t="s">
        <v>16</v>
      </c>
      <c r="J142" s="15">
        <v>1350</v>
      </c>
      <c r="K142" s="7">
        <v>35</v>
      </c>
      <c r="L142" s="7">
        <f t="shared" si="35"/>
        <v>38.571428571428569</v>
      </c>
      <c r="M142" s="5" t="s">
        <v>9</v>
      </c>
      <c r="N142" s="5">
        <v>4</v>
      </c>
      <c r="O142" s="6">
        <f t="shared" si="36"/>
        <v>1.2552933673469386</v>
      </c>
      <c r="P142" s="6">
        <f t="shared" si="37"/>
        <v>0.13055051020408162</v>
      </c>
      <c r="Q142" s="10">
        <f t="shared" si="38"/>
        <v>2.719802295918367E-3</v>
      </c>
      <c r="R142" s="10">
        <f t="shared" si="39"/>
        <v>1.8856281365180333E-2</v>
      </c>
      <c r="S142" s="10">
        <f t="shared" si="40"/>
        <v>2.1576083661098699E-2</v>
      </c>
    </row>
    <row r="143" spans="1:19" x14ac:dyDescent="0.25">
      <c r="A143" s="5" t="s">
        <v>22</v>
      </c>
      <c r="B143" s="5" t="s">
        <v>26</v>
      </c>
      <c r="C143" s="5" t="s">
        <v>27</v>
      </c>
      <c r="D143" s="5" t="s">
        <v>385</v>
      </c>
      <c r="E143" s="5" t="s">
        <v>384</v>
      </c>
      <c r="F143" s="5" t="s">
        <v>45</v>
      </c>
      <c r="G143" s="5" t="s">
        <v>390</v>
      </c>
      <c r="H143" s="5" t="s">
        <v>46</v>
      </c>
      <c r="I143" s="5" t="s">
        <v>47</v>
      </c>
      <c r="J143" s="15">
        <v>1150</v>
      </c>
      <c r="K143" s="7">
        <v>30</v>
      </c>
      <c r="L143" s="7">
        <f t="shared" si="35"/>
        <v>38.333333333333336</v>
      </c>
      <c r="M143" s="5" t="s">
        <v>9</v>
      </c>
      <c r="N143" s="5">
        <v>4</v>
      </c>
      <c r="O143" s="6">
        <f t="shared" si="36"/>
        <v>1.0561631944444445</v>
      </c>
      <c r="P143" s="6">
        <f t="shared" si="37"/>
        <v>0.10984097222222222</v>
      </c>
      <c r="Q143" s="10">
        <f t="shared" si="38"/>
        <v>2.288353587962963E-3</v>
      </c>
      <c r="R143" s="10">
        <f t="shared" si="39"/>
        <v>1.6565150885101746E-2</v>
      </c>
      <c r="S143" s="10">
        <f t="shared" si="40"/>
        <v>1.8853504473064709E-2</v>
      </c>
    </row>
    <row r="144" spans="1:19" x14ac:dyDescent="0.25">
      <c r="A144" s="5" t="s">
        <v>8</v>
      </c>
      <c r="B144" s="5" t="s">
        <v>202</v>
      </c>
      <c r="C144" s="5" t="s">
        <v>27</v>
      </c>
      <c r="D144" s="5" t="s">
        <v>385</v>
      </c>
      <c r="E144" s="5" t="s">
        <v>384</v>
      </c>
      <c r="F144" s="5" t="s">
        <v>45</v>
      </c>
      <c r="G144" s="5" t="s">
        <v>390</v>
      </c>
      <c r="H144" s="5" t="s">
        <v>46</v>
      </c>
      <c r="I144" s="5" t="s">
        <v>203</v>
      </c>
      <c r="J144" s="15">
        <v>1220</v>
      </c>
      <c r="K144" s="7">
        <v>29.6</v>
      </c>
      <c r="L144" s="7">
        <f t="shared" si="35"/>
        <v>41.216216216216218</v>
      </c>
      <c r="M144" s="5" t="s">
        <v>9</v>
      </c>
      <c r="N144" s="5">
        <v>4</v>
      </c>
      <c r="O144" s="6">
        <f t="shared" si="36"/>
        <v>1.2953170653761872</v>
      </c>
      <c r="P144" s="6">
        <f t="shared" si="37"/>
        <v>0.13471297479912345</v>
      </c>
      <c r="Q144" s="10">
        <f t="shared" si="38"/>
        <v>2.8065203083150717E-3</v>
      </c>
      <c r="R144" s="10">
        <f t="shared" si="39"/>
        <v>1.930541712752341E-2</v>
      </c>
      <c r="S144" s="10">
        <f t="shared" si="40"/>
        <v>2.2111937435838482E-2</v>
      </c>
    </row>
    <row r="145" spans="1:19" x14ac:dyDescent="0.25">
      <c r="A145" s="5" t="s">
        <v>8</v>
      </c>
      <c r="B145" s="5" t="s">
        <v>204</v>
      </c>
      <c r="C145" s="5" t="s">
        <v>27</v>
      </c>
      <c r="D145" s="5" t="s">
        <v>385</v>
      </c>
      <c r="E145" s="5" t="s">
        <v>384</v>
      </c>
      <c r="F145" s="5" t="s">
        <v>45</v>
      </c>
      <c r="G145" s="5" t="s">
        <v>390</v>
      </c>
      <c r="H145" s="5" t="s">
        <v>46</v>
      </c>
      <c r="I145" s="5" t="s">
        <v>203</v>
      </c>
      <c r="J145" s="15">
        <v>850</v>
      </c>
      <c r="K145" s="7">
        <v>32</v>
      </c>
      <c r="L145" s="7">
        <f t="shared" si="35"/>
        <v>26.5625</v>
      </c>
      <c r="M145" s="5" t="s">
        <v>9</v>
      </c>
      <c r="N145" s="5">
        <v>4</v>
      </c>
      <c r="O145" s="6">
        <f t="shared" si="36"/>
        <v>0.3748321533203125</v>
      </c>
      <c r="P145" s="6">
        <f t="shared" si="37"/>
        <v>3.8982543945312496E-2</v>
      </c>
      <c r="Q145" s="10">
        <f t="shared" si="38"/>
        <v>8.1213633219401034E-4</v>
      </c>
      <c r="R145" s="10">
        <f t="shared" si="39"/>
        <v>7.6168385941915153E-3</v>
      </c>
      <c r="S145" s="10">
        <f t="shared" si="40"/>
        <v>8.4289749263855261E-3</v>
      </c>
    </row>
    <row r="146" spans="1:19" x14ac:dyDescent="0.25">
      <c r="A146" s="5" t="s">
        <v>8</v>
      </c>
      <c r="B146" s="5" t="s">
        <v>201</v>
      </c>
      <c r="C146" s="5" t="s">
        <v>27</v>
      </c>
      <c r="D146" s="5" t="s">
        <v>385</v>
      </c>
      <c r="E146" s="5" t="s">
        <v>384</v>
      </c>
      <c r="F146" s="5" t="s">
        <v>45</v>
      </c>
      <c r="G146" s="5" t="s">
        <v>390</v>
      </c>
      <c r="H146" s="5" t="s">
        <v>46</v>
      </c>
      <c r="I146" s="5" t="s">
        <v>203</v>
      </c>
      <c r="J146" s="15">
        <v>965</v>
      </c>
      <c r="K146" s="7">
        <v>26.5</v>
      </c>
      <c r="L146" s="7">
        <f t="shared" si="35"/>
        <v>36.415094339622641</v>
      </c>
      <c r="M146" s="5" t="s">
        <v>9</v>
      </c>
      <c r="N146" s="5">
        <v>4</v>
      </c>
      <c r="O146" s="6">
        <f t="shared" si="36"/>
        <v>0.79977939213243143</v>
      </c>
      <c r="P146" s="6">
        <f t="shared" si="37"/>
        <v>8.3177056781772868E-2</v>
      </c>
      <c r="Q146" s="10">
        <f t="shared" si="38"/>
        <v>1.732855349620268E-3</v>
      </c>
      <c r="R146" s="10">
        <f t="shared" si="39"/>
        <v>1.3446980696864171E-2</v>
      </c>
      <c r="S146" s="10">
        <f t="shared" si="40"/>
        <v>1.517983604648444E-2</v>
      </c>
    </row>
    <row r="147" spans="1:19" x14ac:dyDescent="0.25">
      <c r="A147" s="5" t="s">
        <v>22</v>
      </c>
      <c r="B147" s="5" t="s">
        <v>26</v>
      </c>
      <c r="C147" s="5" t="s">
        <v>27</v>
      </c>
      <c r="D147" s="5" t="s">
        <v>385</v>
      </c>
      <c r="E147" s="5" t="s">
        <v>384</v>
      </c>
      <c r="F147" s="5" t="s">
        <v>45</v>
      </c>
      <c r="G147" s="5" t="s">
        <v>390</v>
      </c>
      <c r="H147" s="5" t="s">
        <v>46</v>
      </c>
      <c r="I147" s="5" t="s">
        <v>11</v>
      </c>
      <c r="J147" s="15">
        <v>1450</v>
      </c>
      <c r="K147" s="7">
        <v>29</v>
      </c>
      <c r="L147" s="7">
        <f t="shared" si="35"/>
        <v>50</v>
      </c>
      <c r="M147" s="5" t="s">
        <v>9</v>
      </c>
      <c r="N147" s="5">
        <v>4</v>
      </c>
      <c r="O147" s="6">
        <f t="shared" si="36"/>
        <v>2.265625</v>
      </c>
      <c r="P147" s="6">
        <f t="shared" si="37"/>
        <v>0.23562499999999997</v>
      </c>
      <c r="Q147" s="10">
        <f t="shared" si="38"/>
        <v>4.9088541666666664E-3</v>
      </c>
      <c r="R147" s="10">
        <f t="shared" si="39"/>
        <v>2.9362169777582138E-2</v>
      </c>
      <c r="S147" s="10">
        <f t="shared" si="40"/>
        <v>3.4271023944248802E-2</v>
      </c>
    </row>
    <row r="148" spans="1:19" x14ac:dyDescent="0.25">
      <c r="A148" s="5" t="s">
        <v>8</v>
      </c>
      <c r="B148" s="5" t="s">
        <v>339</v>
      </c>
      <c r="C148" s="5" t="s">
        <v>27</v>
      </c>
      <c r="D148" s="5" t="s">
        <v>385</v>
      </c>
      <c r="E148" s="5" t="s">
        <v>384</v>
      </c>
      <c r="F148" s="5" t="s">
        <v>45</v>
      </c>
      <c r="G148" s="5" t="s">
        <v>390</v>
      </c>
      <c r="H148" s="5" t="s">
        <v>46</v>
      </c>
      <c r="I148" s="5" t="s">
        <v>216</v>
      </c>
      <c r="J148" s="15">
        <v>801</v>
      </c>
      <c r="K148" s="7">
        <v>28.6</v>
      </c>
      <c r="L148" s="7">
        <f t="shared" si="35"/>
        <v>28.006993006993007</v>
      </c>
      <c r="M148" s="5" t="s">
        <v>9</v>
      </c>
      <c r="N148" s="5">
        <v>4</v>
      </c>
      <c r="O148" s="6">
        <f t="shared" si="36"/>
        <v>0.39268607343268619</v>
      </c>
      <c r="P148" s="6">
        <f t="shared" si="37"/>
        <v>4.0839351636999366E-2</v>
      </c>
      <c r="Q148" s="10">
        <f t="shared" si="38"/>
        <v>8.5081982577081994E-4</v>
      </c>
      <c r="R148" s="10">
        <f t="shared" si="39"/>
        <v>7.8873524666107624E-3</v>
      </c>
      <c r="S148" s="10">
        <f t="shared" si="40"/>
        <v>8.7381722923815831E-3</v>
      </c>
    </row>
    <row r="149" spans="1:19" x14ac:dyDescent="0.25">
      <c r="A149" s="5" t="s">
        <v>22</v>
      </c>
      <c r="B149" s="5" t="s">
        <v>63</v>
      </c>
      <c r="C149" s="5" t="s">
        <v>27</v>
      </c>
      <c r="D149" s="5" t="s">
        <v>385</v>
      </c>
      <c r="E149" s="5" t="s">
        <v>384</v>
      </c>
      <c r="F149" s="5" t="s">
        <v>45</v>
      </c>
      <c r="G149" s="5" t="s">
        <v>390</v>
      </c>
      <c r="H149" s="5" t="s">
        <v>46</v>
      </c>
      <c r="I149" s="5" t="s">
        <v>152</v>
      </c>
      <c r="J149" s="15">
        <v>1900</v>
      </c>
      <c r="K149" s="7">
        <v>49.5</v>
      </c>
      <c r="L149" s="7">
        <f t="shared" si="35"/>
        <v>38.383838383838381</v>
      </c>
      <c r="M149" s="5" t="s">
        <v>9</v>
      </c>
      <c r="N149" s="5">
        <v>4</v>
      </c>
      <c r="O149" s="6">
        <f t="shared" si="36"/>
        <v>1.7495663707784919</v>
      </c>
      <c r="P149" s="6">
        <f t="shared" si="37"/>
        <v>0.18195490256096314</v>
      </c>
      <c r="Q149" s="10">
        <f t="shared" si="38"/>
        <v>3.7907271366867321E-3</v>
      </c>
      <c r="R149" s="10">
        <f t="shared" si="39"/>
        <v>2.4187720476462712E-2</v>
      </c>
      <c r="S149" s="10">
        <f t="shared" si="40"/>
        <v>2.7978447613149444E-2</v>
      </c>
    </row>
    <row r="150" spans="1:19" x14ac:dyDescent="0.25">
      <c r="A150" s="5" t="s">
        <v>8</v>
      </c>
      <c r="B150" s="5" t="s">
        <v>375</v>
      </c>
      <c r="C150" s="5" t="s">
        <v>27</v>
      </c>
      <c r="D150" s="5" t="s">
        <v>385</v>
      </c>
      <c r="E150" s="5" t="s">
        <v>384</v>
      </c>
      <c r="F150" s="5" t="s">
        <v>45</v>
      </c>
      <c r="G150" s="5" t="s">
        <v>390</v>
      </c>
      <c r="H150" s="5" t="s">
        <v>46</v>
      </c>
      <c r="I150" s="5" t="s">
        <v>152</v>
      </c>
      <c r="J150" s="15">
        <v>1900</v>
      </c>
      <c r="K150" s="7">
        <v>50</v>
      </c>
      <c r="L150" s="7">
        <f t="shared" si="35"/>
        <v>38</v>
      </c>
      <c r="M150" s="5" t="s">
        <v>9</v>
      </c>
      <c r="N150" s="5">
        <v>4</v>
      </c>
      <c r="O150" s="6">
        <f t="shared" si="36"/>
        <v>1.71475</v>
      </c>
      <c r="P150" s="6">
        <f t="shared" si="37"/>
        <v>0.17833399999999996</v>
      </c>
      <c r="Q150" s="10">
        <f t="shared" si="38"/>
        <v>3.7152916666666667E-3</v>
      </c>
      <c r="R150" s="10">
        <f t="shared" si="39"/>
        <v>2.3825813226263679E-2</v>
      </c>
      <c r="S150" s="10">
        <f t="shared" si="40"/>
        <v>2.7541104892930345E-2</v>
      </c>
    </row>
    <row r="151" spans="1:19" x14ac:dyDescent="0.25">
      <c r="A151" s="5" t="s">
        <v>22</v>
      </c>
      <c r="B151" s="5" t="s">
        <v>26</v>
      </c>
      <c r="C151" s="5" t="s">
        <v>27</v>
      </c>
      <c r="D151" s="5" t="s">
        <v>385</v>
      </c>
      <c r="E151" s="5" t="s">
        <v>384</v>
      </c>
      <c r="F151" s="5" t="s">
        <v>45</v>
      </c>
      <c r="G151" s="5" t="s">
        <v>390</v>
      </c>
      <c r="H151" s="5" t="s">
        <v>46</v>
      </c>
      <c r="I151" s="5" t="s">
        <v>48</v>
      </c>
      <c r="J151" s="15">
        <v>1150</v>
      </c>
      <c r="K151" s="7">
        <v>34</v>
      </c>
      <c r="L151" s="7">
        <f t="shared" si="35"/>
        <v>33.823529411764703</v>
      </c>
      <c r="M151" s="5" t="s">
        <v>9</v>
      </c>
      <c r="N151" s="5">
        <v>4</v>
      </c>
      <c r="O151" s="6">
        <f t="shared" si="36"/>
        <v>0.8222723832179929</v>
      </c>
      <c r="P151" s="6">
        <f t="shared" si="37"/>
        <v>8.5516327854671254E-2</v>
      </c>
      <c r="Q151" s="10">
        <f t="shared" si="38"/>
        <v>1.7815901636389845E-3</v>
      </c>
      <c r="R151" s="10">
        <f t="shared" si="39"/>
        <v>1.3729632180540055E-2</v>
      </c>
      <c r="S151" s="10">
        <f t="shared" si="40"/>
        <v>1.5511222344179039E-2</v>
      </c>
    </row>
    <row r="152" spans="1:19" x14ac:dyDescent="0.25">
      <c r="A152" s="5" t="s">
        <v>22</v>
      </c>
      <c r="B152" s="5" t="s">
        <v>26</v>
      </c>
      <c r="C152" s="5" t="s">
        <v>27</v>
      </c>
      <c r="D152" s="5" t="s">
        <v>385</v>
      </c>
      <c r="E152" s="5" t="s">
        <v>384</v>
      </c>
      <c r="F152" s="5" t="s">
        <v>45</v>
      </c>
      <c r="G152" s="5" t="s">
        <v>390</v>
      </c>
      <c r="H152" s="5" t="s">
        <v>46</v>
      </c>
      <c r="I152" s="5" t="s">
        <v>49</v>
      </c>
      <c r="J152" s="15">
        <v>1400</v>
      </c>
      <c r="K152" s="7">
        <v>37.5</v>
      </c>
      <c r="L152" s="7">
        <f t="shared" si="35"/>
        <v>37.333333333333336</v>
      </c>
      <c r="M152" s="5" t="s">
        <v>9</v>
      </c>
      <c r="N152" s="5">
        <v>4</v>
      </c>
      <c r="O152" s="6">
        <f t="shared" si="36"/>
        <v>1.2195555555555557</v>
      </c>
      <c r="P152" s="6">
        <f t="shared" si="37"/>
        <v>0.1268337777777778</v>
      </c>
      <c r="Q152" s="10">
        <f t="shared" si="38"/>
        <v>2.6423703703703709E-3</v>
      </c>
      <c r="R152" s="10">
        <f t="shared" si="39"/>
        <v>1.8452206917572135E-2</v>
      </c>
      <c r="S152" s="10">
        <f t="shared" si="40"/>
        <v>2.1094577287942506E-2</v>
      </c>
    </row>
    <row r="153" spans="1:19" x14ac:dyDescent="0.25">
      <c r="A153" s="5" t="s">
        <v>22</v>
      </c>
      <c r="B153" s="5" t="s">
        <v>26</v>
      </c>
      <c r="C153" s="5" t="s">
        <v>27</v>
      </c>
      <c r="D153" s="5" t="s">
        <v>385</v>
      </c>
      <c r="E153" s="5" t="s">
        <v>384</v>
      </c>
      <c r="F153" s="5" t="s">
        <v>45</v>
      </c>
      <c r="G153" s="5" t="s">
        <v>390</v>
      </c>
      <c r="H153" s="5" t="s">
        <v>46</v>
      </c>
      <c r="I153" s="5" t="s">
        <v>50</v>
      </c>
      <c r="J153" s="15">
        <v>1650</v>
      </c>
      <c r="K153" s="7">
        <v>30</v>
      </c>
      <c r="L153" s="7">
        <f t="shared" si="35"/>
        <v>55</v>
      </c>
      <c r="M153" s="5" t="s">
        <v>9</v>
      </c>
      <c r="N153" s="5">
        <v>4</v>
      </c>
      <c r="O153" s="6">
        <f t="shared" si="36"/>
        <v>3.1195312500000001</v>
      </c>
      <c r="P153" s="6">
        <f t="shared" si="37"/>
        <v>0.32443125</v>
      </c>
      <c r="Q153" s="10">
        <f t="shared" si="38"/>
        <v>6.7589843749999998E-3</v>
      </c>
      <c r="R153" s="10">
        <f t="shared" si="39"/>
        <v>3.7321933071527903E-2</v>
      </c>
      <c r="S153" s="10">
        <f t="shared" si="40"/>
        <v>4.4080917446527902E-2</v>
      </c>
    </row>
    <row r="154" spans="1:19" x14ac:dyDescent="0.25">
      <c r="A154" s="5" t="s">
        <v>8</v>
      </c>
      <c r="B154" s="5" t="s">
        <v>233</v>
      </c>
      <c r="C154" s="5" t="s">
        <v>27</v>
      </c>
      <c r="D154" s="5" t="s">
        <v>385</v>
      </c>
      <c r="E154" s="5" t="s">
        <v>384</v>
      </c>
      <c r="F154" s="5" t="s">
        <v>45</v>
      </c>
      <c r="G154" s="5" t="s">
        <v>390</v>
      </c>
      <c r="H154" s="5" t="s">
        <v>46</v>
      </c>
      <c r="I154" s="5" t="s">
        <v>234</v>
      </c>
      <c r="J154" s="15">
        <v>1350</v>
      </c>
      <c r="K154" s="7">
        <v>40</v>
      </c>
      <c r="L154" s="7">
        <f t="shared" si="35"/>
        <v>33.75</v>
      </c>
      <c r="M154" s="5" t="s">
        <v>9</v>
      </c>
      <c r="N154" s="5">
        <v>4</v>
      </c>
      <c r="O154" s="6">
        <f t="shared" si="36"/>
        <v>0.96108398437499998</v>
      </c>
      <c r="P154" s="6">
        <f t="shared" si="37"/>
        <v>9.9952734375000005E-2</v>
      </c>
      <c r="Q154" s="10">
        <f t="shared" si="38"/>
        <v>2.0823486328124998E-3</v>
      </c>
      <c r="R154" s="10">
        <f t="shared" si="39"/>
        <v>1.5433631599993865E-2</v>
      </c>
      <c r="S154" s="10">
        <f t="shared" si="40"/>
        <v>1.7515980232806365E-2</v>
      </c>
    </row>
    <row r="155" spans="1:19" x14ac:dyDescent="0.25">
      <c r="A155" s="5" t="s">
        <v>22</v>
      </c>
      <c r="B155" s="5" t="s">
        <v>26</v>
      </c>
      <c r="C155" s="5" t="s">
        <v>27</v>
      </c>
      <c r="D155" s="5" t="s">
        <v>385</v>
      </c>
      <c r="E155" s="5" t="s">
        <v>384</v>
      </c>
      <c r="F155" s="5" t="s">
        <v>45</v>
      </c>
      <c r="G155" s="5" t="s">
        <v>390</v>
      </c>
      <c r="H155" s="5" t="s">
        <v>46</v>
      </c>
      <c r="I155" s="5" t="s">
        <v>51</v>
      </c>
      <c r="J155" s="15">
        <v>1400</v>
      </c>
      <c r="K155" s="7">
        <v>40</v>
      </c>
      <c r="L155" s="7">
        <f t="shared" si="35"/>
        <v>35</v>
      </c>
      <c r="M155" s="5" t="s">
        <v>9</v>
      </c>
      <c r="N155" s="5">
        <v>4</v>
      </c>
      <c r="O155" s="6">
        <f t="shared" si="36"/>
        <v>1.0718749999999999</v>
      </c>
      <c r="P155" s="6">
        <f t="shared" si="37"/>
        <v>0.111475</v>
      </c>
      <c r="Q155" s="10">
        <f t="shared" si="38"/>
        <v>2.322395833333333E-3</v>
      </c>
      <c r="R155" s="10">
        <f t="shared" si="39"/>
        <v>1.6749630490436755E-2</v>
      </c>
      <c r="S155" s="10">
        <f t="shared" si="40"/>
        <v>1.9072026323770089E-2</v>
      </c>
    </row>
    <row r="156" spans="1:19" x14ac:dyDescent="0.25">
      <c r="A156" s="5" t="s">
        <v>8</v>
      </c>
      <c r="B156" s="5" t="s">
        <v>192</v>
      </c>
      <c r="C156" s="5" t="s">
        <v>27</v>
      </c>
      <c r="D156" s="5" t="s">
        <v>385</v>
      </c>
      <c r="E156" s="5" t="s">
        <v>384</v>
      </c>
      <c r="F156" s="5" t="s">
        <v>45</v>
      </c>
      <c r="G156" s="5" t="s">
        <v>390</v>
      </c>
      <c r="H156" s="5" t="s">
        <v>46</v>
      </c>
      <c r="I156" s="5" t="s">
        <v>213</v>
      </c>
      <c r="J156" s="15">
        <v>960</v>
      </c>
      <c r="K156" s="7">
        <v>25.9</v>
      </c>
      <c r="L156" s="7">
        <f t="shared" si="35"/>
        <v>37.06563706563707</v>
      </c>
      <c r="M156" s="5" t="s">
        <v>9</v>
      </c>
      <c r="N156" s="5">
        <v>4</v>
      </c>
      <c r="O156" s="6">
        <f t="shared" si="36"/>
        <v>0.82431687064891723</v>
      </c>
      <c r="P156" s="6">
        <f t="shared" si="37"/>
        <v>8.5728954547487371E-2</v>
      </c>
      <c r="Q156" s="10">
        <f t="shared" si="38"/>
        <v>1.7860198864059873E-3</v>
      </c>
      <c r="R156" s="10">
        <f t="shared" si="39"/>
        <v>1.3755227116500256E-2</v>
      </c>
      <c r="S156" s="10">
        <f t="shared" si="40"/>
        <v>1.5541247002906242E-2</v>
      </c>
    </row>
    <row r="157" spans="1:19" x14ac:dyDescent="0.25">
      <c r="A157" s="5" t="s">
        <v>22</v>
      </c>
      <c r="B157" s="5" t="s">
        <v>63</v>
      </c>
      <c r="C157" s="5" t="s">
        <v>27</v>
      </c>
      <c r="D157" s="5" t="s">
        <v>385</v>
      </c>
      <c r="E157" s="5" t="s">
        <v>384</v>
      </c>
      <c r="F157" s="5" t="s">
        <v>45</v>
      </c>
      <c r="G157" s="5" t="s">
        <v>390</v>
      </c>
      <c r="H157" s="5" t="s">
        <v>46</v>
      </c>
      <c r="I157" s="5" t="s">
        <v>153</v>
      </c>
      <c r="J157" s="15">
        <v>1620</v>
      </c>
      <c r="K157" s="7">
        <v>41</v>
      </c>
      <c r="L157" s="7">
        <f t="shared" si="35"/>
        <v>39.512195121951223</v>
      </c>
      <c r="M157" s="5" t="s">
        <v>9</v>
      </c>
      <c r="N157" s="5">
        <v>4</v>
      </c>
      <c r="O157" s="6">
        <f t="shared" si="36"/>
        <v>1.5807287328970852</v>
      </c>
      <c r="P157" s="6">
        <f t="shared" si="37"/>
        <v>0.16439578822129686</v>
      </c>
      <c r="Q157" s="10">
        <f t="shared" si="38"/>
        <v>3.424912254610351E-3</v>
      </c>
      <c r="R157" s="10">
        <f t="shared" si="39"/>
        <v>2.241507183266496E-2</v>
      </c>
      <c r="S157" s="10">
        <f t="shared" si="40"/>
        <v>2.5839984087275312E-2</v>
      </c>
    </row>
    <row r="158" spans="1:19" x14ac:dyDescent="0.25">
      <c r="A158" s="5" t="s">
        <v>8</v>
      </c>
      <c r="B158" s="5" t="s">
        <v>375</v>
      </c>
      <c r="C158" s="5" t="s">
        <v>27</v>
      </c>
      <c r="D158" s="5" t="s">
        <v>385</v>
      </c>
      <c r="E158" s="5" t="s">
        <v>384</v>
      </c>
      <c r="F158" s="5" t="s">
        <v>45</v>
      </c>
      <c r="G158" s="5" t="s">
        <v>390</v>
      </c>
      <c r="H158" s="5" t="s">
        <v>46</v>
      </c>
      <c r="I158" s="5" t="s">
        <v>153</v>
      </c>
      <c r="J158" s="15">
        <v>1570</v>
      </c>
      <c r="K158" s="7">
        <v>41.7</v>
      </c>
      <c r="L158" s="7">
        <f t="shared" si="35"/>
        <v>37.649880095923258</v>
      </c>
      <c r="M158" s="5" t="s">
        <v>9</v>
      </c>
      <c r="N158" s="5">
        <v>4</v>
      </c>
      <c r="O158" s="6">
        <f t="shared" si="36"/>
        <v>1.3909350936516971</v>
      </c>
      <c r="P158" s="6">
        <f t="shared" si="37"/>
        <v>0.14465724973977651</v>
      </c>
      <c r="Q158" s="10">
        <f t="shared" si="38"/>
        <v>3.01369270291201E-3</v>
      </c>
      <c r="R158" s="10">
        <f t="shared" si="39"/>
        <v>2.0364665116242991E-2</v>
      </c>
      <c r="S158" s="10">
        <f t="shared" si="40"/>
        <v>2.3378357819155003E-2</v>
      </c>
    </row>
    <row r="159" spans="1:19" x14ac:dyDescent="0.25">
      <c r="A159" s="5" t="s">
        <v>22</v>
      </c>
      <c r="B159" s="5" t="s">
        <v>63</v>
      </c>
      <c r="C159" s="5" t="s">
        <v>27</v>
      </c>
      <c r="D159" s="5" t="s">
        <v>385</v>
      </c>
      <c r="E159" s="5" t="s">
        <v>384</v>
      </c>
      <c r="F159" s="5" t="s">
        <v>45</v>
      </c>
      <c r="G159" s="5" t="s">
        <v>390</v>
      </c>
      <c r="H159" s="5" t="s">
        <v>74</v>
      </c>
      <c r="I159" s="5" t="s">
        <v>24</v>
      </c>
      <c r="J159" s="15">
        <v>1200</v>
      </c>
      <c r="K159" s="7">
        <v>33</v>
      </c>
      <c r="L159" s="7">
        <f t="shared" si="35"/>
        <v>36.363636363636367</v>
      </c>
      <c r="M159" s="5" t="s">
        <v>9</v>
      </c>
      <c r="N159" s="5">
        <v>4</v>
      </c>
      <c r="O159" s="6">
        <f t="shared" si="36"/>
        <v>0.99173553719008278</v>
      </c>
      <c r="P159" s="6">
        <f t="shared" si="37"/>
        <v>0.10314049586776862</v>
      </c>
      <c r="Q159" s="10">
        <f t="shared" si="38"/>
        <v>2.1487603305785125E-3</v>
      </c>
      <c r="R159" s="10">
        <f t="shared" si="39"/>
        <v>1.5801344117068697E-2</v>
      </c>
      <c r="S159" s="10">
        <f t="shared" si="40"/>
        <v>1.7950104447647209E-2</v>
      </c>
    </row>
    <row r="160" spans="1:19" x14ac:dyDescent="0.25">
      <c r="J160" s="16">
        <f>AVERAGE(J138:J159)</f>
        <v>1329.1363636363637</v>
      </c>
      <c r="K160" s="12">
        <f t="shared" ref="K160:S160" si="41">AVERAGE(K138:K159)</f>
        <v>36.88636363636364</v>
      </c>
      <c r="L160" s="12">
        <f t="shared" si="41"/>
        <v>36.475580425014854</v>
      </c>
      <c r="M160" s="11" t="e">
        <f t="shared" si="41"/>
        <v>#DIV/0!</v>
      </c>
      <c r="N160" s="11">
        <f t="shared" si="41"/>
        <v>4</v>
      </c>
      <c r="O160" s="13">
        <f t="shared" si="41"/>
        <v>1.1801566325666895</v>
      </c>
      <c r="P160" s="13">
        <f t="shared" si="41"/>
        <v>0.1227362897869357</v>
      </c>
      <c r="Q160" s="14">
        <f t="shared" si="41"/>
        <v>2.5570060372278273E-3</v>
      </c>
      <c r="R160" s="14">
        <f t="shared" si="41"/>
        <v>1.7599685747081484E-2</v>
      </c>
      <c r="S160" s="14">
        <f t="shared" si="41"/>
        <v>2.0156691784309316E-2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6"/>
  <sheetViews>
    <sheetView topLeftCell="C1" workbookViewId="0">
      <pane ySplit="1" topLeftCell="A181" activePane="bottomLeft" state="frozen"/>
      <selection pane="bottomLeft" activeCell="C191" sqref="A191:XFD191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905</v>
      </c>
      <c r="K2" s="7">
        <v>17.5</v>
      </c>
      <c r="L2" s="7">
        <f>J2/K2</f>
        <v>51.714285714285715</v>
      </c>
      <c r="M2" s="5" t="s">
        <v>10</v>
      </c>
      <c r="N2" s="5">
        <v>4</v>
      </c>
      <c r="O2" s="6">
        <f>(J2*L2^2)/(1.6*10^6)</f>
        <v>1.5126890306122449</v>
      </c>
      <c r="P2" s="6">
        <f>(0.104*J2*L2^2)/(1.6*10^6)</f>
        <v>0.15731965918367344</v>
      </c>
      <c r="Q2" s="10">
        <f>(0.104*O2)/(12*N2)</f>
        <v>3.2774928996598639E-3</v>
      </c>
      <c r="R2" s="10">
        <f>0.0159*O2^0.75</f>
        <v>2.16874937766043E-2</v>
      </c>
      <c r="S2" s="10">
        <f>Q2+R2</f>
        <v>2.4964986676264164E-2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1000</v>
      </c>
      <c r="K3" s="7">
        <v>18</v>
      </c>
      <c r="L3" s="7">
        <f>J3/K3</f>
        <v>55.555555555555557</v>
      </c>
      <c r="M3" s="5" t="s">
        <v>10</v>
      </c>
      <c r="N3" s="5">
        <v>4</v>
      </c>
      <c r="O3" s="6">
        <f>(J3*L3^2)/(1.6*10^6)</f>
        <v>1.9290123456790123</v>
      </c>
      <c r="P3" s="6">
        <f>(0.104*J3*L3^2)/(1.6*10^6)</f>
        <v>0.20061728395061729</v>
      </c>
      <c r="Q3" s="10">
        <f>(0.104*O3)/(12*N3)</f>
        <v>4.1795267489711926E-3</v>
      </c>
      <c r="R3" s="10">
        <f>0.0159*O3^0.75</f>
        <v>2.602545791867154E-2</v>
      </c>
      <c r="S3" s="10">
        <f>Q3+R3</f>
        <v>3.0204984667642733E-2</v>
      </c>
    </row>
    <row r="4" spans="1:19" x14ac:dyDescent="0.25">
      <c r="A4" s="5" t="s">
        <v>8</v>
      </c>
      <c r="B4" s="5" t="s">
        <v>322</v>
      </c>
      <c r="C4" s="5" t="s">
        <v>27</v>
      </c>
      <c r="D4" s="5" t="s">
        <v>389</v>
      </c>
      <c r="E4" s="5" t="s">
        <v>388</v>
      </c>
      <c r="F4" s="5" t="s">
        <v>135</v>
      </c>
      <c r="G4" s="5" t="s">
        <v>407</v>
      </c>
      <c r="H4" s="5" t="s">
        <v>29</v>
      </c>
      <c r="I4" s="5" t="s">
        <v>13</v>
      </c>
      <c r="J4" s="15">
        <v>1100</v>
      </c>
      <c r="K4" s="7">
        <v>34</v>
      </c>
      <c r="L4" s="7">
        <f>J4/K4</f>
        <v>32.352941176470587</v>
      </c>
      <c r="M4" s="5" t="s">
        <v>10</v>
      </c>
      <c r="N4" s="5">
        <v>4</v>
      </c>
      <c r="O4" s="6">
        <f>(J4*L4^2)/(1.6*10^6)</f>
        <v>0.71961505190311426</v>
      </c>
      <c r="P4" s="6">
        <f>(0.104*J4*L4^2)/(1.6*10^6)</f>
        <v>7.4839965397923869E-2</v>
      </c>
      <c r="Q4" s="10">
        <f>(0.104*O4)/(12*N4)</f>
        <v>1.559165945790081E-3</v>
      </c>
      <c r="R4" s="10">
        <f>0.0159*O4^0.75</f>
        <v>1.2422880378669576E-2</v>
      </c>
      <c r="S4" s="10">
        <f>Q4+R4</f>
        <v>1.3982046324459657E-2</v>
      </c>
    </row>
    <row r="5" spans="1:19" x14ac:dyDescent="0.25">
      <c r="J5" s="16">
        <f>AVERAGE(J2:J4)</f>
        <v>1001.6666666666666</v>
      </c>
      <c r="K5" s="12">
        <f t="shared" ref="K5:S5" si="0">AVERAGE(K2:K4)</f>
        <v>23.166666666666668</v>
      </c>
      <c r="L5" s="12">
        <f t="shared" si="0"/>
        <v>46.540927482103946</v>
      </c>
      <c r="M5" s="11" t="e">
        <f t="shared" si="0"/>
        <v>#DIV/0!</v>
      </c>
      <c r="N5" s="11">
        <f t="shared" si="0"/>
        <v>4</v>
      </c>
      <c r="O5" s="13">
        <f t="shared" si="0"/>
        <v>1.3871054760647903</v>
      </c>
      <c r="P5" s="13">
        <f t="shared" si="0"/>
        <v>0.14425896951073819</v>
      </c>
      <c r="Q5" s="14">
        <f t="shared" si="0"/>
        <v>3.0053951981403788E-3</v>
      </c>
      <c r="R5" s="14">
        <f t="shared" si="0"/>
        <v>2.0045277357981808E-2</v>
      </c>
      <c r="S5" s="14">
        <f t="shared" si="0"/>
        <v>2.3050672556122184E-2</v>
      </c>
    </row>
    <row r="6" spans="1:19" x14ac:dyDescent="0.25">
      <c r="A6" s="5" t="s">
        <v>22</v>
      </c>
      <c r="B6" s="5" t="s">
        <v>63</v>
      </c>
      <c r="C6" s="5" t="s">
        <v>27</v>
      </c>
      <c r="D6" s="5" t="s">
        <v>389</v>
      </c>
      <c r="E6" s="5" t="s">
        <v>388</v>
      </c>
      <c r="F6" s="5" t="s">
        <v>28</v>
      </c>
      <c r="G6" s="5" t="s">
        <v>398</v>
      </c>
      <c r="H6" s="5" t="s">
        <v>133</v>
      </c>
      <c r="I6" s="5" t="s">
        <v>134</v>
      </c>
      <c r="J6" s="15">
        <v>1075</v>
      </c>
      <c r="K6" s="7">
        <v>42</v>
      </c>
      <c r="L6" s="7">
        <f>J6/K6</f>
        <v>25.595238095238095</v>
      </c>
      <c r="M6" s="5" t="s">
        <v>10</v>
      </c>
      <c r="N6" s="5">
        <v>4</v>
      </c>
      <c r="O6" s="6">
        <f>(J6*L6^2)/(1.6*10^6)</f>
        <v>0.44015620571145125</v>
      </c>
      <c r="P6" s="6">
        <f>(0.104*J6*L6^2)/(1.6*10^6)</f>
        <v>4.577624539399093E-2</v>
      </c>
      <c r="Q6" s="10">
        <f>(0.104*O6)/(12*N6)</f>
        <v>9.5367177904147771E-4</v>
      </c>
      <c r="R6" s="10">
        <f>0.0159*O6^0.75</f>
        <v>8.5921578355539034E-3</v>
      </c>
      <c r="S6" s="10">
        <f>Q6+R6</f>
        <v>9.5458296145953803E-3</v>
      </c>
    </row>
    <row r="7" spans="1:19" x14ac:dyDescent="0.25">
      <c r="A7" s="5" t="s">
        <v>22</v>
      </c>
      <c r="B7" s="5" t="s">
        <v>63</v>
      </c>
      <c r="C7" s="5" t="s">
        <v>27</v>
      </c>
      <c r="D7" s="5" t="s">
        <v>389</v>
      </c>
      <c r="E7" s="5" t="s">
        <v>388</v>
      </c>
      <c r="F7" s="5" t="s">
        <v>28</v>
      </c>
      <c r="G7" s="5" t="s">
        <v>398</v>
      </c>
      <c r="H7" s="5" t="s">
        <v>133</v>
      </c>
      <c r="I7" s="5" t="s">
        <v>25</v>
      </c>
      <c r="J7" s="15">
        <v>2100</v>
      </c>
      <c r="K7" s="7">
        <v>49</v>
      </c>
      <c r="L7" s="7">
        <f>J7/K7</f>
        <v>42.857142857142854</v>
      </c>
      <c r="M7" s="5" t="s">
        <v>10</v>
      </c>
      <c r="N7" s="5">
        <v>4</v>
      </c>
      <c r="O7" s="6">
        <f>(J7*L7^2)/(1.6*10^6)</f>
        <v>2.4107142857142856</v>
      </c>
      <c r="P7" s="6">
        <f>(0.104*J7*L7^2)/(1.6*10^6)</f>
        <v>0.25071428571428567</v>
      </c>
      <c r="Q7" s="10">
        <f>(0.104*O7)/(12*N7)</f>
        <v>5.223214285714285E-3</v>
      </c>
      <c r="R7" s="10">
        <f>0.0159*O7^0.75</f>
        <v>3.0761423617006903E-2</v>
      </c>
      <c r="S7" s="10">
        <f>Q7+R7</f>
        <v>3.5984637902721189E-2</v>
      </c>
    </row>
    <row r="8" spans="1:19" x14ac:dyDescent="0.25">
      <c r="J8" s="16">
        <f>AVERAGE(J6:J7)</f>
        <v>1587.5</v>
      </c>
      <c r="K8" s="12">
        <f t="shared" ref="K8:S8" si="1">AVERAGE(K6:K7)</f>
        <v>45.5</v>
      </c>
      <c r="L8" s="12">
        <f t="shared" si="1"/>
        <v>34.226190476190474</v>
      </c>
      <c r="M8" s="11" t="e">
        <f t="shared" si="1"/>
        <v>#DIV/0!</v>
      </c>
      <c r="N8" s="11">
        <f t="shared" si="1"/>
        <v>4</v>
      </c>
      <c r="O8" s="13">
        <f t="shared" si="1"/>
        <v>1.4254352457128685</v>
      </c>
      <c r="P8" s="13">
        <f t="shared" si="1"/>
        <v>0.14824526555413831</v>
      </c>
      <c r="Q8" s="14">
        <f t="shared" si="1"/>
        <v>3.0884430323778814E-3</v>
      </c>
      <c r="R8" s="14">
        <f t="shared" si="1"/>
        <v>1.9676790726280403E-2</v>
      </c>
      <c r="S8" s="14">
        <f t="shared" si="1"/>
        <v>2.2765233758658285E-2</v>
      </c>
    </row>
    <row r="9" spans="1:19" x14ac:dyDescent="0.25">
      <c r="A9" s="5" t="s">
        <v>22</v>
      </c>
      <c r="B9" s="5" t="s">
        <v>63</v>
      </c>
      <c r="C9" s="5" t="s">
        <v>27</v>
      </c>
      <c r="D9" s="5" t="s">
        <v>389</v>
      </c>
      <c r="E9" s="5" t="s">
        <v>396</v>
      </c>
      <c r="F9" s="5" t="s">
        <v>136</v>
      </c>
      <c r="G9" s="5" t="s">
        <v>399</v>
      </c>
      <c r="H9" s="5" t="s">
        <v>137</v>
      </c>
      <c r="I9" s="5" t="s">
        <v>138</v>
      </c>
      <c r="J9" s="15">
        <v>1110</v>
      </c>
      <c r="K9" s="7">
        <v>29</v>
      </c>
      <c r="L9" s="7">
        <f t="shared" ref="L9:L14" si="2">J9/K9</f>
        <v>38.275862068965516</v>
      </c>
      <c r="M9" s="5" t="s">
        <v>10</v>
      </c>
      <c r="N9" s="5">
        <v>4</v>
      </c>
      <c r="O9" s="6">
        <f t="shared" ref="O9:O14" si="3">(J9*L9^2)/(1.6*10^6)</f>
        <v>1.0163726218787157</v>
      </c>
      <c r="P9" s="6">
        <f t="shared" ref="P9:P14" si="4">(0.104*J9*L9^2)/(1.6*10^6)</f>
        <v>0.10570275267538644</v>
      </c>
      <c r="Q9" s="10">
        <f t="shared" ref="Q9:Q14" si="5">(0.104*O9)/(12*N9)</f>
        <v>2.202140680737217E-3</v>
      </c>
      <c r="R9" s="10">
        <f t="shared" ref="R9:R14" si="6">0.0159*O9^0.75</f>
        <v>1.609484663594286E-2</v>
      </c>
      <c r="S9" s="10">
        <f t="shared" ref="S9:S14" si="7">Q9+R9</f>
        <v>1.8296987316680079E-2</v>
      </c>
    </row>
    <row r="10" spans="1:19" x14ac:dyDescent="0.25">
      <c r="A10" s="5" t="s">
        <v>22</v>
      </c>
      <c r="B10" s="5" t="s">
        <v>63</v>
      </c>
      <c r="C10" s="5" t="s">
        <v>27</v>
      </c>
      <c r="D10" s="5" t="s">
        <v>389</v>
      </c>
      <c r="E10" s="5" t="s">
        <v>396</v>
      </c>
      <c r="F10" s="5" t="s">
        <v>136</v>
      </c>
      <c r="G10" s="5" t="s">
        <v>399</v>
      </c>
      <c r="H10" s="5" t="s">
        <v>139</v>
      </c>
      <c r="I10" s="5" t="s">
        <v>17</v>
      </c>
      <c r="J10" s="15">
        <v>935</v>
      </c>
      <c r="K10" s="7">
        <v>26</v>
      </c>
      <c r="L10" s="7">
        <f t="shared" si="2"/>
        <v>35.96153846153846</v>
      </c>
      <c r="M10" s="5" t="s">
        <v>10</v>
      </c>
      <c r="N10" s="5">
        <v>4</v>
      </c>
      <c r="O10" s="6">
        <f t="shared" si="3"/>
        <v>0.75573259522928993</v>
      </c>
      <c r="P10" s="6">
        <f t="shared" si="4"/>
        <v>7.8596189903846134E-2</v>
      </c>
      <c r="Q10" s="10">
        <f t="shared" si="5"/>
        <v>1.6374206229967947E-3</v>
      </c>
      <c r="R10" s="10">
        <f t="shared" si="6"/>
        <v>1.2887635362542798E-2</v>
      </c>
      <c r="S10" s="10">
        <f t="shared" si="7"/>
        <v>1.4525055985539593E-2</v>
      </c>
    </row>
    <row r="11" spans="1:19" x14ac:dyDescent="0.25">
      <c r="A11" s="5" t="s">
        <v>8</v>
      </c>
      <c r="B11" s="5" t="s">
        <v>224</v>
      </c>
      <c r="C11" s="5" t="s">
        <v>27</v>
      </c>
      <c r="D11" s="5" t="s">
        <v>389</v>
      </c>
      <c r="E11" s="5" t="s">
        <v>396</v>
      </c>
      <c r="F11" s="5" t="s">
        <v>136</v>
      </c>
      <c r="G11" s="5" t="s">
        <v>399</v>
      </c>
      <c r="H11" s="5" t="s">
        <v>139</v>
      </c>
      <c r="I11" s="5" t="s">
        <v>17</v>
      </c>
      <c r="J11" s="15">
        <v>800</v>
      </c>
      <c r="K11" s="7">
        <v>25.3</v>
      </c>
      <c r="L11" s="7">
        <f t="shared" si="2"/>
        <v>31.620553359683793</v>
      </c>
      <c r="M11" s="5" t="s">
        <v>10</v>
      </c>
      <c r="N11" s="5">
        <v>4</v>
      </c>
      <c r="O11" s="6">
        <f t="shared" si="3"/>
        <v>0.49992969738630499</v>
      </c>
      <c r="P11" s="6">
        <f t="shared" si="4"/>
        <v>5.1992688528175721E-2</v>
      </c>
      <c r="Q11" s="10">
        <f t="shared" si="5"/>
        <v>1.0831810110036608E-3</v>
      </c>
      <c r="R11" s="10">
        <f t="shared" si="6"/>
        <v>9.4531995646547125E-3</v>
      </c>
      <c r="S11" s="10">
        <f t="shared" si="7"/>
        <v>1.0536380575658373E-2</v>
      </c>
    </row>
    <row r="12" spans="1:19" x14ac:dyDescent="0.25">
      <c r="A12" s="5" t="s">
        <v>22</v>
      </c>
      <c r="B12" s="5" t="s">
        <v>63</v>
      </c>
      <c r="C12" s="5" t="s">
        <v>27</v>
      </c>
      <c r="D12" s="5" t="s">
        <v>389</v>
      </c>
      <c r="E12" s="5" t="s">
        <v>396</v>
      </c>
      <c r="F12" s="5" t="s">
        <v>136</v>
      </c>
      <c r="G12" s="5" t="s">
        <v>399</v>
      </c>
      <c r="H12" s="5" t="s">
        <v>139</v>
      </c>
      <c r="I12" s="5" t="s">
        <v>140</v>
      </c>
      <c r="J12" s="15">
        <v>940</v>
      </c>
      <c r="K12" s="7">
        <v>26.5</v>
      </c>
      <c r="L12" s="7">
        <f t="shared" si="2"/>
        <v>35.471698113207545</v>
      </c>
      <c r="M12" s="5" t="s">
        <v>10</v>
      </c>
      <c r="N12" s="5">
        <v>4</v>
      </c>
      <c r="O12" s="6">
        <f t="shared" si="3"/>
        <v>0.73921680313278748</v>
      </c>
      <c r="P12" s="6">
        <f t="shared" si="4"/>
        <v>7.6878547525809887E-2</v>
      </c>
      <c r="Q12" s="10">
        <f t="shared" si="5"/>
        <v>1.6016364067877062E-3</v>
      </c>
      <c r="R12" s="10">
        <f t="shared" si="6"/>
        <v>1.2675818060723713E-2</v>
      </c>
      <c r="S12" s="10">
        <f t="shared" si="7"/>
        <v>1.4277454467511419E-2</v>
      </c>
    </row>
    <row r="13" spans="1:19" x14ac:dyDescent="0.25">
      <c r="A13" s="5" t="s">
        <v>8</v>
      </c>
      <c r="B13" s="5" t="s">
        <v>224</v>
      </c>
      <c r="C13" s="5" t="s">
        <v>27</v>
      </c>
      <c r="D13" s="5" t="s">
        <v>389</v>
      </c>
      <c r="E13" s="5" t="s">
        <v>396</v>
      </c>
      <c r="F13" s="5" t="s">
        <v>136</v>
      </c>
      <c r="G13" s="5" t="s">
        <v>399</v>
      </c>
      <c r="H13" s="5" t="s">
        <v>139</v>
      </c>
      <c r="I13" s="5" t="s">
        <v>140</v>
      </c>
      <c r="J13" s="15">
        <v>970</v>
      </c>
      <c r="K13" s="7">
        <v>26.7</v>
      </c>
      <c r="L13" s="7">
        <f t="shared" si="2"/>
        <v>36.329588014981276</v>
      </c>
      <c r="M13" s="5" t="s">
        <v>10</v>
      </c>
      <c r="N13" s="5">
        <v>4</v>
      </c>
      <c r="O13" s="6">
        <f t="shared" si="3"/>
        <v>0.80015237273632689</v>
      </c>
      <c r="P13" s="6">
        <f t="shared" si="4"/>
        <v>8.3215846764577994E-2</v>
      </c>
      <c r="Q13" s="10">
        <f t="shared" si="5"/>
        <v>1.7336634742620416E-3</v>
      </c>
      <c r="R13" s="10">
        <f t="shared" si="6"/>
        <v>1.3451683716266281E-2</v>
      </c>
      <c r="S13" s="10">
        <f t="shared" si="7"/>
        <v>1.5185347190528322E-2</v>
      </c>
    </row>
    <row r="14" spans="1:19" x14ac:dyDescent="0.25">
      <c r="A14" s="5" t="s">
        <v>8</v>
      </c>
      <c r="B14" s="5" t="s">
        <v>224</v>
      </c>
      <c r="C14" s="5" t="s">
        <v>27</v>
      </c>
      <c r="D14" s="5" t="s">
        <v>389</v>
      </c>
      <c r="E14" s="5" t="s">
        <v>396</v>
      </c>
      <c r="F14" s="5" t="s">
        <v>136</v>
      </c>
      <c r="G14" s="5" t="s">
        <v>399</v>
      </c>
      <c r="H14" s="5" t="s">
        <v>139</v>
      </c>
      <c r="I14" s="5" t="s">
        <v>225</v>
      </c>
      <c r="J14" s="15">
        <v>820</v>
      </c>
      <c r="K14" s="7">
        <v>19.8</v>
      </c>
      <c r="L14" s="7">
        <f t="shared" si="2"/>
        <v>41.414141414141412</v>
      </c>
      <c r="M14" s="5" t="s">
        <v>10</v>
      </c>
      <c r="N14" s="5">
        <v>4</v>
      </c>
      <c r="O14" s="6">
        <f t="shared" si="3"/>
        <v>0.87900469339863263</v>
      </c>
      <c r="P14" s="6">
        <f t="shared" si="4"/>
        <v>9.1416488113457803E-2</v>
      </c>
      <c r="Q14" s="10">
        <f t="shared" si="5"/>
        <v>1.9045101690303705E-3</v>
      </c>
      <c r="R14" s="10">
        <f t="shared" si="6"/>
        <v>1.4434126921592894E-2</v>
      </c>
      <c r="S14" s="10">
        <f t="shared" si="7"/>
        <v>1.6338637090623265E-2</v>
      </c>
    </row>
    <row r="15" spans="1:19" x14ac:dyDescent="0.25">
      <c r="J15" s="16">
        <f>AVERAGE(J9:J14)</f>
        <v>929.16666666666663</v>
      </c>
      <c r="K15" s="12">
        <f t="shared" ref="K15:S15" si="8">AVERAGE(K9:K14)</f>
        <v>25.55</v>
      </c>
      <c r="L15" s="12">
        <f t="shared" si="8"/>
        <v>36.512230238753006</v>
      </c>
      <c r="M15" s="11" t="e">
        <f t="shared" si="8"/>
        <v>#DIV/0!</v>
      </c>
      <c r="N15" s="11">
        <f t="shared" si="8"/>
        <v>4</v>
      </c>
      <c r="O15" s="13">
        <f t="shared" si="8"/>
        <v>0.78173479729367623</v>
      </c>
      <c r="P15" s="13">
        <f t="shared" si="8"/>
        <v>8.1300418918542325E-2</v>
      </c>
      <c r="Q15" s="14">
        <f t="shared" si="8"/>
        <v>1.6937587274696317E-3</v>
      </c>
      <c r="R15" s="14">
        <f t="shared" si="8"/>
        <v>1.3166218376953876E-2</v>
      </c>
      <c r="S15" s="14">
        <f t="shared" si="8"/>
        <v>1.4859977104423508E-2</v>
      </c>
    </row>
    <row r="16" spans="1:19" x14ac:dyDescent="0.25">
      <c r="A16" s="5" t="s">
        <v>8</v>
      </c>
      <c r="B16" s="5" t="s">
        <v>277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278</v>
      </c>
      <c r="J16" s="15">
        <v>1640</v>
      </c>
      <c r="K16" s="7">
        <v>30.3</v>
      </c>
      <c r="L16" s="7">
        <f t="shared" ref="L16:L47" si="9">J16/K16</f>
        <v>54.125412541254121</v>
      </c>
      <c r="M16" s="5" t="s">
        <v>10</v>
      </c>
      <c r="N16" s="5">
        <v>4</v>
      </c>
      <c r="O16" s="6">
        <f t="shared" ref="O16:O47" si="10">(J16*L16^2)/(1.6*10^6)</f>
        <v>3.0027992898299734</v>
      </c>
      <c r="P16" s="6">
        <f t="shared" ref="P16:P47" si="11">(0.104*J16*L16^2)/(1.6*10^6)</f>
        <v>0.31229112614231719</v>
      </c>
      <c r="Q16" s="10">
        <f t="shared" ref="Q16:Q47" si="12">(0.104*O16)/(12*N16)</f>
        <v>6.5060651279649417E-3</v>
      </c>
      <c r="R16" s="10">
        <f t="shared" ref="R16:R47" si="13">0.0159*O16^0.75</f>
        <v>3.6269523726956437E-2</v>
      </c>
      <c r="S16" s="10">
        <f t="shared" ref="S16:S47" si="14">Q16+R16</f>
        <v>4.277558885492138E-2</v>
      </c>
    </row>
    <row r="17" spans="1:19" x14ac:dyDescent="0.25">
      <c r="A17" s="5" t="s">
        <v>8</v>
      </c>
      <c r="B17" s="5" t="s">
        <v>291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278</v>
      </c>
      <c r="J17" s="15">
        <v>1650</v>
      </c>
      <c r="K17" s="7">
        <v>31</v>
      </c>
      <c r="L17" s="7">
        <f t="shared" si="9"/>
        <v>53.225806451612904</v>
      </c>
      <c r="M17" s="5" t="s">
        <v>10</v>
      </c>
      <c r="N17" s="5">
        <v>4</v>
      </c>
      <c r="O17" s="6">
        <f t="shared" si="10"/>
        <v>2.9215172996878254</v>
      </c>
      <c r="P17" s="6">
        <f t="shared" si="11"/>
        <v>0.30383779916753384</v>
      </c>
      <c r="Q17" s="10">
        <f t="shared" si="12"/>
        <v>6.3299541493236217E-3</v>
      </c>
      <c r="R17" s="10">
        <f t="shared" si="13"/>
        <v>3.5530676056027069E-2</v>
      </c>
      <c r="S17" s="10">
        <f t="shared" si="14"/>
        <v>4.1860630205350691E-2</v>
      </c>
    </row>
    <row r="18" spans="1:19" x14ac:dyDescent="0.25">
      <c r="A18" s="5" t="s">
        <v>8</v>
      </c>
      <c r="B18" s="5" t="s">
        <v>291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257</v>
      </c>
      <c r="J18" s="15">
        <v>3850</v>
      </c>
      <c r="K18" s="7">
        <v>49</v>
      </c>
      <c r="L18" s="7">
        <f t="shared" si="9"/>
        <v>78.571428571428569</v>
      </c>
      <c r="M18" s="5" t="s">
        <v>10</v>
      </c>
      <c r="N18" s="5">
        <v>4</v>
      </c>
      <c r="O18" s="6">
        <f t="shared" si="10"/>
        <v>14.854910714285714</v>
      </c>
      <c r="P18" s="6">
        <f t="shared" si="11"/>
        <v>1.5449107142857141</v>
      </c>
      <c r="Q18" s="10">
        <f t="shared" si="12"/>
        <v>3.2185639880952376E-2</v>
      </c>
      <c r="R18" s="10">
        <f t="shared" si="13"/>
        <v>0.12030942708411221</v>
      </c>
      <c r="S18" s="10">
        <f t="shared" si="14"/>
        <v>0.1524950669650646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292</v>
      </c>
      <c r="J19" s="15">
        <v>2300</v>
      </c>
      <c r="K19" s="7">
        <v>32.5</v>
      </c>
      <c r="L19" s="7">
        <f t="shared" si="9"/>
        <v>70.769230769230774</v>
      </c>
      <c r="M19" s="5" t="s">
        <v>10</v>
      </c>
      <c r="N19" s="5">
        <v>4</v>
      </c>
      <c r="O19" s="6">
        <f t="shared" si="10"/>
        <v>7.1994082840236695</v>
      </c>
      <c r="P19" s="6">
        <f t="shared" si="11"/>
        <v>0.74873846153846157</v>
      </c>
      <c r="Q19" s="10">
        <f t="shared" si="12"/>
        <v>1.5598717948717949E-2</v>
      </c>
      <c r="R19" s="10">
        <f t="shared" si="13"/>
        <v>6.9882708172427616E-2</v>
      </c>
      <c r="S19" s="10">
        <f t="shared" si="14"/>
        <v>8.5481426121145565E-2</v>
      </c>
    </row>
    <row r="20" spans="1:19" x14ac:dyDescent="0.25">
      <c r="A20" s="5" t="s">
        <v>8</v>
      </c>
      <c r="B20" s="5" t="s">
        <v>319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320</v>
      </c>
      <c r="J20" s="15">
        <v>2815</v>
      </c>
      <c r="K20" s="7">
        <v>31.3</v>
      </c>
      <c r="L20" s="7">
        <f t="shared" si="9"/>
        <v>89.936102236421718</v>
      </c>
      <c r="M20" s="5" t="s">
        <v>10</v>
      </c>
      <c r="N20" s="5">
        <v>4</v>
      </c>
      <c r="O20" s="6">
        <f t="shared" si="10"/>
        <v>14.23070906039155</v>
      </c>
      <c r="P20" s="6">
        <f t="shared" si="11"/>
        <v>1.4799937422807212</v>
      </c>
      <c r="Q20" s="10">
        <f t="shared" si="12"/>
        <v>3.0833202964181693E-2</v>
      </c>
      <c r="R20" s="10">
        <f t="shared" si="13"/>
        <v>0.11649761361336987</v>
      </c>
      <c r="S20" s="10">
        <f t="shared" si="14"/>
        <v>0.14733081657755157</v>
      </c>
    </row>
    <row r="21" spans="1:19" x14ac:dyDescent="0.25">
      <c r="A21" s="5" t="s">
        <v>22</v>
      </c>
      <c r="B21" s="5" t="s">
        <v>26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59</v>
      </c>
      <c r="J21" s="15">
        <v>1800</v>
      </c>
      <c r="K21" s="7">
        <v>32</v>
      </c>
      <c r="L21" s="7">
        <f t="shared" si="9"/>
        <v>56.25</v>
      </c>
      <c r="M21" s="5" t="s">
        <v>10</v>
      </c>
      <c r="N21" s="5">
        <v>4</v>
      </c>
      <c r="O21" s="6">
        <f t="shared" si="10"/>
        <v>3.5595703125</v>
      </c>
      <c r="P21" s="6">
        <f t="shared" si="11"/>
        <v>0.37019531249999998</v>
      </c>
      <c r="Q21" s="10">
        <f t="shared" si="12"/>
        <v>7.71240234375E-3</v>
      </c>
      <c r="R21" s="10">
        <f t="shared" si="13"/>
        <v>4.1204562411128992E-2</v>
      </c>
      <c r="S21" s="10">
        <f t="shared" si="14"/>
        <v>4.8916964754878993E-2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59</v>
      </c>
      <c r="J22" s="15">
        <v>1800</v>
      </c>
      <c r="K22" s="7">
        <v>32</v>
      </c>
      <c r="L22" s="7">
        <f t="shared" si="9"/>
        <v>56.25</v>
      </c>
      <c r="M22" s="5" t="s">
        <v>10</v>
      </c>
      <c r="N22" s="5">
        <v>4</v>
      </c>
      <c r="O22" s="6">
        <f t="shared" si="10"/>
        <v>3.5595703125</v>
      </c>
      <c r="P22" s="6">
        <f t="shared" si="11"/>
        <v>0.37019531249999998</v>
      </c>
      <c r="Q22" s="10">
        <f t="shared" si="12"/>
        <v>7.71240234375E-3</v>
      </c>
      <c r="R22" s="10">
        <f t="shared" si="13"/>
        <v>4.1204562411128992E-2</v>
      </c>
      <c r="S22" s="10">
        <f t="shared" si="14"/>
        <v>4.8916964754878993E-2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59</v>
      </c>
      <c r="J23" s="15">
        <v>1700</v>
      </c>
      <c r="K23" s="7">
        <v>28</v>
      </c>
      <c r="L23" s="7">
        <f t="shared" si="9"/>
        <v>60.714285714285715</v>
      </c>
      <c r="M23" s="5" t="s">
        <v>10</v>
      </c>
      <c r="N23" s="5">
        <v>4</v>
      </c>
      <c r="O23" s="6">
        <f t="shared" si="10"/>
        <v>3.9166135204081631</v>
      </c>
      <c r="P23" s="6">
        <f t="shared" si="11"/>
        <v>0.40732780612244895</v>
      </c>
      <c r="Q23" s="10">
        <f t="shared" si="12"/>
        <v>8.4859959608843526E-3</v>
      </c>
      <c r="R23" s="10">
        <f t="shared" si="13"/>
        <v>4.4267007423098879E-2</v>
      </c>
      <c r="S23" s="10">
        <f t="shared" si="14"/>
        <v>5.2753003383983234E-2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59</v>
      </c>
      <c r="J24" s="15">
        <v>1750</v>
      </c>
      <c r="K24" s="7">
        <v>22</v>
      </c>
      <c r="L24" s="7">
        <f t="shared" si="9"/>
        <v>79.545454545454547</v>
      </c>
      <c r="M24" s="5" t="s">
        <v>10</v>
      </c>
      <c r="N24" s="5">
        <v>4</v>
      </c>
      <c r="O24" s="6">
        <f t="shared" si="10"/>
        <v>6.9206805268595044</v>
      </c>
      <c r="P24" s="6">
        <f t="shared" si="11"/>
        <v>0.71975077479338845</v>
      </c>
      <c r="Q24" s="10">
        <f t="shared" si="12"/>
        <v>1.4994807808195593E-2</v>
      </c>
      <c r="R24" s="10">
        <f t="shared" si="13"/>
        <v>6.7843575117162297E-2</v>
      </c>
      <c r="S24" s="10">
        <f t="shared" si="14"/>
        <v>8.283838292535789E-2</v>
      </c>
    </row>
    <row r="25" spans="1:19" x14ac:dyDescent="0.25">
      <c r="A25" s="5" t="s">
        <v>8</v>
      </c>
      <c r="B25" s="5" t="s">
        <v>291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59</v>
      </c>
      <c r="J25" s="15">
        <v>1850</v>
      </c>
      <c r="K25" s="7">
        <v>29.5</v>
      </c>
      <c r="L25" s="7">
        <f t="shared" si="9"/>
        <v>62.711864406779661</v>
      </c>
      <c r="M25" s="5" t="s">
        <v>10</v>
      </c>
      <c r="N25" s="5">
        <v>4</v>
      </c>
      <c r="O25" s="6">
        <f t="shared" si="10"/>
        <v>4.5472744900890554</v>
      </c>
      <c r="P25" s="6">
        <f t="shared" si="11"/>
        <v>0.47291654696926166</v>
      </c>
      <c r="Q25" s="10">
        <f t="shared" si="12"/>
        <v>9.8524280618596197E-3</v>
      </c>
      <c r="R25" s="10">
        <f t="shared" si="13"/>
        <v>4.9512003714677087E-2</v>
      </c>
      <c r="S25" s="10">
        <f t="shared" si="14"/>
        <v>5.9364431776536705E-2</v>
      </c>
    </row>
    <row r="26" spans="1:19" x14ac:dyDescent="0.25">
      <c r="A26" s="5" t="s">
        <v>8</v>
      </c>
      <c r="B26" s="5" t="s">
        <v>319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59</v>
      </c>
      <c r="J26" s="15">
        <v>1870</v>
      </c>
      <c r="K26" s="7">
        <v>29.2</v>
      </c>
      <c r="L26" s="7">
        <f t="shared" si="9"/>
        <v>64.041095890410958</v>
      </c>
      <c r="M26" s="5" t="s">
        <v>10</v>
      </c>
      <c r="N26" s="5">
        <v>4</v>
      </c>
      <c r="O26" s="6">
        <f t="shared" si="10"/>
        <v>4.7933499190748732</v>
      </c>
      <c r="P26" s="6">
        <f t="shared" si="11"/>
        <v>0.49850839158378674</v>
      </c>
      <c r="Q26" s="10">
        <f t="shared" si="12"/>
        <v>1.0385591491328892E-2</v>
      </c>
      <c r="R26" s="10">
        <f t="shared" si="13"/>
        <v>5.1508212041113E-2</v>
      </c>
      <c r="S26" s="10">
        <f t="shared" si="14"/>
        <v>6.1893803532441893E-2</v>
      </c>
    </row>
    <row r="27" spans="1:19" x14ac:dyDescent="0.25">
      <c r="A27" s="5" t="s">
        <v>8</v>
      </c>
      <c r="B27" s="5" t="s">
        <v>291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58</v>
      </c>
      <c r="I27" s="5" t="s">
        <v>293</v>
      </c>
      <c r="J27" s="15">
        <v>2500</v>
      </c>
      <c r="K27" s="7">
        <v>32.5</v>
      </c>
      <c r="L27" s="7">
        <f t="shared" si="9"/>
        <v>76.92307692307692</v>
      </c>
      <c r="M27" s="5" t="s">
        <v>10</v>
      </c>
      <c r="N27" s="5">
        <v>4</v>
      </c>
      <c r="O27" s="6">
        <f t="shared" si="10"/>
        <v>9.2455621301775128</v>
      </c>
      <c r="P27" s="6">
        <f t="shared" si="11"/>
        <v>0.96153846153846145</v>
      </c>
      <c r="Q27" s="10">
        <f t="shared" si="12"/>
        <v>2.0032051282051277E-2</v>
      </c>
      <c r="R27" s="10">
        <f t="shared" si="13"/>
        <v>8.4303793099258367E-2</v>
      </c>
      <c r="S27" s="10">
        <f t="shared" si="14"/>
        <v>0.10433584438130965</v>
      </c>
    </row>
    <row r="28" spans="1:19" x14ac:dyDescent="0.25">
      <c r="A28" s="5" t="s">
        <v>8</v>
      </c>
      <c r="B28" s="5" t="s">
        <v>311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58</v>
      </c>
      <c r="I28" s="5" t="s">
        <v>293</v>
      </c>
      <c r="J28" s="15">
        <v>2700</v>
      </c>
      <c r="K28" s="7">
        <v>34</v>
      </c>
      <c r="L28" s="7">
        <f t="shared" si="9"/>
        <v>79.411764705882348</v>
      </c>
      <c r="M28" s="5" t="s">
        <v>10</v>
      </c>
      <c r="N28" s="5">
        <v>4</v>
      </c>
      <c r="O28" s="6">
        <f t="shared" si="10"/>
        <v>10.641760380622838</v>
      </c>
      <c r="P28" s="6">
        <f t="shared" si="11"/>
        <v>1.106743079584775</v>
      </c>
      <c r="Q28" s="10">
        <f t="shared" si="12"/>
        <v>2.3057147491349479E-2</v>
      </c>
      <c r="R28" s="10">
        <f t="shared" si="13"/>
        <v>9.3682232382394676E-2</v>
      </c>
      <c r="S28" s="10">
        <f t="shared" si="14"/>
        <v>0.11673937987374415</v>
      </c>
    </row>
    <row r="29" spans="1:19" x14ac:dyDescent="0.25">
      <c r="A29" s="5" t="s">
        <v>8</v>
      </c>
      <c r="B29" s="5" t="s">
        <v>291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58</v>
      </c>
      <c r="I29" s="5" t="s">
        <v>294</v>
      </c>
      <c r="J29" s="15">
        <v>1800</v>
      </c>
      <c r="K29" s="7">
        <v>30</v>
      </c>
      <c r="L29" s="7">
        <f t="shared" si="9"/>
        <v>60</v>
      </c>
      <c r="M29" s="5" t="s">
        <v>10</v>
      </c>
      <c r="N29" s="5">
        <v>4</v>
      </c>
      <c r="O29" s="6">
        <f t="shared" si="10"/>
        <v>4.05</v>
      </c>
      <c r="P29" s="6">
        <f t="shared" si="11"/>
        <v>0.42120000000000002</v>
      </c>
      <c r="Q29" s="10">
        <f t="shared" si="12"/>
        <v>8.7749999999999998E-3</v>
      </c>
      <c r="R29" s="10">
        <f t="shared" si="13"/>
        <v>4.5392948339503428E-2</v>
      </c>
      <c r="S29" s="10">
        <f t="shared" si="14"/>
        <v>5.4167948339503426E-2</v>
      </c>
    </row>
    <row r="30" spans="1:19" x14ac:dyDescent="0.25">
      <c r="A30" s="5" t="s">
        <v>8</v>
      </c>
      <c r="B30" s="5" t="s">
        <v>299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58</v>
      </c>
      <c r="I30" s="5" t="s">
        <v>294</v>
      </c>
      <c r="J30" s="15">
        <v>1973</v>
      </c>
      <c r="K30" s="7">
        <v>28.4</v>
      </c>
      <c r="L30" s="7">
        <f t="shared" si="9"/>
        <v>69.471830985915503</v>
      </c>
      <c r="M30" s="5" t="s">
        <v>10</v>
      </c>
      <c r="N30" s="5">
        <v>4</v>
      </c>
      <c r="O30" s="6">
        <f t="shared" si="10"/>
        <v>5.9514747174729736</v>
      </c>
      <c r="P30" s="6">
        <f t="shared" si="11"/>
        <v>0.61895337061718914</v>
      </c>
      <c r="Q30" s="10">
        <f t="shared" si="12"/>
        <v>1.2894861887858109E-2</v>
      </c>
      <c r="R30" s="10">
        <f t="shared" si="13"/>
        <v>6.0585063731535917E-2</v>
      </c>
      <c r="S30" s="10">
        <f t="shared" si="14"/>
        <v>7.3479925619394024E-2</v>
      </c>
    </row>
    <row r="31" spans="1:19" x14ac:dyDescent="0.25">
      <c r="A31" s="5" t="s">
        <v>8</v>
      </c>
      <c r="B31" s="5" t="s">
        <v>291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58</v>
      </c>
      <c r="I31" s="5" t="s">
        <v>295</v>
      </c>
      <c r="J31" s="15">
        <v>2000</v>
      </c>
      <c r="K31" s="7">
        <v>27</v>
      </c>
      <c r="L31" s="7">
        <f t="shared" si="9"/>
        <v>74.074074074074076</v>
      </c>
      <c r="M31" s="5" t="s">
        <v>10</v>
      </c>
      <c r="N31" s="5">
        <v>4</v>
      </c>
      <c r="O31" s="6">
        <f t="shared" si="10"/>
        <v>6.8587105624142675</v>
      </c>
      <c r="P31" s="6">
        <f t="shared" si="11"/>
        <v>0.71330589849108383</v>
      </c>
      <c r="Q31" s="10">
        <f t="shared" si="12"/>
        <v>1.486053955189758E-2</v>
      </c>
      <c r="R31" s="10">
        <f t="shared" si="13"/>
        <v>6.7387443596961277E-2</v>
      </c>
      <c r="S31" s="10">
        <f t="shared" si="14"/>
        <v>8.2247983148858853E-2</v>
      </c>
    </row>
    <row r="32" spans="1:19" x14ac:dyDescent="0.25">
      <c r="A32" s="5" t="s">
        <v>22</v>
      </c>
      <c r="B32" s="5" t="s">
        <v>26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58</v>
      </c>
      <c r="I32" s="5" t="s">
        <v>60</v>
      </c>
      <c r="J32" s="15">
        <v>2600</v>
      </c>
      <c r="K32" s="7">
        <v>34</v>
      </c>
      <c r="L32" s="7">
        <f t="shared" si="9"/>
        <v>76.470588235294116</v>
      </c>
      <c r="M32" s="5" t="s">
        <v>10</v>
      </c>
      <c r="N32" s="5">
        <v>4</v>
      </c>
      <c r="O32" s="6">
        <f t="shared" si="10"/>
        <v>9.5025951557093435</v>
      </c>
      <c r="P32" s="6">
        <f t="shared" si="11"/>
        <v>0.98826989619377159</v>
      </c>
      <c r="Q32" s="10">
        <f t="shared" si="12"/>
        <v>2.0588956170703578E-2</v>
      </c>
      <c r="R32" s="10">
        <f t="shared" si="13"/>
        <v>8.6055532182463049E-2</v>
      </c>
      <c r="S32" s="10">
        <f t="shared" si="14"/>
        <v>0.10664448835316663</v>
      </c>
    </row>
    <row r="33" spans="1:19" x14ac:dyDescent="0.25">
      <c r="A33" s="5" t="s">
        <v>8</v>
      </c>
      <c r="B33" s="5" t="s">
        <v>291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386</v>
      </c>
      <c r="H33" s="5" t="s">
        <v>58</v>
      </c>
      <c r="I33" s="5" t="s">
        <v>60</v>
      </c>
      <c r="J33" s="15">
        <v>2050</v>
      </c>
      <c r="K33" s="7">
        <v>29</v>
      </c>
      <c r="L33" s="7">
        <f t="shared" si="9"/>
        <v>70.689655172413794</v>
      </c>
      <c r="M33" s="5" t="s">
        <v>10</v>
      </c>
      <c r="N33" s="5">
        <v>4</v>
      </c>
      <c r="O33" s="6">
        <f t="shared" si="10"/>
        <v>6.4024412901307972</v>
      </c>
      <c r="P33" s="6">
        <f t="shared" si="11"/>
        <v>0.66585389417360286</v>
      </c>
      <c r="Q33" s="10">
        <f t="shared" si="12"/>
        <v>1.3871956128616726E-2</v>
      </c>
      <c r="R33" s="10">
        <f t="shared" si="13"/>
        <v>6.3996515472610566E-2</v>
      </c>
      <c r="S33" s="10">
        <f t="shared" si="14"/>
        <v>7.7868471601227285E-2</v>
      </c>
    </row>
    <row r="34" spans="1:19" x14ac:dyDescent="0.25">
      <c r="A34" s="5" t="s">
        <v>8</v>
      </c>
      <c r="B34" s="5" t="s">
        <v>291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386</v>
      </c>
      <c r="H34" s="5" t="s">
        <v>58</v>
      </c>
      <c r="I34" s="5" t="s">
        <v>60</v>
      </c>
      <c r="J34" s="15">
        <v>2600</v>
      </c>
      <c r="K34" s="7">
        <v>34</v>
      </c>
      <c r="L34" s="7">
        <f t="shared" si="9"/>
        <v>76.470588235294116</v>
      </c>
      <c r="M34" s="5" t="s">
        <v>10</v>
      </c>
      <c r="N34" s="5">
        <v>4</v>
      </c>
      <c r="O34" s="6">
        <f t="shared" si="10"/>
        <v>9.5025951557093435</v>
      </c>
      <c r="P34" s="6">
        <f t="shared" si="11"/>
        <v>0.98826989619377159</v>
      </c>
      <c r="Q34" s="10">
        <f t="shared" si="12"/>
        <v>2.0588956170703578E-2</v>
      </c>
      <c r="R34" s="10">
        <f t="shared" si="13"/>
        <v>8.6055532182463049E-2</v>
      </c>
      <c r="S34" s="10">
        <f t="shared" si="14"/>
        <v>0.10664448835316663</v>
      </c>
    </row>
    <row r="35" spans="1:19" x14ac:dyDescent="0.25">
      <c r="A35" s="5" t="s">
        <v>22</v>
      </c>
      <c r="B35" s="5" t="s">
        <v>26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386</v>
      </c>
      <c r="H35" s="5" t="s">
        <v>58</v>
      </c>
      <c r="I35" s="5" t="s">
        <v>61</v>
      </c>
      <c r="J35" s="15">
        <v>3100</v>
      </c>
      <c r="K35" s="7">
        <v>32.5</v>
      </c>
      <c r="L35" s="7">
        <f t="shared" si="9"/>
        <v>95.384615384615387</v>
      </c>
      <c r="M35" s="5" t="s">
        <v>10</v>
      </c>
      <c r="N35" s="5">
        <v>4</v>
      </c>
      <c r="O35" s="6">
        <f t="shared" si="10"/>
        <v>17.627810650887572</v>
      </c>
      <c r="P35" s="6">
        <f t="shared" si="11"/>
        <v>1.8332923076923076</v>
      </c>
      <c r="Q35" s="10">
        <f t="shared" si="12"/>
        <v>3.8193589743589738E-2</v>
      </c>
      <c r="R35" s="10">
        <f t="shared" si="13"/>
        <v>0.13678734086635241</v>
      </c>
      <c r="S35" s="10">
        <f t="shared" si="14"/>
        <v>0.17498093060994216</v>
      </c>
    </row>
    <row r="36" spans="1:19" x14ac:dyDescent="0.25">
      <c r="A36" s="5" t="s">
        <v>8</v>
      </c>
      <c r="B36" s="5" t="s">
        <v>291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386</v>
      </c>
      <c r="H36" s="5" t="s">
        <v>58</v>
      </c>
      <c r="I36" s="5" t="s">
        <v>61</v>
      </c>
      <c r="J36" s="15">
        <v>2800</v>
      </c>
      <c r="K36" s="7">
        <v>40</v>
      </c>
      <c r="L36" s="7">
        <f t="shared" si="9"/>
        <v>70</v>
      </c>
      <c r="M36" s="5" t="s">
        <v>10</v>
      </c>
      <c r="N36" s="5">
        <v>4</v>
      </c>
      <c r="O36" s="6">
        <f t="shared" si="10"/>
        <v>8.5749999999999993</v>
      </c>
      <c r="P36" s="6">
        <f t="shared" si="11"/>
        <v>0.89180000000000004</v>
      </c>
      <c r="Q36" s="10">
        <f t="shared" si="12"/>
        <v>1.8579166666666664E-2</v>
      </c>
      <c r="R36" s="10">
        <f t="shared" si="13"/>
        <v>7.9675119011575646E-2</v>
      </c>
      <c r="S36" s="10">
        <f t="shared" si="14"/>
        <v>9.8254285678242306E-2</v>
      </c>
    </row>
    <row r="37" spans="1:19" x14ac:dyDescent="0.25">
      <c r="A37" s="5" t="s">
        <v>8</v>
      </c>
      <c r="B37" s="5" t="s">
        <v>291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386</v>
      </c>
      <c r="H37" s="5" t="s">
        <v>58</v>
      </c>
      <c r="I37" s="5" t="s">
        <v>61</v>
      </c>
      <c r="J37" s="15">
        <v>2450</v>
      </c>
      <c r="K37" s="7">
        <v>29.1</v>
      </c>
      <c r="L37" s="7">
        <f t="shared" si="9"/>
        <v>84.192439862542955</v>
      </c>
      <c r="M37" s="5" t="s">
        <v>10</v>
      </c>
      <c r="N37" s="5">
        <v>4</v>
      </c>
      <c r="O37" s="6">
        <f t="shared" si="10"/>
        <v>10.854061861574614</v>
      </c>
      <c r="P37" s="6">
        <f t="shared" si="11"/>
        <v>1.1288224336037598</v>
      </c>
      <c r="Q37" s="10">
        <f t="shared" si="12"/>
        <v>2.3517134033411661E-2</v>
      </c>
      <c r="R37" s="10">
        <f t="shared" si="13"/>
        <v>9.508047521319099E-2</v>
      </c>
      <c r="S37" s="10">
        <f t="shared" si="14"/>
        <v>0.11859760924660265</v>
      </c>
    </row>
    <row r="38" spans="1:19" x14ac:dyDescent="0.25">
      <c r="A38" s="5" t="s">
        <v>8</v>
      </c>
      <c r="B38" s="5" t="s">
        <v>291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386</v>
      </c>
      <c r="H38" s="5" t="s">
        <v>58</v>
      </c>
      <c r="I38" s="5" t="s">
        <v>61</v>
      </c>
      <c r="J38" s="15">
        <v>3200</v>
      </c>
      <c r="K38" s="7">
        <v>33.5</v>
      </c>
      <c r="L38" s="7">
        <f t="shared" si="9"/>
        <v>95.522388059701498</v>
      </c>
      <c r="M38" s="5" t="s">
        <v>10</v>
      </c>
      <c r="N38" s="5">
        <v>4</v>
      </c>
      <c r="O38" s="6">
        <f t="shared" si="10"/>
        <v>18.249053241256405</v>
      </c>
      <c r="P38" s="6">
        <f t="shared" si="11"/>
        <v>1.8979015370906662</v>
      </c>
      <c r="Q38" s="10">
        <f t="shared" si="12"/>
        <v>3.9539615356055539E-2</v>
      </c>
      <c r="R38" s="10">
        <f t="shared" si="13"/>
        <v>0.14038715662039813</v>
      </c>
      <c r="S38" s="10">
        <f t="shared" si="14"/>
        <v>0.17992677197645368</v>
      </c>
    </row>
    <row r="39" spans="1:19" x14ac:dyDescent="0.25">
      <c r="A39" s="5" t="s">
        <v>8</v>
      </c>
      <c r="B39" s="5" t="s">
        <v>291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386</v>
      </c>
      <c r="H39" s="5" t="s">
        <v>58</v>
      </c>
      <c r="I39" s="5" t="s">
        <v>61</v>
      </c>
      <c r="J39" s="15">
        <v>2550</v>
      </c>
      <c r="K39" s="7">
        <v>31</v>
      </c>
      <c r="L39" s="7">
        <f t="shared" si="9"/>
        <v>82.258064516129039</v>
      </c>
      <c r="M39" s="5" t="s">
        <v>10</v>
      </c>
      <c r="N39" s="5">
        <v>4</v>
      </c>
      <c r="O39" s="6">
        <f t="shared" si="10"/>
        <v>10.783932752341313</v>
      </c>
      <c r="P39" s="6">
        <f t="shared" si="11"/>
        <v>1.1215290062434964</v>
      </c>
      <c r="Q39" s="10">
        <f t="shared" si="12"/>
        <v>2.336518763007284E-2</v>
      </c>
      <c r="R39" s="10">
        <f t="shared" si="13"/>
        <v>9.4619359210078843E-2</v>
      </c>
      <c r="S39" s="10">
        <f t="shared" si="14"/>
        <v>0.11798454684015168</v>
      </c>
    </row>
    <row r="40" spans="1:19" x14ac:dyDescent="0.25">
      <c r="A40" s="5" t="s">
        <v>8</v>
      </c>
      <c r="B40" s="5" t="s">
        <v>291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386</v>
      </c>
      <c r="H40" s="5" t="s">
        <v>58</v>
      </c>
      <c r="I40" s="5" t="s">
        <v>61</v>
      </c>
      <c r="J40" s="15">
        <v>2700</v>
      </c>
      <c r="K40" s="7">
        <v>29</v>
      </c>
      <c r="L40" s="7">
        <f t="shared" si="9"/>
        <v>93.103448275862064</v>
      </c>
      <c r="M40" s="5" t="s">
        <v>10</v>
      </c>
      <c r="N40" s="5">
        <v>4</v>
      </c>
      <c r="O40" s="6">
        <f t="shared" si="10"/>
        <v>14.627675386444706</v>
      </c>
      <c r="P40" s="6">
        <f t="shared" si="11"/>
        <v>1.5212782401902496</v>
      </c>
      <c r="Q40" s="10">
        <f t="shared" si="12"/>
        <v>3.1693296670630193E-2</v>
      </c>
      <c r="R40" s="10">
        <f t="shared" si="13"/>
        <v>0.11892649234015015</v>
      </c>
      <c r="S40" s="10">
        <f t="shared" si="14"/>
        <v>0.15061978901078035</v>
      </c>
    </row>
    <row r="41" spans="1:19" x14ac:dyDescent="0.25">
      <c r="A41" s="5" t="s">
        <v>8</v>
      </c>
      <c r="B41" s="5" t="s">
        <v>291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386</v>
      </c>
      <c r="H41" s="5" t="s">
        <v>58</v>
      </c>
      <c r="I41" s="5" t="s">
        <v>61</v>
      </c>
      <c r="J41" s="15">
        <v>2900</v>
      </c>
      <c r="K41" s="7">
        <v>29.5</v>
      </c>
      <c r="L41" s="7">
        <f t="shared" si="9"/>
        <v>98.305084745762713</v>
      </c>
      <c r="M41" s="5" t="s">
        <v>10</v>
      </c>
      <c r="N41" s="5">
        <v>4</v>
      </c>
      <c r="O41" s="6">
        <f t="shared" si="10"/>
        <v>17.515800057454758</v>
      </c>
      <c r="P41" s="6">
        <f t="shared" si="11"/>
        <v>1.8216432059752945</v>
      </c>
      <c r="Q41" s="10">
        <f t="shared" si="12"/>
        <v>3.7950900124485307E-2</v>
      </c>
      <c r="R41" s="10">
        <f t="shared" si="13"/>
        <v>0.13613494136615276</v>
      </c>
      <c r="S41" s="10">
        <f t="shared" si="14"/>
        <v>0.17408584149063805</v>
      </c>
    </row>
    <row r="42" spans="1:19" x14ac:dyDescent="0.25">
      <c r="A42" s="5" t="s">
        <v>8</v>
      </c>
      <c r="B42" s="5" t="s">
        <v>291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386</v>
      </c>
      <c r="H42" s="5" t="s">
        <v>58</v>
      </c>
      <c r="I42" s="5" t="s">
        <v>61</v>
      </c>
      <c r="J42" s="15">
        <v>3100</v>
      </c>
      <c r="K42" s="7">
        <v>32.5</v>
      </c>
      <c r="L42" s="7">
        <f t="shared" si="9"/>
        <v>95.384615384615387</v>
      </c>
      <c r="M42" s="5" t="s">
        <v>10</v>
      </c>
      <c r="N42" s="5">
        <v>4</v>
      </c>
      <c r="O42" s="6">
        <f t="shared" si="10"/>
        <v>17.627810650887572</v>
      </c>
      <c r="P42" s="6">
        <f t="shared" si="11"/>
        <v>1.8332923076923076</v>
      </c>
      <c r="Q42" s="10">
        <f t="shared" si="12"/>
        <v>3.8193589743589738E-2</v>
      </c>
      <c r="R42" s="10">
        <f t="shared" si="13"/>
        <v>0.13678734086635241</v>
      </c>
      <c r="S42" s="10">
        <f t="shared" si="14"/>
        <v>0.17498093060994216</v>
      </c>
    </row>
    <row r="43" spans="1:19" x14ac:dyDescent="0.25">
      <c r="A43" s="5" t="s">
        <v>8</v>
      </c>
      <c r="B43" s="5" t="s">
        <v>291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386</v>
      </c>
      <c r="H43" s="5" t="s">
        <v>58</v>
      </c>
      <c r="I43" s="5" t="s">
        <v>61</v>
      </c>
      <c r="J43" s="15">
        <v>2500</v>
      </c>
      <c r="K43" s="7">
        <v>34.5</v>
      </c>
      <c r="L43" s="7">
        <f t="shared" si="9"/>
        <v>72.463768115942031</v>
      </c>
      <c r="M43" s="5" t="s">
        <v>10</v>
      </c>
      <c r="N43" s="5">
        <v>4</v>
      </c>
      <c r="O43" s="6">
        <f t="shared" si="10"/>
        <v>8.2046838899390888</v>
      </c>
      <c r="P43" s="6">
        <f t="shared" si="11"/>
        <v>0.8532871245536654</v>
      </c>
      <c r="Q43" s="10">
        <f t="shared" si="12"/>
        <v>1.7776815094868025E-2</v>
      </c>
      <c r="R43" s="10">
        <f t="shared" si="13"/>
        <v>7.708032093428592E-2</v>
      </c>
      <c r="S43" s="10">
        <f t="shared" si="14"/>
        <v>9.4857136029153938E-2</v>
      </c>
    </row>
    <row r="44" spans="1:19" x14ac:dyDescent="0.25">
      <c r="A44" s="5" t="s">
        <v>8</v>
      </c>
      <c r="B44" s="5" t="s">
        <v>319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386</v>
      </c>
      <c r="H44" s="5" t="s">
        <v>58</v>
      </c>
      <c r="I44" s="5" t="s">
        <v>61</v>
      </c>
      <c r="J44" s="15">
        <v>2626</v>
      </c>
      <c r="K44" s="7">
        <v>31.5</v>
      </c>
      <c r="L44" s="7">
        <f t="shared" si="9"/>
        <v>83.365079365079367</v>
      </c>
      <c r="M44" s="5" t="s">
        <v>10</v>
      </c>
      <c r="N44" s="5">
        <v>4</v>
      </c>
      <c r="O44" s="6">
        <f t="shared" si="10"/>
        <v>11.406254960947342</v>
      </c>
      <c r="P44" s="6">
        <f t="shared" si="11"/>
        <v>1.1862505159385235</v>
      </c>
      <c r="Q44" s="10">
        <f t="shared" si="12"/>
        <v>2.4713552415385906E-2</v>
      </c>
      <c r="R44" s="10">
        <f t="shared" si="13"/>
        <v>9.8685746486399897E-2</v>
      </c>
      <c r="S44" s="10">
        <f t="shared" si="14"/>
        <v>0.1233992989017858</v>
      </c>
    </row>
    <row r="45" spans="1:19" x14ac:dyDescent="0.25">
      <c r="A45" s="5" t="s">
        <v>22</v>
      </c>
      <c r="B45" s="5" t="s">
        <v>63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386</v>
      </c>
      <c r="H45" s="5" t="s">
        <v>97</v>
      </c>
      <c r="I45" s="5" t="s">
        <v>61</v>
      </c>
      <c r="J45" s="15">
        <v>3200</v>
      </c>
      <c r="K45" s="7">
        <v>33.5</v>
      </c>
      <c r="L45" s="7">
        <f t="shared" si="9"/>
        <v>95.522388059701498</v>
      </c>
      <c r="M45" s="5" t="s">
        <v>10</v>
      </c>
      <c r="N45" s="5">
        <v>4</v>
      </c>
      <c r="O45" s="6">
        <f t="shared" si="10"/>
        <v>18.249053241256405</v>
      </c>
      <c r="P45" s="6">
        <f t="shared" si="11"/>
        <v>1.8979015370906662</v>
      </c>
      <c r="Q45" s="10">
        <f t="shared" si="12"/>
        <v>3.9539615356055539E-2</v>
      </c>
      <c r="R45" s="10">
        <f t="shared" si="13"/>
        <v>0.14038715662039813</v>
      </c>
      <c r="S45" s="10">
        <f t="shared" si="14"/>
        <v>0.17992677197645368</v>
      </c>
    </row>
    <row r="46" spans="1:19" x14ac:dyDescent="0.25">
      <c r="A46" s="5" t="s">
        <v>8</v>
      </c>
      <c r="B46" s="5" t="s">
        <v>287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386</v>
      </c>
      <c r="H46" s="5" t="s">
        <v>102</v>
      </c>
      <c r="I46" s="5" t="s">
        <v>218</v>
      </c>
      <c r="J46" s="15">
        <v>2600</v>
      </c>
      <c r="K46" s="7">
        <v>37.1</v>
      </c>
      <c r="L46" s="7">
        <f t="shared" si="9"/>
        <v>70.080862533692724</v>
      </c>
      <c r="M46" s="5" t="s">
        <v>10</v>
      </c>
      <c r="N46" s="5">
        <v>4</v>
      </c>
      <c r="O46" s="6">
        <f t="shared" si="10"/>
        <v>7.9809068518827972</v>
      </c>
      <c r="P46" s="6">
        <f t="shared" si="11"/>
        <v>0.83001431259581082</v>
      </c>
      <c r="Q46" s="10">
        <f t="shared" si="12"/>
        <v>1.729196484574606E-2</v>
      </c>
      <c r="R46" s="10">
        <f t="shared" si="13"/>
        <v>7.5498149303652243E-2</v>
      </c>
      <c r="S46" s="10">
        <f t="shared" si="14"/>
        <v>9.2790114149398306E-2</v>
      </c>
    </row>
    <row r="47" spans="1:19" x14ac:dyDescent="0.25">
      <c r="A47" s="5" t="s">
        <v>22</v>
      </c>
      <c r="B47" s="5" t="s">
        <v>63</v>
      </c>
      <c r="C47" s="5" t="s">
        <v>27</v>
      </c>
      <c r="D47" s="5" t="s">
        <v>385</v>
      </c>
      <c r="E47" s="5" t="s">
        <v>387</v>
      </c>
      <c r="F47" s="5" t="s">
        <v>52</v>
      </c>
      <c r="G47" s="5" t="s">
        <v>386</v>
      </c>
      <c r="H47" s="5" t="s">
        <v>102</v>
      </c>
      <c r="I47" s="5" t="s">
        <v>73</v>
      </c>
      <c r="J47" s="15">
        <v>2190</v>
      </c>
      <c r="K47" s="7">
        <v>26.5</v>
      </c>
      <c r="L47" s="7">
        <f t="shared" si="9"/>
        <v>82.64150943396227</v>
      </c>
      <c r="M47" s="5" t="s">
        <v>10</v>
      </c>
      <c r="N47" s="5">
        <v>4</v>
      </c>
      <c r="O47" s="6">
        <f t="shared" si="10"/>
        <v>9.34804111783553</v>
      </c>
      <c r="P47" s="6">
        <f t="shared" si="11"/>
        <v>0.97219627625489502</v>
      </c>
      <c r="Q47" s="10">
        <f t="shared" si="12"/>
        <v>2.0254089088643647E-2</v>
      </c>
      <c r="R47" s="10">
        <f t="shared" si="13"/>
        <v>8.5003652032378002E-2</v>
      </c>
      <c r="S47" s="10">
        <f t="shared" si="14"/>
        <v>0.10525774112102165</v>
      </c>
    </row>
    <row r="48" spans="1:19" x14ac:dyDescent="0.25">
      <c r="A48" s="5" t="s">
        <v>8</v>
      </c>
      <c r="B48" s="5" t="s">
        <v>287</v>
      </c>
      <c r="C48" s="5" t="s">
        <v>27</v>
      </c>
      <c r="D48" s="5" t="s">
        <v>385</v>
      </c>
      <c r="E48" s="5" t="s">
        <v>387</v>
      </c>
      <c r="F48" s="5" t="s">
        <v>52</v>
      </c>
      <c r="G48" s="5" t="s">
        <v>386</v>
      </c>
      <c r="H48" s="5" t="s">
        <v>102</v>
      </c>
      <c r="I48" s="5" t="s">
        <v>288</v>
      </c>
      <c r="J48" s="15">
        <v>2300</v>
      </c>
      <c r="K48" s="7">
        <v>33.700000000000003</v>
      </c>
      <c r="L48" s="7">
        <f t="shared" ref="L48:L78" si="15">J48/K48</f>
        <v>68.249258160237389</v>
      </c>
      <c r="M48" s="5" t="s">
        <v>10</v>
      </c>
      <c r="N48" s="5">
        <v>4</v>
      </c>
      <c r="O48" s="6">
        <f t="shared" ref="O48:O79" si="16">(J48*L48^2)/(1.6*10^6)</f>
        <v>6.6958192816701745</v>
      </c>
      <c r="P48" s="6">
        <f t="shared" ref="P48:P79" si="17">(0.104*J48*L48^2)/(1.6*10^6)</f>
        <v>0.69636520529369805</v>
      </c>
      <c r="Q48" s="10">
        <f t="shared" ref="Q48:Q79" si="18">(0.104*O48)/(12*N48)</f>
        <v>1.4507608443618711E-2</v>
      </c>
      <c r="R48" s="10">
        <f t="shared" ref="R48:R79" si="19">0.0159*O48^0.75</f>
        <v>6.6183528454387561E-2</v>
      </c>
      <c r="S48" s="10">
        <f t="shared" ref="S48:S78" si="20">Q48+R48</f>
        <v>8.0691136898006277E-2</v>
      </c>
    </row>
    <row r="49" spans="1:19" x14ac:dyDescent="0.25">
      <c r="A49" s="5" t="s">
        <v>22</v>
      </c>
      <c r="B49" s="5" t="s">
        <v>63</v>
      </c>
      <c r="C49" s="5" t="s">
        <v>27</v>
      </c>
      <c r="D49" s="5" t="s">
        <v>385</v>
      </c>
      <c r="E49" s="5" t="s">
        <v>387</v>
      </c>
      <c r="F49" s="5" t="s">
        <v>52</v>
      </c>
      <c r="G49" s="5" t="s">
        <v>386</v>
      </c>
      <c r="H49" s="5" t="s">
        <v>98</v>
      </c>
      <c r="I49" s="5" t="s">
        <v>99</v>
      </c>
      <c r="J49" s="15">
        <v>2450</v>
      </c>
      <c r="K49" s="7">
        <v>31</v>
      </c>
      <c r="L49" s="7">
        <f t="shared" si="15"/>
        <v>79.032258064516128</v>
      </c>
      <c r="M49" s="5" t="s">
        <v>10</v>
      </c>
      <c r="N49" s="5">
        <v>4</v>
      </c>
      <c r="O49" s="6">
        <f t="shared" si="16"/>
        <v>9.5643372788761702</v>
      </c>
      <c r="P49" s="6">
        <f t="shared" si="17"/>
        <v>0.99469107700312165</v>
      </c>
      <c r="Q49" s="10">
        <f t="shared" si="18"/>
        <v>2.0722730770898368E-2</v>
      </c>
      <c r="R49" s="10">
        <f t="shared" si="19"/>
        <v>8.6474545162582434E-2</v>
      </c>
      <c r="S49" s="10">
        <f t="shared" si="20"/>
        <v>0.1071972759334808</v>
      </c>
    </row>
    <row r="50" spans="1:19" x14ac:dyDescent="0.25">
      <c r="A50" s="5" t="s">
        <v>8</v>
      </c>
      <c r="B50" s="5" t="s">
        <v>319</v>
      </c>
      <c r="C50" s="5" t="s">
        <v>27</v>
      </c>
      <c r="D50" s="5" t="s">
        <v>385</v>
      </c>
      <c r="E50" s="5" t="s">
        <v>387</v>
      </c>
      <c r="F50" s="5" t="s">
        <v>52</v>
      </c>
      <c r="G50" s="5" t="s">
        <v>386</v>
      </c>
      <c r="H50" s="5" t="s">
        <v>98</v>
      </c>
      <c r="I50" s="5" t="s">
        <v>99</v>
      </c>
      <c r="J50" s="15">
        <v>2431</v>
      </c>
      <c r="K50" s="7">
        <v>31</v>
      </c>
      <c r="L50" s="7">
        <f t="shared" si="15"/>
        <v>78.41935483870968</v>
      </c>
      <c r="M50" s="5" t="s">
        <v>10</v>
      </c>
      <c r="N50" s="5">
        <v>4</v>
      </c>
      <c r="O50" s="6">
        <f t="shared" si="16"/>
        <v>9.3435412272372531</v>
      </c>
      <c r="P50" s="6">
        <f t="shared" si="17"/>
        <v>0.97172828763267438</v>
      </c>
      <c r="Q50" s="10">
        <f t="shared" si="18"/>
        <v>2.0244339325680715E-2</v>
      </c>
      <c r="R50" s="10">
        <f t="shared" si="19"/>
        <v>8.497296136544169E-2</v>
      </c>
      <c r="S50" s="10">
        <f t="shared" si="20"/>
        <v>0.10521730069112241</v>
      </c>
    </row>
    <row r="51" spans="1:19" x14ac:dyDescent="0.25">
      <c r="A51" s="5" t="s">
        <v>8</v>
      </c>
      <c r="B51" s="5" t="s">
        <v>319</v>
      </c>
      <c r="C51" s="5" t="s">
        <v>27</v>
      </c>
      <c r="D51" s="5" t="s">
        <v>385</v>
      </c>
      <c r="E51" s="5" t="s">
        <v>387</v>
      </c>
      <c r="F51" s="5" t="s">
        <v>52</v>
      </c>
      <c r="G51" s="5" t="s">
        <v>386</v>
      </c>
      <c r="H51" s="5" t="s">
        <v>98</v>
      </c>
      <c r="I51" s="5" t="s">
        <v>321</v>
      </c>
      <c r="J51" s="15">
        <v>2650</v>
      </c>
      <c r="K51" s="7">
        <v>28</v>
      </c>
      <c r="L51" s="7">
        <f t="shared" si="15"/>
        <v>94.642857142857139</v>
      </c>
      <c r="M51" s="5" t="s">
        <v>10</v>
      </c>
      <c r="N51" s="5">
        <v>4</v>
      </c>
      <c r="O51" s="6">
        <f t="shared" si="16"/>
        <v>14.835479113520405</v>
      </c>
      <c r="P51" s="6">
        <f t="shared" si="17"/>
        <v>1.5428898278061218</v>
      </c>
      <c r="Q51" s="10">
        <f t="shared" si="18"/>
        <v>3.2143538079294209E-2</v>
      </c>
      <c r="R51" s="10">
        <f t="shared" si="19"/>
        <v>0.12019137585847466</v>
      </c>
      <c r="S51" s="10">
        <f t="shared" si="20"/>
        <v>0.15233491393776888</v>
      </c>
    </row>
    <row r="52" spans="1:19" x14ac:dyDescent="0.25">
      <c r="A52" s="5" t="s">
        <v>22</v>
      </c>
      <c r="B52" s="5" t="s">
        <v>63</v>
      </c>
      <c r="C52" s="5" t="s">
        <v>27</v>
      </c>
      <c r="D52" s="5" t="s">
        <v>385</v>
      </c>
      <c r="E52" s="5" t="s">
        <v>387</v>
      </c>
      <c r="F52" s="5" t="s">
        <v>52</v>
      </c>
      <c r="G52" s="5" t="s">
        <v>386</v>
      </c>
      <c r="H52" s="5" t="s">
        <v>100</v>
      </c>
      <c r="I52" s="5" t="s">
        <v>101</v>
      </c>
      <c r="J52" s="15">
        <v>2700</v>
      </c>
      <c r="K52" s="7">
        <v>41</v>
      </c>
      <c r="L52" s="7">
        <f t="shared" si="15"/>
        <v>65.853658536585371</v>
      </c>
      <c r="M52" s="5" t="s">
        <v>10</v>
      </c>
      <c r="N52" s="5">
        <v>4</v>
      </c>
      <c r="O52" s="6">
        <f t="shared" si="16"/>
        <v>7.3181885782272476</v>
      </c>
      <c r="P52" s="6">
        <f t="shared" si="17"/>
        <v>0.76109161213563381</v>
      </c>
      <c r="Q52" s="10">
        <f t="shared" si="18"/>
        <v>1.5856075252825702E-2</v>
      </c>
      <c r="R52" s="10">
        <f t="shared" si="19"/>
        <v>7.0745663102872419E-2</v>
      </c>
      <c r="S52" s="10">
        <f t="shared" si="20"/>
        <v>8.6601738355698121E-2</v>
      </c>
    </row>
    <row r="53" spans="1:19" x14ac:dyDescent="0.25">
      <c r="A53" s="5" t="s">
        <v>22</v>
      </c>
      <c r="B53" s="5" t="s">
        <v>63</v>
      </c>
      <c r="C53" s="5" t="s">
        <v>27</v>
      </c>
      <c r="D53" s="5" t="s">
        <v>385</v>
      </c>
      <c r="E53" s="5" t="s">
        <v>387</v>
      </c>
      <c r="F53" s="5" t="s">
        <v>52</v>
      </c>
      <c r="G53" s="5" t="s">
        <v>394</v>
      </c>
      <c r="H53" s="5" t="s">
        <v>104</v>
      </c>
      <c r="I53" s="5" t="s">
        <v>105</v>
      </c>
      <c r="J53" s="15">
        <v>1050</v>
      </c>
      <c r="K53" s="7">
        <v>35</v>
      </c>
      <c r="L53" s="7">
        <f t="shared" si="15"/>
        <v>30</v>
      </c>
      <c r="M53" s="5" t="s">
        <v>10</v>
      </c>
      <c r="N53" s="5">
        <v>4</v>
      </c>
      <c r="O53" s="6">
        <f t="shared" si="16"/>
        <v>0.59062499999999996</v>
      </c>
      <c r="P53" s="6">
        <f t="shared" si="17"/>
        <v>6.1424999999999993E-2</v>
      </c>
      <c r="Q53" s="10">
        <f t="shared" si="18"/>
        <v>1.2796874999999998E-3</v>
      </c>
      <c r="R53" s="10">
        <f t="shared" si="19"/>
        <v>1.0712257254840325E-2</v>
      </c>
      <c r="S53" s="10">
        <f t="shared" si="20"/>
        <v>1.1991944754840325E-2</v>
      </c>
    </row>
    <row r="54" spans="1:19" x14ac:dyDescent="0.25">
      <c r="A54" s="5" t="s">
        <v>8</v>
      </c>
      <c r="B54" s="5" t="s">
        <v>161</v>
      </c>
      <c r="C54" s="5" t="s">
        <v>27</v>
      </c>
      <c r="D54" s="5" t="s">
        <v>385</v>
      </c>
      <c r="E54" s="5" t="s">
        <v>387</v>
      </c>
      <c r="F54" s="5" t="s">
        <v>52</v>
      </c>
      <c r="G54" s="5" t="s">
        <v>394</v>
      </c>
      <c r="H54" s="5" t="s">
        <v>104</v>
      </c>
      <c r="I54" s="5" t="s">
        <v>105</v>
      </c>
      <c r="J54" s="15">
        <v>920</v>
      </c>
      <c r="K54" s="7">
        <v>27</v>
      </c>
      <c r="L54" s="7">
        <f t="shared" si="15"/>
        <v>34.074074074074076</v>
      </c>
      <c r="M54" s="5" t="s">
        <v>10</v>
      </c>
      <c r="N54" s="5">
        <v>4</v>
      </c>
      <c r="O54" s="6">
        <f t="shared" si="16"/>
        <v>0.66759945130315512</v>
      </c>
      <c r="P54" s="6">
        <f t="shared" si="17"/>
        <v>6.9430342935528119E-2</v>
      </c>
      <c r="Q54" s="10">
        <f t="shared" si="18"/>
        <v>1.4464654778235028E-3</v>
      </c>
      <c r="R54" s="10">
        <f t="shared" si="19"/>
        <v>1.1743136325585789E-2</v>
      </c>
      <c r="S54" s="10">
        <f t="shared" si="20"/>
        <v>1.3189601803409291E-2</v>
      </c>
    </row>
    <row r="55" spans="1:19" x14ac:dyDescent="0.25">
      <c r="A55" s="5" t="s">
        <v>22</v>
      </c>
      <c r="B55" s="5" t="s">
        <v>63</v>
      </c>
      <c r="C55" s="5" t="s">
        <v>27</v>
      </c>
      <c r="D55" s="5" t="s">
        <v>385</v>
      </c>
      <c r="E55" s="5" t="s">
        <v>387</v>
      </c>
      <c r="F55" s="5" t="s">
        <v>52</v>
      </c>
      <c r="G55" s="5" t="s">
        <v>394</v>
      </c>
      <c r="H55" s="5" t="s">
        <v>110</v>
      </c>
      <c r="I55" s="5" t="s">
        <v>111</v>
      </c>
      <c r="J55" s="15">
        <v>3420</v>
      </c>
      <c r="K55" s="7">
        <v>39.5</v>
      </c>
      <c r="L55" s="7">
        <f t="shared" si="15"/>
        <v>86.582278481012665</v>
      </c>
      <c r="M55" s="5" t="s">
        <v>10</v>
      </c>
      <c r="N55" s="5">
        <v>4</v>
      </c>
      <c r="O55" s="6">
        <f t="shared" si="16"/>
        <v>16.023749399134758</v>
      </c>
      <c r="P55" s="6">
        <f t="shared" si="17"/>
        <v>1.6664699375100145</v>
      </c>
      <c r="Q55" s="10">
        <f t="shared" si="18"/>
        <v>3.4718123698125304E-2</v>
      </c>
      <c r="R55" s="10">
        <f t="shared" si="19"/>
        <v>0.1273415795347296</v>
      </c>
      <c r="S55" s="10">
        <f t="shared" si="20"/>
        <v>0.1620597032328549</v>
      </c>
    </row>
    <row r="56" spans="1:19" x14ac:dyDescent="0.25">
      <c r="A56" s="5" t="s">
        <v>8</v>
      </c>
      <c r="B56" s="5" t="s">
        <v>161</v>
      </c>
      <c r="C56" s="5" t="s">
        <v>27</v>
      </c>
      <c r="D56" s="5" t="s">
        <v>385</v>
      </c>
      <c r="E56" s="5" t="s">
        <v>387</v>
      </c>
      <c r="F56" s="5" t="s">
        <v>52</v>
      </c>
      <c r="G56" s="5" t="s">
        <v>394</v>
      </c>
      <c r="H56" s="5" t="s">
        <v>110</v>
      </c>
      <c r="I56" s="5" t="s">
        <v>162</v>
      </c>
      <c r="J56" s="15">
        <v>2300</v>
      </c>
      <c r="K56" s="7">
        <v>44</v>
      </c>
      <c r="L56" s="7">
        <f t="shared" si="15"/>
        <v>52.272727272727273</v>
      </c>
      <c r="M56" s="5" t="s">
        <v>10</v>
      </c>
      <c r="N56" s="5">
        <v>4</v>
      </c>
      <c r="O56" s="6">
        <f t="shared" si="16"/>
        <v>3.9278796487603307</v>
      </c>
      <c r="P56" s="6">
        <f t="shared" si="17"/>
        <v>0.4084994834710744</v>
      </c>
      <c r="Q56" s="10">
        <f t="shared" si="18"/>
        <v>8.5104059056473839E-3</v>
      </c>
      <c r="R56" s="10">
        <f t="shared" si="19"/>
        <v>4.4362473572488702E-2</v>
      </c>
      <c r="S56" s="10">
        <f t="shared" si="20"/>
        <v>5.2872879478136084E-2</v>
      </c>
    </row>
    <row r="57" spans="1:19" x14ac:dyDescent="0.25">
      <c r="A57" s="5" t="s">
        <v>8</v>
      </c>
      <c r="B57" s="5" t="s">
        <v>161</v>
      </c>
      <c r="C57" s="5" t="s">
        <v>27</v>
      </c>
      <c r="D57" s="5" t="s">
        <v>385</v>
      </c>
      <c r="E57" s="5" t="s">
        <v>387</v>
      </c>
      <c r="F57" s="5" t="s">
        <v>52</v>
      </c>
      <c r="G57" s="5" t="s">
        <v>394</v>
      </c>
      <c r="H57" s="5" t="s">
        <v>110</v>
      </c>
      <c r="I57" s="5" t="s">
        <v>162</v>
      </c>
      <c r="J57" s="15">
        <v>2630</v>
      </c>
      <c r="K57" s="7">
        <v>45</v>
      </c>
      <c r="L57" s="7">
        <f t="shared" si="15"/>
        <v>58.444444444444443</v>
      </c>
      <c r="M57" s="5" t="s">
        <v>10</v>
      </c>
      <c r="N57" s="5">
        <v>4</v>
      </c>
      <c r="O57" s="6">
        <f t="shared" si="16"/>
        <v>5.6146441358024681</v>
      </c>
      <c r="P57" s="6">
        <f t="shared" si="17"/>
        <v>0.58392299012345672</v>
      </c>
      <c r="Q57" s="10">
        <f t="shared" si="18"/>
        <v>1.2165062294238679E-2</v>
      </c>
      <c r="R57" s="10">
        <f t="shared" si="19"/>
        <v>5.799476604086666E-2</v>
      </c>
      <c r="S57" s="10">
        <f t="shared" si="20"/>
        <v>7.015982833510534E-2</v>
      </c>
    </row>
    <row r="58" spans="1:19" x14ac:dyDescent="0.25">
      <c r="A58" s="5" t="s">
        <v>22</v>
      </c>
      <c r="B58" s="5" t="s">
        <v>63</v>
      </c>
      <c r="C58" s="5" t="s">
        <v>27</v>
      </c>
      <c r="D58" s="5" t="s">
        <v>385</v>
      </c>
      <c r="E58" s="5" t="s">
        <v>387</v>
      </c>
      <c r="F58" s="5" t="s">
        <v>52</v>
      </c>
      <c r="G58" s="5" t="s">
        <v>394</v>
      </c>
      <c r="H58" s="5" t="s">
        <v>56</v>
      </c>
      <c r="I58" s="5" t="s">
        <v>148</v>
      </c>
      <c r="J58" s="15">
        <v>2950</v>
      </c>
      <c r="K58" s="7">
        <v>29.5</v>
      </c>
      <c r="L58" s="7">
        <f t="shared" si="15"/>
        <v>100</v>
      </c>
      <c r="M58" s="5" t="s">
        <v>10</v>
      </c>
      <c r="N58" s="5">
        <v>4</v>
      </c>
      <c r="O58" s="6">
        <f t="shared" si="16"/>
        <v>18.4375</v>
      </c>
      <c r="P58" s="6">
        <f t="shared" si="17"/>
        <v>1.9175</v>
      </c>
      <c r="Q58" s="10">
        <f t="shared" si="18"/>
        <v>3.9947916666666666E-2</v>
      </c>
      <c r="R58" s="10">
        <f t="shared" si="19"/>
        <v>0.14147302810302484</v>
      </c>
      <c r="S58" s="10">
        <f t="shared" si="20"/>
        <v>0.18142094476969151</v>
      </c>
    </row>
    <row r="59" spans="1:19" x14ac:dyDescent="0.25">
      <c r="A59" s="5" t="s">
        <v>22</v>
      </c>
      <c r="B59" s="5" t="s">
        <v>63</v>
      </c>
      <c r="C59" s="5" t="s">
        <v>27</v>
      </c>
      <c r="D59" s="5" t="s">
        <v>385</v>
      </c>
      <c r="E59" s="5" t="s">
        <v>387</v>
      </c>
      <c r="F59" s="5" t="s">
        <v>52</v>
      </c>
      <c r="G59" s="5" t="s">
        <v>394</v>
      </c>
      <c r="H59" s="5" t="s">
        <v>56</v>
      </c>
      <c r="I59" s="5" t="s">
        <v>149</v>
      </c>
      <c r="J59" s="15">
        <v>2150</v>
      </c>
      <c r="K59" s="7">
        <v>39</v>
      </c>
      <c r="L59" s="7">
        <f t="shared" si="15"/>
        <v>55.128205128205131</v>
      </c>
      <c r="M59" s="5" t="s">
        <v>10</v>
      </c>
      <c r="N59" s="5">
        <v>4</v>
      </c>
      <c r="O59" s="6">
        <f t="shared" si="16"/>
        <v>4.083816157133465</v>
      </c>
      <c r="P59" s="6">
        <f t="shared" si="17"/>
        <v>0.42471688034188038</v>
      </c>
      <c r="Q59" s="10">
        <f t="shared" si="18"/>
        <v>8.84826834045584E-3</v>
      </c>
      <c r="R59" s="10">
        <f t="shared" si="19"/>
        <v>4.5676914730833268E-2</v>
      </c>
      <c r="S59" s="10">
        <f t="shared" si="20"/>
        <v>5.4525183071289104E-2</v>
      </c>
    </row>
    <row r="60" spans="1:19" x14ac:dyDescent="0.25">
      <c r="A60" s="5" t="s">
        <v>22</v>
      </c>
      <c r="B60" s="5" t="s">
        <v>63</v>
      </c>
      <c r="C60" s="5" t="s">
        <v>27</v>
      </c>
      <c r="D60" s="5" t="s">
        <v>385</v>
      </c>
      <c r="E60" s="5" t="s">
        <v>387</v>
      </c>
      <c r="F60" s="5" t="s">
        <v>52</v>
      </c>
      <c r="G60" s="5" t="s">
        <v>394</v>
      </c>
      <c r="H60" s="5" t="s">
        <v>56</v>
      </c>
      <c r="I60" s="5" t="s">
        <v>103</v>
      </c>
      <c r="J60" s="15">
        <v>1650</v>
      </c>
      <c r="K60" s="7">
        <v>30.5</v>
      </c>
      <c r="L60" s="7">
        <f t="shared" si="15"/>
        <v>54.098360655737707</v>
      </c>
      <c r="M60" s="5" t="s">
        <v>10</v>
      </c>
      <c r="N60" s="5">
        <v>4</v>
      </c>
      <c r="O60" s="6">
        <f t="shared" si="16"/>
        <v>3.0180898951894655</v>
      </c>
      <c r="P60" s="6">
        <f t="shared" si="17"/>
        <v>0.31388134909970439</v>
      </c>
      <c r="Q60" s="10">
        <f t="shared" si="18"/>
        <v>6.5391947729105081E-3</v>
      </c>
      <c r="R60" s="10">
        <f t="shared" si="19"/>
        <v>3.6407952239914915E-2</v>
      </c>
      <c r="S60" s="10">
        <f t="shared" si="20"/>
        <v>4.2947147012825426E-2</v>
      </c>
    </row>
    <row r="61" spans="1:19" x14ac:dyDescent="0.25">
      <c r="A61" s="5" t="s">
        <v>8</v>
      </c>
      <c r="B61" s="5" t="s">
        <v>329</v>
      </c>
      <c r="C61" s="5" t="s">
        <v>27</v>
      </c>
      <c r="D61" s="5" t="s">
        <v>385</v>
      </c>
      <c r="E61" s="5" t="s">
        <v>387</v>
      </c>
      <c r="F61" s="5" t="s">
        <v>52</v>
      </c>
      <c r="G61" s="5" t="s">
        <v>394</v>
      </c>
      <c r="H61" s="5" t="s">
        <v>56</v>
      </c>
      <c r="I61" s="5" t="s">
        <v>103</v>
      </c>
      <c r="J61" s="15">
        <v>1260</v>
      </c>
      <c r="K61" s="7">
        <v>34</v>
      </c>
      <c r="L61" s="7">
        <f t="shared" si="15"/>
        <v>37.058823529411768</v>
      </c>
      <c r="M61" s="5" t="s">
        <v>10</v>
      </c>
      <c r="N61" s="5">
        <v>4</v>
      </c>
      <c r="O61" s="6">
        <f t="shared" si="16"/>
        <v>1.0815181660899655</v>
      </c>
      <c r="P61" s="6">
        <f t="shared" si="17"/>
        <v>0.11247788927335642</v>
      </c>
      <c r="Q61" s="10">
        <f t="shared" si="18"/>
        <v>2.3432893598615916E-3</v>
      </c>
      <c r="R61" s="10">
        <f t="shared" si="19"/>
        <v>1.6862520407650464E-2</v>
      </c>
      <c r="S61" s="10">
        <f t="shared" si="20"/>
        <v>1.9205809767512055E-2</v>
      </c>
    </row>
    <row r="62" spans="1:19" x14ac:dyDescent="0.25">
      <c r="A62" s="5" t="s">
        <v>8</v>
      </c>
      <c r="B62" s="5" t="s">
        <v>296</v>
      </c>
      <c r="C62" s="5" t="s">
        <v>27</v>
      </c>
      <c r="D62" s="5" t="s">
        <v>385</v>
      </c>
      <c r="E62" s="5" t="s">
        <v>387</v>
      </c>
      <c r="F62" s="5" t="s">
        <v>52</v>
      </c>
      <c r="G62" s="5" t="s">
        <v>394</v>
      </c>
      <c r="H62" s="5" t="s">
        <v>56</v>
      </c>
      <c r="I62" s="5" t="s">
        <v>298</v>
      </c>
      <c r="J62" s="15">
        <v>1540</v>
      </c>
      <c r="K62" s="7">
        <v>22</v>
      </c>
      <c r="L62" s="7">
        <f t="shared" si="15"/>
        <v>70</v>
      </c>
      <c r="M62" s="5" t="s">
        <v>10</v>
      </c>
      <c r="N62" s="5">
        <v>4</v>
      </c>
      <c r="O62" s="6">
        <f t="shared" si="16"/>
        <v>4.7162499999999996</v>
      </c>
      <c r="P62" s="6">
        <f t="shared" si="17"/>
        <v>0.49048999999999998</v>
      </c>
      <c r="Q62" s="10">
        <f t="shared" si="18"/>
        <v>1.0218541666666666E-2</v>
      </c>
      <c r="R62" s="10">
        <f t="shared" si="19"/>
        <v>5.0885581049188403E-2</v>
      </c>
      <c r="S62" s="10">
        <f t="shared" si="20"/>
        <v>6.1104122715855066E-2</v>
      </c>
    </row>
    <row r="63" spans="1:19" x14ac:dyDescent="0.25">
      <c r="A63" s="5" t="s">
        <v>8</v>
      </c>
      <c r="B63" s="5" t="s">
        <v>231</v>
      </c>
      <c r="C63" s="5" t="s">
        <v>27</v>
      </c>
      <c r="D63" s="5" t="s">
        <v>385</v>
      </c>
      <c r="E63" s="5" t="s">
        <v>387</v>
      </c>
      <c r="F63" s="5" t="s">
        <v>52</v>
      </c>
      <c r="G63" s="5" t="s">
        <v>394</v>
      </c>
      <c r="H63" s="5" t="s">
        <v>56</v>
      </c>
      <c r="I63" s="5" t="s">
        <v>218</v>
      </c>
      <c r="J63" s="15">
        <v>1510</v>
      </c>
      <c r="K63" s="7">
        <v>26</v>
      </c>
      <c r="L63" s="7">
        <f t="shared" si="15"/>
        <v>58.07692307692308</v>
      </c>
      <c r="M63" s="5" t="s">
        <v>10</v>
      </c>
      <c r="N63" s="5">
        <v>4</v>
      </c>
      <c r="O63" s="6">
        <f t="shared" si="16"/>
        <v>3.183201738165681</v>
      </c>
      <c r="P63" s="6">
        <f t="shared" si="17"/>
        <v>0.33105298076923079</v>
      </c>
      <c r="Q63" s="10">
        <f t="shared" si="18"/>
        <v>6.8969370993589747E-3</v>
      </c>
      <c r="R63" s="10">
        <f t="shared" si="19"/>
        <v>3.7891800910019258E-2</v>
      </c>
      <c r="S63" s="10">
        <f t="shared" si="20"/>
        <v>4.4788738009378229E-2</v>
      </c>
    </row>
    <row r="64" spans="1:19" x14ac:dyDescent="0.25">
      <c r="A64" s="5" t="s">
        <v>8</v>
      </c>
      <c r="B64" s="5" t="s">
        <v>165</v>
      </c>
      <c r="C64" s="5" t="s">
        <v>27</v>
      </c>
      <c r="D64" s="5" t="s">
        <v>385</v>
      </c>
      <c r="E64" s="5" t="s">
        <v>387</v>
      </c>
      <c r="F64" s="5" t="s">
        <v>52</v>
      </c>
      <c r="G64" s="5" t="s">
        <v>394</v>
      </c>
      <c r="H64" s="5" t="s">
        <v>56</v>
      </c>
      <c r="I64" s="5" t="s">
        <v>169</v>
      </c>
      <c r="J64" s="15">
        <v>2160</v>
      </c>
      <c r="K64" s="7">
        <v>31</v>
      </c>
      <c r="L64" s="7">
        <f t="shared" si="15"/>
        <v>69.677419354838705</v>
      </c>
      <c r="M64" s="5" t="s">
        <v>10</v>
      </c>
      <c r="N64" s="5">
        <v>4</v>
      </c>
      <c r="O64" s="6">
        <f t="shared" si="16"/>
        <v>6.5541727367325695</v>
      </c>
      <c r="P64" s="6">
        <f t="shared" si="17"/>
        <v>0.68163396462018722</v>
      </c>
      <c r="Q64" s="10">
        <f t="shared" si="18"/>
        <v>1.42007075962539E-2</v>
      </c>
      <c r="R64" s="10">
        <f t="shared" si="19"/>
        <v>6.5130668631830216E-2</v>
      </c>
      <c r="S64" s="10">
        <f t="shared" si="20"/>
        <v>7.9331376228084116E-2</v>
      </c>
    </row>
    <row r="65" spans="1:19" x14ac:dyDescent="0.25">
      <c r="A65" s="5" t="s">
        <v>8</v>
      </c>
      <c r="B65" s="5" t="s">
        <v>161</v>
      </c>
      <c r="C65" s="5" t="s">
        <v>27</v>
      </c>
      <c r="D65" s="5" t="s">
        <v>385</v>
      </c>
      <c r="E65" s="5" t="s">
        <v>387</v>
      </c>
      <c r="F65" s="5" t="s">
        <v>52</v>
      </c>
      <c r="G65" s="5" t="s">
        <v>394</v>
      </c>
      <c r="H65" s="5" t="s">
        <v>56</v>
      </c>
      <c r="I65" s="5" t="s">
        <v>164</v>
      </c>
      <c r="J65" s="15">
        <v>2010</v>
      </c>
      <c r="K65" s="7">
        <v>25</v>
      </c>
      <c r="L65" s="7">
        <f t="shared" si="15"/>
        <v>80.400000000000006</v>
      </c>
      <c r="M65" s="5" t="s">
        <v>10</v>
      </c>
      <c r="N65" s="5">
        <v>4</v>
      </c>
      <c r="O65" s="6">
        <f t="shared" si="16"/>
        <v>8.1206010000000006</v>
      </c>
      <c r="P65" s="6">
        <f t="shared" si="17"/>
        <v>0.84454250400000008</v>
      </c>
      <c r="Q65" s="10">
        <f t="shared" si="18"/>
        <v>1.7594635500000001E-2</v>
      </c>
      <c r="R65" s="10">
        <f t="shared" si="19"/>
        <v>7.6487110304618008E-2</v>
      </c>
      <c r="S65" s="10">
        <f t="shared" si="20"/>
        <v>9.4081745804618006E-2</v>
      </c>
    </row>
    <row r="66" spans="1:19" x14ac:dyDescent="0.25">
      <c r="A66" s="5" t="s">
        <v>22</v>
      </c>
      <c r="B66" s="5" t="s">
        <v>63</v>
      </c>
      <c r="C66" s="5" t="s">
        <v>27</v>
      </c>
      <c r="D66" s="5" t="s">
        <v>385</v>
      </c>
      <c r="E66" s="5" t="s">
        <v>387</v>
      </c>
      <c r="F66" s="5" t="s">
        <v>52</v>
      </c>
      <c r="G66" s="5" t="s">
        <v>394</v>
      </c>
      <c r="H66" s="5" t="s">
        <v>56</v>
      </c>
      <c r="I66" s="5" t="s">
        <v>150</v>
      </c>
      <c r="J66" s="15">
        <v>1795</v>
      </c>
      <c r="K66" s="7">
        <v>26</v>
      </c>
      <c r="L66" s="7">
        <f t="shared" si="15"/>
        <v>69.038461538461533</v>
      </c>
      <c r="M66" s="5" t="s">
        <v>10</v>
      </c>
      <c r="N66" s="5">
        <v>4</v>
      </c>
      <c r="O66" s="6">
        <f t="shared" si="16"/>
        <v>5.3472031018860937</v>
      </c>
      <c r="P66" s="6">
        <f t="shared" si="17"/>
        <v>0.55610912259615364</v>
      </c>
      <c r="Q66" s="10">
        <f t="shared" si="18"/>
        <v>1.1585606720753204E-2</v>
      </c>
      <c r="R66" s="10">
        <f t="shared" si="19"/>
        <v>5.5910340147592871E-2</v>
      </c>
      <c r="S66" s="10">
        <f t="shared" si="20"/>
        <v>6.7495946868346077E-2</v>
      </c>
    </row>
    <row r="67" spans="1:19" x14ac:dyDescent="0.25">
      <c r="A67" s="5" t="s">
        <v>22</v>
      </c>
      <c r="B67" s="5" t="s">
        <v>26</v>
      </c>
      <c r="C67" s="5" t="s">
        <v>27</v>
      </c>
      <c r="D67" s="5" t="s">
        <v>385</v>
      </c>
      <c r="E67" s="5" t="s">
        <v>387</v>
      </c>
      <c r="F67" s="5" t="s">
        <v>52</v>
      </c>
      <c r="G67" s="5" t="s">
        <v>394</v>
      </c>
      <c r="H67" s="5" t="s">
        <v>56</v>
      </c>
      <c r="I67" s="5" t="s">
        <v>57</v>
      </c>
      <c r="J67" s="15">
        <v>1800</v>
      </c>
      <c r="K67" s="7">
        <v>31</v>
      </c>
      <c r="L67" s="7">
        <f t="shared" si="15"/>
        <v>58.064516129032256</v>
      </c>
      <c r="M67" s="5" t="s">
        <v>10</v>
      </c>
      <c r="N67" s="5">
        <v>4</v>
      </c>
      <c r="O67" s="6">
        <f t="shared" si="16"/>
        <v>3.7929240374609781</v>
      </c>
      <c r="P67" s="6">
        <f t="shared" si="17"/>
        <v>0.39446409989594167</v>
      </c>
      <c r="Q67" s="10">
        <f t="shared" si="18"/>
        <v>8.2180020811654531E-3</v>
      </c>
      <c r="R67" s="10">
        <f t="shared" si="19"/>
        <v>4.3214324927592522E-2</v>
      </c>
      <c r="S67" s="10">
        <f t="shared" si="20"/>
        <v>5.1432327008757973E-2</v>
      </c>
    </row>
    <row r="68" spans="1:19" x14ac:dyDescent="0.25">
      <c r="A68" s="5" t="s">
        <v>8</v>
      </c>
      <c r="B68" s="5" t="s">
        <v>187</v>
      </c>
      <c r="C68" s="5" t="s">
        <v>27</v>
      </c>
      <c r="D68" s="5" t="s">
        <v>385</v>
      </c>
      <c r="E68" s="5" t="s">
        <v>387</v>
      </c>
      <c r="F68" s="5" t="s">
        <v>52</v>
      </c>
      <c r="G68" s="5" t="s">
        <v>394</v>
      </c>
      <c r="H68" s="5" t="s">
        <v>56</v>
      </c>
      <c r="I68" s="5" t="s">
        <v>57</v>
      </c>
      <c r="J68" s="15">
        <v>2110</v>
      </c>
      <c r="K68" s="7">
        <v>31.7</v>
      </c>
      <c r="L68" s="7">
        <f t="shared" si="15"/>
        <v>66.561514195583598</v>
      </c>
      <c r="M68" s="5" t="s">
        <v>10</v>
      </c>
      <c r="N68" s="5">
        <v>4</v>
      </c>
      <c r="O68" s="6">
        <f t="shared" si="16"/>
        <v>5.842636383086707</v>
      </c>
      <c r="P68" s="6">
        <f t="shared" si="17"/>
        <v>0.60763418384101753</v>
      </c>
      <c r="Q68" s="10">
        <f t="shared" si="18"/>
        <v>1.2659045496687865E-2</v>
      </c>
      <c r="R68" s="10">
        <f t="shared" si="19"/>
        <v>5.9752181885174414E-2</v>
      </c>
      <c r="S68" s="10">
        <f t="shared" si="20"/>
        <v>7.2411227381862286E-2</v>
      </c>
    </row>
    <row r="69" spans="1:19" x14ac:dyDescent="0.25">
      <c r="A69" s="5" t="s">
        <v>8</v>
      </c>
      <c r="B69" s="5" t="s">
        <v>187</v>
      </c>
      <c r="C69" s="5" t="s">
        <v>27</v>
      </c>
      <c r="D69" s="5" t="s">
        <v>385</v>
      </c>
      <c r="E69" s="5" t="s">
        <v>387</v>
      </c>
      <c r="F69" s="5" t="s">
        <v>52</v>
      </c>
      <c r="G69" s="5" t="s">
        <v>394</v>
      </c>
      <c r="H69" s="5" t="s">
        <v>56</v>
      </c>
      <c r="I69" s="5" t="s">
        <v>57</v>
      </c>
      <c r="J69" s="15">
        <v>2090</v>
      </c>
      <c r="K69" s="7">
        <v>30</v>
      </c>
      <c r="L69" s="7">
        <f t="shared" si="15"/>
        <v>69.666666666666671</v>
      </c>
      <c r="M69" s="5" t="s">
        <v>10</v>
      </c>
      <c r="N69" s="5">
        <v>4</v>
      </c>
      <c r="O69" s="6">
        <f t="shared" si="16"/>
        <v>6.3398118055555566</v>
      </c>
      <c r="P69" s="6">
        <f t="shared" si="17"/>
        <v>0.65934042777777779</v>
      </c>
      <c r="Q69" s="10">
        <f t="shared" si="18"/>
        <v>1.3736258912037039E-2</v>
      </c>
      <c r="R69" s="10">
        <f t="shared" si="19"/>
        <v>6.3526422548826608E-2</v>
      </c>
      <c r="S69" s="10">
        <f t="shared" si="20"/>
        <v>7.7262681460863653E-2</v>
      </c>
    </row>
    <row r="70" spans="1:19" x14ac:dyDescent="0.25">
      <c r="A70" s="5" t="s">
        <v>8</v>
      </c>
      <c r="B70" s="5" t="s">
        <v>187</v>
      </c>
      <c r="C70" s="5" t="s">
        <v>27</v>
      </c>
      <c r="D70" s="5" t="s">
        <v>385</v>
      </c>
      <c r="E70" s="5" t="s">
        <v>387</v>
      </c>
      <c r="F70" s="5" t="s">
        <v>52</v>
      </c>
      <c r="G70" s="5" t="s">
        <v>394</v>
      </c>
      <c r="H70" s="5" t="s">
        <v>56</v>
      </c>
      <c r="I70" s="5" t="s">
        <v>57</v>
      </c>
      <c r="J70" s="15">
        <v>1980</v>
      </c>
      <c r="K70" s="7">
        <v>30.4</v>
      </c>
      <c r="L70" s="7">
        <f t="shared" si="15"/>
        <v>65.131578947368425</v>
      </c>
      <c r="M70" s="5" t="s">
        <v>10</v>
      </c>
      <c r="N70" s="5">
        <v>4</v>
      </c>
      <c r="O70" s="6">
        <f t="shared" si="16"/>
        <v>5.2496266880193909</v>
      </c>
      <c r="P70" s="6">
        <f t="shared" si="17"/>
        <v>0.54596117555401669</v>
      </c>
      <c r="Q70" s="10">
        <f t="shared" si="18"/>
        <v>1.1374191157375346E-2</v>
      </c>
      <c r="R70" s="10">
        <f t="shared" si="19"/>
        <v>5.5143387293808285E-2</v>
      </c>
      <c r="S70" s="10">
        <f t="shared" si="20"/>
        <v>6.6517578451183626E-2</v>
      </c>
    </row>
    <row r="71" spans="1:19" x14ac:dyDescent="0.25">
      <c r="A71" s="5" t="s">
        <v>8</v>
      </c>
      <c r="B71" s="5" t="s">
        <v>187</v>
      </c>
      <c r="C71" s="5" t="s">
        <v>27</v>
      </c>
      <c r="D71" s="5" t="s">
        <v>385</v>
      </c>
      <c r="E71" s="5" t="s">
        <v>387</v>
      </c>
      <c r="F71" s="5" t="s">
        <v>52</v>
      </c>
      <c r="G71" s="5" t="s">
        <v>394</v>
      </c>
      <c r="H71" s="5" t="s">
        <v>56</v>
      </c>
      <c r="I71" s="5" t="s">
        <v>57</v>
      </c>
      <c r="J71" s="15">
        <v>1980</v>
      </c>
      <c r="K71" s="7">
        <v>31.2</v>
      </c>
      <c r="L71" s="7">
        <f t="shared" si="15"/>
        <v>63.46153846153846</v>
      </c>
      <c r="M71" s="5" t="s">
        <v>10</v>
      </c>
      <c r="N71" s="5">
        <v>4</v>
      </c>
      <c r="O71" s="6">
        <f t="shared" si="16"/>
        <v>4.9838664940828403</v>
      </c>
      <c r="P71" s="6">
        <f t="shared" si="17"/>
        <v>0.51832211538461537</v>
      </c>
      <c r="Q71" s="10">
        <f t="shared" si="18"/>
        <v>1.0798377403846154E-2</v>
      </c>
      <c r="R71" s="10">
        <f t="shared" si="19"/>
        <v>5.3036141958594116E-2</v>
      </c>
      <c r="S71" s="10">
        <f t="shared" si="20"/>
        <v>6.3834519362440265E-2</v>
      </c>
    </row>
    <row r="72" spans="1:19" x14ac:dyDescent="0.25">
      <c r="A72" s="5" t="s">
        <v>8</v>
      </c>
      <c r="B72" s="5" t="s">
        <v>187</v>
      </c>
      <c r="C72" s="5" t="s">
        <v>27</v>
      </c>
      <c r="D72" s="5" t="s">
        <v>385</v>
      </c>
      <c r="E72" s="5" t="s">
        <v>387</v>
      </c>
      <c r="F72" s="5" t="s">
        <v>52</v>
      </c>
      <c r="G72" s="5" t="s">
        <v>394</v>
      </c>
      <c r="H72" s="5" t="s">
        <v>56</v>
      </c>
      <c r="I72" s="5" t="s">
        <v>57</v>
      </c>
      <c r="J72" s="15">
        <v>2200</v>
      </c>
      <c r="K72" s="7">
        <v>29</v>
      </c>
      <c r="L72" s="7">
        <f t="shared" si="15"/>
        <v>75.862068965517238</v>
      </c>
      <c r="M72" s="5" t="s">
        <v>10</v>
      </c>
      <c r="N72" s="5">
        <v>4</v>
      </c>
      <c r="O72" s="6">
        <f t="shared" si="16"/>
        <v>7.9131985731272296</v>
      </c>
      <c r="P72" s="6">
        <f t="shared" si="17"/>
        <v>0.82297265160523181</v>
      </c>
      <c r="Q72" s="10">
        <f t="shared" si="18"/>
        <v>1.7145263575108996E-2</v>
      </c>
      <c r="R72" s="10">
        <f t="shared" si="19"/>
        <v>7.501725564715013E-2</v>
      </c>
      <c r="S72" s="10">
        <f t="shared" si="20"/>
        <v>9.2162519222259126E-2</v>
      </c>
    </row>
    <row r="73" spans="1:19" x14ac:dyDescent="0.25">
      <c r="A73" s="5" t="s">
        <v>8</v>
      </c>
      <c r="B73" s="5" t="s">
        <v>187</v>
      </c>
      <c r="C73" s="5" t="s">
        <v>27</v>
      </c>
      <c r="D73" s="5" t="s">
        <v>385</v>
      </c>
      <c r="E73" s="5" t="s">
        <v>387</v>
      </c>
      <c r="F73" s="5" t="s">
        <v>52</v>
      </c>
      <c r="G73" s="5" t="s">
        <v>394</v>
      </c>
      <c r="H73" s="5" t="s">
        <v>56</v>
      </c>
      <c r="I73" s="5" t="s">
        <v>57</v>
      </c>
      <c r="J73" s="15">
        <v>2175</v>
      </c>
      <c r="K73" s="7">
        <v>31.3</v>
      </c>
      <c r="L73" s="7">
        <f t="shared" si="15"/>
        <v>69.488817891373799</v>
      </c>
      <c r="M73" s="5" t="s">
        <v>10</v>
      </c>
      <c r="N73" s="5">
        <v>4</v>
      </c>
      <c r="O73" s="6">
        <f t="shared" si="16"/>
        <v>6.5640083693566336</v>
      </c>
      <c r="P73" s="6">
        <f t="shared" si="17"/>
        <v>0.68265687041308976</v>
      </c>
      <c r="Q73" s="10">
        <f t="shared" si="18"/>
        <v>1.4222018133606039E-2</v>
      </c>
      <c r="R73" s="10">
        <f t="shared" si="19"/>
        <v>6.5203959487576693E-2</v>
      </c>
      <c r="S73" s="10">
        <f t="shared" si="20"/>
        <v>7.9425977621182725E-2</v>
      </c>
    </row>
    <row r="74" spans="1:19" x14ac:dyDescent="0.25">
      <c r="A74" s="5" t="s">
        <v>8</v>
      </c>
      <c r="B74" s="5" t="s">
        <v>291</v>
      </c>
      <c r="C74" s="5" t="s">
        <v>27</v>
      </c>
      <c r="D74" s="5" t="s">
        <v>385</v>
      </c>
      <c r="E74" s="5" t="s">
        <v>387</v>
      </c>
      <c r="F74" s="5" t="s">
        <v>52</v>
      </c>
      <c r="G74" s="5" t="s">
        <v>394</v>
      </c>
      <c r="H74" s="5" t="s">
        <v>56</v>
      </c>
      <c r="I74" s="5" t="s">
        <v>57</v>
      </c>
      <c r="J74" s="15">
        <v>1742</v>
      </c>
      <c r="K74" s="7">
        <v>24.9</v>
      </c>
      <c r="L74" s="7">
        <f t="shared" si="15"/>
        <v>69.959839357429729</v>
      </c>
      <c r="M74" s="5" t="s">
        <v>10</v>
      </c>
      <c r="N74" s="5">
        <v>4</v>
      </c>
      <c r="O74" s="6">
        <f t="shared" si="16"/>
        <v>5.3287552700762904</v>
      </c>
      <c r="P74" s="6">
        <f t="shared" si="17"/>
        <v>0.55419054808793411</v>
      </c>
      <c r="Q74" s="10">
        <f t="shared" si="18"/>
        <v>1.154563641849863E-2</v>
      </c>
      <c r="R74" s="10">
        <f t="shared" si="19"/>
        <v>5.5765609812803228E-2</v>
      </c>
      <c r="S74" s="10">
        <f t="shared" si="20"/>
        <v>6.7311246231301858E-2</v>
      </c>
    </row>
    <row r="75" spans="1:19" x14ac:dyDescent="0.25">
      <c r="A75" s="5" t="s">
        <v>8</v>
      </c>
      <c r="B75" s="5" t="s">
        <v>329</v>
      </c>
      <c r="C75" s="5" t="s">
        <v>27</v>
      </c>
      <c r="D75" s="5" t="s">
        <v>385</v>
      </c>
      <c r="E75" s="5" t="s">
        <v>387</v>
      </c>
      <c r="F75" s="5" t="s">
        <v>52</v>
      </c>
      <c r="G75" s="5" t="s">
        <v>394</v>
      </c>
      <c r="H75" s="5" t="s">
        <v>56</v>
      </c>
      <c r="I75" s="5" t="s">
        <v>94</v>
      </c>
      <c r="J75" s="15">
        <v>3680</v>
      </c>
      <c r="K75" s="7">
        <v>35.5</v>
      </c>
      <c r="L75" s="7">
        <f t="shared" si="15"/>
        <v>103.66197183098592</v>
      </c>
      <c r="M75" s="5" t="s">
        <v>10</v>
      </c>
      <c r="N75" s="5">
        <v>4</v>
      </c>
      <c r="O75" s="6">
        <f t="shared" si="16"/>
        <v>24.715350128942671</v>
      </c>
      <c r="P75" s="6">
        <f t="shared" si="17"/>
        <v>2.5703964134100374</v>
      </c>
      <c r="Q75" s="10">
        <f t="shared" si="18"/>
        <v>5.3549925279375778E-2</v>
      </c>
      <c r="R75" s="10">
        <f t="shared" si="19"/>
        <v>0.17624718927922817</v>
      </c>
      <c r="S75" s="10">
        <f t="shared" si="20"/>
        <v>0.22979711455860394</v>
      </c>
    </row>
    <row r="76" spans="1:19" x14ac:dyDescent="0.25">
      <c r="A76" s="5" t="s">
        <v>22</v>
      </c>
      <c r="B76" s="5" t="s">
        <v>63</v>
      </c>
      <c r="C76" s="5" t="s">
        <v>27</v>
      </c>
      <c r="D76" s="5" t="s">
        <v>385</v>
      </c>
      <c r="E76" s="5" t="s">
        <v>387</v>
      </c>
      <c r="F76" s="5" t="s">
        <v>52</v>
      </c>
      <c r="G76" s="5" t="s">
        <v>394</v>
      </c>
      <c r="H76" s="5" t="s">
        <v>56</v>
      </c>
      <c r="I76" s="5" t="s">
        <v>151</v>
      </c>
      <c r="J76" s="15">
        <v>3150</v>
      </c>
      <c r="K76" s="7">
        <v>32.5</v>
      </c>
      <c r="L76" s="7">
        <f t="shared" si="15"/>
        <v>96.92307692307692</v>
      </c>
      <c r="M76" s="5" t="s">
        <v>10</v>
      </c>
      <c r="N76" s="5">
        <v>4</v>
      </c>
      <c r="O76" s="6">
        <f t="shared" si="16"/>
        <v>18.494600591715976</v>
      </c>
      <c r="P76" s="6">
        <f t="shared" si="17"/>
        <v>1.9234384615384612</v>
      </c>
      <c r="Q76" s="10">
        <f t="shared" si="18"/>
        <v>4.0071634615384613E-2</v>
      </c>
      <c r="R76" s="10">
        <f t="shared" si="19"/>
        <v>0.14180150554274765</v>
      </c>
      <c r="S76" s="10">
        <f t="shared" si="20"/>
        <v>0.18187314015813227</v>
      </c>
    </row>
    <row r="77" spans="1:19" x14ac:dyDescent="0.25">
      <c r="A77" s="5" t="s">
        <v>8</v>
      </c>
      <c r="B77" s="5" t="s">
        <v>217</v>
      </c>
      <c r="C77" s="5" t="s">
        <v>27</v>
      </c>
      <c r="D77" s="5" t="s">
        <v>385</v>
      </c>
      <c r="E77" s="5" t="s">
        <v>387</v>
      </c>
      <c r="F77" s="5" t="s">
        <v>52</v>
      </c>
      <c r="G77" s="5" t="s">
        <v>394</v>
      </c>
      <c r="H77" s="5" t="s">
        <v>56</v>
      </c>
      <c r="I77" s="5" t="s">
        <v>151</v>
      </c>
      <c r="J77" s="15">
        <v>3100</v>
      </c>
      <c r="K77" s="7">
        <v>34.1</v>
      </c>
      <c r="L77" s="7">
        <f t="shared" si="15"/>
        <v>90.909090909090907</v>
      </c>
      <c r="M77" s="5" t="s">
        <v>10</v>
      </c>
      <c r="N77" s="5">
        <v>4</v>
      </c>
      <c r="O77" s="6">
        <f t="shared" si="16"/>
        <v>16.012396694214875</v>
      </c>
      <c r="P77" s="6">
        <f t="shared" si="17"/>
        <v>1.6652892561983468</v>
      </c>
      <c r="Q77" s="10">
        <f t="shared" si="18"/>
        <v>3.4693526170798898E-2</v>
      </c>
      <c r="R77" s="10">
        <f t="shared" si="19"/>
        <v>0.12727390813293155</v>
      </c>
      <c r="S77" s="10">
        <f t="shared" si="20"/>
        <v>0.16196743430373045</v>
      </c>
    </row>
    <row r="78" spans="1:19" x14ac:dyDescent="0.25">
      <c r="A78" s="5" t="s">
        <v>22</v>
      </c>
      <c r="B78" s="5" t="s">
        <v>63</v>
      </c>
      <c r="C78" s="5" t="s">
        <v>27</v>
      </c>
      <c r="D78" s="5" t="s">
        <v>385</v>
      </c>
      <c r="E78" s="5" t="s">
        <v>387</v>
      </c>
      <c r="F78" s="5" t="s">
        <v>52</v>
      </c>
      <c r="G78" s="5" t="s">
        <v>394</v>
      </c>
      <c r="H78" s="5" t="s">
        <v>106</v>
      </c>
      <c r="I78" s="5" t="s">
        <v>107</v>
      </c>
      <c r="J78" s="15">
        <v>1025</v>
      </c>
      <c r="K78" s="7">
        <v>23.5</v>
      </c>
      <c r="L78" s="7">
        <f t="shared" si="15"/>
        <v>43.617021276595743</v>
      </c>
      <c r="M78" s="5" t="s">
        <v>10</v>
      </c>
      <c r="N78" s="5">
        <v>4</v>
      </c>
      <c r="O78" s="6">
        <f t="shared" si="16"/>
        <v>1.2187535366681754</v>
      </c>
      <c r="P78" s="6">
        <f t="shared" si="17"/>
        <v>0.12675036781349025</v>
      </c>
      <c r="Q78" s="10">
        <f t="shared" si="18"/>
        <v>2.640632662781047E-3</v>
      </c>
      <c r="R78" s="10">
        <f t="shared" si="19"/>
        <v>1.8443105096462079E-2</v>
      </c>
      <c r="S78" s="10">
        <f t="shared" si="20"/>
        <v>2.1083737759243125E-2</v>
      </c>
    </row>
    <row r="79" spans="1:19" x14ac:dyDescent="0.25">
      <c r="A79" s="5" t="s">
        <v>8</v>
      </c>
      <c r="B79" s="5" t="s">
        <v>154</v>
      </c>
      <c r="C79" s="5" t="s">
        <v>27</v>
      </c>
      <c r="D79" s="5" t="s">
        <v>385</v>
      </c>
      <c r="E79" s="5" t="s">
        <v>387</v>
      </c>
      <c r="F79" s="5" t="s">
        <v>52</v>
      </c>
      <c r="G79" s="5" t="s">
        <v>394</v>
      </c>
      <c r="H79" s="5" t="s">
        <v>108</v>
      </c>
      <c r="I79" s="5" t="s">
        <v>155</v>
      </c>
      <c r="J79" s="15">
        <v>1570</v>
      </c>
      <c r="K79" s="7">
        <v>32.5</v>
      </c>
      <c r="L79" s="7">
        <f t="shared" ref="L79" si="21">J79/K79</f>
        <v>48.307692307692307</v>
      </c>
      <c r="M79" s="5" t="s">
        <v>10</v>
      </c>
      <c r="N79" s="5">
        <v>4</v>
      </c>
      <c r="O79" s="6">
        <f t="shared" si="16"/>
        <v>2.2898775147928991</v>
      </c>
      <c r="P79" s="6">
        <f t="shared" si="17"/>
        <v>0.2381472615384615</v>
      </c>
      <c r="Q79" s="10">
        <f t="shared" si="18"/>
        <v>4.9614012820512815E-3</v>
      </c>
      <c r="R79" s="10">
        <f t="shared" si="19"/>
        <v>2.9597587543075777E-2</v>
      </c>
      <c r="S79" s="10">
        <f t="shared" ref="S79" si="22">Q79+R79</f>
        <v>3.4558988825127056E-2</v>
      </c>
    </row>
    <row r="80" spans="1:19" x14ac:dyDescent="0.25">
      <c r="J80" s="16">
        <f t="shared" ref="J80:S80" si="23">AVERAGE(J16:J79)</f>
        <v>2275.65625</v>
      </c>
      <c r="K80" s="12">
        <f t="shared" si="23"/>
        <v>31.745312500000004</v>
      </c>
      <c r="L80" s="12">
        <f t="shared" si="23"/>
        <v>71.727203458705162</v>
      </c>
      <c r="M80" s="11" t="e">
        <f t="shared" si="23"/>
        <v>#DIV/0!</v>
      </c>
      <c r="N80" s="11">
        <f t="shared" si="23"/>
        <v>4</v>
      </c>
      <c r="O80" s="13">
        <f t="shared" si="23"/>
        <v>8.4465882778347652</v>
      </c>
      <c r="P80" s="13">
        <f t="shared" si="23"/>
        <v>0.87844518089481549</v>
      </c>
      <c r="Q80" s="14">
        <f t="shared" si="23"/>
        <v>1.8300941268641988E-2</v>
      </c>
      <c r="R80" s="14">
        <f t="shared" si="23"/>
        <v>7.5750202593479213E-2</v>
      </c>
      <c r="S80" s="14">
        <f t="shared" si="23"/>
        <v>9.4051143862121267E-2</v>
      </c>
    </row>
    <row r="81" spans="1:19" x14ac:dyDescent="0.25">
      <c r="A81" s="5" t="s">
        <v>22</v>
      </c>
      <c r="B81" s="5" t="s">
        <v>63</v>
      </c>
      <c r="C81" s="5" t="s">
        <v>27</v>
      </c>
      <c r="D81" s="5" t="s">
        <v>385</v>
      </c>
      <c r="E81" s="5" t="s">
        <v>387</v>
      </c>
      <c r="F81" s="5" t="s">
        <v>112</v>
      </c>
      <c r="G81" s="5" t="s">
        <v>395</v>
      </c>
      <c r="H81" s="5" t="s">
        <v>131</v>
      </c>
      <c r="I81" s="5" t="s">
        <v>132</v>
      </c>
      <c r="J81" s="15">
        <v>1175</v>
      </c>
      <c r="K81" s="7">
        <v>40</v>
      </c>
      <c r="L81" s="7">
        <f t="shared" ref="L81:L112" si="24">J81/K81</f>
        <v>29.375</v>
      </c>
      <c r="M81" s="5" t="s">
        <v>10</v>
      </c>
      <c r="N81" s="5">
        <v>4</v>
      </c>
      <c r="O81" s="6">
        <f t="shared" ref="O81:O112" si="25">(J81*L81^2)/(1.6*10^6)</f>
        <v>0.63368530273437496</v>
      </c>
      <c r="P81" s="6">
        <f t="shared" ref="P81:P112" si="26">(0.104*J81*L81^2)/(1.6*10^6)</f>
        <v>6.5903271484374998E-2</v>
      </c>
      <c r="Q81" s="10">
        <f t="shared" ref="Q81:Q112" si="27">(0.104*O81)/(12*N81)</f>
        <v>1.3729848225911459E-3</v>
      </c>
      <c r="R81" s="10">
        <f t="shared" ref="R81:R112" si="28">0.0159*O81^0.75</f>
        <v>1.1292818553521496E-2</v>
      </c>
      <c r="S81" s="10">
        <f t="shared" ref="S81:S112" si="29">Q81+R81</f>
        <v>1.2665803376112641E-2</v>
      </c>
    </row>
    <row r="82" spans="1:19" x14ac:dyDescent="0.25">
      <c r="A82" s="5" t="s">
        <v>22</v>
      </c>
      <c r="B82" s="5" t="s">
        <v>63</v>
      </c>
      <c r="C82" s="5" t="s">
        <v>27</v>
      </c>
      <c r="D82" s="5" t="s">
        <v>385</v>
      </c>
      <c r="E82" s="5" t="s">
        <v>387</v>
      </c>
      <c r="F82" s="5" t="s">
        <v>112</v>
      </c>
      <c r="G82" s="5" t="s">
        <v>395</v>
      </c>
      <c r="H82" s="5" t="s">
        <v>129</v>
      </c>
      <c r="I82" s="5" t="s">
        <v>130</v>
      </c>
      <c r="J82" s="15">
        <v>2750</v>
      </c>
      <c r="K82" s="7">
        <v>41.5</v>
      </c>
      <c r="L82" s="7">
        <f t="shared" si="24"/>
        <v>66.265060240963862</v>
      </c>
      <c r="M82" s="5" t="s">
        <v>10</v>
      </c>
      <c r="N82" s="5">
        <v>4</v>
      </c>
      <c r="O82" s="6">
        <f t="shared" si="25"/>
        <v>7.5471312962694164</v>
      </c>
      <c r="P82" s="6">
        <f t="shared" si="26"/>
        <v>0.78490165481201923</v>
      </c>
      <c r="Q82" s="10">
        <f t="shared" si="27"/>
        <v>1.6352117808583734E-2</v>
      </c>
      <c r="R82" s="10">
        <f t="shared" si="28"/>
        <v>7.2399164332052277E-2</v>
      </c>
      <c r="S82" s="10">
        <f t="shared" si="29"/>
        <v>8.8751282140636018E-2</v>
      </c>
    </row>
    <row r="83" spans="1:19" x14ac:dyDescent="0.25">
      <c r="A83" s="5" t="s">
        <v>22</v>
      </c>
      <c r="B83" s="5" t="s">
        <v>63</v>
      </c>
      <c r="C83" s="5" t="s">
        <v>27</v>
      </c>
      <c r="D83" s="5" t="s">
        <v>385</v>
      </c>
      <c r="E83" s="5" t="s">
        <v>387</v>
      </c>
      <c r="F83" s="5" t="s">
        <v>112</v>
      </c>
      <c r="G83" s="5" t="s">
        <v>395</v>
      </c>
      <c r="H83" s="5" t="s">
        <v>123</v>
      </c>
      <c r="I83" s="5" t="s">
        <v>124</v>
      </c>
      <c r="J83" s="15">
        <v>1900</v>
      </c>
      <c r="K83" s="7">
        <v>31</v>
      </c>
      <c r="L83" s="7">
        <f t="shared" si="24"/>
        <v>61.29032258064516</v>
      </c>
      <c r="M83" s="5" t="s">
        <v>10</v>
      </c>
      <c r="N83" s="5">
        <v>4</v>
      </c>
      <c r="O83" s="6">
        <f t="shared" si="25"/>
        <v>4.4608480749219561</v>
      </c>
      <c r="P83" s="6">
        <f t="shared" si="26"/>
        <v>0.46392819979188343</v>
      </c>
      <c r="Q83" s="10">
        <f t="shared" si="27"/>
        <v>9.6651708289975709E-3</v>
      </c>
      <c r="R83" s="10">
        <f t="shared" si="28"/>
        <v>4.8804537187392021E-2</v>
      </c>
      <c r="S83" s="10">
        <f t="shared" si="29"/>
        <v>5.8469708016389593E-2</v>
      </c>
    </row>
    <row r="84" spans="1:19" x14ac:dyDescent="0.25">
      <c r="A84" s="5" t="s">
        <v>22</v>
      </c>
      <c r="B84" s="5" t="s">
        <v>63</v>
      </c>
      <c r="C84" s="5" t="s">
        <v>27</v>
      </c>
      <c r="D84" s="5" t="s">
        <v>385</v>
      </c>
      <c r="E84" s="5" t="s">
        <v>387</v>
      </c>
      <c r="F84" s="5" t="s">
        <v>112</v>
      </c>
      <c r="G84" s="5" t="s">
        <v>395</v>
      </c>
      <c r="H84" s="5" t="s">
        <v>127</v>
      </c>
      <c r="I84" s="5" t="s">
        <v>128</v>
      </c>
      <c r="J84" s="15">
        <v>2730</v>
      </c>
      <c r="K84" s="7">
        <v>35.5</v>
      </c>
      <c r="L84" s="7">
        <f t="shared" si="24"/>
        <v>76.901408450704224</v>
      </c>
      <c r="M84" s="5" t="s">
        <v>10</v>
      </c>
      <c r="N84" s="5">
        <v>4</v>
      </c>
      <c r="O84" s="6">
        <f t="shared" si="25"/>
        <v>10.09046667327911</v>
      </c>
      <c r="P84" s="6">
        <f t="shared" si="26"/>
        <v>1.0494085340210273</v>
      </c>
      <c r="Q84" s="10">
        <f t="shared" si="27"/>
        <v>2.1862677792104736E-2</v>
      </c>
      <c r="R84" s="10">
        <f t="shared" si="28"/>
        <v>9.0018249545225748E-2</v>
      </c>
      <c r="S84" s="10">
        <f t="shared" si="29"/>
        <v>0.11188092733733049</v>
      </c>
    </row>
    <row r="85" spans="1:19" x14ac:dyDescent="0.25">
      <c r="A85" s="5" t="s">
        <v>8</v>
      </c>
      <c r="B85" s="5" t="s">
        <v>333</v>
      </c>
      <c r="C85" s="5" t="s">
        <v>27</v>
      </c>
      <c r="D85" s="5" t="s">
        <v>385</v>
      </c>
      <c r="E85" s="5" t="s">
        <v>387</v>
      </c>
      <c r="F85" s="5" t="s">
        <v>112</v>
      </c>
      <c r="G85" s="5" t="s">
        <v>395</v>
      </c>
      <c r="H85" s="5" t="s">
        <v>127</v>
      </c>
      <c r="I85" s="5" t="s">
        <v>335</v>
      </c>
      <c r="J85" s="15">
        <v>2210</v>
      </c>
      <c r="K85" s="7">
        <v>28.6</v>
      </c>
      <c r="L85" s="7">
        <f t="shared" si="24"/>
        <v>77.272727272727266</v>
      </c>
      <c r="M85" s="5" t="s">
        <v>10</v>
      </c>
      <c r="N85" s="5">
        <v>4</v>
      </c>
      <c r="O85" s="6">
        <f t="shared" si="25"/>
        <v>8.2475464876033033</v>
      </c>
      <c r="P85" s="6">
        <f t="shared" si="26"/>
        <v>0.85774483471074359</v>
      </c>
      <c r="Q85" s="10">
        <f t="shared" si="27"/>
        <v>1.7869684056473822E-2</v>
      </c>
      <c r="R85" s="10">
        <f t="shared" si="28"/>
        <v>7.7382134205359915E-2</v>
      </c>
      <c r="S85" s="10">
        <f t="shared" si="29"/>
        <v>9.5251818261833737E-2</v>
      </c>
    </row>
    <row r="86" spans="1:19" x14ac:dyDescent="0.25">
      <c r="A86" s="5" t="s">
        <v>8</v>
      </c>
      <c r="B86" s="5" t="s">
        <v>239</v>
      </c>
      <c r="C86" s="5" t="s">
        <v>27</v>
      </c>
      <c r="D86" s="5" t="s">
        <v>385</v>
      </c>
      <c r="E86" s="5" t="s">
        <v>387</v>
      </c>
      <c r="F86" s="5" t="s">
        <v>112</v>
      </c>
      <c r="G86" s="5" t="s">
        <v>395</v>
      </c>
      <c r="H86" s="5" t="s">
        <v>127</v>
      </c>
      <c r="I86" s="5" t="s">
        <v>240</v>
      </c>
      <c r="J86" s="15">
        <v>2800</v>
      </c>
      <c r="K86" s="7">
        <v>34.299999999999997</v>
      </c>
      <c r="L86" s="7">
        <f t="shared" si="24"/>
        <v>81.632653061224502</v>
      </c>
      <c r="M86" s="5" t="s">
        <v>10</v>
      </c>
      <c r="N86" s="5">
        <v>4</v>
      </c>
      <c r="O86" s="6">
        <f t="shared" si="25"/>
        <v>11.661807580174932</v>
      </c>
      <c r="P86" s="6">
        <f t="shared" si="26"/>
        <v>1.2128279883381927</v>
      </c>
      <c r="Q86" s="10">
        <f t="shared" si="27"/>
        <v>2.5267249757045685E-2</v>
      </c>
      <c r="R86" s="10">
        <f t="shared" si="28"/>
        <v>0.10033940647782641</v>
      </c>
      <c r="S86" s="10">
        <f t="shared" si="29"/>
        <v>0.1256066562348721</v>
      </c>
    </row>
    <row r="87" spans="1:19" x14ac:dyDescent="0.25">
      <c r="A87" s="5" t="s">
        <v>8</v>
      </c>
      <c r="B87" s="5" t="s">
        <v>333</v>
      </c>
      <c r="C87" s="5" t="s">
        <v>27</v>
      </c>
      <c r="D87" s="5" t="s">
        <v>385</v>
      </c>
      <c r="E87" s="5" t="s">
        <v>387</v>
      </c>
      <c r="F87" s="5" t="s">
        <v>112</v>
      </c>
      <c r="G87" s="5" t="s">
        <v>395</v>
      </c>
      <c r="H87" s="5" t="s">
        <v>127</v>
      </c>
      <c r="I87" s="5" t="s">
        <v>240</v>
      </c>
      <c r="J87" s="15">
        <v>2630</v>
      </c>
      <c r="K87" s="7">
        <v>31.3</v>
      </c>
      <c r="L87" s="7">
        <f t="shared" si="24"/>
        <v>84.025559105431313</v>
      </c>
      <c r="M87" s="5" t="s">
        <v>10</v>
      </c>
      <c r="N87" s="5">
        <v>4</v>
      </c>
      <c r="O87" s="6">
        <f t="shared" si="25"/>
        <v>11.60535922077392</v>
      </c>
      <c r="P87" s="6">
        <f t="shared" si="26"/>
        <v>1.2069573589604874</v>
      </c>
      <c r="Q87" s="10">
        <f t="shared" si="27"/>
        <v>2.5144944978343492E-2</v>
      </c>
      <c r="R87" s="10">
        <f t="shared" si="28"/>
        <v>9.9974919960367822E-2</v>
      </c>
      <c r="S87" s="10">
        <f t="shared" si="29"/>
        <v>0.1251198649387113</v>
      </c>
    </row>
    <row r="88" spans="1:19" x14ac:dyDescent="0.25">
      <c r="A88" s="5" t="s">
        <v>8</v>
      </c>
      <c r="B88" s="5" t="s">
        <v>281</v>
      </c>
      <c r="C88" s="5" t="s">
        <v>27</v>
      </c>
      <c r="D88" s="5" t="s">
        <v>385</v>
      </c>
      <c r="E88" s="5" t="s">
        <v>387</v>
      </c>
      <c r="F88" s="5" t="s">
        <v>112</v>
      </c>
      <c r="G88" s="5" t="s">
        <v>395</v>
      </c>
      <c r="H88" s="5" t="s">
        <v>127</v>
      </c>
      <c r="I88" s="5" t="s">
        <v>283</v>
      </c>
      <c r="J88" s="15">
        <v>2700</v>
      </c>
      <c r="K88" s="7">
        <v>35.5</v>
      </c>
      <c r="L88" s="7">
        <f t="shared" si="24"/>
        <v>76.056338028169009</v>
      </c>
      <c r="M88" s="5" t="s">
        <v>10</v>
      </c>
      <c r="N88" s="5">
        <v>4</v>
      </c>
      <c r="O88" s="6">
        <f t="shared" si="25"/>
        <v>9.761456060305493</v>
      </c>
      <c r="P88" s="6">
        <f t="shared" si="26"/>
        <v>1.0151914302717713</v>
      </c>
      <c r="Q88" s="10">
        <f t="shared" si="27"/>
        <v>2.1149821463995234E-2</v>
      </c>
      <c r="R88" s="10">
        <f t="shared" si="28"/>
        <v>8.7807796146606665E-2</v>
      </c>
      <c r="S88" s="10">
        <f t="shared" si="29"/>
        <v>0.1089576176106019</v>
      </c>
    </row>
    <row r="89" spans="1:19" x14ac:dyDescent="0.25">
      <c r="A89" s="5" t="s">
        <v>8</v>
      </c>
      <c r="B89" s="5" t="s">
        <v>333</v>
      </c>
      <c r="C89" s="5" t="s">
        <v>27</v>
      </c>
      <c r="D89" s="5" t="s">
        <v>385</v>
      </c>
      <c r="E89" s="5" t="s">
        <v>387</v>
      </c>
      <c r="F89" s="5" t="s">
        <v>112</v>
      </c>
      <c r="G89" s="5" t="s">
        <v>395</v>
      </c>
      <c r="H89" s="5" t="s">
        <v>127</v>
      </c>
      <c r="I89" s="5" t="s">
        <v>334</v>
      </c>
      <c r="J89" s="15">
        <v>2470</v>
      </c>
      <c r="K89" s="7">
        <v>32.4</v>
      </c>
      <c r="L89" s="7">
        <f t="shared" si="24"/>
        <v>76.23456790123457</v>
      </c>
      <c r="M89" s="5" t="s">
        <v>10</v>
      </c>
      <c r="N89" s="5">
        <v>4</v>
      </c>
      <c r="O89" s="6">
        <f t="shared" si="25"/>
        <v>8.9718262983920134</v>
      </c>
      <c r="P89" s="6">
        <f t="shared" si="26"/>
        <v>0.93306993503276947</v>
      </c>
      <c r="Q89" s="10">
        <f t="shared" si="27"/>
        <v>1.9438956979849362E-2</v>
      </c>
      <c r="R89" s="10">
        <f t="shared" si="28"/>
        <v>8.2424774346458729E-2</v>
      </c>
      <c r="S89" s="10">
        <f t="shared" si="29"/>
        <v>0.10186373132630809</v>
      </c>
    </row>
    <row r="90" spans="1:19" x14ac:dyDescent="0.25">
      <c r="A90" s="5" t="s">
        <v>8</v>
      </c>
      <c r="B90" s="5" t="s">
        <v>156</v>
      </c>
      <c r="C90" s="5" t="s">
        <v>27</v>
      </c>
      <c r="D90" s="5" t="s">
        <v>385</v>
      </c>
      <c r="E90" s="5" t="s">
        <v>387</v>
      </c>
      <c r="F90" s="5" t="s">
        <v>112</v>
      </c>
      <c r="G90" s="5" t="s">
        <v>395</v>
      </c>
      <c r="H90" s="5" t="s">
        <v>127</v>
      </c>
      <c r="I90" s="5" t="s">
        <v>160</v>
      </c>
      <c r="J90" s="15">
        <v>2119</v>
      </c>
      <c r="K90" s="7">
        <v>36</v>
      </c>
      <c r="L90" s="7">
        <f t="shared" si="24"/>
        <v>58.861111111111114</v>
      </c>
      <c r="M90" s="5" t="s">
        <v>10</v>
      </c>
      <c r="N90" s="5">
        <v>4</v>
      </c>
      <c r="O90" s="6">
        <f t="shared" si="25"/>
        <v>4.5884698876350312</v>
      </c>
      <c r="P90" s="6">
        <f t="shared" si="26"/>
        <v>0.47720086831404318</v>
      </c>
      <c r="Q90" s="10">
        <f t="shared" si="27"/>
        <v>9.9416847565425674E-3</v>
      </c>
      <c r="R90" s="10">
        <f t="shared" si="28"/>
        <v>4.9848034494641785E-2</v>
      </c>
      <c r="S90" s="10">
        <f t="shared" si="29"/>
        <v>5.9789719251184356E-2</v>
      </c>
    </row>
    <row r="91" spans="1:19" x14ac:dyDescent="0.25">
      <c r="A91" s="5" t="s">
        <v>22</v>
      </c>
      <c r="B91" s="5" t="s">
        <v>63</v>
      </c>
      <c r="C91" s="5" t="s">
        <v>27</v>
      </c>
      <c r="D91" s="5" t="s">
        <v>385</v>
      </c>
      <c r="E91" s="5" t="s">
        <v>387</v>
      </c>
      <c r="F91" s="5" t="s">
        <v>112</v>
      </c>
      <c r="G91" s="5" t="s">
        <v>395</v>
      </c>
      <c r="H91" s="5" t="s">
        <v>125</v>
      </c>
      <c r="I91" s="5" t="s">
        <v>126</v>
      </c>
      <c r="J91" s="15">
        <v>1150</v>
      </c>
      <c r="K91" s="7">
        <v>22.5</v>
      </c>
      <c r="L91" s="7">
        <f t="shared" si="24"/>
        <v>51.111111111111114</v>
      </c>
      <c r="M91" s="5" t="s">
        <v>10</v>
      </c>
      <c r="N91" s="5">
        <v>4</v>
      </c>
      <c r="O91" s="6">
        <f t="shared" si="25"/>
        <v>1.8776234567901235</v>
      </c>
      <c r="P91" s="6">
        <f t="shared" si="26"/>
        <v>0.19527283950617286</v>
      </c>
      <c r="Q91" s="10">
        <f t="shared" si="27"/>
        <v>4.0681841563786009E-3</v>
      </c>
      <c r="R91" s="10">
        <f t="shared" si="28"/>
        <v>2.5503718193814025E-2</v>
      </c>
      <c r="S91" s="10">
        <f t="shared" si="29"/>
        <v>2.9571902350192626E-2</v>
      </c>
    </row>
    <row r="92" spans="1:19" x14ac:dyDescent="0.25">
      <c r="A92" s="5" t="s">
        <v>22</v>
      </c>
      <c r="B92" s="5" t="s">
        <v>63</v>
      </c>
      <c r="C92" s="5" t="s">
        <v>27</v>
      </c>
      <c r="D92" s="5" t="s">
        <v>385</v>
      </c>
      <c r="E92" s="5" t="s">
        <v>387</v>
      </c>
      <c r="F92" s="5" t="s">
        <v>112</v>
      </c>
      <c r="G92" s="5" t="s">
        <v>391</v>
      </c>
      <c r="H92" s="5" t="s">
        <v>117</v>
      </c>
      <c r="I92" s="5" t="s">
        <v>118</v>
      </c>
      <c r="J92" s="15">
        <v>570</v>
      </c>
      <c r="K92" s="7">
        <v>20</v>
      </c>
      <c r="L92" s="7">
        <f t="shared" si="24"/>
        <v>28.5</v>
      </c>
      <c r="M92" s="5" t="s">
        <v>10</v>
      </c>
      <c r="N92" s="5">
        <v>4</v>
      </c>
      <c r="O92" s="6">
        <f t="shared" si="25"/>
        <v>0.28936406250000002</v>
      </c>
      <c r="P92" s="6">
        <f t="shared" si="26"/>
        <v>3.0093862499999995E-2</v>
      </c>
      <c r="Q92" s="10">
        <f t="shared" si="27"/>
        <v>6.2695546875000008E-4</v>
      </c>
      <c r="R92" s="10">
        <f t="shared" si="28"/>
        <v>6.2730762879062542E-3</v>
      </c>
      <c r="S92" s="10">
        <f t="shared" si="29"/>
        <v>6.9000317566562542E-3</v>
      </c>
    </row>
    <row r="93" spans="1:19" x14ac:dyDescent="0.25">
      <c r="A93" s="5" t="s">
        <v>22</v>
      </c>
      <c r="B93" s="5" t="s">
        <v>63</v>
      </c>
      <c r="C93" s="5" t="s">
        <v>27</v>
      </c>
      <c r="D93" s="5" t="s">
        <v>385</v>
      </c>
      <c r="E93" s="5" t="s">
        <v>387</v>
      </c>
      <c r="F93" s="5" t="s">
        <v>112</v>
      </c>
      <c r="G93" s="5" t="s">
        <v>391</v>
      </c>
      <c r="H93" s="5" t="s">
        <v>122</v>
      </c>
      <c r="I93" s="5" t="s">
        <v>19</v>
      </c>
      <c r="J93" s="15">
        <v>1200</v>
      </c>
      <c r="K93" s="7">
        <v>42</v>
      </c>
      <c r="L93" s="7">
        <f t="shared" si="24"/>
        <v>28.571428571428573</v>
      </c>
      <c r="M93" s="5" t="s">
        <v>10</v>
      </c>
      <c r="N93" s="5">
        <v>4</v>
      </c>
      <c r="O93" s="6">
        <f t="shared" si="25"/>
        <v>0.61224489795918369</v>
      </c>
      <c r="P93" s="6">
        <f t="shared" si="26"/>
        <v>6.3673469387755102E-2</v>
      </c>
      <c r="Q93" s="10">
        <f t="shared" si="27"/>
        <v>1.326530612244898E-3</v>
      </c>
      <c r="R93" s="10">
        <f t="shared" si="28"/>
        <v>1.1005024287086839E-2</v>
      </c>
      <c r="S93" s="10">
        <f t="shared" si="29"/>
        <v>1.2331554899331737E-2</v>
      </c>
    </row>
    <row r="94" spans="1:19" x14ac:dyDescent="0.25">
      <c r="A94" s="5" t="s">
        <v>22</v>
      </c>
      <c r="B94" s="5" t="s">
        <v>63</v>
      </c>
      <c r="C94" s="5" t="s">
        <v>27</v>
      </c>
      <c r="D94" s="5" t="s">
        <v>385</v>
      </c>
      <c r="E94" s="5" t="s">
        <v>387</v>
      </c>
      <c r="F94" s="5" t="s">
        <v>112</v>
      </c>
      <c r="G94" s="5" t="s">
        <v>391</v>
      </c>
      <c r="H94" s="5" t="s">
        <v>53</v>
      </c>
      <c r="I94" s="5" t="s">
        <v>143</v>
      </c>
      <c r="J94" s="15">
        <v>2360</v>
      </c>
      <c r="K94" s="7">
        <v>39.5</v>
      </c>
      <c r="L94" s="7">
        <f t="shared" si="24"/>
        <v>59.746835443037973</v>
      </c>
      <c r="M94" s="5" t="s">
        <v>10</v>
      </c>
      <c r="N94" s="5">
        <v>4</v>
      </c>
      <c r="O94" s="6">
        <f t="shared" si="25"/>
        <v>5.2652844095497517</v>
      </c>
      <c r="P94" s="6">
        <f t="shared" si="26"/>
        <v>0.54758957859317414</v>
      </c>
      <c r="Q94" s="10">
        <f t="shared" si="27"/>
        <v>1.1408116220691128E-2</v>
      </c>
      <c r="R94" s="10">
        <f t="shared" si="28"/>
        <v>5.5266695818139089E-2</v>
      </c>
      <c r="S94" s="10">
        <f t="shared" si="29"/>
        <v>6.6674812038830217E-2</v>
      </c>
    </row>
    <row r="95" spans="1:19" x14ac:dyDescent="0.25">
      <c r="A95" s="5" t="s">
        <v>8</v>
      </c>
      <c r="B95" s="5" t="s">
        <v>363</v>
      </c>
      <c r="C95" s="5" t="s">
        <v>27</v>
      </c>
      <c r="D95" s="5" t="s">
        <v>385</v>
      </c>
      <c r="E95" s="5" t="s">
        <v>387</v>
      </c>
      <c r="F95" s="5" t="s">
        <v>112</v>
      </c>
      <c r="G95" s="5" t="s">
        <v>391</v>
      </c>
      <c r="H95" s="5" t="s">
        <v>53</v>
      </c>
      <c r="I95" s="5" t="s">
        <v>167</v>
      </c>
      <c r="J95" s="15">
        <v>2300</v>
      </c>
      <c r="K95" s="7">
        <v>26.3</v>
      </c>
      <c r="L95" s="7">
        <f t="shared" si="24"/>
        <v>87.452471482889734</v>
      </c>
      <c r="M95" s="5" t="s">
        <v>10</v>
      </c>
      <c r="N95" s="5">
        <v>4</v>
      </c>
      <c r="O95" s="6">
        <f t="shared" si="25"/>
        <v>10.993906229669362</v>
      </c>
      <c r="P95" s="6">
        <f t="shared" si="26"/>
        <v>1.1433662478856135</v>
      </c>
      <c r="Q95" s="10">
        <f t="shared" si="27"/>
        <v>2.3820130164283613E-2</v>
      </c>
      <c r="R95" s="10">
        <f t="shared" si="28"/>
        <v>9.5997770223245141E-2</v>
      </c>
      <c r="S95" s="10">
        <f t="shared" si="29"/>
        <v>0.11981790038752875</v>
      </c>
    </row>
    <row r="96" spans="1:19" x14ac:dyDescent="0.25">
      <c r="A96" s="5" t="s">
        <v>8</v>
      </c>
      <c r="B96" s="5" t="s">
        <v>347</v>
      </c>
      <c r="C96" s="5" t="s">
        <v>27</v>
      </c>
      <c r="D96" s="5" t="s">
        <v>385</v>
      </c>
      <c r="E96" s="5" t="s">
        <v>387</v>
      </c>
      <c r="F96" s="5" t="s">
        <v>112</v>
      </c>
      <c r="G96" s="5" t="s">
        <v>391</v>
      </c>
      <c r="H96" s="5" t="s">
        <v>53</v>
      </c>
      <c r="I96" s="5" t="s">
        <v>348</v>
      </c>
      <c r="J96" s="15">
        <v>1750</v>
      </c>
      <c r="K96" s="7">
        <v>38</v>
      </c>
      <c r="L96" s="7">
        <f t="shared" si="24"/>
        <v>46.05263157894737</v>
      </c>
      <c r="M96" s="5" t="s">
        <v>10</v>
      </c>
      <c r="N96" s="5">
        <v>4</v>
      </c>
      <c r="O96" s="6">
        <f t="shared" si="25"/>
        <v>2.3196740824099722</v>
      </c>
      <c r="P96" s="6">
        <f t="shared" si="26"/>
        <v>0.24124610457063711</v>
      </c>
      <c r="Q96" s="10">
        <f t="shared" si="27"/>
        <v>5.0259605118882734E-3</v>
      </c>
      <c r="R96" s="10">
        <f t="shared" si="28"/>
        <v>2.988596970978951E-2</v>
      </c>
      <c r="S96" s="10">
        <f t="shared" si="29"/>
        <v>3.4911930221677781E-2</v>
      </c>
    </row>
    <row r="97" spans="1:19" x14ac:dyDescent="0.25">
      <c r="A97" s="5" t="s">
        <v>8</v>
      </c>
      <c r="B97" s="5" t="s">
        <v>347</v>
      </c>
      <c r="C97" s="5" t="s">
        <v>27</v>
      </c>
      <c r="D97" s="5" t="s">
        <v>385</v>
      </c>
      <c r="E97" s="5" t="s">
        <v>387</v>
      </c>
      <c r="F97" s="5" t="s">
        <v>112</v>
      </c>
      <c r="G97" s="5" t="s">
        <v>391</v>
      </c>
      <c r="H97" s="5" t="s">
        <v>53</v>
      </c>
      <c r="I97" s="5" t="s">
        <v>348</v>
      </c>
      <c r="J97" s="15">
        <v>1450</v>
      </c>
      <c r="K97" s="7">
        <v>30</v>
      </c>
      <c r="L97" s="7">
        <f t="shared" si="24"/>
        <v>48.333333333333336</v>
      </c>
      <c r="M97" s="5" t="s">
        <v>10</v>
      </c>
      <c r="N97" s="5">
        <v>4</v>
      </c>
      <c r="O97" s="6">
        <f t="shared" si="25"/>
        <v>2.1171006944444448</v>
      </c>
      <c r="P97" s="6">
        <f t="shared" si="26"/>
        <v>0.22017847222222223</v>
      </c>
      <c r="Q97" s="10">
        <f t="shared" si="27"/>
        <v>4.5870515046296306E-3</v>
      </c>
      <c r="R97" s="10">
        <f t="shared" si="28"/>
        <v>2.7906364358137148E-2</v>
      </c>
      <c r="S97" s="10">
        <f t="shared" si="29"/>
        <v>3.2493415862766779E-2</v>
      </c>
    </row>
    <row r="98" spans="1:19" x14ac:dyDescent="0.25">
      <c r="A98" s="5" t="s">
        <v>8</v>
      </c>
      <c r="B98" s="5" t="s">
        <v>350</v>
      </c>
      <c r="C98" s="5" t="s">
        <v>27</v>
      </c>
      <c r="D98" s="5" t="s">
        <v>385</v>
      </c>
      <c r="E98" s="5" t="s">
        <v>387</v>
      </c>
      <c r="F98" s="5" t="s">
        <v>112</v>
      </c>
      <c r="G98" s="5" t="s">
        <v>391</v>
      </c>
      <c r="H98" s="5" t="s">
        <v>53</v>
      </c>
      <c r="I98" s="5" t="s">
        <v>349</v>
      </c>
      <c r="J98" s="15">
        <v>2650</v>
      </c>
      <c r="K98" s="7">
        <v>40</v>
      </c>
      <c r="L98" s="7">
        <f t="shared" si="24"/>
        <v>66.25</v>
      </c>
      <c r="M98" s="5" t="s">
        <v>10</v>
      </c>
      <c r="N98" s="5">
        <v>4</v>
      </c>
      <c r="O98" s="6">
        <f t="shared" si="25"/>
        <v>7.2693847656250004</v>
      </c>
      <c r="P98" s="6">
        <f t="shared" si="26"/>
        <v>0.75601601562499987</v>
      </c>
      <c r="Q98" s="10">
        <f t="shared" si="27"/>
        <v>1.5750333658854167E-2</v>
      </c>
      <c r="R98" s="10">
        <f t="shared" si="28"/>
        <v>7.0391523800442932E-2</v>
      </c>
      <c r="S98" s="10">
        <f t="shared" si="29"/>
        <v>8.6141857459297103E-2</v>
      </c>
    </row>
    <row r="99" spans="1:19" x14ac:dyDescent="0.25">
      <c r="A99" s="5" t="s">
        <v>8</v>
      </c>
      <c r="B99" s="5" t="s">
        <v>347</v>
      </c>
      <c r="C99" s="5" t="s">
        <v>27</v>
      </c>
      <c r="D99" s="5" t="s">
        <v>385</v>
      </c>
      <c r="E99" s="5" t="s">
        <v>387</v>
      </c>
      <c r="F99" s="5" t="s">
        <v>112</v>
      </c>
      <c r="G99" s="5" t="s">
        <v>391</v>
      </c>
      <c r="H99" s="5" t="s">
        <v>53</v>
      </c>
      <c r="I99" s="5" t="s">
        <v>349</v>
      </c>
      <c r="J99" s="15">
        <v>2500</v>
      </c>
      <c r="K99" s="7">
        <v>33.700000000000003</v>
      </c>
      <c r="L99" s="7">
        <f t="shared" si="24"/>
        <v>74.183976261127597</v>
      </c>
      <c r="M99" s="5" t="s">
        <v>10</v>
      </c>
      <c r="N99" s="5">
        <v>4</v>
      </c>
      <c r="O99" s="6">
        <f t="shared" si="25"/>
        <v>8.5988473967367849</v>
      </c>
      <c r="P99" s="6">
        <f t="shared" si="26"/>
        <v>0.89428012926062572</v>
      </c>
      <c r="Q99" s="10">
        <f t="shared" si="27"/>
        <v>1.8630836026263035E-2</v>
      </c>
      <c r="R99" s="10">
        <f t="shared" si="28"/>
        <v>7.9841245929260979E-2</v>
      </c>
      <c r="S99" s="10">
        <f t="shared" si="29"/>
        <v>9.847208195552401E-2</v>
      </c>
    </row>
    <row r="100" spans="1:19" x14ac:dyDescent="0.25">
      <c r="A100" s="5" t="s">
        <v>22</v>
      </c>
      <c r="B100" s="5" t="s">
        <v>63</v>
      </c>
      <c r="C100" s="5" t="s">
        <v>27</v>
      </c>
      <c r="D100" s="5" t="s">
        <v>385</v>
      </c>
      <c r="E100" s="5" t="s">
        <v>387</v>
      </c>
      <c r="F100" s="5" t="s">
        <v>112</v>
      </c>
      <c r="G100" s="5" t="s">
        <v>391</v>
      </c>
      <c r="H100" s="5" t="s">
        <v>53</v>
      </c>
      <c r="I100" s="5" t="s">
        <v>144</v>
      </c>
      <c r="J100" s="15">
        <v>3050</v>
      </c>
      <c r="K100" s="7">
        <v>41</v>
      </c>
      <c r="L100" s="7">
        <f t="shared" si="24"/>
        <v>74.390243902439025</v>
      </c>
      <c r="M100" s="5" t="s">
        <v>10</v>
      </c>
      <c r="N100" s="5">
        <v>4</v>
      </c>
      <c r="O100" s="6">
        <f t="shared" si="25"/>
        <v>10.549012864366448</v>
      </c>
      <c r="P100" s="6">
        <f t="shared" si="26"/>
        <v>1.0970973378941107</v>
      </c>
      <c r="Q100" s="10">
        <f t="shared" si="27"/>
        <v>2.2856194539460636E-2</v>
      </c>
      <c r="R100" s="10">
        <f t="shared" si="28"/>
        <v>9.3069202129934317E-2</v>
      </c>
      <c r="S100" s="10">
        <f t="shared" si="29"/>
        <v>0.11592539666939496</v>
      </c>
    </row>
    <row r="101" spans="1:19" x14ac:dyDescent="0.25">
      <c r="A101" s="5" t="s">
        <v>8</v>
      </c>
      <c r="B101" s="5" t="s">
        <v>378</v>
      </c>
      <c r="C101" s="5" t="s">
        <v>27</v>
      </c>
      <c r="D101" s="5" t="s">
        <v>385</v>
      </c>
      <c r="E101" s="5" t="s">
        <v>387</v>
      </c>
      <c r="F101" s="5" t="s">
        <v>112</v>
      </c>
      <c r="G101" s="5" t="s">
        <v>391</v>
      </c>
      <c r="H101" s="5" t="s">
        <v>53</v>
      </c>
      <c r="I101" s="5" t="s">
        <v>144</v>
      </c>
      <c r="J101" s="15">
        <v>3100</v>
      </c>
      <c r="K101" s="7">
        <v>41</v>
      </c>
      <c r="L101" s="7">
        <f t="shared" si="24"/>
        <v>75.609756097560975</v>
      </c>
      <c r="M101" s="5" t="s">
        <v>10</v>
      </c>
      <c r="N101" s="5">
        <v>4</v>
      </c>
      <c r="O101" s="6">
        <f t="shared" si="25"/>
        <v>11.076368233194525</v>
      </c>
      <c r="P101" s="6">
        <f t="shared" si="26"/>
        <v>1.1519422962522305</v>
      </c>
      <c r="Q101" s="10">
        <f t="shared" si="27"/>
        <v>2.3998797838588135E-2</v>
      </c>
      <c r="R101" s="10">
        <f t="shared" si="28"/>
        <v>9.6537303394980123E-2</v>
      </c>
      <c r="S101" s="10">
        <f t="shared" si="29"/>
        <v>0.12053610123356825</v>
      </c>
    </row>
    <row r="102" spans="1:19" x14ac:dyDescent="0.25">
      <c r="A102" s="5" t="s">
        <v>8</v>
      </c>
      <c r="B102" s="5" t="s">
        <v>156</v>
      </c>
      <c r="C102" s="5" t="s">
        <v>27</v>
      </c>
      <c r="D102" s="5" t="s">
        <v>385</v>
      </c>
      <c r="E102" s="5" t="s">
        <v>387</v>
      </c>
      <c r="F102" s="5" t="s">
        <v>112</v>
      </c>
      <c r="G102" s="5" t="s">
        <v>391</v>
      </c>
      <c r="H102" s="5" t="s">
        <v>53</v>
      </c>
      <c r="I102" s="5" t="s">
        <v>157</v>
      </c>
      <c r="J102" s="15">
        <v>1152</v>
      </c>
      <c r="K102" s="7">
        <v>33</v>
      </c>
      <c r="L102" s="7">
        <f t="shared" si="24"/>
        <v>34.909090909090907</v>
      </c>
      <c r="M102" s="5" t="s">
        <v>10</v>
      </c>
      <c r="N102" s="5">
        <v>4</v>
      </c>
      <c r="O102" s="6">
        <f t="shared" si="25"/>
        <v>0.87742413223140481</v>
      </c>
      <c r="P102" s="6">
        <f t="shared" si="26"/>
        <v>9.1252109752066102E-2</v>
      </c>
      <c r="Q102" s="10">
        <f t="shared" si="27"/>
        <v>1.9010856198347105E-3</v>
      </c>
      <c r="R102" s="10">
        <f t="shared" si="28"/>
        <v>1.4414656759212731E-2</v>
      </c>
      <c r="S102" s="10">
        <f t="shared" si="29"/>
        <v>1.631574237904744E-2</v>
      </c>
    </row>
    <row r="103" spans="1:19" x14ac:dyDescent="0.25">
      <c r="A103" s="5" t="s">
        <v>22</v>
      </c>
      <c r="B103" s="5" t="s">
        <v>63</v>
      </c>
      <c r="C103" s="5" t="s">
        <v>27</v>
      </c>
      <c r="D103" s="5" t="s">
        <v>385</v>
      </c>
      <c r="E103" s="5" t="s">
        <v>387</v>
      </c>
      <c r="F103" s="5" t="s">
        <v>112</v>
      </c>
      <c r="G103" s="5" t="s">
        <v>391</v>
      </c>
      <c r="H103" s="5" t="s">
        <v>53</v>
      </c>
      <c r="I103" s="5" t="s">
        <v>146</v>
      </c>
      <c r="J103" s="15">
        <v>1550</v>
      </c>
      <c r="K103" s="7">
        <v>29</v>
      </c>
      <c r="L103" s="7">
        <f t="shared" si="24"/>
        <v>53.448275862068968</v>
      </c>
      <c r="M103" s="5" t="s">
        <v>10</v>
      </c>
      <c r="N103" s="5">
        <v>4</v>
      </c>
      <c r="O103" s="6">
        <f t="shared" si="25"/>
        <v>2.7674457491082052</v>
      </c>
      <c r="P103" s="6">
        <f t="shared" si="26"/>
        <v>0.28781435790725329</v>
      </c>
      <c r="Q103" s="10">
        <f t="shared" si="27"/>
        <v>5.9961324564011117E-3</v>
      </c>
      <c r="R103" s="10">
        <f t="shared" si="28"/>
        <v>3.4115870826390664E-2</v>
      </c>
      <c r="S103" s="10">
        <f t="shared" si="29"/>
        <v>4.0112003282791776E-2</v>
      </c>
    </row>
    <row r="104" spans="1:19" x14ac:dyDescent="0.25">
      <c r="A104" s="5" t="s">
        <v>22</v>
      </c>
      <c r="B104" s="5" t="s">
        <v>63</v>
      </c>
      <c r="C104" s="5" t="s">
        <v>27</v>
      </c>
      <c r="D104" s="5" t="s">
        <v>385</v>
      </c>
      <c r="E104" s="5" t="s">
        <v>387</v>
      </c>
      <c r="F104" s="5" t="s">
        <v>112</v>
      </c>
      <c r="G104" s="5" t="s">
        <v>391</v>
      </c>
      <c r="H104" s="5" t="s">
        <v>53</v>
      </c>
      <c r="I104" s="5" t="s">
        <v>113</v>
      </c>
      <c r="J104" s="15">
        <v>2900</v>
      </c>
      <c r="K104" s="7">
        <v>40</v>
      </c>
      <c r="L104" s="7">
        <f t="shared" si="24"/>
        <v>72.5</v>
      </c>
      <c r="M104" s="5" t="s">
        <v>10</v>
      </c>
      <c r="N104" s="5">
        <v>4</v>
      </c>
      <c r="O104" s="6">
        <f t="shared" si="25"/>
        <v>9.5269531250000004</v>
      </c>
      <c r="P104" s="6">
        <f t="shared" si="26"/>
        <v>0.9908031249999999</v>
      </c>
      <c r="Q104" s="10">
        <f t="shared" si="27"/>
        <v>2.0641731770833335E-2</v>
      </c>
      <c r="R104" s="10">
        <f t="shared" si="28"/>
        <v>8.6220918616187289E-2</v>
      </c>
      <c r="S104" s="10">
        <f t="shared" si="29"/>
        <v>0.10686265038702063</v>
      </c>
    </row>
    <row r="105" spans="1:19" x14ac:dyDescent="0.25">
      <c r="A105" s="5" t="s">
        <v>22</v>
      </c>
      <c r="B105" s="5" t="s">
        <v>63</v>
      </c>
      <c r="C105" s="5" t="s">
        <v>27</v>
      </c>
      <c r="D105" s="5" t="s">
        <v>385</v>
      </c>
      <c r="E105" s="5" t="s">
        <v>387</v>
      </c>
      <c r="F105" s="5" t="s">
        <v>112</v>
      </c>
      <c r="G105" s="5" t="s">
        <v>391</v>
      </c>
      <c r="H105" s="5" t="s">
        <v>53</v>
      </c>
      <c r="I105" s="5" t="s">
        <v>145</v>
      </c>
      <c r="J105" s="15">
        <v>2100</v>
      </c>
      <c r="K105" s="7">
        <v>38.5</v>
      </c>
      <c r="L105" s="7">
        <f t="shared" si="24"/>
        <v>54.545454545454547</v>
      </c>
      <c r="M105" s="5" t="s">
        <v>10</v>
      </c>
      <c r="N105" s="5">
        <v>4</v>
      </c>
      <c r="O105" s="6">
        <f t="shared" si="25"/>
        <v>3.9049586776859506</v>
      </c>
      <c r="P105" s="6">
        <f t="shared" si="26"/>
        <v>0.40611570247933887</v>
      </c>
      <c r="Q105" s="10">
        <f t="shared" si="27"/>
        <v>8.4607438016528931E-3</v>
      </c>
      <c r="R105" s="10">
        <f t="shared" si="28"/>
        <v>4.4168175137387092E-2</v>
      </c>
      <c r="S105" s="10">
        <f t="shared" si="29"/>
        <v>5.2628918939039981E-2</v>
      </c>
    </row>
    <row r="106" spans="1:19" x14ac:dyDescent="0.25">
      <c r="A106" s="5" t="s">
        <v>8</v>
      </c>
      <c r="B106" s="5" t="s">
        <v>281</v>
      </c>
      <c r="C106" s="5" t="s">
        <v>27</v>
      </c>
      <c r="D106" s="5" t="s">
        <v>385</v>
      </c>
      <c r="E106" s="5" t="s">
        <v>387</v>
      </c>
      <c r="F106" s="5" t="s">
        <v>112</v>
      </c>
      <c r="G106" s="5" t="s">
        <v>391</v>
      </c>
      <c r="H106" s="5" t="s">
        <v>53</v>
      </c>
      <c r="I106" s="5" t="s">
        <v>282</v>
      </c>
      <c r="J106" s="15">
        <v>1700</v>
      </c>
      <c r="K106" s="7">
        <v>37</v>
      </c>
      <c r="L106" s="7">
        <f t="shared" si="24"/>
        <v>45.945945945945944</v>
      </c>
      <c r="M106" s="5" t="s">
        <v>10</v>
      </c>
      <c r="N106" s="5">
        <v>4</v>
      </c>
      <c r="O106" s="6">
        <f t="shared" si="25"/>
        <v>2.2429693206720231</v>
      </c>
      <c r="P106" s="6">
        <f t="shared" si="26"/>
        <v>0.23326880934989039</v>
      </c>
      <c r="Q106" s="10">
        <f t="shared" si="27"/>
        <v>4.8597668614560495E-3</v>
      </c>
      <c r="R106" s="10">
        <f t="shared" si="28"/>
        <v>2.9141682641278973E-2</v>
      </c>
      <c r="S106" s="10">
        <f t="shared" si="29"/>
        <v>3.4001449502735023E-2</v>
      </c>
    </row>
    <row r="107" spans="1:19" x14ac:dyDescent="0.25">
      <c r="A107" s="5" t="s">
        <v>8</v>
      </c>
      <c r="B107" s="5" t="s">
        <v>322</v>
      </c>
      <c r="C107" s="5" t="s">
        <v>27</v>
      </c>
      <c r="D107" s="5" t="s">
        <v>385</v>
      </c>
      <c r="E107" s="5" t="s">
        <v>387</v>
      </c>
      <c r="F107" s="5" t="s">
        <v>112</v>
      </c>
      <c r="G107" s="5" t="s">
        <v>391</v>
      </c>
      <c r="H107" s="5" t="s">
        <v>53</v>
      </c>
      <c r="I107" s="5" t="s">
        <v>282</v>
      </c>
      <c r="J107" s="15">
        <v>2100</v>
      </c>
      <c r="K107" s="7">
        <v>29</v>
      </c>
      <c r="L107" s="7">
        <f t="shared" si="24"/>
        <v>72.41379310344827</v>
      </c>
      <c r="M107" s="5" t="s">
        <v>10</v>
      </c>
      <c r="N107" s="5">
        <v>4</v>
      </c>
      <c r="O107" s="6">
        <f t="shared" si="25"/>
        <v>6.8824316290130785</v>
      </c>
      <c r="P107" s="6">
        <f t="shared" si="26"/>
        <v>0.71577288941736017</v>
      </c>
      <c r="Q107" s="10">
        <f t="shared" si="27"/>
        <v>1.4911935196195004E-2</v>
      </c>
      <c r="R107" s="10">
        <f t="shared" si="28"/>
        <v>6.7562164336175956E-2</v>
      </c>
      <c r="S107" s="10">
        <f t="shared" si="29"/>
        <v>8.2474099532370962E-2</v>
      </c>
    </row>
    <row r="108" spans="1:19" x14ac:dyDescent="0.25">
      <c r="A108" s="5" t="s">
        <v>8</v>
      </c>
      <c r="B108" s="5" t="s">
        <v>303</v>
      </c>
      <c r="C108" s="5" t="s">
        <v>27</v>
      </c>
      <c r="D108" s="5" t="s">
        <v>385</v>
      </c>
      <c r="E108" s="5" t="s">
        <v>387</v>
      </c>
      <c r="F108" s="5" t="s">
        <v>112</v>
      </c>
      <c r="G108" s="5" t="s">
        <v>391</v>
      </c>
      <c r="H108" s="5" t="s">
        <v>53</v>
      </c>
      <c r="I108" s="5" t="s">
        <v>306</v>
      </c>
      <c r="J108" s="15">
        <v>925</v>
      </c>
      <c r="K108" s="7">
        <v>25</v>
      </c>
      <c r="L108" s="7">
        <f t="shared" si="24"/>
        <v>37</v>
      </c>
      <c r="M108" s="5" t="s">
        <v>10</v>
      </c>
      <c r="N108" s="5">
        <v>4</v>
      </c>
      <c r="O108" s="6">
        <f t="shared" si="25"/>
        <v>0.79145312499999998</v>
      </c>
      <c r="P108" s="6">
        <f t="shared" si="26"/>
        <v>8.2311124999999999E-2</v>
      </c>
      <c r="Q108" s="10">
        <f t="shared" si="27"/>
        <v>1.7148151041666666E-3</v>
      </c>
      <c r="R108" s="10">
        <f t="shared" si="28"/>
        <v>1.3341849057898118E-2</v>
      </c>
      <c r="S108" s="10">
        <f t="shared" si="29"/>
        <v>1.5056664162064784E-2</v>
      </c>
    </row>
    <row r="109" spans="1:19" x14ac:dyDescent="0.25">
      <c r="A109" s="5" t="s">
        <v>8</v>
      </c>
      <c r="B109" s="5" t="s">
        <v>303</v>
      </c>
      <c r="C109" s="5" t="s">
        <v>27</v>
      </c>
      <c r="D109" s="5" t="s">
        <v>385</v>
      </c>
      <c r="E109" s="5" t="s">
        <v>387</v>
      </c>
      <c r="F109" s="5" t="s">
        <v>112</v>
      </c>
      <c r="G109" s="5" t="s">
        <v>391</v>
      </c>
      <c r="H109" s="5" t="s">
        <v>53</v>
      </c>
      <c r="I109" s="5" t="s">
        <v>305</v>
      </c>
      <c r="J109" s="15">
        <v>3250</v>
      </c>
      <c r="K109" s="7">
        <v>35.5</v>
      </c>
      <c r="L109" s="7">
        <f t="shared" si="24"/>
        <v>91.549295774647888</v>
      </c>
      <c r="M109" s="5" t="s">
        <v>10</v>
      </c>
      <c r="N109" s="5">
        <v>4</v>
      </c>
      <c r="O109" s="6">
        <f t="shared" si="25"/>
        <v>17.024461912318984</v>
      </c>
      <c r="P109" s="6">
        <f t="shared" si="26"/>
        <v>1.7705440388811744</v>
      </c>
      <c r="Q109" s="10">
        <f t="shared" si="27"/>
        <v>3.6886334143357798E-2</v>
      </c>
      <c r="R109" s="10">
        <f t="shared" si="28"/>
        <v>0.13326072446206286</v>
      </c>
      <c r="S109" s="10">
        <f t="shared" si="29"/>
        <v>0.17014705860542065</v>
      </c>
    </row>
    <row r="110" spans="1:19" x14ac:dyDescent="0.25">
      <c r="A110" s="5" t="s">
        <v>8</v>
      </c>
      <c r="B110" s="5" t="s">
        <v>303</v>
      </c>
      <c r="C110" s="5" t="s">
        <v>27</v>
      </c>
      <c r="D110" s="5" t="s">
        <v>385</v>
      </c>
      <c r="E110" s="5" t="s">
        <v>387</v>
      </c>
      <c r="F110" s="5" t="s">
        <v>112</v>
      </c>
      <c r="G110" s="5" t="s">
        <v>391</v>
      </c>
      <c r="H110" s="5" t="s">
        <v>53</v>
      </c>
      <c r="I110" s="5" t="s">
        <v>305</v>
      </c>
      <c r="J110" s="15">
        <v>2660</v>
      </c>
      <c r="K110" s="7">
        <v>33.5</v>
      </c>
      <c r="L110" s="7">
        <f t="shared" si="24"/>
        <v>79.402985074626869</v>
      </c>
      <c r="M110" s="5" t="s">
        <v>10</v>
      </c>
      <c r="N110" s="5">
        <v>4</v>
      </c>
      <c r="O110" s="6">
        <f t="shared" si="25"/>
        <v>10.481786589440857</v>
      </c>
      <c r="P110" s="6">
        <f t="shared" si="26"/>
        <v>1.0901058053018491</v>
      </c>
      <c r="Q110" s="10">
        <f t="shared" si="27"/>
        <v>2.2710537610455189E-2</v>
      </c>
      <c r="R110" s="10">
        <f t="shared" si="28"/>
        <v>9.2624016415838617E-2</v>
      </c>
      <c r="S110" s="10">
        <f t="shared" si="29"/>
        <v>0.11533455402629381</v>
      </c>
    </row>
    <row r="111" spans="1:19" x14ac:dyDescent="0.25">
      <c r="A111" s="5" t="s">
        <v>8</v>
      </c>
      <c r="B111" s="5" t="s">
        <v>330</v>
      </c>
      <c r="C111" s="5" t="s">
        <v>27</v>
      </c>
      <c r="D111" s="5" t="s">
        <v>385</v>
      </c>
      <c r="E111" s="5" t="s">
        <v>387</v>
      </c>
      <c r="F111" s="5" t="s">
        <v>112</v>
      </c>
      <c r="G111" s="5" t="s">
        <v>391</v>
      </c>
      <c r="H111" s="5" t="s">
        <v>53</v>
      </c>
      <c r="I111" s="5" t="s">
        <v>331</v>
      </c>
      <c r="J111" s="15">
        <v>3000</v>
      </c>
      <c r="K111" s="7">
        <v>44</v>
      </c>
      <c r="L111" s="7">
        <f t="shared" si="24"/>
        <v>68.181818181818187</v>
      </c>
      <c r="M111" s="5" t="s">
        <v>10</v>
      </c>
      <c r="N111" s="5">
        <v>4</v>
      </c>
      <c r="O111" s="6">
        <f t="shared" si="25"/>
        <v>8.7164256198347125</v>
      </c>
      <c r="P111" s="6">
        <f t="shared" si="26"/>
        <v>0.90650826446281008</v>
      </c>
      <c r="Q111" s="10">
        <f t="shared" si="27"/>
        <v>1.8885588842975209E-2</v>
      </c>
      <c r="R111" s="10">
        <f t="shared" si="28"/>
        <v>8.0658649416804964E-2</v>
      </c>
      <c r="S111" s="10">
        <f t="shared" si="29"/>
        <v>9.9544238259780177E-2</v>
      </c>
    </row>
    <row r="112" spans="1:19" x14ac:dyDescent="0.25">
      <c r="A112" s="5" t="s">
        <v>8</v>
      </c>
      <c r="B112" s="5" t="s">
        <v>330</v>
      </c>
      <c r="C112" s="5" t="s">
        <v>27</v>
      </c>
      <c r="D112" s="5" t="s">
        <v>385</v>
      </c>
      <c r="E112" s="5" t="s">
        <v>387</v>
      </c>
      <c r="F112" s="5" t="s">
        <v>112</v>
      </c>
      <c r="G112" s="5" t="s">
        <v>391</v>
      </c>
      <c r="H112" s="5" t="s">
        <v>53</v>
      </c>
      <c r="I112" s="5" t="s">
        <v>331</v>
      </c>
      <c r="J112" s="15">
        <v>2950</v>
      </c>
      <c r="K112" s="7">
        <v>38</v>
      </c>
      <c r="L112" s="7">
        <f t="shared" si="24"/>
        <v>77.631578947368425</v>
      </c>
      <c r="M112" s="5" t="s">
        <v>10</v>
      </c>
      <c r="N112" s="5">
        <v>4</v>
      </c>
      <c r="O112" s="6">
        <f t="shared" si="25"/>
        <v>11.111658154432133</v>
      </c>
      <c r="P112" s="6">
        <f t="shared" si="26"/>
        <v>1.155612448060942</v>
      </c>
      <c r="Q112" s="10">
        <f t="shared" si="27"/>
        <v>2.4075259334602955E-2</v>
      </c>
      <c r="R112" s="10">
        <f t="shared" si="28"/>
        <v>9.6767891534095082E-2</v>
      </c>
      <c r="S112" s="10">
        <f t="shared" si="29"/>
        <v>0.12084315086869804</v>
      </c>
    </row>
    <row r="113" spans="1:19" x14ac:dyDescent="0.25">
      <c r="A113" s="5" t="s">
        <v>8</v>
      </c>
      <c r="B113" s="5" t="s">
        <v>228</v>
      </c>
      <c r="C113" s="5" t="s">
        <v>27</v>
      </c>
      <c r="D113" s="5" t="s">
        <v>385</v>
      </c>
      <c r="E113" s="5" t="s">
        <v>387</v>
      </c>
      <c r="F113" s="5" t="s">
        <v>112</v>
      </c>
      <c r="G113" s="5" t="s">
        <v>391</v>
      </c>
      <c r="H113" s="5" t="s">
        <v>53</v>
      </c>
      <c r="I113" s="5" t="s">
        <v>230</v>
      </c>
      <c r="J113" s="15">
        <v>2500</v>
      </c>
      <c r="K113" s="7">
        <v>37</v>
      </c>
      <c r="L113" s="7">
        <f t="shared" ref="L113:L138" si="30">J113/K113</f>
        <v>67.567567567567565</v>
      </c>
      <c r="M113" s="5" t="s">
        <v>10</v>
      </c>
      <c r="N113" s="5">
        <v>4</v>
      </c>
      <c r="O113" s="6">
        <f t="shared" ref="O113:O138" si="31">(J113*L113^2)/(1.6*10^6)</f>
        <v>7.1334002921840742</v>
      </c>
      <c r="P113" s="6">
        <f t="shared" ref="P113:P138" si="32">(0.104*J113*L113^2)/(1.6*10^6)</f>
        <v>0.74187363038714382</v>
      </c>
      <c r="Q113" s="10">
        <f t="shared" ref="Q113:Q138" si="33">(0.104*O113)/(12*N113)</f>
        <v>1.5455700633065493E-2</v>
      </c>
      <c r="R113" s="10">
        <f t="shared" ref="R113:R138" si="34">0.0159*O113^0.75</f>
        <v>6.9401614038345646E-2</v>
      </c>
      <c r="S113" s="10">
        <f t="shared" ref="S113:S138" si="35">Q113+R113</f>
        <v>8.4857314671411138E-2</v>
      </c>
    </row>
    <row r="114" spans="1:19" x14ac:dyDescent="0.25">
      <c r="A114" s="5" t="s">
        <v>8</v>
      </c>
      <c r="B114" s="5" t="s">
        <v>322</v>
      </c>
      <c r="C114" s="5" t="s">
        <v>27</v>
      </c>
      <c r="D114" s="5" t="s">
        <v>385</v>
      </c>
      <c r="E114" s="5" t="s">
        <v>387</v>
      </c>
      <c r="F114" s="5" t="s">
        <v>112</v>
      </c>
      <c r="G114" s="5" t="s">
        <v>391</v>
      </c>
      <c r="H114" s="5" t="s">
        <v>53</v>
      </c>
      <c r="I114" s="5" t="s">
        <v>19</v>
      </c>
      <c r="J114" s="15">
        <v>1300</v>
      </c>
      <c r="K114" s="7">
        <v>37</v>
      </c>
      <c r="L114" s="7">
        <f t="shared" si="30"/>
        <v>35.135135135135137</v>
      </c>
      <c r="M114" s="5" t="s">
        <v>10</v>
      </c>
      <c r="N114" s="5">
        <v>4</v>
      </c>
      <c r="O114" s="6">
        <f t="shared" si="31"/>
        <v>1.0030131482834186</v>
      </c>
      <c r="P114" s="6">
        <f t="shared" si="32"/>
        <v>0.10431336742147553</v>
      </c>
      <c r="Q114" s="10">
        <f t="shared" si="33"/>
        <v>2.1731951546140734E-3</v>
      </c>
      <c r="R114" s="10">
        <f t="shared" si="34"/>
        <v>1.5935918276764362E-2</v>
      </c>
      <c r="S114" s="10">
        <f t="shared" si="35"/>
        <v>1.8109113431378436E-2</v>
      </c>
    </row>
    <row r="115" spans="1:19" x14ac:dyDescent="0.25">
      <c r="A115" s="5" t="s">
        <v>22</v>
      </c>
      <c r="B115" s="5" t="s">
        <v>26</v>
      </c>
      <c r="C115" s="5" t="s">
        <v>27</v>
      </c>
      <c r="D115" s="5" t="s">
        <v>385</v>
      </c>
      <c r="E115" s="5" t="s">
        <v>387</v>
      </c>
      <c r="F115" s="5" t="s">
        <v>112</v>
      </c>
      <c r="G115" s="5" t="s">
        <v>391</v>
      </c>
      <c r="H115" s="5" t="s">
        <v>53</v>
      </c>
      <c r="I115" s="5" t="s">
        <v>54</v>
      </c>
      <c r="J115" s="15">
        <v>4200</v>
      </c>
      <c r="K115" s="7">
        <v>38</v>
      </c>
      <c r="L115" s="7">
        <f t="shared" si="30"/>
        <v>110.52631578947368</v>
      </c>
      <c r="M115" s="5" t="s">
        <v>10</v>
      </c>
      <c r="N115" s="5">
        <v>4</v>
      </c>
      <c r="O115" s="6">
        <f t="shared" si="31"/>
        <v>32.067174515235457</v>
      </c>
      <c r="P115" s="6">
        <f t="shared" si="32"/>
        <v>3.3349861495844868</v>
      </c>
      <c r="Q115" s="10">
        <f t="shared" si="33"/>
        <v>6.9478878116343484E-2</v>
      </c>
      <c r="R115" s="10">
        <f t="shared" si="34"/>
        <v>0.21426076233960867</v>
      </c>
      <c r="S115" s="10">
        <f t="shared" si="35"/>
        <v>0.28373964045595212</v>
      </c>
    </row>
    <row r="116" spans="1:19" x14ac:dyDescent="0.25">
      <c r="A116" s="5" t="s">
        <v>8</v>
      </c>
      <c r="B116" s="5" t="s">
        <v>284</v>
      </c>
      <c r="C116" s="5" t="s">
        <v>27</v>
      </c>
      <c r="D116" s="5" t="s">
        <v>385</v>
      </c>
      <c r="E116" s="5" t="s">
        <v>387</v>
      </c>
      <c r="F116" s="5" t="s">
        <v>112</v>
      </c>
      <c r="G116" s="5" t="s">
        <v>391</v>
      </c>
      <c r="H116" s="5" t="s">
        <v>53</v>
      </c>
      <c r="I116" s="5" t="s">
        <v>285</v>
      </c>
      <c r="J116" s="15">
        <v>3400</v>
      </c>
      <c r="K116" s="7">
        <v>46.8</v>
      </c>
      <c r="L116" s="7">
        <f t="shared" si="30"/>
        <v>72.649572649572647</v>
      </c>
      <c r="M116" s="5" t="s">
        <v>10</v>
      </c>
      <c r="N116" s="5">
        <v>4</v>
      </c>
      <c r="O116" s="6">
        <f t="shared" si="31"/>
        <v>11.21566586310176</v>
      </c>
      <c r="P116" s="6">
        <f t="shared" si="32"/>
        <v>1.1664292497625828</v>
      </c>
      <c r="Q116" s="10">
        <f t="shared" si="33"/>
        <v>2.4300609370053811E-2</v>
      </c>
      <c r="R116" s="10">
        <f t="shared" si="34"/>
        <v>9.7446427289205384E-2</v>
      </c>
      <c r="S116" s="10">
        <f t="shared" si="35"/>
        <v>0.12174703665925919</v>
      </c>
    </row>
    <row r="117" spans="1:19" x14ac:dyDescent="0.25">
      <c r="A117" s="5" t="s">
        <v>8</v>
      </c>
      <c r="B117" s="5" t="s">
        <v>303</v>
      </c>
      <c r="C117" s="5" t="s">
        <v>27</v>
      </c>
      <c r="D117" s="5" t="s">
        <v>385</v>
      </c>
      <c r="E117" s="5" t="s">
        <v>387</v>
      </c>
      <c r="F117" s="5" t="s">
        <v>112</v>
      </c>
      <c r="G117" s="5" t="s">
        <v>391</v>
      </c>
      <c r="H117" s="5" t="s">
        <v>53</v>
      </c>
      <c r="I117" s="5" t="s">
        <v>304</v>
      </c>
      <c r="J117" s="15">
        <v>2510</v>
      </c>
      <c r="K117" s="7">
        <v>32.5</v>
      </c>
      <c r="L117" s="7">
        <f t="shared" si="30"/>
        <v>77.230769230769226</v>
      </c>
      <c r="M117" s="5" t="s">
        <v>10</v>
      </c>
      <c r="N117" s="5">
        <v>4</v>
      </c>
      <c r="O117" s="6">
        <f t="shared" si="31"/>
        <v>9.3569532544378688</v>
      </c>
      <c r="P117" s="6">
        <f t="shared" si="32"/>
        <v>0.9731231384615382</v>
      </c>
      <c r="Q117" s="10">
        <f t="shared" si="33"/>
        <v>2.0273398717948716E-2</v>
      </c>
      <c r="R117" s="10">
        <f t="shared" si="34"/>
        <v>8.5064424704301325E-2</v>
      </c>
      <c r="S117" s="10">
        <f t="shared" si="35"/>
        <v>0.10533782342225004</v>
      </c>
    </row>
    <row r="118" spans="1:19" x14ac:dyDescent="0.25">
      <c r="A118" s="5" t="s">
        <v>8</v>
      </c>
      <c r="B118" s="5" t="s">
        <v>165</v>
      </c>
      <c r="C118" s="5" t="s">
        <v>27</v>
      </c>
      <c r="D118" s="5" t="s">
        <v>385</v>
      </c>
      <c r="E118" s="5" t="s">
        <v>387</v>
      </c>
      <c r="F118" s="5" t="s">
        <v>112</v>
      </c>
      <c r="G118" s="5" t="s">
        <v>391</v>
      </c>
      <c r="H118" s="5" t="s">
        <v>53</v>
      </c>
      <c r="I118" s="5" t="s">
        <v>168</v>
      </c>
      <c r="J118" s="15">
        <v>1120</v>
      </c>
      <c r="K118" s="7">
        <v>23.5</v>
      </c>
      <c r="L118" s="7">
        <f t="shared" si="30"/>
        <v>47.659574468085104</v>
      </c>
      <c r="M118" s="5" t="s">
        <v>10</v>
      </c>
      <c r="N118" s="5">
        <v>4</v>
      </c>
      <c r="O118" s="6">
        <f t="shared" si="31"/>
        <v>1.5900045269352645</v>
      </c>
      <c r="P118" s="6">
        <f t="shared" si="32"/>
        <v>0.16536047080126751</v>
      </c>
      <c r="Q118" s="10">
        <f t="shared" si="33"/>
        <v>3.4450098083597396E-3</v>
      </c>
      <c r="R118" s="10">
        <f t="shared" si="34"/>
        <v>2.2513649207854137E-2</v>
      </c>
      <c r="S118" s="10">
        <f t="shared" si="35"/>
        <v>2.5958659016213876E-2</v>
      </c>
    </row>
    <row r="119" spans="1:19" x14ac:dyDescent="0.25">
      <c r="A119" s="5" t="s">
        <v>8</v>
      </c>
      <c r="B119" s="5" t="s">
        <v>217</v>
      </c>
      <c r="C119" s="5" t="s">
        <v>27</v>
      </c>
      <c r="D119" s="5" t="s">
        <v>385</v>
      </c>
      <c r="E119" s="5" t="s">
        <v>387</v>
      </c>
      <c r="F119" s="5" t="s">
        <v>112</v>
      </c>
      <c r="G119" s="5" t="s">
        <v>391</v>
      </c>
      <c r="H119" s="5" t="s">
        <v>53</v>
      </c>
      <c r="I119" s="5" t="s">
        <v>17</v>
      </c>
      <c r="J119" s="15">
        <v>2800</v>
      </c>
      <c r="K119" s="7">
        <v>33</v>
      </c>
      <c r="L119" s="7">
        <f t="shared" si="30"/>
        <v>84.848484848484844</v>
      </c>
      <c r="M119" s="5" t="s">
        <v>10</v>
      </c>
      <c r="N119" s="5">
        <v>4</v>
      </c>
      <c r="O119" s="6">
        <f t="shared" si="31"/>
        <v>12.598714416896232</v>
      </c>
      <c r="P119" s="6">
        <f t="shared" si="32"/>
        <v>1.3102662993572083</v>
      </c>
      <c r="Q119" s="10">
        <f t="shared" si="33"/>
        <v>2.7297214569941834E-2</v>
      </c>
      <c r="R119" s="10">
        <f t="shared" si="34"/>
        <v>0.10632656850166688</v>
      </c>
      <c r="S119" s="10">
        <f t="shared" si="35"/>
        <v>0.13362378307160871</v>
      </c>
    </row>
    <row r="120" spans="1:19" x14ac:dyDescent="0.25">
      <c r="A120" s="5" t="s">
        <v>22</v>
      </c>
      <c r="B120" s="5" t="s">
        <v>63</v>
      </c>
      <c r="C120" s="5" t="s">
        <v>27</v>
      </c>
      <c r="D120" s="5" t="s">
        <v>385</v>
      </c>
      <c r="E120" s="5" t="s">
        <v>387</v>
      </c>
      <c r="F120" s="5" t="s">
        <v>112</v>
      </c>
      <c r="G120" s="5" t="s">
        <v>391</v>
      </c>
      <c r="H120" s="5" t="s">
        <v>53</v>
      </c>
      <c r="I120" s="5" t="s">
        <v>147</v>
      </c>
      <c r="J120" s="15">
        <v>2150</v>
      </c>
      <c r="K120" s="7">
        <v>34.5</v>
      </c>
      <c r="L120" s="7">
        <f t="shared" si="30"/>
        <v>62.318840579710148</v>
      </c>
      <c r="M120" s="5" t="s">
        <v>10</v>
      </c>
      <c r="N120" s="5">
        <v>4</v>
      </c>
      <c r="O120" s="6">
        <f t="shared" si="31"/>
        <v>5.2186384162990977</v>
      </c>
      <c r="P120" s="6">
        <f t="shared" si="32"/>
        <v>0.54273839529510615</v>
      </c>
      <c r="Q120" s="10">
        <f t="shared" si="33"/>
        <v>1.1307049901981378E-2</v>
      </c>
      <c r="R120" s="10">
        <f t="shared" si="34"/>
        <v>5.489907531451893E-2</v>
      </c>
      <c r="S120" s="10">
        <f t="shared" si="35"/>
        <v>6.6206125216500308E-2</v>
      </c>
    </row>
    <row r="121" spans="1:19" x14ac:dyDescent="0.25">
      <c r="A121" s="5" t="s">
        <v>8</v>
      </c>
      <c r="B121" s="5" t="s">
        <v>228</v>
      </c>
      <c r="C121" s="5" t="s">
        <v>27</v>
      </c>
      <c r="D121" s="5" t="s">
        <v>385</v>
      </c>
      <c r="E121" s="5" t="s">
        <v>387</v>
      </c>
      <c r="F121" s="5" t="s">
        <v>112</v>
      </c>
      <c r="G121" s="5" t="s">
        <v>391</v>
      </c>
      <c r="H121" s="5" t="s">
        <v>53</v>
      </c>
      <c r="I121" s="5" t="s">
        <v>229</v>
      </c>
      <c r="J121" s="15">
        <v>2500</v>
      </c>
      <c r="K121" s="7">
        <v>35</v>
      </c>
      <c r="L121" s="7">
        <f t="shared" si="30"/>
        <v>71.428571428571431</v>
      </c>
      <c r="M121" s="5" t="s">
        <v>10</v>
      </c>
      <c r="N121" s="5">
        <v>4</v>
      </c>
      <c r="O121" s="6">
        <f t="shared" si="31"/>
        <v>7.9719387755102051</v>
      </c>
      <c r="P121" s="6">
        <f t="shared" si="32"/>
        <v>0.82908163265306123</v>
      </c>
      <c r="Q121" s="10">
        <f t="shared" si="33"/>
        <v>1.7272534013605446E-2</v>
      </c>
      <c r="R121" s="10">
        <f t="shared" si="34"/>
        <v>7.5434512896593864E-2</v>
      </c>
      <c r="S121" s="10">
        <f t="shared" si="35"/>
        <v>9.2707046910199306E-2</v>
      </c>
    </row>
    <row r="122" spans="1:19" x14ac:dyDescent="0.25">
      <c r="A122" s="5" t="s">
        <v>8</v>
      </c>
      <c r="B122" s="5" t="s">
        <v>322</v>
      </c>
      <c r="C122" s="5" t="s">
        <v>27</v>
      </c>
      <c r="D122" s="5" t="s">
        <v>385</v>
      </c>
      <c r="E122" s="5" t="s">
        <v>387</v>
      </c>
      <c r="F122" s="5" t="s">
        <v>112</v>
      </c>
      <c r="G122" s="5" t="s">
        <v>391</v>
      </c>
      <c r="H122" s="5" t="s">
        <v>53</v>
      </c>
      <c r="I122" s="5" t="s">
        <v>325</v>
      </c>
      <c r="J122" s="15">
        <v>1600</v>
      </c>
      <c r="K122" s="7">
        <v>40</v>
      </c>
      <c r="L122" s="7">
        <f t="shared" si="30"/>
        <v>40</v>
      </c>
      <c r="M122" s="5" t="s">
        <v>10</v>
      </c>
      <c r="N122" s="5">
        <v>4</v>
      </c>
      <c r="O122" s="6">
        <f t="shared" si="31"/>
        <v>1.6</v>
      </c>
      <c r="P122" s="6">
        <f t="shared" si="32"/>
        <v>0.16639999999999999</v>
      </c>
      <c r="Q122" s="10">
        <f t="shared" si="33"/>
        <v>3.4666666666666665E-3</v>
      </c>
      <c r="R122" s="10">
        <f t="shared" si="34"/>
        <v>2.26197140956951E-2</v>
      </c>
      <c r="S122" s="10">
        <f t="shared" si="35"/>
        <v>2.6086380762361767E-2</v>
      </c>
    </row>
    <row r="123" spans="1:19" x14ac:dyDescent="0.25">
      <c r="A123" s="5" t="s">
        <v>8</v>
      </c>
      <c r="B123" s="5" t="s">
        <v>347</v>
      </c>
      <c r="C123" s="5" t="s">
        <v>27</v>
      </c>
      <c r="D123" s="5" t="s">
        <v>385</v>
      </c>
      <c r="E123" s="5" t="s">
        <v>387</v>
      </c>
      <c r="F123" s="5" t="s">
        <v>112</v>
      </c>
      <c r="G123" s="5" t="s">
        <v>391</v>
      </c>
      <c r="H123" s="5" t="s">
        <v>53</v>
      </c>
      <c r="I123" s="5" t="s">
        <v>351</v>
      </c>
      <c r="J123" s="15">
        <v>1820</v>
      </c>
      <c r="K123" s="7">
        <v>20</v>
      </c>
      <c r="L123" s="7">
        <f t="shared" si="30"/>
        <v>91</v>
      </c>
      <c r="M123" s="5" t="s">
        <v>10</v>
      </c>
      <c r="N123" s="5">
        <v>4</v>
      </c>
      <c r="O123" s="6">
        <f t="shared" si="31"/>
        <v>9.4196375000000003</v>
      </c>
      <c r="P123" s="6">
        <f t="shared" si="32"/>
        <v>0.97964229999999997</v>
      </c>
      <c r="Q123" s="10">
        <f t="shared" si="33"/>
        <v>2.0409214583333331E-2</v>
      </c>
      <c r="R123" s="10">
        <f t="shared" si="34"/>
        <v>8.549146647460612E-2</v>
      </c>
      <c r="S123" s="10">
        <f t="shared" si="35"/>
        <v>0.10590068105793946</v>
      </c>
    </row>
    <row r="124" spans="1:19" x14ac:dyDescent="0.25">
      <c r="A124" s="5" t="s">
        <v>8</v>
      </c>
      <c r="B124" s="5" t="s">
        <v>347</v>
      </c>
      <c r="C124" s="5" t="s">
        <v>27</v>
      </c>
      <c r="D124" s="5" t="s">
        <v>385</v>
      </c>
      <c r="E124" s="5" t="s">
        <v>387</v>
      </c>
      <c r="F124" s="5" t="s">
        <v>112</v>
      </c>
      <c r="G124" s="5" t="s">
        <v>391</v>
      </c>
      <c r="H124" s="5" t="s">
        <v>53</v>
      </c>
      <c r="I124" s="5" t="s">
        <v>352</v>
      </c>
      <c r="J124" s="15">
        <v>825</v>
      </c>
      <c r="K124" s="7">
        <v>27.5</v>
      </c>
      <c r="L124" s="7">
        <f t="shared" si="30"/>
        <v>30</v>
      </c>
      <c r="M124" s="5" t="s">
        <v>10</v>
      </c>
      <c r="N124" s="5">
        <v>4</v>
      </c>
      <c r="O124" s="6">
        <f t="shared" si="31"/>
        <v>0.46406249999999999</v>
      </c>
      <c r="P124" s="6">
        <f t="shared" si="32"/>
        <v>4.82625E-2</v>
      </c>
      <c r="Q124" s="10">
        <f t="shared" si="33"/>
        <v>1.0054687500000001E-3</v>
      </c>
      <c r="R124" s="10">
        <f t="shared" si="34"/>
        <v>8.9398345389160392E-3</v>
      </c>
      <c r="S124" s="10">
        <f t="shared" si="35"/>
        <v>9.9453032889160395E-3</v>
      </c>
    </row>
    <row r="125" spans="1:19" x14ac:dyDescent="0.25">
      <c r="A125" s="5" t="s">
        <v>8</v>
      </c>
      <c r="B125" s="5" t="s">
        <v>353</v>
      </c>
      <c r="C125" s="5" t="s">
        <v>27</v>
      </c>
      <c r="D125" s="5" t="s">
        <v>385</v>
      </c>
      <c r="E125" s="5" t="s">
        <v>387</v>
      </c>
      <c r="F125" s="5" t="s">
        <v>112</v>
      </c>
      <c r="G125" s="5" t="s">
        <v>391</v>
      </c>
      <c r="H125" s="5" t="s">
        <v>53</v>
      </c>
      <c r="I125" s="5" t="s">
        <v>352</v>
      </c>
      <c r="J125" s="15">
        <v>765</v>
      </c>
      <c r="K125" s="7">
        <v>26</v>
      </c>
      <c r="L125" s="7">
        <f t="shared" si="30"/>
        <v>29.423076923076923</v>
      </c>
      <c r="M125" s="5" t="s">
        <v>10</v>
      </c>
      <c r="N125" s="5">
        <v>4</v>
      </c>
      <c r="O125" s="6">
        <f t="shared" si="31"/>
        <v>0.41392115846893496</v>
      </c>
      <c r="P125" s="6">
        <f t="shared" si="32"/>
        <v>4.3047800480769241E-2</v>
      </c>
      <c r="Q125" s="10">
        <f t="shared" si="33"/>
        <v>8.9682917668269238E-4</v>
      </c>
      <c r="R125" s="10">
        <f t="shared" si="34"/>
        <v>8.2051276983141543E-3</v>
      </c>
      <c r="S125" s="10">
        <f t="shared" si="35"/>
        <v>9.1019568749968471E-3</v>
      </c>
    </row>
    <row r="126" spans="1:19" x14ac:dyDescent="0.25">
      <c r="A126" s="5" t="s">
        <v>8</v>
      </c>
      <c r="B126" s="5" t="s">
        <v>353</v>
      </c>
      <c r="C126" s="5" t="s">
        <v>27</v>
      </c>
      <c r="D126" s="5" t="s">
        <v>385</v>
      </c>
      <c r="E126" s="5" t="s">
        <v>387</v>
      </c>
      <c r="F126" s="5" t="s">
        <v>112</v>
      </c>
      <c r="G126" s="5" t="s">
        <v>391</v>
      </c>
      <c r="H126" s="5" t="s">
        <v>53</v>
      </c>
      <c r="I126" s="5" t="s">
        <v>352</v>
      </c>
      <c r="J126" s="15">
        <v>930</v>
      </c>
      <c r="K126" s="7">
        <v>29.5</v>
      </c>
      <c r="L126" s="7">
        <f t="shared" si="30"/>
        <v>31.525423728813561</v>
      </c>
      <c r="M126" s="5" t="s">
        <v>10</v>
      </c>
      <c r="N126" s="5">
        <v>4</v>
      </c>
      <c r="O126" s="6">
        <f t="shared" si="31"/>
        <v>0.57767667336972139</v>
      </c>
      <c r="P126" s="6">
        <f t="shared" si="32"/>
        <v>6.0078374030451021E-2</v>
      </c>
      <c r="Q126" s="10">
        <f t="shared" si="33"/>
        <v>1.251632792301063E-3</v>
      </c>
      <c r="R126" s="10">
        <f t="shared" si="34"/>
        <v>1.0535635757711046E-2</v>
      </c>
      <c r="S126" s="10">
        <f t="shared" si="35"/>
        <v>1.1787268550012109E-2</v>
      </c>
    </row>
    <row r="127" spans="1:19" x14ac:dyDescent="0.25">
      <c r="A127" s="5" t="s">
        <v>8</v>
      </c>
      <c r="B127" s="5" t="s">
        <v>330</v>
      </c>
      <c r="C127" s="5" t="s">
        <v>27</v>
      </c>
      <c r="D127" s="5" t="s">
        <v>385</v>
      </c>
      <c r="E127" s="5" t="s">
        <v>387</v>
      </c>
      <c r="F127" s="5" t="s">
        <v>112</v>
      </c>
      <c r="G127" s="5" t="s">
        <v>391</v>
      </c>
      <c r="H127" s="5" t="s">
        <v>53</v>
      </c>
      <c r="I127" s="5" t="s">
        <v>332</v>
      </c>
      <c r="J127" s="15">
        <v>2000</v>
      </c>
      <c r="K127" s="7">
        <v>47</v>
      </c>
      <c r="L127" s="7">
        <f t="shared" si="30"/>
        <v>42.553191489361701</v>
      </c>
      <c r="M127" s="5" t="s">
        <v>10</v>
      </c>
      <c r="N127" s="5">
        <v>4</v>
      </c>
      <c r="O127" s="6">
        <f t="shared" si="31"/>
        <v>2.2634676324128562</v>
      </c>
      <c r="P127" s="6">
        <f t="shared" si="32"/>
        <v>0.23540063377093706</v>
      </c>
      <c r="Q127" s="10">
        <f t="shared" si="33"/>
        <v>4.9041798702278549E-3</v>
      </c>
      <c r="R127" s="10">
        <f t="shared" si="34"/>
        <v>2.9341197903551185E-2</v>
      </c>
      <c r="S127" s="10">
        <f t="shared" si="35"/>
        <v>3.4245377773779041E-2</v>
      </c>
    </row>
    <row r="128" spans="1:19" x14ac:dyDescent="0.25">
      <c r="A128" s="5" t="s">
        <v>22</v>
      </c>
      <c r="B128" s="5" t="s">
        <v>26</v>
      </c>
      <c r="C128" s="5" t="s">
        <v>27</v>
      </c>
      <c r="D128" s="5" t="s">
        <v>385</v>
      </c>
      <c r="E128" s="5" t="s">
        <v>387</v>
      </c>
      <c r="F128" s="5" t="s">
        <v>112</v>
      </c>
      <c r="G128" s="5" t="s">
        <v>391</v>
      </c>
      <c r="H128" s="5" t="s">
        <v>53</v>
      </c>
      <c r="I128" s="5" t="s">
        <v>55</v>
      </c>
      <c r="J128" s="15">
        <v>3650</v>
      </c>
      <c r="K128" s="7">
        <v>34</v>
      </c>
      <c r="L128" s="7">
        <f t="shared" si="30"/>
        <v>107.35294117647059</v>
      </c>
      <c r="M128" s="5" t="s">
        <v>10</v>
      </c>
      <c r="N128" s="5">
        <v>4</v>
      </c>
      <c r="O128" s="6">
        <f t="shared" si="31"/>
        <v>26.290616890138409</v>
      </c>
      <c r="P128" s="6">
        <f t="shared" si="32"/>
        <v>2.7342241565743945</v>
      </c>
      <c r="Q128" s="10">
        <f t="shared" si="33"/>
        <v>5.6963003261966551E-2</v>
      </c>
      <c r="R128" s="10">
        <f t="shared" si="34"/>
        <v>0.18460680533482346</v>
      </c>
      <c r="S128" s="10">
        <f t="shared" si="35"/>
        <v>0.24156980859679</v>
      </c>
    </row>
    <row r="129" spans="1:19" x14ac:dyDescent="0.25">
      <c r="A129" s="5" t="s">
        <v>8</v>
      </c>
      <c r="B129" s="5" t="s">
        <v>156</v>
      </c>
      <c r="C129" s="5" t="s">
        <v>27</v>
      </c>
      <c r="D129" s="5" t="s">
        <v>385</v>
      </c>
      <c r="E129" s="5" t="s">
        <v>387</v>
      </c>
      <c r="F129" s="5" t="s">
        <v>112</v>
      </c>
      <c r="G129" s="5" t="s">
        <v>391</v>
      </c>
      <c r="H129" s="5" t="s">
        <v>53</v>
      </c>
      <c r="I129" s="5" t="s">
        <v>158</v>
      </c>
      <c r="J129" s="15">
        <v>1125</v>
      </c>
      <c r="K129" s="7">
        <v>29</v>
      </c>
      <c r="L129" s="7">
        <f t="shared" si="30"/>
        <v>38.793103448275865</v>
      </c>
      <c r="M129" s="5" t="s">
        <v>10</v>
      </c>
      <c r="N129" s="5">
        <v>4</v>
      </c>
      <c r="O129" s="6">
        <f t="shared" si="31"/>
        <v>1.0581362403388823</v>
      </c>
      <c r="P129" s="6">
        <f t="shared" si="32"/>
        <v>0.11004616899524378</v>
      </c>
      <c r="Q129" s="10">
        <f t="shared" si="33"/>
        <v>2.2926285207342449E-3</v>
      </c>
      <c r="R129" s="10">
        <f t="shared" si="34"/>
        <v>1.6588354811020851E-2</v>
      </c>
      <c r="S129" s="10">
        <f t="shared" si="35"/>
        <v>1.8880983331755096E-2</v>
      </c>
    </row>
    <row r="130" spans="1:19" x14ac:dyDescent="0.25">
      <c r="A130" s="5" t="s">
        <v>8</v>
      </c>
      <c r="B130" s="5" t="s">
        <v>156</v>
      </c>
      <c r="C130" s="5" t="s">
        <v>27</v>
      </c>
      <c r="D130" s="5" t="s">
        <v>385</v>
      </c>
      <c r="E130" s="5" t="s">
        <v>387</v>
      </c>
      <c r="F130" s="5" t="s">
        <v>112</v>
      </c>
      <c r="G130" s="5" t="s">
        <v>391</v>
      </c>
      <c r="H130" s="5" t="s">
        <v>53</v>
      </c>
      <c r="I130" s="5" t="s">
        <v>158</v>
      </c>
      <c r="J130" s="15">
        <v>1140</v>
      </c>
      <c r="K130" s="7">
        <v>28.5</v>
      </c>
      <c r="L130" s="7">
        <f t="shared" si="30"/>
        <v>40</v>
      </c>
      <c r="M130" s="5" t="s">
        <v>10</v>
      </c>
      <c r="N130" s="5">
        <v>4</v>
      </c>
      <c r="O130" s="6">
        <f t="shared" si="31"/>
        <v>1.1399999999999999</v>
      </c>
      <c r="P130" s="6">
        <f t="shared" si="32"/>
        <v>0.11855999999999998</v>
      </c>
      <c r="Q130" s="10">
        <f t="shared" si="33"/>
        <v>2.4699999999999995E-3</v>
      </c>
      <c r="R130" s="10">
        <f t="shared" si="34"/>
        <v>1.7541864935922521E-2</v>
      </c>
      <c r="S130" s="10">
        <f t="shared" si="35"/>
        <v>2.0011864935922521E-2</v>
      </c>
    </row>
    <row r="131" spans="1:19" x14ac:dyDescent="0.25">
      <c r="A131" s="5" t="s">
        <v>8</v>
      </c>
      <c r="B131" s="5" t="s">
        <v>347</v>
      </c>
      <c r="C131" s="5" t="s">
        <v>27</v>
      </c>
      <c r="D131" s="5" t="s">
        <v>385</v>
      </c>
      <c r="E131" s="5" t="s">
        <v>387</v>
      </c>
      <c r="F131" s="5" t="s">
        <v>112</v>
      </c>
      <c r="G131" s="5" t="s">
        <v>391</v>
      </c>
      <c r="H131" s="5" t="s">
        <v>53</v>
      </c>
      <c r="I131" s="5" t="s">
        <v>158</v>
      </c>
      <c r="J131" s="15">
        <v>1250</v>
      </c>
      <c r="K131" s="7">
        <v>26.5</v>
      </c>
      <c r="L131" s="7">
        <f t="shared" si="30"/>
        <v>47.169811320754718</v>
      </c>
      <c r="M131" s="5" t="s">
        <v>10</v>
      </c>
      <c r="N131" s="5">
        <v>4</v>
      </c>
      <c r="O131" s="6">
        <f t="shared" si="31"/>
        <v>1.7382742969028124</v>
      </c>
      <c r="P131" s="6">
        <f t="shared" si="32"/>
        <v>0.18078052687789251</v>
      </c>
      <c r="Q131" s="10">
        <f t="shared" si="33"/>
        <v>3.7662609766227601E-3</v>
      </c>
      <c r="R131" s="10">
        <f t="shared" si="34"/>
        <v>2.4070541236937307E-2</v>
      </c>
      <c r="S131" s="10">
        <f t="shared" si="35"/>
        <v>2.7836802213560066E-2</v>
      </c>
    </row>
    <row r="132" spans="1:19" x14ac:dyDescent="0.25">
      <c r="A132" s="5" t="s">
        <v>8</v>
      </c>
      <c r="B132" s="5" t="s">
        <v>372</v>
      </c>
      <c r="C132" s="5" t="s">
        <v>27</v>
      </c>
      <c r="D132" s="5" t="s">
        <v>385</v>
      </c>
      <c r="E132" s="5" t="s">
        <v>387</v>
      </c>
      <c r="F132" s="5" t="s">
        <v>112</v>
      </c>
      <c r="G132" s="5" t="s">
        <v>391</v>
      </c>
      <c r="H132" s="5" t="s">
        <v>53</v>
      </c>
      <c r="I132" s="5" t="s">
        <v>374</v>
      </c>
      <c r="J132" s="15">
        <v>3590</v>
      </c>
      <c r="K132" s="7">
        <v>44</v>
      </c>
      <c r="L132" s="7">
        <f t="shared" si="30"/>
        <v>81.590909090909093</v>
      </c>
      <c r="M132" s="5" t="s">
        <v>10</v>
      </c>
      <c r="N132" s="5">
        <v>4</v>
      </c>
      <c r="O132" s="6">
        <f t="shared" si="31"/>
        <v>14.936815276342974</v>
      </c>
      <c r="P132" s="6">
        <f t="shared" si="32"/>
        <v>1.5534287887396692</v>
      </c>
      <c r="Q132" s="10">
        <f t="shared" si="33"/>
        <v>3.2363099765409777E-2</v>
      </c>
      <c r="R132" s="10">
        <f t="shared" si="34"/>
        <v>0.12080659172555661</v>
      </c>
      <c r="S132" s="10">
        <f t="shared" si="35"/>
        <v>0.15316969149096638</v>
      </c>
    </row>
    <row r="133" spans="1:19" x14ac:dyDescent="0.25">
      <c r="A133" s="5" t="s">
        <v>22</v>
      </c>
      <c r="B133" s="5" t="s">
        <v>63</v>
      </c>
      <c r="C133" s="5" t="s">
        <v>27</v>
      </c>
      <c r="D133" s="5" t="s">
        <v>385</v>
      </c>
      <c r="E133" s="5" t="s">
        <v>387</v>
      </c>
      <c r="F133" s="5" t="s">
        <v>112</v>
      </c>
      <c r="G133" s="5" t="s">
        <v>391</v>
      </c>
      <c r="H133" s="5" t="s">
        <v>53</v>
      </c>
      <c r="I133" s="5" t="s">
        <v>114</v>
      </c>
      <c r="J133" s="15">
        <v>1700</v>
      </c>
      <c r="K133" s="7">
        <v>37</v>
      </c>
      <c r="L133" s="7">
        <f t="shared" si="30"/>
        <v>45.945945945945944</v>
      </c>
      <c r="M133" s="5" t="s">
        <v>10</v>
      </c>
      <c r="N133" s="5">
        <v>4</v>
      </c>
      <c r="O133" s="6">
        <f t="shared" si="31"/>
        <v>2.2429693206720231</v>
      </c>
      <c r="P133" s="6">
        <f t="shared" si="32"/>
        <v>0.23326880934989039</v>
      </c>
      <c r="Q133" s="10">
        <f t="shared" si="33"/>
        <v>4.8597668614560495E-3</v>
      </c>
      <c r="R133" s="10">
        <f t="shared" si="34"/>
        <v>2.9141682641278973E-2</v>
      </c>
      <c r="S133" s="10">
        <f t="shared" si="35"/>
        <v>3.4001449502735023E-2</v>
      </c>
    </row>
    <row r="134" spans="1:19" x14ac:dyDescent="0.25">
      <c r="A134" s="5" t="s">
        <v>8</v>
      </c>
      <c r="B134" s="5" t="s">
        <v>322</v>
      </c>
      <c r="C134" s="5" t="s">
        <v>27</v>
      </c>
      <c r="D134" s="5" t="s">
        <v>385</v>
      </c>
      <c r="E134" s="5" t="s">
        <v>387</v>
      </c>
      <c r="F134" s="5" t="s">
        <v>112</v>
      </c>
      <c r="G134" s="5" t="s">
        <v>391</v>
      </c>
      <c r="H134" s="5" t="s">
        <v>53</v>
      </c>
      <c r="I134" s="5" t="s">
        <v>114</v>
      </c>
      <c r="J134" s="15">
        <v>1600</v>
      </c>
      <c r="K134" s="7">
        <v>39</v>
      </c>
      <c r="L134" s="7">
        <f t="shared" si="30"/>
        <v>41.025641025641029</v>
      </c>
      <c r="M134" s="5" t="s">
        <v>10</v>
      </c>
      <c r="N134" s="5">
        <v>4</v>
      </c>
      <c r="O134" s="6">
        <f t="shared" si="31"/>
        <v>1.6831032215647603</v>
      </c>
      <c r="P134" s="6">
        <f t="shared" si="32"/>
        <v>0.17504273504273507</v>
      </c>
      <c r="Q134" s="10">
        <f t="shared" si="33"/>
        <v>3.6467236467236474E-3</v>
      </c>
      <c r="R134" s="10">
        <f t="shared" si="34"/>
        <v>2.3495256345525899E-2</v>
      </c>
      <c r="S134" s="10">
        <f t="shared" si="35"/>
        <v>2.7141979992249547E-2</v>
      </c>
    </row>
    <row r="135" spans="1:19" x14ac:dyDescent="0.25">
      <c r="A135" s="5" t="s">
        <v>22</v>
      </c>
      <c r="B135" s="5" t="s">
        <v>63</v>
      </c>
      <c r="C135" s="5" t="s">
        <v>27</v>
      </c>
      <c r="D135" s="5" t="s">
        <v>385</v>
      </c>
      <c r="E135" s="5" t="s">
        <v>387</v>
      </c>
      <c r="F135" s="5" t="s">
        <v>112</v>
      </c>
      <c r="G135" s="5" t="s">
        <v>391</v>
      </c>
      <c r="H135" s="5" t="s">
        <v>115</v>
      </c>
      <c r="I135" s="5" t="s">
        <v>116</v>
      </c>
      <c r="J135" s="15">
        <v>665</v>
      </c>
      <c r="K135" s="7">
        <v>23</v>
      </c>
      <c r="L135" s="7">
        <f t="shared" si="30"/>
        <v>28.913043478260871</v>
      </c>
      <c r="M135" s="5" t="s">
        <v>10</v>
      </c>
      <c r="N135" s="5">
        <v>4</v>
      </c>
      <c r="O135" s="6">
        <f t="shared" si="31"/>
        <v>0.34744757206994337</v>
      </c>
      <c r="P135" s="6">
        <f t="shared" si="32"/>
        <v>3.6134547495274102E-2</v>
      </c>
      <c r="Q135" s="10">
        <f t="shared" si="33"/>
        <v>7.5280307281821058E-4</v>
      </c>
      <c r="R135" s="10">
        <f t="shared" si="34"/>
        <v>7.1955514895454976E-3</v>
      </c>
      <c r="S135" s="10">
        <f t="shared" si="35"/>
        <v>7.9483545623637089E-3</v>
      </c>
    </row>
    <row r="136" spans="1:19" x14ac:dyDescent="0.25">
      <c r="A136" s="5" t="s">
        <v>22</v>
      </c>
      <c r="B136" s="5" t="s">
        <v>63</v>
      </c>
      <c r="C136" s="5" t="s">
        <v>27</v>
      </c>
      <c r="D136" s="5" t="s">
        <v>385</v>
      </c>
      <c r="E136" s="5" t="s">
        <v>387</v>
      </c>
      <c r="F136" s="5" t="s">
        <v>112</v>
      </c>
      <c r="G136" s="5" t="s">
        <v>391</v>
      </c>
      <c r="H136" s="5" t="s">
        <v>119</v>
      </c>
      <c r="I136" s="5" t="s">
        <v>120</v>
      </c>
      <c r="J136" s="15">
        <v>1200</v>
      </c>
      <c r="K136" s="7">
        <v>26.5</v>
      </c>
      <c r="L136" s="7">
        <f t="shared" si="30"/>
        <v>45.283018867924525</v>
      </c>
      <c r="M136" s="5" t="s">
        <v>10</v>
      </c>
      <c r="N136" s="5">
        <v>4</v>
      </c>
      <c r="O136" s="6">
        <f t="shared" si="31"/>
        <v>1.5379138483446062</v>
      </c>
      <c r="P136" s="6">
        <f t="shared" si="32"/>
        <v>0.15994304022783903</v>
      </c>
      <c r="Q136" s="10">
        <f t="shared" si="33"/>
        <v>3.3321466714133132E-3</v>
      </c>
      <c r="R136" s="10">
        <f t="shared" si="34"/>
        <v>2.1958169341058133E-2</v>
      </c>
      <c r="S136" s="10">
        <f t="shared" si="35"/>
        <v>2.5290316012471448E-2</v>
      </c>
    </row>
    <row r="137" spans="1:19" x14ac:dyDescent="0.25">
      <c r="A137" s="5" t="s">
        <v>22</v>
      </c>
      <c r="B137" s="5" t="s">
        <v>63</v>
      </c>
      <c r="C137" s="5" t="s">
        <v>27</v>
      </c>
      <c r="D137" s="5" t="s">
        <v>385</v>
      </c>
      <c r="E137" s="5" t="s">
        <v>387</v>
      </c>
      <c r="F137" s="5" t="s">
        <v>112</v>
      </c>
      <c r="G137" s="5" t="s">
        <v>391</v>
      </c>
      <c r="H137" s="5" t="s">
        <v>237</v>
      </c>
      <c r="I137" s="5" t="s">
        <v>121</v>
      </c>
      <c r="J137" s="15">
        <v>1250</v>
      </c>
      <c r="K137" s="7">
        <v>25.5</v>
      </c>
      <c r="L137" s="7">
        <f t="shared" si="30"/>
        <v>49.019607843137258</v>
      </c>
      <c r="M137" s="5" t="s">
        <v>10</v>
      </c>
      <c r="N137" s="5">
        <v>4</v>
      </c>
      <c r="O137" s="6">
        <f t="shared" si="31"/>
        <v>1.8772827758554407</v>
      </c>
      <c r="P137" s="6">
        <f t="shared" si="32"/>
        <v>0.19523740868896583</v>
      </c>
      <c r="Q137" s="10">
        <f t="shared" si="33"/>
        <v>4.0674460143534548E-3</v>
      </c>
      <c r="R137" s="10">
        <f t="shared" si="34"/>
        <v>2.5500247518851233E-2</v>
      </c>
      <c r="S137" s="10">
        <f t="shared" si="35"/>
        <v>2.9567693533204688E-2</v>
      </c>
    </row>
    <row r="138" spans="1:19" x14ac:dyDescent="0.25">
      <c r="A138" s="5" t="s">
        <v>8</v>
      </c>
      <c r="B138" s="5" t="s">
        <v>236</v>
      </c>
      <c r="C138" s="5" t="s">
        <v>27</v>
      </c>
      <c r="D138" s="5" t="s">
        <v>385</v>
      </c>
      <c r="E138" s="5" t="s">
        <v>387</v>
      </c>
      <c r="F138" s="5" t="s">
        <v>112</v>
      </c>
      <c r="G138" s="5" t="s">
        <v>391</v>
      </c>
      <c r="H138" s="5" t="s">
        <v>237</v>
      </c>
      <c r="I138" s="5" t="s">
        <v>238</v>
      </c>
      <c r="J138" s="15">
        <v>2800</v>
      </c>
      <c r="K138" s="7">
        <v>33.6</v>
      </c>
      <c r="L138" s="7">
        <f t="shared" si="30"/>
        <v>83.333333333333329</v>
      </c>
      <c r="M138" s="5" t="s">
        <v>10</v>
      </c>
      <c r="N138" s="5">
        <v>4</v>
      </c>
      <c r="O138" s="6">
        <f t="shared" si="31"/>
        <v>12.152777777777775</v>
      </c>
      <c r="P138" s="6">
        <f t="shared" si="32"/>
        <v>1.2638888888888886</v>
      </c>
      <c r="Q138" s="10">
        <f t="shared" si="33"/>
        <v>2.6331018518518514E-2</v>
      </c>
      <c r="R138" s="10">
        <f t="shared" si="34"/>
        <v>0.10349128794647404</v>
      </c>
      <c r="S138" s="10">
        <f t="shared" si="35"/>
        <v>0.12982230646499254</v>
      </c>
    </row>
    <row r="139" spans="1:19" x14ac:dyDescent="0.25">
      <c r="J139" s="16">
        <f>AVERAGE(J81:J138)</f>
        <v>2073.1206896551726</v>
      </c>
      <c r="K139" s="12">
        <f t="shared" ref="K139:S139" si="36">AVERAGE(K81:K138)</f>
        <v>33.732758620689651</v>
      </c>
      <c r="L139" s="12">
        <f t="shared" si="36"/>
        <v>60.654114711169527</v>
      </c>
      <c r="M139" s="11" t="e">
        <f t="shared" si="36"/>
        <v>#DIV/0!</v>
      </c>
      <c r="N139" s="11">
        <f t="shared" si="36"/>
        <v>4</v>
      </c>
      <c r="O139" s="13">
        <f t="shared" si="36"/>
        <v>6.5649134810899161</v>
      </c>
      <c r="P139" s="13">
        <f t="shared" si="36"/>
        <v>0.68275100203335082</v>
      </c>
      <c r="Q139" s="14">
        <f t="shared" si="36"/>
        <v>1.4223979209028147E-2</v>
      </c>
      <c r="R139" s="14">
        <f t="shared" si="36"/>
        <v>6.0087217430175338E-2</v>
      </c>
      <c r="S139" s="14">
        <f t="shared" si="36"/>
        <v>7.4311196639203478E-2</v>
      </c>
    </row>
    <row r="140" spans="1:19" x14ac:dyDescent="0.25">
      <c r="A140" s="5" t="s">
        <v>8</v>
      </c>
      <c r="B140" s="5" t="s">
        <v>165</v>
      </c>
      <c r="C140" s="5" t="s">
        <v>27</v>
      </c>
      <c r="D140" s="5" t="s">
        <v>385</v>
      </c>
      <c r="E140" s="5" t="s">
        <v>384</v>
      </c>
      <c r="F140" s="5" t="s">
        <v>91</v>
      </c>
      <c r="G140" s="5" t="s">
        <v>393</v>
      </c>
      <c r="H140" s="5" t="s">
        <v>92</v>
      </c>
      <c r="I140" s="5" t="s">
        <v>167</v>
      </c>
      <c r="J140" s="15">
        <v>1770</v>
      </c>
      <c r="K140" s="7">
        <v>30</v>
      </c>
      <c r="L140" s="7">
        <f t="shared" ref="L140:L148" si="37">J140/K140</f>
        <v>59</v>
      </c>
      <c r="M140" s="5" t="s">
        <v>10</v>
      </c>
      <c r="N140" s="5">
        <v>4</v>
      </c>
      <c r="O140" s="6">
        <f t="shared" ref="O140:O148" si="38">(J140*L140^2)/(1.6*10^6)</f>
        <v>3.8508562500000001</v>
      </c>
      <c r="P140" s="6">
        <f t="shared" ref="P140:P148" si="39">(0.104*J140*L140^2)/(1.6*10^6)</f>
        <v>0.40048905000000001</v>
      </c>
      <c r="Q140" s="10">
        <f t="shared" ref="Q140:Q148" si="40">(0.104*O140)/(12*N140)</f>
        <v>8.3435218750000009E-3</v>
      </c>
      <c r="R140" s="10">
        <f t="shared" ref="R140:R148" si="41">0.0159*O140^0.75</f>
        <v>4.3708419692553992E-2</v>
      </c>
      <c r="S140" s="10">
        <f t="shared" ref="S140:S148" si="42">Q140+R140</f>
        <v>5.2051941567553994E-2</v>
      </c>
    </row>
    <row r="141" spans="1:19" x14ac:dyDescent="0.25">
      <c r="A141" s="5" t="s">
        <v>8</v>
      </c>
      <c r="B141" s="5" t="s">
        <v>372</v>
      </c>
      <c r="C141" s="5" t="s">
        <v>27</v>
      </c>
      <c r="D141" s="5" t="s">
        <v>385</v>
      </c>
      <c r="E141" s="5" t="s">
        <v>384</v>
      </c>
      <c r="F141" s="5" t="s">
        <v>91</v>
      </c>
      <c r="G141" s="5" t="s">
        <v>393</v>
      </c>
      <c r="H141" s="5" t="s">
        <v>92</v>
      </c>
      <c r="I141" s="5" t="s">
        <v>373</v>
      </c>
      <c r="J141" s="15">
        <v>2600</v>
      </c>
      <c r="K141" s="7">
        <v>40.200000000000003</v>
      </c>
      <c r="L141" s="7">
        <f t="shared" si="37"/>
        <v>64.676616915422883</v>
      </c>
      <c r="M141" s="5" t="s">
        <v>10</v>
      </c>
      <c r="N141" s="5">
        <v>4</v>
      </c>
      <c r="O141" s="6">
        <f t="shared" si="38"/>
        <v>6.7974802603895936</v>
      </c>
      <c r="P141" s="6">
        <f t="shared" si="39"/>
        <v>0.7069379470805176</v>
      </c>
      <c r="Q141" s="10">
        <f t="shared" si="40"/>
        <v>1.4727873897510785E-2</v>
      </c>
      <c r="R141" s="10">
        <f t="shared" si="41"/>
        <v>6.6935743328339611E-2</v>
      </c>
      <c r="S141" s="10">
        <f t="shared" si="42"/>
        <v>8.1663617225850402E-2</v>
      </c>
    </row>
    <row r="142" spans="1:19" x14ac:dyDescent="0.25">
      <c r="A142" s="5" t="s">
        <v>22</v>
      </c>
      <c r="B142" s="5" t="s">
        <v>63</v>
      </c>
      <c r="C142" s="5" t="s">
        <v>27</v>
      </c>
      <c r="D142" s="5" t="s">
        <v>385</v>
      </c>
      <c r="E142" s="5" t="s">
        <v>384</v>
      </c>
      <c r="F142" s="5" t="s">
        <v>91</v>
      </c>
      <c r="G142" s="5" t="s">
        <v>393</v>
      </c>
      <c r="H142" s="5" t="s">
        <v>92</v>
      </c>
      <c r="I142" s="5" t="s">
        <v>19</v>
      </c>
      <c r="J142" s="15">
        <v>1530</v>
      </c>
      <c r="K142" s="7">
        <v>63</v>
      </c>
      <c r="L142" s="7">
        <f t="shared" si="37"/>
        <v>24.285714285714285</v>
      </c>
      <c r="M142" s="5" t="s">
        <v>10</v>
      </c>
      <c r="N142" s="5">
        <v>4</v>
      </c>
      <c r="O142" s="6">
        <f t="shared" si="38"/>
        <v>0.56399234693877542</v>
      </c>
      <c r="P142" s="6">
        <f t="shared" si="39"/>
        <v>5.8655204081632648E-2</v>
      </c>
      <c r="Q142" s="10">
        <f t="shared" si="40"/>
        <v>1.2219834183673467E-3</v>
      </c>
      <c r="R142" s="10">
        <f t="shared" si="41"/>
        <v>1.0347895457552336E-2</v>
      </c>
      <c r="S142" s="10">
        <f t="shared" si="42"/>
        <v>1.1569878875919683E-2</v>
      </c>
    </row>
    <row r="143" spans="1:19" x14ac:dyDescent="0.25">
      <c r="A143" s="5" t="s">
        <v>8</v>
      </c>
      <c r="B143" s="5" t="s">
        <v>313</v>
      </c>
      <c r="C143" s="5" t="s">
        <v>27</v>
      </c>
      <c r="D143" s="5" t="s">
        <v>385</v>
      </c>
      <c r="E143" s="5" t="s">
        <v>384</v>
      </c>
      <c r="F143" s="5" t="s">
        <v>91</v>
      </c>
      <c r="G143" s="5" t="s">
        <v>393</v>
      </c>
      <c r="H143" s="5" t="s">
        <v>92</v>
      </c>
      <c r="I143" s="5" t="s">
        <v>315</v>
      </c>
      <c r="J143" s="15">
        <v>1300</v>
      </c>
      <c r="K143" s="7">
        <v>27</v>
      </c>
      <c r="L143" s="7">
        <f t="shared" si="37"/>
        <v>48.148148148148145</v>
      </c>
      <c r="M143" s="5" t="s">
        <v>10</v>
      </c>
      <c r="N143" s="5">
        <v>4</v>
      </c>
      <c r="O143" s="6">
        <f t="shared" si="38"/>
        <v>1.8835733882030175</v>
      </c>
      <c r="P143" s="6">
        <f t="shared" si="39"/>
        <v>0.19589163237311383</v>
      </c>
      <c r="Q143" s="10">
        <f t="shared" si="40"/>
        <v>4.0810756744398711E-3</v>
      </c>
      <c r="R143" s="10">
        <f t="shared" si="41"/>
        <v>2.5564307556858588E-2</v>
      </c>
      <c r="S143" s="10">
        <f t="shared" si="42"/>
        <v>2.964538323129846E-2</v>
      </c>
    </row>
    <row r="144" spans="1:19" x14ac:dyDescent="0.25">
      <c r="A144" s="5" t="s">
        <v>22</v>
      </c>
      <c r="B144" s="5" t="s">
        <v>63</v>
      </c>
      <c r="C144" s="5" t="s">
        <v>27</v>
      </c>
      <c r="D144" s="5" t="s">
        <v>385</v>
      </c>
      <c r="E144" s="5" t="s">
        <v>384</v>
      </c>
      <c r="F144" s="5" t="s">
        <v>91</v>
      </c>
      <c r="G144" s="5" t="s">
        <v>393</v>
      </c>
      <c r="H144" s="5" t="s">
        <v>92</v>
      </c>
      <c r="I144" s="5" t="s">
        <v>20</v>
      </c>
      <c r="J144" s="15">
        <v>1400</v>
      </c>
      <c r="K144" s="7">
        <v>37</v>
      </c>
      <c r="L144" s="7">
        <f t="shared" si="37"/>
        <v>37.837837837837839</v>
      </c>
      <c r="M144" s="5" t="s">
        <v>10</v>
      </c>
      <c r="N144" s="5">
        <v>4</v>
      </c>
      <c r="O144" s="6">
        <f t="shared" si="38"/>
        <v>1.2527392257121988</v>
      </c>
      <c r="P144" s="6">
        <f t="shared" si="39"/>
        <v>0.13028487947406867</v>
      </c>
      <c r="Q144" s="10">
        <f t="shared" si="40"/>
        <v>2.7142683223764304E-3</v>
      </c>
      <c r="R144" s="10">
        <f t="shared" si="41"/>
        <v>1.8827498926201992E-2</v>
      </c>
      <c r="S144" s="10">
        <f t="shared" si="42"/>
        <v>2.1541767248578422E-2</v>
      </c>
    </row>
    <row r="145" spans="1:19" x14ac:dyDescent="0.25">
      <c r="A145" s="5" t="s">
        <v>8</v>
      </c>
      <c r="B145" s="5" t="s">
        <v>308</v>
      </c>
      <c r="C145" s="5" t="s">
        <v>27</v>
      </c>
      <c r="D145" s="5" t="s">
        <v>385</v>
      </c>
      <c r="E145" s="5" t="s">
        <v>384</v>
      </c>
      <c r="F145" s="5" t="s">
        <v>91</v>
      </c>
      <c r="G145" s="5" t="s">
        <v>393</v>
      </c>
      <c r="H145" s="5" t="s">
        <v>92</v>
      </c>
      <c r="I145" s="5" t="s">
        <v>309</v>
      </c>
      <c r="J145" s="15">
        <v>1055</v>
      </c>
      <c r="K145" s="7">
        <v>35.5</v>
      </c>
      <c r="L145" s="7">
        <f t="shared" si="37"/>
        <v>29.718309859154928</v>
      </c>
      <c r="M145" s="5" t="s">
        <v>10</v>
      </c>
      <c r="N145" s="5">
        <v>4</v>
      </c>
      <c r="O145" s="6">
        <f t="shared" si="38"/>
        <v>0.58234545477087873</v>
      </c>
      <c r="P145" s="6">
        <f t="shared" si="39"/>
        <v>6.056392729617139E-2</v>
      </c>
      <c r="Q145" s="10">
        <f t="shared" si="40"/>
        <v>1.2617484853369037E-3</v>
      </c>
      <c r="R145" s="10">
        <f t="shared" si="41"/>
        <v>1.0599433193685417E-2</v>
      </c>
      <c r="S145" s="10">
        <f t="shared" si="42"/>
        <v>1.1861181679022321E-2</v>
      </c>
    </row>
    <row r="146" spans="1:19" x14ac:dyDescent="0.25">
      <c r="A146" s="5" t="s">
        <v>22</v>
      </c>
      <c r="B146" s="5" t="s">
        <v>63</v>
      </c>
      <c r="C146" s="5" t="s">
        <v>27</v>
      </c>
      <c r="D146" s="5" t="s">
        <v>385</v>
      </c>
      <c r="E146" s="5" t="s">
        <v>384</v>
      </c>
      <c r="F146" s="5" t="s">
        <v>91</v>
      </c>
      <c r="G146" s="5" t="s">
        <v>393</v>
      </c>
      <c r="H146" s="5" t="s">
        <v>93</v>
      </c>
      <c r="I146" s="5" t="s">
        <v>94</v>
      </c>
      <c r="J146" s="15">
        <v>3450</v>
      </c>
      <c r="K146" s="7">
        <v>33.5</v>
      </c>
      <c r="L146" s="7">
        <f t="shared" si="37"/>
        <v>102.98507462686567</v>
      </c>
      <c r="M146" s="5" t="s">
        <v>10</v>
      </c>
      <c r="N146" s="5">
        <v>4</v>
      </c>
      <c r="O146" s="6">
        <f t="shared" si="38"/>
        <v>22.869027066161731</v>
      </c>
      <c r="P146" s="6">
        <f t="shared" si="39"/>
        <v>2.3783788148808198</v>
      </c>
      <c r="Q146" s="10">
        <f t="shared" si="40"/>
        <v>4.9549558643350415E-2</v>
      </c>
      <c r="R146" s="10">
        <f t="shared" si="41"/>
        <v>0.16627727199027578</v>
      </c>
      <c r="S146" s="10">
        <f t="shared" si="42"/>
        <v>0.2158268306336262</v>
      </c>
    </row>
    <row r="147" spans="1:19" x14ac:dyDescent="0.25">
      <c r="A147" s="5" t="s">
        <v>8</v>
      </c>
      <c r="B147" s="5" t="s">
        <v>336</v>
      </c>
      <c r="C147" s="5" t="s">
        <v>27</v>
      </c>
      <c r="D147" s="5" t="s">
        <v>385</v>
      </c>
      <c r="E147" s="5" t="s">
        <v>384</v>
      </c>
      <c r="F147" s="5" t="s">
        <v>91</v>
      </c>
      <c r="G147" s="5" t="s">
        <v>393</v>
      </c>
      <c r="H147" s="5" t="s">
        <v>93</v>
      </c>
      <c r="I147" s="5" t="s">
        <v>94</v>
      </c>
      <c r="J147" s="15">
        <v>3150</v>
      </c>
      <c r="K147" s="7">
        <v>31</v>
      </c>
      <c r="L147" s="7">
        <f t="shared" si="37"/>
        <v>101.61290322580645</v>
      </c>
      <c r="M147" s="5" t="s">
        <v>10</v>
      </c>
      <c r="N147" s="5">
        <v>4</v>
      </c>
      <c r="O147" s="6">
        <f t="shared" si="38"/>
        <v>20.32770226326743</v>
      </c>
      <c r="P147" s="6">
        <f t="shared" si="39"/>
        <v>2.1140810353798125</v>
      </c>
      <c r="Q147" s="10">
        <f t="shared" si="40"/>
        <v>4.4043354903746092E-2</v>
      </c>
      <c r="R147" s="10">
        <f t="shared" si="41"/>
        <v>0.15221706459438031</v>
      </c>
      <c r="S147" s="10">
        <f t="shared" si="42"/>
        <v>0.19626041949812639</v>
      </c>
    </row>
    <row r="148" spans="1:19" x14ac:dyDescent="0.25">
      <c r="A148" s="5" t="s">
        <v>22</v>
      </c>
      <c r="B148" s="5" t="s">
        <v>63</v>
      </c>
      <c r="C148" s="5" t="s">
        <v>27</v>
      </c>
      <c r="D148" s="5" t="s">
        <v>385</v>
      </c>
      <c r="E148" s="5" t="s">
        <v>384</v>
      </c>
      <c r="F148" s="5" t="s">
        <v>91</v>
      </c>
      <c r="G148" s="5" t="s">
        <v>393</v>
      </c>
      <c r="H148" s="5" t="s">
        <v>95</v>
      </c>
      <c r="I148" s="5" t="s">
        <v>96</v>
      </c>
      <c r="J148" s="15">
        <v>2765</v>
      </c>
      <c r="K148" s="7">
        <v>41</v>
      </c>
      <c r="L148" s="7">
        <f t="shared" si="37"/>
        <v>67.439024390243901</v>
      </c>
      <c r="M148" s="5" t="s">
        <v>10</v>
      </c>
      <c r="N148" s="5">
        <v>4</v>
      </c>
      <c r="O148" s="6">
        <f t="shared" si="38"/>
        <v>7.8595505372546111</v>
      </c>
      <c r="P148" s="6">
        <f t="shared" si="39"/>
        <v>0.81739325587447953</v>
      </c>
      <c r="Q148" s="10">
        <f t="shared" si="40"/>
        <v>1.7029026164051657E-2</v>
      </c>
      <c r="R148" s="10">
        <f t="shared" si="41"/>
        <v>7.4635493270240674E-2</v>
      </c>
      <c r="S148" s="10">
        <f t="shared" si="42"/>
        <v>9.1664519434292324E-2</v>
      </c>
    </row>
    <row r="149" spans="1:19" x14ac:dyDescent="0.25">
      <c r="J149" s="16">
        <f>AVERAGE(J140:J148)</f>
        <v>2113.3333333333335</v>
      </c>
      <c r="K149" s="12">
        <f t="shared" ref="K149:S149" si="43">AVERAGE(K140:K148)</f>
        <v>37.577777777777776</v>
      </c>
      <c r="L149" s="12">
        <f t="shared" si="43"/>
        <v>59.522625476577133</v>
      </c>
      <c r="M149" s="11" t="e">
        <f t="shared" si="43"/>
        <v>#DIV/0!</v>
      </c>
      <c r="N149" s="11">
        <f t="shared" si="43"/>
        <v>4</v>
      </c>
      <c r="O149" s="13">
        <f t="shared" si="43"/>
        <v>7.3319185325220264</v>
      </c>
      <c r="P149" s="13">
        <f t="shared" si="43"/>
        <v>0.76251952738229067</v>
      </c>
      <c r="Q149" s="14">
        <f t="shared" si="43"/>
        <v>1.5885823487131058E-2</v>
      </c>
      <c r="R149" s="14">
        <f t="shared" si="43"/>
        <v>6.3234792001120976E-2</v>
      </c>
      <c r="S149" s="14">
        <f t="shared" si="43"/>
        <v>7.9120615488252014E-2</v>
      </c>
    </row>
    <row r="150" spans="1:19" x14ac:dyDescent="0.25">
      <c r="A150" s="5" t="s">
        <v>8</v>
      </c>
      <c r="B150" s="5" t="s">
        <v>165</v>
      </c>
      <c r="C150" s="5" t="s">
        <v>27</v>
      </c>
      <c r="D150" s="5" t="s">
        <v>385</v>
      </c>
      <c r="E150" s="5" t="s">
        <v>384</v>
      </c>
      <c r="F150" s="5" t="s">
        <v>30</v>
      </c>
      <c r="G150" s="5" t="s">
        <v>397</v>
      </c>
      <c r="H150" s="5" t="s">
        <v>36</v>
      </c>
      <c r="I150" s="5" t="s">
        <v>173</v>
      </c>
      <c r="J150" s="15">
        <v>3000</v>
      </c>
      <c r="K150" s="7">
        <v>18</v>
      </c>
      <c r="L150" s="7">
        <f t="shared" ref="L150:L181" si="44">J150/K150</f>
        <v>166.66666666666666</v>
      </c>
      <c r="M150" s="5" t="s">
        <v>10</v>
      </c>
      <c r="N150" s="5">
        <v>4</v>
      </c>
      <c r="O150" s="6">
        <f t="shared" ref="O150:O181" si="45">(J150*L150^2)/(1.6*10^6)</f>
        <v>52.083333333333329</v>
      </c>
      <c r="P150" s="6">
        <f t="shared" ref="P150:P181" si="46">(0.104*J150*L150^2)/(1.6*10^6)</f>
        <v>5.4166666666666661</v>
      </c>
      <c r="Q150" s="10">
        <f t="shared" ref="Q150:Q181" si="47">(0.104*O150)/(12*N150)</f>
        <v>0.11284722222222221</v>
      </c>
      <c r="R150" s="10">
        <f t="shared" ref="R150:R181" si="48">0.0159*O150^0.75</f>
        <v>0.3082628595775706</v>
      </c>
      <c r="S150" s="10">
        <f t="shared" ref="S150:S181" si="49">Q150+R150</f>
        <v>0.42111008179979281</v>
      </c>
    </row>
    <row r="151" spans="1:19" x14ac:dyDescent="0.25">
      <c r="A151" s="5" t="s">
        <v>8</v>
      </c>
      <c r="B151" s="5" t="s">
        <v>165</v>
      </c>
      <c r="C151" s="5" t="s">
        <v>27</v>
      </c>
      <c r="D151" s="5" t="s">
        <v>385</v>
      </c>
      <c r="E151" s="5" t="s">
        <v>384</v>
      </c>
      <c r="F151" s="5" t="s">
        <v>30</v>
      </c>
      <c r="G151" s="5" t="s">
        <v>397</v>
      </c>
      <c r="H151" s="5" t="s">
        <v>36</v>
      </c>
      <c r="I151" s="5" t="s">
        <v>170</v>
      </c>
      <c r="J151" s="15">
        <v>2695</v>
      </c>
      <c r="K151" s="7">
        <v>40</v>
      </c>
      <c r="L151" s="7">
        <f t="shared" si="44"/>
        <v>67.375</v>
      </c>
      <c r="M151" s="5" t="s">
        <v>10</v>
      </c>
      <c r="N151" s="5">
        <v>4</v>
      </c>
      <c r="O151" s="6">
        <f t="shared" si="45"/>
        <v>7.6460360839843746</v>
      </c>
      <c r="P151" s="6">
        <f t="shared" si="46"/>
        <v>0.79518775273437492</v>
      </c>
      <c r="Q151" s="10">
        <f t="shared" si="47"/>
        <v>1.6566411515299476E-2</v>
      </c>
      <c r="R151" s="10">
        <f t="shared" si="48"/>
        <v>7.3109595619803347E-2</v>
      </c>
      <c r="S151" s="10">
        <f t="shared" si="49"/>
        <v>8.967600713510282E-2</v>
      </c>
    </row>
    <row r="152" spans="1:19" x14ac:dyDescent="0.25">
      <c r="A152" s="5" t="s">
        <v>8</v>
      </c>
      <c r="B152" s="5" t="s">
        <v>165</v>
      </c>
      <c r="C152" s="5" t="s">
        <v>27</v>
      </c>
      <c r="D152" s="5" t="s">
        <v>385</v>
      </c>
      <c r="E152" s="5" t="s">
        <v>384</v>
      </c>
      <c r="F152" s="5" t="s">
        <v>30</v>
      </c>
      <c r="G152" s="5" t="s">
        <v>397</v>
      </c>
      <c r="H152" s="5" t="s">
        <v>36</v>
      </c>
      <c r="I152" s="5" t="s">
        <v>174</v>
      </c>
      <c r="J152" s="15">
        <v>5350</v>
      </c>
      <c r="K152" s="7">
        <v>40</v>
      </c>
      <c r="L152" s="7">
        <f t="shared" si="44"/>
        <v>133.75</v>
      </c>
      <c r="M152" s="5" t="s">
        <v>10</v>
      </c>
      <c r="N152" s="5">
        <v>4</v>
      </c>
      <c r="O152" s="6">
        <f t="shared" si="45"/>
        <v>59.816552734375001</v>
      </c>
      <c r="P152" s="6">
        <f t="shared" si="46"/>
        <v>6.2209214843750003</v>
      </c>
      <c r="Q152" s="10">
        <f t="shared" si="47"/>
        <v>0.12960253092447918</v>
      </c>
      <c r="R152" s="10">
        <f t="shared" si="48"/>
        <v>0.34198980524747485</v>
      </c>
      <c r="S152" s="10">
        <f t="shared" si="49"/>
        <v>0.47159233617195406</v>
      </c>
    </row>
    <row r="153" spans="1:19" x14ac:dyDescent="0.25">
      <c r="A153" s="5" t="s">
        <v>22</v>
      </c>
      <c r="B153" s="5" t="s">
        <v>26</v>
      </c>
      <c r="C153" s="5" t="s">
        <v>27</v>
      </c>
      <c r="D153" s="5" t="s">
        <v>385</v>
      </c>
      <c r="E153" s="5" t="s">
        <v>384</v>
      </c>
      <c r="F153" s="5" t="s">
        <v>30</v>
      </c>
      <c r="G153" s="5" t="s">
        <v>397</v>
      </c>
      <c r="H153" s="5" t="s">
        <v>36</v>
      </c>
      <c r="I153" s="5" t="s">
        <v>18</v>
      </c>
      <c r="J153" s="15">
        <v>1750</v>
      </c>
      <c r="K153" s="7">
        <v>28</v>
      </c>
      <c r="L153" s="7">
        <f t="shared" si="44"/>
        <v>62.5</v>
      </c>
      <c r="M153" s="5" t="s">
        <v>10</v>
      </c>
      <c r="N153" s="5">
        <v>4</v>
      </c>
      <c r="O153" s="6">
        <f t="shared" si="45"/>
        <v>4.2724609375</v>
      </c>
      <c r="P153" s="6">
        <f t="shared" si="46"/>
        <v>0.4443359375</v>
      </c>
      <c r="Q153" s="10">
        <f t="shared" si="47"/>
        <v>9.2569986979166661E-3</v>
      </c>
      <c r="R153" s="10">
        <f t="shared" si="48"/>
        <v>4.7250422897927295E-2</v>
      </c>
      <c r="S153" s="10">
        <f t="shared" si="49"/>
        <v>5.650742159584396E-2</v>
      </c>
    </row>
    <row r="154" spans="1:19" x14ac:dyDescent="0.25">
      <c r="A154" s="5" t="s">
        <v>8</v>
      </c>
      <c r="B154" s="5" t="s">
        <v>165</v>
      </c>
      <c r="C154" s="5" t="s">
        <v>27</v>
      </c>
      <c r="D154" s="5" t="s">
        <v>385</v>
      </c>
      <c r="E154" s="5" t="s">
        <v>384</v>
      </c>
      <c r="F154" s="5" t="s">
        <v>30</v>
      </c>
      <c r="G154" s="5" t="s">
        <v>397</v>
      </c>
      <c r="H154" s="5" t="s">
        <v>36</v>
      </c>
      <c r="I154" s="5" t="s">
        <v>18</v>
      </c>
      <c r="J154" s="15">
        <v>1450</v>
      </c>
      <c r="K154" s="7">
        <v>28.5</v>
      </c>
      <c r="L154" s="7">
        <f t="shared" si="44"/>
        <v>50.877192982456137</v>
      </c>
      <c r="M154" s="5" t="s">
        <v>10</v>
      </c>
      <c r="N154" s="5">
        <v>4</v>
      </c>
      <c r="O154" s="6">
        <f t="shared" si="45"/>
        <v>2.3458179439827638</v>
      </c>
      <c r="P154" s="6">
        <f t="shared" si="46"/>
        <v>0.24396506617420743</v>
      </c>
      <c r="Q154" s="10">
        <f t="shared" si="47"/>
        <v>5.0826055452959885E-3</v>
      </c>
      <c r="R154" s="10">
        <f t="shared" si="48"/>
        <v>3.0138237596683604E-2</v>
      </c>
      <c r="S154" s="10">
        <f t="shared" si="49"/>
        <v>3.5220843141979589E-2</v>
      </c>
    </row>
    <row r="155" spans="1:19" x14ac:dyDescent="0.25">
      <c r="A155" s="5" t="s">
        <v>8</v>
      </c>
      <c r="B155" s="5" t="s">
        <v>281</v>
      </c>
      <c r="C155" s="5" t="s">
        <v>27</v>
      </c>
      <c r="D155" s="5" t="s">
        <v>385</v>
      </c>
      <c r="E155" s="5" t="s">
        <v>384</v>
      </c>
      <c r="F155" s="5" t="s">
        <v>30</v>
      </c>
      <c r="G155" s="5" t="s">
        <v>397</v>
      </c>
      <c r="H155" s="5" t="s">
        <v>36</v>
      </c>
      <c r="I155" s="5" t="s">
        <v>18</v>
      </c>
      <c r="J155" s="15">
        <v>1975</v>
      </c>
      <c r="K155" s="7">
        <v>33</v>
      </c>
      <c r="L155" s="7">
        <f t="shared" si="44"/>
        <v>59.848484848484851</v>
      </c>
      <c r="M155" s="5" t="s">
        <v>10</v>
      </c>
      <c r="N155" s="5">
        <v>4</v>
      </c>
      <c r="O155" s="6">
        <f t="shared" si="45"/>
        <v>4.4213351555325984</v>
      </c>
      <c r="P155" s="6">
        <f t="shared" si="46"/>
        <v>0.45981885617539026</v>
      </c>
      <c r="Q155" s="10">
        <f t="shared" si="47"/>
        <v>9.5795595036539619E-3</v>
      </c>
      <c r="R155" s="10">
        <f t="shared" si="48"/>
        <v>4.8479954373658471E-2</v>
      </c>
      <c r="S155" s="10">
        <f t="shared" si="49"/>
        <v>5.8059513877312431E-2</v>
      </c>
    </row>
    <row r="156" spans="1:19" x14ac:dyDescent="0.25">
      <c r="A156" s="5" t="s">
        <v>8</v>
      </c>
      <c r="B156" s="5" t="s">
        <v>291</v>
      </c>
      <c r="C156" s="5" t="s">
        <v>27</v>
      </c>
      <c r="D156" s="5" t="s">
        <v>385</v>
      </c>
      <c r="E156" s="5" t="s">
        <v>384</v>
      </c>
      <c r="F156" s="5" t="s">
        <v>30</v>
      </c>
      <c r="G156" s="5" t="s">
        <v>397</v>
      </c>
      <c r="H156" s="5" t="s">
        <v>36</v>
      </c>
      <c r="I156" s="5" t="s">
        <v>18</v>
      </c>
      <c r="J156" s="15">
        <v>1559</v>
      </c>
      <c r="K156" s="7">
        <v>24.4</v>
      </c>
      <c r="L156" s="7">
        <f t="shared" si="44"/>
        <v>63.893442622950822</v>
      </c>
      <c r="M156" s="5" t="s">
        <v>10</v>
      </c>
      <c r="N156" s="5">
        <v>4</v>
      </c>
      <c r="O156" s="6">
        <f t="shared" si="45"/>
        <v>3.977761227450618</v>
      </c>
      <c r="P156" s="6">
        <f t="shared" si="46"/>
        <v>0.4136871676548643</v>
      </c>
      <c r="Q156" s="10">
        <f t="shared" si="47"/>
        <v>8.6184826594763383E-3</v>
      </c>
      <c r="R156" s="10">
        <f t="shared" si="48"/>
        <v>4.4784337805949009E-2</v>
      </c>
      <c r="S156" s="10">
        <f t="shared" si="49"/>
        <v>5.3402820465425348E-2</v>
      </c>
    </row>
    <row r="157" spans="1:19" x14ac:dyDescent="0.25">
      <c r="A157" s="5" t="s">
        <v>8</v>
      </c>
      <c r="B157" s="5" t="s">
        <v>291</v>
      </c>
      <c r="C157" s="5" t="s">
        <v>27</v>
      </c>
      <c r="D157" s="5" t="s">
        <v>385</v>
      </c>
      <c r="E157" s="5" t="s">
        <v>384</v>
      </c>
      <c r="F157" s="5" t="s">
        <v>30</v>
      </c>
      <c r="G157" s="5" t="s">
        <v>397</v>
      </c>
      <c r="H157" s="5" t="s">
        <v>36</v>
      </c>
      <c r="I157" s="5" t="s">
        <v>18</v>
      </c>
      <c r="J157" s="15">
        <v>1600</v>
      </c>
      <c r="K157" s="7">
        <v>25.6</v>
      </c>
      <c r="L157" s="7">
        <f t="shared" si="44"/>
        <v>62.5</v>
      </c>
      <c r="M157" s="5" t="s">
        <v>10</v>
      </c>
      <c r="N157" s="5">
        <v>4</v>
      </c>
      <c r="O157" s="6">
        <f t="shared" si="45"/>
        <v>3.90625</v>
      </c>
      <c r="P157" s="6">
        <f t="shared" si="46"/>
        <v>0.40625</v>
      </c>
      <c r="Q157" s="10">
        <f t="shared" si="47"/>
        <v>8.4635416666666661E-3</v>
      </c>
      <c r="R157" s="10">
        <f t="shared" si="48"/>
        <v>4.4179129093154489E-2</v>
      </c>
      <c r="S157" s="10">
        <f t="shared" si="49"/>
        <v>5.2642670759821153E-2</v>
      </c>
    </row>
    <row r="158" spans="1:19" x14ac:dyDescent="0.25">
      <c r="A158" s="5" t="s">
        <v>8</v>
      </c>
      <c r="B158" s="5" t="s">
        <v>307</v>
      </c>
      <c r="C158" s="5" t="s">
        <v>27</v>
      </c>
      <c r="D158" s="5" t="s">
        <v>385</v>
      </c>
      <c r="E158" s="5" t="s">
        <v>384</v>
      </c>
      <c r="F158" s="5" t="s">
        <v>30</v>
      </c>
      <c r="G158" s="5" t="s">
        <v>397</v>
      </c>
      <c r="H158" s="5" t="s">
        <v>36</v>
      </c>
      <c r="I158" s="5" t="s">
        <v>18</v>
      </c>
      <c r="J158" s="15">
        <v>1450</v>
      </c>
      <c r="K158" s="7">
        <v>34.200000000000003</v>
      </c>
      <c r="L158" s="7">
        <f t="shared" si="44"/>
        <v>42.397660818713447</v>
      </c>
      <c r="M158" s="5" t="s">
        <v>10</v>
      </c>
      <c r="N158" s="5">
        <v>4</v>
      </c>
      <c r="O158" s="6">
        <f t="shared" si="45"/>
        <v>1.629040238876919</v>
      </c>
      <c r="P158" s="6">
        <f t="shared" si="46"/>
        <v>0.16942018484319957</v>
      </c>
      <c r="Q158" s="10">
        <f t="shared" si="47"/>
        <v>3.5295871842333242E-3</v>
      </c>
      <c r="R158" s="10">
        <f t="shared" si="48"/>
        <v>2.2926934132158183E-2</v>
      </c>
      <c r="S158" s="10">
        <f t="shared" si="49"/>
        <v>2.6456521316391507E-2</v>
      </c>
    </row>
    <row r="159" spans="1:19" x14ac:dyDescent="0.25">
      <c r="A159" s="5" t="s">
        <v>8</v>
      </c>
      <c r="B159" s="5" t="s">
        <v>165</v>
      </c>
      <c r="C159" s="5" t="s">
        <v>27</v>
      </c>
      <c r="D159" s="5" t="s">
        <v>385</v>
      </c>
      <c r="E159" s="5" t="s">
        <v>384</v>
      </c>
      <c r="F159" s="5" t="s">
        <v>30</v>
      </c>
      <c r="G159" s="5" t="s">
        <v>397</v>
      </c>
      <c r="H159" s="5" t="s">
        <v>36</v>
      </c>
      <c r="I159" s="5" t="s">
        <v>175</v>
      </c>
      <c r="J159" s="15">
        <v>1800</v>
      </c>
      <c r="K159" s="7">
        <v>25</v>
      </c>
      <c r="L159" s="7">
        <f t="shared" si="44"/>
        <v>72</v>
      </c>
      <c r="M159" s="5" t="s">
        <v>10</v>
      </c>
      <c r="N159" s="5">
        <v>4</v>
      </c>
      <c r="O159" s="6">
        <f t="shared" si="45"/>
        <v>5.8319999999999999</v>
      </c>
      <c r="P159" s="6">
        <f t="shared" si="46"/>
        <v>0.60652799999999996</v>
      </c>
      <c r="Q159" s="10">
        <f t="shared" si="47"/>
        <v>1.2636E-2</v>
      </c>
      <c r="R159" s="10">
        <f t="shared" si="48"/>
        <v>5.9670580217310476E-2</v>
      </c>
      <c r="S159" s="10">
        <f t="shared" si="49"/>
        <v>7.230658021731047E-2</v>
      </c>
    </row>
    <row r="160" spans="1:19" x14ac:dyDescent="0.25">
      <c r="A160" s="5" t="s">
        <v>8</v>
      </c>
      <c r="B160" s="5" t="s">
        <v>165</v>
      </c>
      <c r="C160" s="5" t="s">
        <v>27</v>
      </c>
      <c r="D160" s="5" t="s">
        <v>385</v>
      </c>
      <c r="E160" s="5" t="s">
        <v>384</v>
      </c>
      <c r="F160" s="5" t="s">
        <v>30</v>
      </c>
      <c r="G160" s="5" t="s">
        <v>397</v>
      </c>
      <c r="H160" s="5" t="s">
        <v>36</v>
      </c>
      <c r="I160" s="5" t="s">
        <v>176</v>
      </c>
      <c r="J160" s="15">
        <v>1750</v>
      </c>
      <c r="K160" s="7">
        <v>35.5</v>
      </c>
      <c r="L160" s="7">
        <f t="shared" si="44"/>
        <v>49.29577464788732</v>
      </c>
      <c r="M160" s="5" t="s">
        <v>10</v>
      </c>
      <c r="N160" s="5">
        <v>4</v>
      </c>
      <c r="O160" s="6">
        <f t="shared" si="45"/>
        <v>2.6578927792104734</v>
      </c>
      <c r="P160" s="6">
        <f t="shared" si="46"/>
        <v>0.27642084903788922</v>
      </c>
      <c r="Q160" s="10">
        <f t="shared" si="47"/>
        <v>5.7587676882893584E-3</v>
      </c>
      <c r="R160" s="10">
        <f t="shared" si="48"/>
        <v>3.3097883067103442E-2</v>
      </c>
      <c r="S160" s="10">
        <f t="shared" si="49"/>
        <v>3.8856650755392803E-2</v>
      </c>
    </row>
    <row r="161" spans="1:19" x14ac:dyDescent="0.25">
      <c r="A161" s="5" t="s">
        <v>8</v>
      </c>
      <c r="B161" s="5" t="s">
        <v>165</v>
      </c>
      <c r="C161" s="5" t="s">
        <v>27</v>
      </c>
      <c r="D161" s="5" t="s">
        <v>385</v>
      </c>
      <c r="E161" s="5" t="s">
        <v>384</v>
      </c>
      <c r="F161" s="5" t="s">
        <v>30</v>
      </c>
      <c r="G161" s="5" t="s">
        <v>397</v>
      </c>
      <c r="H161" s="5" t="s">
        <v>36</v>
      </c>
      <c r="I161" s="5" t="s">
        <v>177</v>
      </c>
      <c r="J161" s="15">
        <v>1060</v>
      </c>
      <c r="K161" s="7">
        <v>28</v>
      </c>
      <c r="L161" s="7">
        <f t="shared" si="44"/>
        <v>37.857142857142854</v>
      </c>
      <c r="M161" s="5" t="s">
        <v>10</v>
      </c>
      <c r="N161" s="5">
        <v>4</v>
      </c>
      <c r="O161" s="6">
        <f t="shared" si="45"/>
        <v>0.94947066326530594</v>
      </c>
      <c r="P161" s="6">
        <f t="shared" si="46"/>
        <v>9.874494897959181E-2</v>
      </c>
      <c r="Q161" s="10">
        <f t="shared" si="47"/>
        <v>2.0571864370748294E-3</v>
      </c>
      <c r="R161" s="10">
        <f t="shared" si="48"/>
        <v>1.5293549291277381E-2</v>
      </c>
      <c r="S161" s="10">
        <f t="shared" si="49"/>
        <v>1.7350735728352211E-2</v>
      </c>
    </row>
    <row r="162" spans="1:19" x14ac:dyDescent="0.25">
      <c r="A162" s="5" t="s">
        <v>8</v>
      </c>
      <c r="B162" s="5" t="s">
        <v>165</v>
      </c>
      <c r="C162" s="5" t="s">
        <v>27</v>
      </c>
      <c r="D162" s="5" t="s">
        <v>385</v>
      </c>
      <c r="E162" s="5" t="s">
        <v>384</v>
      </c>
      <c r="F162" s="5" t="s">
        <v>30</v>
      </c>
      <c r="G162" s="5" t="s">
        <v>397</v>
      </c>
      <c r="H162" s="5" t="s">
        <v>36</v>
      </c>
      <c r="I162" s="5" t="s">
        <v>178</v>
      </c>
      <c r="J162" s="15">
        <v>1700</v>
      </c>
      <c r="K162" s="7">
        <v>26.5</v>
      </c>
      <c r="L162" s="7">
        <f t="shared" si="44"/>
        <v>64.15094339622641</v>
      </c>
      <c r="M162" s="5" t="s">
        <v>10</v>
      </c>
      <c r="N162" s="5">
        <v>4</v>
      </c>
      <c r="O162" s="6">
        <f t="shared" si="45"/>
        <v>4.3725525097899602</v>
      </c>
      <c r="P162" s="6">
        <f t="shared" si="46"/>
        <v>0.45474546101815583</v>
      </c>
      <c r="Q162" s="10">
        <f t="shared" si="47"/>
        <v>9.4738637712115797E-3</v>
      </c>
      <c r="R162" s="10">
        <f t="shared" si="48"/>
        <v>4.8078222116359363E-2</v>
      </c>
      <c r="S162" s="10">
        <f t="shared" si="49"/>
        <v>5.7552085887570943E-2</v>
      </c>
    </row>
    <row r="163" spans="1:19" x14ac:dyDescent="0.25">
      <c r="A163" s="5" t="s">
        <v>8</v>
      </c>
      <c r="B163" s="5" t="s">
        <v>165</v>
      </c>
      <c r="C163" s="5" t="s">
        <v>27</v>
      </c>
      <c r="D163" s="5" t="s">
        <v>385</v>
      </c>
      <c r="E163" s="5" t="s">
        <v>384</v>
      </c>
      <c r="F163" s="5" t="s">
        <v>30</v>
      </c>
      <c r="G163" s="5" t="s">
        <v>397</v>
      </c>
      <c r="H163" s="5" t="s">
        <v>36</v>
      </c>
      <c r="I163" s="5" t="s">
        <v>179</v>
      </c>
      <c r="J163" s="15">
        <v>1200</v>
      </c>
      <c r="K163" s="7">
        <v>28</v>
      </c>
      <c r="L163" s="7">
        <f t="shared" si="44"/>
        <v>42.857142857142854</v>
      </c>
      <c r="M163" s="5" t="s">
        <v>10</v>
      </c>
      <c r="N163" s="5">
        <v>4</v>
      </c>
      <c r="O163" s="6">
        <f t="shared" si="45"/>
        <v>1.3775510204081631</v>
      </c>
      <c r="P163" s="6">
        <f t="shared" si="46"/>
        <v>0.14326530612244898</v>
      </c>
      <c r="Q163" s="10">
        <f t="shared" si="47"/>
        <v>2.9846938775510198E-3</v>
      </c>
      <c r="R163" s="10">
        <f t="shared" si="48"/>
        <v>2.0217520582724226E-2</v>
      </c>
      <c r="S163" s="10">
        <f t="shared" si="49"/>
        <v>2.3202214460275247E-2</v>
      </c>
    </row>
    <row r="164" spans="1:19" x14ac:dyDescent="0.25">
      <c r="A164" s="5" t="s">
        <v>8</v>
      </c>
      <c r="B164" s="5" t="s">
        <v>165</v>
      </c>
      <c r="C164" s="5" t="s">
        <v>27</v>
      </c>
      <c r="D164" s="5" t="s">
        <v>385</v>
      </c>
      <c r="E164" s="5" t="s">
        <v>384</v>
      </c>
      <c r="F164" s="5" t="s">
        <v>30</v>
      </c>
      <c r="G164" s="5" t="s">
        <v>397</v>
      </c>
      <c r="H164" s="5" t="s">
        <v>36</v>
      </c>
      <c r="I164" s="5" t="s">
        <v>180</v>
      </c>
      <c r="J164" s="15">
        <v>4150</v>
      </c>
      <c r="K164" s="7">
        <v>26.5</v>
      </c>
      <c r="L164" s="7">
        <f t="shared" si="44"/>
        <v>156.60377358490567</v>
      </c>
      <c r="M164" s="5" t="s">
        <v>10</v>
      </c>
      <c r="N164" s="5">
        <v>4</v>
      </c>
      <c r="O164" s="6">
        <f t="shared" si="45"/>
        <v>63.61104930580278</v>
      </c>
      <c r="P164" s="6">
        <f t="shared" si="46"/>
        <v>6.6155491278034892</v>
      </c>
      <c r="Q164" s="10">
        <f t="shared" si="47"/>
        <v>0.13782394016257268</v>
      </c>
      <c r="R164" s="10">
        <f t="shared" si="48"/>
        <v>0.35813481691991617</v>
      </c>
      <c r="S164" s="10">
        <f t="shared" si="49"/>
        <v>0.49595875708248882</v>
      </c>
    </row>
    <row r="165" spans="1:19" x14ac:dyDescent="0.25">
      <c r="A165" s="5" t="s">
        <v>8</v>
      </c>
      <c r="B165" s="5" t="s">
        <v>165</v>
      </c>
      <c r="C165" s="5" t="s">
        <v>27</v>
      </c>
      <c r="D165" s="5" t="s">
        <v>385</v>
      </c>
      <c r="E165" s="5" t="s">
        <v>384</v>
      </c>
      <c r="F165" s="5" t="s">
        <v>30</v>
      </c>
      <c r="G165" s="5" t="s">
        <v>397</v>
      </c>
      <c r="H165" s="5" t="s">
        <v>36</v>
      </c>
      <c r="I165" s="5" t="s">
        <v>172</v>
      </c>
      <c r="J165" s="15">
        <v>1615</v>
      </c>
      <c r="K165" s="7">
        <v>35</v>
      </c>
      <c r="L165" s="7">
        <f t="shared" si="44"/>
        <v>46.142857142857146</v>
      </c>
      <c r="M165" s="5" t="s">
        <v>10</v>
      </c>
      <c r="N165" s="5">
        <v>4</v>
      </c>
      <c r="O165" s="6">
        <f t="shared" si="45"/>
        <v>2.1491241709183679</v>
      </c>
      <c r="P165" s="6">
        <f t="shared" si="46"/>
        <v>0.22350891377551022</v>
      </c>
      <c r="Q165" s="10">
        <f t="shared" si="47"/>
        <v>4.6564357036564634E-3</v>
      </c>
      <c r="R165" s="10">
        <f t="shared" si="48"/>
        <v>2.8222355350425752E-2</v>
      </c>
      <c r="S165" s="10">
        <f t="shared" si="49"/>
        <v>3.2878791054082215E-2</v>
      </c>
    </row>
    <row r="166" spans="1:19" x14ac:dyDescent="0.25">
      <c r="A166" s="5" t="s">
        <v>8</v>
      </c>
      <c r="B166" s="5" t="s">
        <v>165</v>
      </c>
      <c r="C166" s="5" t="s">
        <v>27</v>
      </c>
      <c r="D166" s="5" t="s">
        <v>385</v>
      </c>
      <c r="E166" s="5" t="s">
        <v>384</v>
      </c>
      <c r="F166" s="5" t="s">
        <v>30</v>
      </c>
      <c r="G166" s="5" t="s">
        <v>397</v>
      </c>
      <c r="H166" s="5" t="s">
        <v>36</v>
      </c>
      <c r="I166" s="5" t="s">
        <v>172</v>
      </c>
      <c r="J166" s="15">
        <v>1600</v>
      </c>
      <c r="K166" s="7">
        <v>35</v>
      </c>
      <c r="L166" s="7">
        <f t="shared" si="44"/>
        <v>45.714285714285715</v>
      </c>
      <c r="M166" s="5" t="s">
        <v>10</v>
      </c>
      <c r="N166" s="5">
        <v>4</v>
      </c>
      <c r="O166" s="6">
        <f t="shared" si="45"/>
        <v>2.0897959183673471</v>
      </c>
      <c r="P166" s="6">
        <f t="shared" si="46"/>
        <v>0.21733877551020411</v>
      </c>
      <c r="Q166" s="10">
        <f t="shared" si="47"/>
        <v>4.5278911564625851E-3</v>
      </c>
      <c r="R166" s="10">
        <f t="shared" si="48"/>
        <v>2.7635990312774601E-2</v>
      </c>
      <c r="S166" s="10">
        <f t="shared" si="49"/>
        <v>3.2163881469237182E-2</v>
      </c>
    </row>
    <row r="167" spans="1:19" x14ac:dyDescent="0.25">
      <c r="A167" s="5" t="s">
        <v>8</v>
      </c>
      <c r="B167" s="5" t="s">
        <v>165</v>
      </c>
      <c r="C167" s="5" t="s">
        <v>27</v>
      </c>
      <c r="D167" s="5" t="s">
        <v>385</v>
      </c>
      <c r="E167" s="5" t="s">
        <v>384</v>
      </c>
      <c r="F167" s="5" t="s">
        <v>30</v>
      </c>
      <c r="G167" s="5" t="s">
        <v>397</v>
      </c>
      <c r="H167" s="5" t="s">
        <v>36</v>
      </c>
      <c r="I167" s="5" t="s">
        <v>71</v>
      </c>
      <c r="J167" s="15">
        <v>3100</v>
      </c>
      <c r="K167" s="7">
        <v>39.5</v>
      </c>
      <c r="L167" s="7">
        <f t="shared" si="44"/>
        <v>78.481012658227854</v>
      </c>
      <c r="M167" s="5" t="s">
        <v>10</v>
      </c>
      <c r="N167" s="5">
        <v>4</v>
      </c>
      <c r="O167" s="6">
        <f t="shared" si="45"/>
        <v>11.933584361480534</v>
      </c>
      <c r="P167" s="6">
        <f t="shared" si="46"/>
        <v>1.2410927735939754</v>
      </c>
      <c r="Q167" s="10">
        <f t="shared" si="47"/>
        <v>2.5856099449874489E-2</v>
      </c>
      <c r="R167" s="10">
        <f t="shared" si="48"/>
        <v>0.10208814323887225</v>
      </c>
      <c r="S167" s="10">
        <f t="shared" si="49"/>
        <v>0.12794424268874674</v>
      </c>
    </row>
    <row r="168" spans="1:19" x14ac:dyDescent="0.25">
      <c r="A168" s="5" t="s">
        <v>22</v>
      </c>
      <c r="B168" s="5" t="s">
        <v>26</v>
      </c>
      <c r="C168" s="5" t="s">
        <v>27</v>
      </c>
      <c r="D168" s="5" t="s">
        <v>385</v>
      </c>
      <c r="E168" s="5" t="s">
        <v>384</v>
      </c>
      <c r="F168" s="5" t="s">
        <v>30</v>
      </c>
      <c r="G168" s="5" t="s">
        <v>397</v>
      </c>
      <c r="H168" s="5" t="s">
        <v>36</v>
      </c>
      <c r="I168" s="5" t="s">
        <v>37</v>
      </c>
      <c r="J168" s="15">
        <v>3105</v>
      </c>
      <c r="K168" s="7">
        <v>37.5</v>
      </c>
      <c r="L168" s="7">
        <f t="shared" si="44"/>
        <v>82.8</v>
      </c>
      <c r="M168" s="5" t="s">
        <v>10</v>
      </c>
      <c r="N168" s="5">
        <v>4</v>
      </c>
      <c r="O168" s="6">
        <f t="shared" si="45"/>
        <v>13.3046145</v>
      </c>
      <c r="P168" s="6">
        <f t="shared" si="46"/>
        <v>1.3836799079999997</v>
      </c>
      <c r="Q168" s="10">
        <f t="shared" si="47"/>
        <v>2.8826664749999998E-2</v>
      </c>
      <c r="R168" s="10">
        <f t="shared" si="48"/>
        <v>0.11076405481821383</v>
      </c>
      <c r="S168" s="10">
        <f t="shared" si="49"/>
        <v>0.13959071956821384</v>
      </c>
    </row>
    <row r="169" spans="1:19" x14ac:dyDescent="0.25">
      <c r="A169" s="5" t="s">
        <v>8</v>
      </c>
      <c r="B169" s="5" t="s">
        <v>165</v>
      </c>
      <c r="C169" s="5" t="s">
        <v>27</v>
      </c>
      <c r="D169" s="5" t="s">
        <v>385</v>
      </c>
      <c r="E169" s="5" t="s">
        <v>384</v>
      </c>
      <c r="F169" s="5" t="s">
        <v>30</v>
      </c>
      <c r="G169" s="5" t="s">
        <v>397</v>
      </c>
      <c r="H169" s="5" t="s">
        <v>36</v>
      </c>
      <c r="I169" s="5" t="s">
        <v>37</v>
      </c>
      <c r="J169" s="15">
        <v>3050</v>
      </c>
      <c r="K169" s="7">
        <v>36.5</v>
      </c>
      <c r="L169" s="7">
        <f t="shared" si="44"/>
        <v>83.561643835616437</v>
      </c>
      <c r="M169" s="5" t="s">
        <v>10</v>
      </c>
      <c r="N169" s="5">
        <v>4</v>
      </c>
      <c r="O169" s="6">
        <f t="shared" si="45"/>
        <v>13.310482735972977</v>
      </c>
      <c r="P169" s="6">
        <f t="shared" si="46"/>
        <v>1.3842902045411896</v>
      </c>
      <c r="Q169" s="10">
        <f t="shared" si="47"/>
        <v>2.8839379261274781E-2</v>
      </c>
      <c r="R169" s="10">
        <f t="shared" si="48"/>
        <v>0.11080069363522363</v>
      </c>
      <c r="S169" s="10">
        <f t="shared" si="49"/>
        <v>0.13964007289649841</v>
      </c>
    </row>
    <row r="170" spans="1:19" x14ac:dyDescent="0.25">
      <c r="A170" s="5" t="s">
        <v>8</v>
      </c>
      <c r="B170" s="5" t="s">
        <v>165</v>
      </c>
      <c r="C170" s="5" t="s">
        <v>27</v>
      </c>
      <c r="D170" s="5" t="s">
        <v>385</v>
      </c>
      <c r="E170" s="5" t="s">
        <v>384</v>
      </c>
      <c r="F170" s="5" t="s">
        <v>30</v>
      </c>
      <c r="G170" s="5" t="s">
        <v>397</v>
      </c>
      <c r="H170" s="5" t="s">
        <v>36</v>
      </c>
      <c r="I170" s="5" t="s">
        <v>181</v>
      </c>
      <c r="J170" s="15">
        <v>1850</v>
      </c>
      <c r="K170" s="7">
        <v>28.5</v>
      </c>
      <c r="L170" s="7">
        <f t="shared" si="44"/>
        <v>64.912280701754383</v>
      </c>
      <c r="M170" s="5" t="s">
        <v>10</v>
      </c>
      <c r="N170" s="5">
        <v>4</v>
      </c>
      <c r="O170" s="6">
        <f t="shared" si="45"/>
        <v>4.8719798399507539</v>
      </c>
      <c r="P170" s="6">
        <f t="shared" si="46"/>
        <v>0.5066859033548784</v>
      </c>
      <c r="Q170" s="10">
        <f t="shared" si="47"/>
        <v>1.0555956319893299E-2</v>
      </c>
      <c r="R170" s="10">
        <f t="shared" si="48"/>
        <v>5.2140625426400966E-2</v>
      </c>
      <c r="S170" s="10">
        <f t="shared" si="49"/>
        <v>6.2696581746294264E-2</v>
      </c>
    </row>
    <row r="171" spans="1:19" x14ac:dyDescent="0.25">
      <c r="A171" s="5" t="s">
        <v>8</v>
      </c>
      <c r="B171" s="5" t="s">
        <v>165</v>
      </c>
      <c r="C171" s="5" t="s">
        <v>27</v>
      </c>
      <c r="D171" s="5" t="s">
        <v>385</v>
      </c>
      <c r="E171" s="5" t="s">
        <v>384</v>
      </c>
      <c r="F171" s="5" t="s">
        <v>30</v>
      </c>
      <c r="G171" s="5" t="s">
        <v>397</v>
      </c>
      <c r="H171" s="5" t="s">
        <v>36</v>
      </c>
      <c r="I171" s="5" t="s">
        <v>171</v>
      </c>
      <c r="J171" s="15">
        <v>1740</v>
      </c>
      <c r="K171" s="7">
        <v>26.5</v>
      </c>
      <c r="L171" s="7">
        <f t="shared" si="44"/>
        <v>65.660377358490564</v>
      </c>
      <c r="M171" s="5" t="s">
        <v>10</v>
      </c>
      <c r="N171" s="5">
        <v>4</v>
      </c>
      <c r="O171" s="6">
        <f t="shared" si="45"/>
        <v>4.6885226059095757</v>
      </c>
      <c r="P171" s="6">
        <f t="shared" si="46"/>
        <v>0.48760635101459576</v>
      </c>
      <c r="Q171" s="10">
        <f t="shared" si="47"/>
        <v>1.0158465646137415E-2</v>
      </c>
      <c r="R171" s="10">
        <f t="shared" si="48"/>
        <v>5.0661043972834809E-2</v>
      </c>
      <c r="S171" s="10">
        <f t="shared" si="49"/>
        <v>6.0819509618972221E-2</v>
      </c>
    </row>
    <row r="172" spans="1:19" x14ac:dyDescent="0.25">
      <c r="A172" s="5" t="s">
        <v>8</v>
      </c>
      <c r="B172" s="5" t="s">
        <v>226</v>
      </c>
      <c r="C172" s="5" t="s">
        <v>27</v>
      </c>
      <c r="D172" s="5" t="s">
        <v>385</v>
      </c>
      <c r="E172" s="5" t="s">
        <v>384</v>
      </c>
      <c r="F172" s="5" t="s">
        <v>30</v>
      </c>
      <c r="G172" s="5" t="s">
        <v>397</v>
      </c>
      <c r="H172" s="5" t="s">
        <v>36</v>
      </c>
      <c r="I172" s="5" t="s">
        <v>227</v>
      </c>
      <c r="J172" s="15">
        <v>1508</v>
      </c>
      <c r="K172" s="7">
        <v>28.4</v>
      </c>
      <c r="L172" s="7">
        <f t="shared" si="44"/>
        <v>53.098591549295776</v>
      </c>
      <c r="M172" s="5" t="s">
        <v>10</v>
      </c>
      <c r="N172" s="5">
        <v>4</v>
      </c>
      <c r="O172" s="6">
        <f t="shared" si="45"/>
        <v>2.6573414501091053</v>
      </c>
      <c r="P172" s="6">
        <f t="shared" si="46"/>
        <v>0.27636351081134697</v>
      </c>
      <c r="Q172" s="10">
        <f t="shared" si="47"/>
        <v>5.7575731419030607E-3</v>
      </c>
      <c r="R172" s="10">
        <f t="shared" si="48"/>
        <v>3.3092733790731882E-2</v>
      </c>
      <c r="S172" s="10">
        <f t="shared" si="49"/>
        <v>3.8850306932634943E-2</v>
      </c>
    </row>
    <row r="173" spans="1:19" x14ac:dyDescent="0.25">
      <c r="A173" s="5" t="s">
        <v>22</v>
      </c>
      <c r="B173" s="5" t="s">
        <v>26</v>
      </c>
      <c r="C173" s="5" t="s">
        <v>27</v>
      </c>
      <c r="D173" s="5" t="s">
        <v>385</v>
      </c>
      <c r="E173" s="5" t="s">
        <v>384</v>
      </c>
      <c r="F173" s="5" t="s">
        <v>30</v>
      </c>
      <c r="G173" s="5" t="s">
        <v>397</v>
      </c>
      <c r="H173" s="5" t="s">
        <v>36</v>
      </c>
      <c r="I173" s="5" t="s">
        <v>38</v>
      </c>
      <c r="J173" s="15">
        <v>1900</v>
      </c>
      <c r="K173" s="7">
        <v>37</v>
      </c>
      <c r="L173" s="7">
        <f t="shared" si="44"/>
        <v>51.351351351351354</v>
      </c>
      <c r="M173" s="5" t="s">
        <v>10</v>
      </c>
      <c r="N173" s="5">
        <v>4</v>
      </c>
      <c r="O173" s="6">
        <f t="shared" si="45"/>
        <v>3.1313915266617975</v>
      </c>
      <c r="P173" s="6">
        <f t="shared" si="46"/>
        <v>0.32566471877282693</v>
      </c>
      <c r="Q173" s="10">
        <f t="shared" si="47"/>
        <v>6.7846816411005614E-3</v>
      </c>
      <c r="R173" s="10">
        <f t="shared" si="48"/>
        <v>3.7428304441951506E-2</v>
      </c>
      <c r="S173" s="10">
        <f t="shared" si="49"/>
        <v>4.4212986083052068E-2</v>
      </c>
    </row>
    <row r="174" spans="1:19" x14ac:dyDescent="0.25">
      <c r="A174" s="5" t="s">
        <v>8</v>
      </c>
      <c r="B174" s="5" t="s">
        <v>165</v>
      </c>
      <c r="C174" s="5" t="s">
        <v>27</v>
      </c>
      <c r="D174" s="5" t="s">
        <v>385</v>
      </c>
      <c r="E174" s="5" t="s">
        <v>384</v>
      </c>
      <c r="F174" s="5" t="s">
        <v>30</v>
      </c>
      <c r="G174" s="5" t="s">
        <v>397</v>
      </c>
      <c r="H174" s="5" t="s">
        <v>36</v>
      </c>
      <c r="I174" s="5" t="s">
        <v>38</v>
      </c>
      <c r="J174" s="15">
        <v>1900</v>
      </c>
      <c r="K174" s="7">
        <v>37</v>
      </c>
      <c r="L174" s="7">
        <f t="shared" si="44"/>
        <v>51.351351351351354</v>
      </c>
      <c r="M174" s="5" t="s">
        <v>10</v>
      </c>
      <c r="N174" s="5">
        <v>4</v>
      </c>
      <c r="O174" s="6">
        <f t="shared" si="45"/>
        <v>3.1313915266617975</v>
      </c>
      <c r="P174" s="6">
        <f t="shared" si="46"/>
        <v>0.32566471877282693</v>
      </c>
      <c r="Q174" s="10">
        <f t="shared" si="47"/>
        <v>6.7846816411005614E-3</v>
      </c>
      <c r="R174" s="10">
        <f t="shared" si="48"/>
        <v>3.7428304441951506E-2</v>
      </c>
      <c r="S174" s="10">
        <f t="shared" si="49"/>
        <v>4.4212986083052068E-2</v>
      </c>
    </row>
    <row r="175" spans="1:19" x14ac:dyDescent="0.25">
      <c r="A175" s="5" t="s">
        <v>8</v>
      </c>
      <c r="B175" s="5" t="s">
        <v>291</v>
      </c>
      <c r="C175" s="5" t="s">
        <v>27</v>
      </c>
      <c r="D175" s="5" t="s">
        <v>385</v>
      </c>
      <c r="E175" s="5" t="s">
        <v>384</v>
      </c>
      <c r="F175" s="5" t="s">
        <v>30</v>
      </c>
      <c r="G175" s="5" t="s">
        <v>397</v>
      </c>
      <c r="H175" s="5" t="s">
        <v>36</v>
      </c>
      <c r="I175" s="5" t="s">
        <v>38</v>
      </c>
      <c r="J175" s="15">
        <v>1808</v>
      </c>
      <c r="K175" s="7">
        <v>27.3</v>
      </c>
      <c r="L175" s="7">
        <f t="shared" si="44"/>
        <v>66.227106227106219</v>
      </c>
      <c r="M175" s="5" t="s">
        <v>10</v>
      </c>
      <c r="N175" s="5">
        <v>4</v>
      </c>
      <c r="O175" s="6">
        <f t="shared" si="45"/>
        <v>4.9562134471145445</v>
      </c>
      <c r="P175" s="6">
        <f t="shared" si="46"/>
        <v>0.51544619849991258</v>
      </c>
      <c r="Q175" s="10">
        <f t="shared" si="47"/>
        <v>1.0738462468748178E-2</v>
      </c>
      <c r="R175" s="10">
        <f t="shared" si="48"/>
        <v>5.2815284747529848E-2</v>
      </c>
      <c r="S175" s="10">
        <f t="shared" si="49"/>
        <v>6.3553747216278031E-2</v>
      </c>
    </row>
    <row r="176" spans="1:19" x14ac:dyDescent="0.25">
      <c r="A176" s="5" t="s">
        <v>8</v>
      </c>
      <c r="B176" s="5" t="s">
        <v>291</v>
      </c>
      <c r="C176" s="5" t="s">
        <v>27</v>
      </c>
      <c r="D176" s="5" t="s">
        <v>385</v>
      </c>
      <c r="E176" s="5" t="s">
        <v>384</v>
      </c>
      <c r="F176" s="5" t="s">
        <v>30</v>
      </c>
      <c r="G176" s="5" t="s">
        <v>397</v>
      </c>
      <c r="H176" s="5" t="s">
        <v>36</v>
      </c>
      <c r="I176" s="5" t="s">
        <v>38</v>
      </c>
      <c r="J176" s="15">
        <v>1839</v>
      </c>
      <c r="K176" s="7">
        <v>33.299999999999997</v>
      </c>
      <c r="L176" s="7">
        <f t="shared" si="44"/>
        <v>55.22522522522523</v>
      </c>
      <c r="M176" s="5" t="s">
        <v>10</v>
      </c>
      <c r="N176" s="5">
        <v>4</v>
      </c>
      <c r="O176" s="6">
        <f t="shared" si="45"/>
        <v>3.5053931854151457</v>
      </c>
      <c r="P176" s="6">
        <f t="shared" si="46"/>
        <v>0.36456089128317515</v>
      </c>
      <c r="Q176" s="10">
        <f t="shared" si="47"/>
        <v>7.5950185683994823E-3</v>
      </c>
      <c r="R176" s="10">
        <f t="shared" si="48"/>
        <v>4.073330769697972E-2</v>
      </c>
      <c r="S176" s="10">
        <f t="shared" si="49"/>
        <v>4.8328326265379203E-2</v>
      </c>
    </row>
    <row r="177" spans="1:19" x14ac:dyDescent="0.25">
      <c r="A177" s="5" t="s">
        <v>8</v>
      </c>
      <c r="B177" s="5" t="s">
        <v>165</v>
      </c>
      <c r="C177" s="5" t="s">
        <v>27</v>
      </c>
      <c r="D177" s="5" t="s">
        <v>385</v>
      </c>
      <c r="E177" s="5" t="s">
        <v>384</v>
      </c>
      <c r="F177" s="5" t="s">
        <v>30</v>
      </c>
      <c r="G177" s="5" t="s">
        <v>397</v>
      </c>
      <c r="H177" s="5" t="s">
        <v>36</v>
      </c>
      <c r="I177" s="5" t="s">
        <v>182</v>
      </c>
      <c r="J177" s="15">
        <v>1650</v>
      </c>
      <c r="K177" s="7">
        <v>32.5</v>
      </c>
      <c r="L177" s="7">
        <f t="shared" si="44"/>
        <v>50.769230769230766</v>
      </c>
      <c r="M177" s="5" t="s">
        <v>10</v>
      </c>
      <c r="N177" s="5">
        <v>4</v>
      </c>
      <c r="O177" s="6">
        <f t="shared" si="45"/>
        <v>2.6580621301775147</v>
      </c>
      <c r="P177" s="6">
        <f t="shared" si="46"/>
        <v>0.27643846153846147</v>
      </c>
      <c r="Q177" s="10">
        <f t="shared" si="47"/>
        <v>5.7591346153846147E-3</v>
      </c>
      <c r="R177" s="10">
        <f t="shared" si="48"/>
        <v>3.3099464709308975E-2</v>
      </c>
      <c r="S177" s="10">
        <f t="shared" si="49"/>
        <v>3.8858599324693592E-2</v>
      </c>
    </row>
    <row r="178" spans="1:19" x14ac:dyDescent="0.25">
      <c r="A178" s="5" t="s">
        <v>8</v>
      </c>
      <c r="B178" s="5" t="s">
        <v>165</v>
      </c>
      <c r="C178" s="5" t="s">
        <v>27</v>
      </c>
      <c r="D178" s="5" t="s">
        <v>385</v>
      </c>
      <c r="E178" s="5" t="s">
        <v>384</v>
      </c>
      <c r="F178" s="5" t="s">
        <v>30</v>
      </c>
      <c r="G178" s="5" t="s">
        <v>397</v>
      </c>
      <c r="H178" s="5" t="s">
        <v>36</v>
      </c>
      <c r="I178" s="5" t="s">
        <v>183</v>
      </c>
      <c r="J178" s="15">
        <v>1550</v>
      </c>
      <c r="K178" s="7">
        <v>28.5</v>
      </c>
      <c r="L178" s="7">
        <f t="shared" si="44"/>
        <v>54.385964912280699</v>
      </c>
      <c r="M178" s="5" t="s">
        <v>10</v>
      </c>
      <c r="N178" s="5">
        <v>4</v>
      </c>
      <c r="O178" s="6">
        <f t="shared" si="45"/>
        <v>2.8654008925823327</v>
      </c>
      <c r="P178" s="6">
        <f t="shared" si="46"/>
        <v>0.29800169282856259</v>
      </c>
      <c r="Q178" s="10">
        <f t="shared" si="47"/>
        <v>6.2083686005950543E-3</v>
      </c>
      <c r="R178" s="10">
        <f t="shared" si="48"/>
        <v>3.5017583120459564E-2</v>
      </c>
      <c r="S178" s="10">
        <f t="shared" si="49"/>
        <v>4.1225951721054616E-2</v>
      </c>
    </row>
    <row r="179" spans="1:19" x14ac:dyDescent="0.25">
      <c r="A179" s="5" t="s">
        <v>8</v>
      </c>
      <c r="B179" s="5" t="s">
        <v>165</v>
      </c>
      <c r="C179" s="5" t="s">
        <v>27</v>
      </c>
      <c r="D179" s="5" t="s">
        <v>385</v>
      </c>
      <c r="E179" s="5" t="s">
        <v>384</v>
      </c>
      <c r="F179" s="5" t="s">
        <v>30</v>
      </c>
      <c r="G179" s="5" t="s">
        <v>397</v>
      </c>
      <c r="H179" s="5" t="s">
        <v>36</v>
      </c>
      <c r="I179" s="5" t="s">
        <v>184</v>
      </c>
      <c r="J179" s="15">
        <v>5700</v>
      </c>
      <c r="K179" s="7">
        <v>47</v>
      </c>
      <c r="L179" s="7">
        <f t="shared" si="44"/>
        <v>121.27659574468085</v>
      </c>
      <c r="M179" s="5" t="s">
        <v>10</v>
      </c>
      <c r="N179" s="5">
        <v>4</v>
      </c>
      <c r="O179" s="6">
        <f t="shared" si="45"/>
        <v>52.397295156179268</v>
      </c>
      <c r="P179" s="6">
        <f t="shared" si="46"/>
        <v>5.449318696242643</v>
      </c>
      <c r="Q179" s="10">
        <f t="shared" si="47"/>
        <v>0.11352747283838842</v>
      </c>
      <c r="R179" s="10">
        <f t="shared" si="48"/>
        <v>0.30965548394091436</v>
      </c>
      <c r="S179" s="10">
        <f t="shared" si="49"/>
        <v>0.42318295677930279</v>
      </c>
    </row>
    <row r="180" spans="1:19" x14ac:dyDescent="0.25">
      <c r="A180" s="5" t="s">
        <v>8</v>
      </c>
      <c r="B180" s="5" t="s">
        <v>165</v>
      </c>
      <c r="C180" s="5" t="s">
        <v>27</v>
      </c>
      <c r="D180" s="5" t="s">
        <v>385</v>
      </c>
      <c r="E180" s="5" t="s">
        <v>384</v>
      </c>
      <c r="F180" s="5" t="s">
        <v>30</v>
      </c>
      <c r="G180" s="5" t="s">
        <v>397</v>
      </c>
      <c r="H180" s="5" t="s">
        <v>36</v>
      </c>
      <c r="I180" s="5" t="s">
        <v>166</v>
      </c>
      <c r="J180" s="15">
        <v>1635</v>
      </c>
      <c r="K180" s="7">
        <v>33.5</v>
      </c>
      <c r="L180" s="7">
        <f t="shared" si="44"/>
        <v>48.805970149253731</v>
      </c>
      <c r="M180" s="5" t="s">
        <v>10</v>
      </c>
      <c r="N180" s="5">
        <v>4</v>
      </c>
      <c r="O180" s="6">
        <f t="shared" si="45"/>
        <v>2.434129469258187</v>
      </c>
      <c r="P180" s="6">
        <f t="shared" si="46"/>
        <v>0.25314946480285144</v>
      </c>
      <c r="Q180" s="10">
        <f t="shared" si="47"/>
        <v>5.2739471833927387E-3</v>
      </c>
      <c r="R180" s="10">
        <f t="shared" si="48"/>
        <v>3.098524111547564E-2</v>
      </c>
      <c r="S180" s="10">
        <f t="shared" si="49"/>
        <v>3.6259188298868379E-2</v>
      </c>
    </row>
    <row r="181" spans="1:19" x14ac:dyDescent="0.25">
      <c r="A181" s="5" t="s">
        <v>8</v>
      </c>
      <c r="B181" s="5" t="s">
        <v>165</v>
      </c>
      <c r="C181" s="5" t="s">
        <v>27</v>
      </c>
      <c r="D181" s="5" t="s">
        <v>385</v>
      </c>
      <c r="E181" s="5" t="s">
        <v>384</v>
      </c>
      <c r="F181" s="5" t="s">
        <v>30</v>
      </c>
      <c r="G181" s="5" t="s">
        <v>397</v>
      </c>
      <c r="H181" s="5" t="s">
        <v>36</v>
      </c>
      <c r="I181" s="5" t="s">
        <v>166</v>
      </c>
      <c r="J181" s="15">
        <v>1650</v>
      </c>
      <c r="K181" s="7">
        <v>33.5</v>
      </c>
      <c r="L181" s="7">
        <f t="shared" si="44"/>
        <v>49.253731343283583</v>
      </c>
      <c r="M181" s="5" t="s">
        <v>10</v>
      </c>
      <c r="N181" s="5">
        <v>4</v>
      </c>
      <c r="O181" s="6">
        <f t="shared" si="45"/>
        <v>2.5017403653374917</v>
      </c>
      <c r="P181" s="6">
        <f t="shared" si="46"/>
        <v>0.26018099799509914</v>
      </c>
      <c r="Q181" s="10">
        <f t="shared" si="47"/>
        <v>5.4204374582312318E-3</v>
      </c>
      <c r="R181" s="10">
        <f t="shared" si="48"/>
        <v>3.1628514967378327E-2</v>
      </c>
      <c r="S181" s="10">
        <f t="shared" si="49"/>
        <v>3.7048952425609558E-2</v>
      </c>
    </row>
    <row r="182" spans="1:19" x14ac:dyDescent="0.25">
      <c r="A182" s="5" t="s">
        <v>8</v>
      </c>
      <c r="B182" s="5" t="s">
        <v>165</v>
      </c>
      <c r="C182" s="5" t="s">
        <v>27</v>
      </c>
      <c r="D182" s="5" t="s">
        <v>385</v>
      </c>
      <c r="E182" s="5" t="s">
        <v>384</v>
      </c>
      <c r="F182" s="5" t="s">
        <v>30</v>
      </c>
      <c r="G182" s="5" t="s">
        <v>397</v>
      </c>
      <c r="H182" s="5" t="s">
        <v>36</v>
      </c>
      <c r="I182" s="5" t="s">
        <v>185</v>
      </c>
      <c r="J182" s="15">
        <v>3800</v>
      </c>
      <c r="K182" s="7">
        <v>17.5</v>
      </c>
      <c r="L182" s="7">
        <f t="shared" ref="L182:L211" si="50">J182/K182</f>
        <v>217.14285714285714</v>
      </c>
      <c r="M182" s="5" t="s">
        <v>10</v>
      </c>
      <c r="N182" s="5">
        <v>4</v>
      </c>
      <c r="O182" s="6">
        <f t="shared" ref="O182:O211" si="51">(J182*L182^2)/(1.6*10^6)</f>
        <v>111.98367346938774</v>
      </c>
      <c r="P182" s="6">
        <f t="shared" ref="P182:P211" si="52">(0.104*J182*L182^2)/(1.6*10^6)</f>
        <v>11.646302040816325</v>
      </c>
      <c r="Q182" s="10">
        <f t="shared" ref="Q182:Q211" si="53">(0.104*O182)/(12*N182)</f>
        <v>0.24263129251700677</v>
      </c>
      <c r="R182" s="10">
        <f t="shared" ref="R182:R211" si="54">0.0159*O182^0.75</f>
        <v>0.54734752255253427</v>
      </c>
      <c r="S182" s="10">
        <f t="shared" ref="S182:S211" si="55">Q182+R182</f>
        <v>0.78997881506954104</v>
      </c>
    </row>
    <row r="183" spans="1:19" x14ac:dyDescent="0.25">
      <c r="A183" s="5" t="s">
        <v>22</v>
      </c>
      <c r="B183" s="5" t="s">
        <v>26</v>
      </c>
      <c r="C183" s="5" t="s">
        <v>27</v>
      </c>
      <c r="D183" s="5" t="s">
        <v>385</v>
      </c>
      <c r="E183" s="5" t="s">
        <v>384</v>
      </c>
      <c r="F183" s="5" t="s">
        <v>30</v>
      </c>
      <c r="G183" s="5" t="s">
        <v>397</v>
      </c>
      <c r="H183" s="5" t="s">
        <v>36</v>
      </c>
      <c r="I183" s="5" t="s">
        <v>39</v>
      </c>
      <c r="J183" s="15">
        <v>1900</v>
      </c>
      <c r="K183" s="7">
        <v>33</v>
      </c>
      <c r="L183" s="7">
        <f t="shared" si="50"/>
        <v>57.575757575757578</v>
      </c>
      <c r="M183" s="5" t="s">
        <v>10</v>
      </c>
      <c r="N183" s="5">
        <v>4</v>
      </c>
      <c r="O183" s="6">
        <f t="shared" si="51"/>
        <v>3.9365243342516072</v>
      </c>
      <c r="P183" s="6">
        <f t="shared" si="52"/>
        <v>0.40939853076216715</v>
      </c>
      <c r="Q183" s="10">
        <f t="shared" si="53"/>
        <v>8.5291360575451489E-3</v>
      </c>
      <c r="R183" s="10">
        <f t="shared" si="54"/>
        <v>4.443567990630154E-2</v>
      </c>
      <c r="S183" s="10">
        <f t="shared" si="55"/>
        <v>5.2964815963846688E-2</v>
      </c>
    </row>
    <row r="184" spans="1:19" x14ac:dyDescent="0.25">
      <c r="A184" s="5" t="s">
        <v>22</v>
      </c>
      <c r="B184" s="5" t="s">
        <v>63</v>
      </c>
      <c r="C184" s="5" t="s">
        <v>27</v>
      </c>
      <c r="D184" s="5" t="s">
        <v>385</v>
      </c>
      <c r="E184" s="5" t="s">
        <v>384</v>
      </c>
      <c r="F184" s="5" t="s">
        <v>30</v>
      </c>
      <c r="G184" s="5" t="s">
        <v>397</v>
      </c>
      <c r="H184" s="5" t="s">
        <v>36</v>
      </c>
      <c r="I184" s="5" t="s">
        <v>39</v>
      </c>
      <c r="J184" s="15">
        <v>1975</v>
      </c>
      <c r="K184" s="7">
        <v>33</v>
      </c>
      <c r="L184" s="7">
        <f t="shared" si="50"/>
        <v>59.848484848484851</v>
      </c>
      <c r="M184" s="5" t="s">
        <v>10</v>
      </c>
      <c r="N184" s="5">
        <v>4</v>
      </c>
      <c r="O184" s="6">
        <f t="shared" si="51"/>
        <v>4.4213351555325984</v>
      </c>
      <c r="P184" s="6">
        <f t="shared" si="52"/>
        <v>0.45981885617539026</v>
      </c>
      <c r="Q184" s="10">
        <f t="shared" si="53"/>
        <v>9.5795595036539619E-3</v>
      </c>
      <c r="R184" s="10">
        <f t="shared" si="54"/>
        <v>4.8479954373658471E-2</v>
      </c>
      <c r="S184" s="10">
        <f t="shared" si="55"/>
        <v>5.8059513877312431E-2</v>
      </c>
    </row>
    <row r="185" spans="1:19" x14ac:dyDescent="0.25">
      <c r="A185" s="5" t="s">
        <v>8</v>
      </c>
      <c r="B185" s="5" t="s">
        <v>165</v>
      </c>
      <c r="C185" s="5" t="s">
        <v>27</v>
      </c>
      <c r="D185" s="5" t="s">
        <v>385</v>
      </c>
      <c r="E185" s="5" t="s">
        <v>384</v>
      </c>
      <c r="F185" s="5" t="s">
        <v>30</v>
      </c>
      <c r="G185" s="5" t="s">
        <v>397</v>
      </c>
      <c r="H185" s="5" t="s">
        <v>36</v>
      </c>
      <c r="I185" s="5" t="s">
        <v>39</v>
      </c>
      <c r="J185" s="15">
        <v>1920</v>
      </c>
      <c r="K185" s="7">
        <v>31</v>
      </c>
      <c r="L185" s="7">
        <f t="shared" si="50"/>
        <v>61.935483870967744</v>
      </c>
      <c r="M185" s="5" t="s">
        <v>10</v>
      </c>
      <c r="N185" s="5">
        <v>4</v>
      </c>
      <c r="O185" s="6">
        <f t="shared" si="51"/>
        <v>4.6032049947970863</v>
      </c>
      <c r="P185" s="6">
        <f t="shared" si="52"/>
        <v>0.47873331945889697</v>
      </c>
      <c r="Q185" s="10">
        <f t="shared" si="53"/>
        <v>9.9736108220603529E-3</v>
      </c>
      <c r="R185" s="10">
        <f t="shared" si="54"/>
        <v>4.9968045363436797E-2</v>
      </c>
      <c r="S185" s="10">
        <f t="shared" si="55"/>
        <v>5.9941656185497148E-2</v>
      </c>
    </row>
    <row r="186" spans="1:19" x14ac:dyDescent="0.25">
      <c r="A186" s="5" t="s">
        <v>8</v>
      </c>
      <c r="B186" s="5" t="s">
        <v>165</v>
      </c>
      <c r="C186" s="5" t="s">
        <v>27</v>
      </c>
      <c r="D186" s="5" t="s">
        <v>385</v>
      </c>
      <c r="E186" s="5" t="s">
        <v>384</v>
      </c>
      <c r="F186" s="5" t="s">
        <v>30</v>
      </c>
      <c r="G186" s="5" t="s">
        <v>397</v>
      </c>
      <c r="H186" s="5" t="s">
        <v>36</v>
      </c>
      <c r="I186" s="5" t="s">
        <v>39</v>
      </c>
      <c r="J186" s="15">
        <v>1800</v>
      </c>
      <c r="K186" s="7">
        <v>33</v>
      </c>
      <c r="L186" s="7">
        <f t="shared" si="50"/>
        <v>54.545454545454547</v>
      </c>
      <c r="M186" s="5" t="s">
        <v>10</v>
      </c>
      <c r="N186" s="5">
        <v>4</v>
      </c>
      <c r="O186" s="6">
        <f t="shared" si="51"/>
        <v>3.3471074380165291</v>
      </c>
      <c r="P186" s="6">
        <f t="shared" si="52"/>
        <v>0.348099173553719</v>
      </c>
      <c r="Q186" s="10">
        <f t="shared" si="53"/>
        <v>7.2520661157024794E-3</v>
      </c>
      <c r="R186" s="10">
        <f t="shared" si="54"/>
        <v>3.9345889142976674E-2</v>
      </c>
      <c r="S186" s="10">
        <f t="shared" si="55"/>
        <v>4.6597955258679151E-2</v>
      </c>
    </row>
    <row r="187" spans="1:19" x14ac:dyDescent="0.25">
      <c r="A187" s="5" t="s">
        <v>8</v>
      </c>
      <c r="B187" s="5" t="s">
        <v>291</v>
      </c>
      <c r="C187" s="5" t="s">
        <v>27</v>
      </c>
      <c r="D187" s="5" t="s">
        <v>385</v>
      </c>
      <c r="E187" s="5" t="s">
        <v>384</v>
      </c>
      <c r="F187" s="5" t="s">
        <v>30</v>
      </c>
      <c r="G187" s="5" t="s">
        <v>397</v>
      </c>
      <c r="H187" s="5" t="s">
        <v>36</v>
      </c>
      <c r="I187" s="5" t="s">
        <v>39</v>
      </c>
      <c r="J187" s="15">
        <v>1752</v>
      </c>
      <c r="K187" s="7">
        <v>29.2</v>
      </c>
      <c r="L187" s="7">
        <f t="shared" si="50"/>
        <v>60</v>
      </c>
      <c r="M187" s="5" t="s">
        <v>10</v>
      </c>
      <c r="N187" s="5">
        <v>4</v>
      </c>
      <c r="O187" s="6">
        <f t="shared" si="51"/>
        <v>3.9420000000000002</v>
      </c>
      <c r="P187" s="6">
        <f t="shared" si="52"/>
        <v>0.40996800000000005</v>
      </c>
      <c r="Q187" s="10">
        <f t="shared" si="53"/>
        <v>8.541E-3</v>
      </c>
      <c r="R187" s="10">
        <f t="shared" si="54"/>
        <v>4.4482029038474258E-2</v>
      </c>
      <c r="S187" s="10">
        <f t="shared" si="55"/>
        <v>5.3023029038474258E-2</v>
      </c>
    </row>
    <row r="188" spans="1:19" x14ac:dyDescent="0.25">
      <c r="A188" s="5" t="s">
        <v>8</v>
      </c>
      <c r="B188" s="5" t="s">
        <v>291</v>
      </c>
      <c r="C188" s="5" t="s">
        <v>27</v>
      </c>
      <c r="D188" s="5" t="s">
        <v>385</v>
      </c>
      <c r="E188" s="5" t="s">
        <v>384</v>
      </c>
      <c r="F188" s="5" t="s">
        <v>30</v>
      </c>
      <c r="G188" s="5" t="s">
        <v>397</v>
      </c>
      <c r="H188" s="5" t="s">
        <v>36</v>
      </c>
      <c r="I188" s="5" t="s">
        <v>39</v>
      </c>
      <c r="J188" s="15">
        <v>1140</v>
      </c>
      <c r="K188" s="7">
        <v>27.3</v>
      </c>
      <c r="L188" s="7">
        <f t="shared" si="50"/>
        <v>41.758241758241759</v>
      </c>
      <c r="M188" s="5" t="s">
        <v>10</v>
      </c>
      <c r="N188" s="5">
        <v>4</v>
      </c>
      <c r="O188" s="6">
        <f t="shared" si="51"/>
        <v>1.2424224127520831</v>
      </c>
      <c r="P188" s="6">
        <f t="shared" si="52"/>
        <v>0.12921193092621663</v>
      </c>
      <c r="Q188" s="10">
        <f t="shared" si="53"/>
        <v>2.6919152276295133E-3</v>
      </c>
      <c r="R188" s="10">
        <f t="shared" si="54"/>
        <v>1.8711089765198051E-2</v>
      </c>
      <c r="S188" s="10">
        <f t="shared" si="55"/>
        <v>2.1403004992827563E-2</v>
      </c>
    </row>
    <row r="189" spans="1:19" x14ac:dyDescent="0.25">
      <c r="A189" s="5" t="s">
        <v>8</v>
      </c>
      <c r="B189" s="5" t="s">
        <v>311</v>
      </c>
      <c r="C189" s="5" t="s">
        <v>27</v>
      </c>
      <c r="D189" s="5" t="s">
        <v>385</v>
      </c>
      <c r="E189" s="5" t="s">
        <v>384</v>
      </c>
      <c r="F189" s="5" t="s">
        <v>30</v>
      </c>
      <c r="G189" s="5" t="s">
        <v>397</v>
      </c>
      <c r="H189" s="5" t="s">
        <v>36</v>
      </c>
      <c r="I189" s="5" t="s">
        <v>39</v>
      </c>
      <c r="J189" s="15">
        <v>1850</v>
      </c>
      <c r="K189" s="7">
        <v>37.5</v>
      </c>
      <c r="L189" s="7">
        <f t="shared" si="50"/>
        <v>49.333333333333336</v>
      </c>
      <c r="M189" s="5" t="s">
        <v>10</v>
      </c>
      <c r="N189" s="5">
        <v>4</v>
      </c>
      <c r="O189" s="6">
        <f t="shared" si="51"/>
        <v>2.8140555555555555</v>
      </c>
      <c r="P189" s="6">
        <f t="shared" si="52"/>
        <v>0.29266177777777774</v>
      </c>
      <c r="Q189" s="10">
        <f t="shared" si="53"/>
        <v>6.0971203703703699E-3</v>
      </c>
      <c r="R189" s="10">
        <f t="shared" si="54"/>
        <v>3.4545908997176758E-2</v>
      </c>
      <c r="S189" s="10">
        <f t="shared" si="55"/>
        <v>4.0643029367547129E-2</v>
      </c>
    </row>
    <row r="190" spans="1:19" x14ac:dyDescent="0.25">
      <c r="A190" s="5" t="s">
        <v>8</v>
      </c>
      <c r="B190" s="5" t="s">
        <v>165</v>
      </c>
      <c r="C190" s="5" t="s">
        <v>27</v>
      </c>
      <c r="D190" s="5" t="s">
        <v>385</v>
      </c>
      <c r="E190" s="5" t="s">
        <v>384</v>
      </c>
      <c r="F190" s="5" t="s">
        <v>30</v>
      </c>
      <c r="G190" s="5" t="s">
        <v>397</v>
      </c>
      <c r="H190" s="5" t="s">
        <v>36</v>
      </c>
      <c r="I190" s="5" t="s">
        <v>186</v>
      </c>
      <c r="J190" s="15">
        <v>1150</v>
      </c>
      <c r="K190" s="7">
        <v>27.5</v>
      </c>
      <c r="L190" s="7">
        <f t="shared" si="50"/>
        <v>41.81818181818182</v>
      </c>
      <c r="M190" s="5" t="s">
        <v>10</v>
      </c>
      <c r="N190" s="5">
        <v>4</v>
      </c>
      <c r="O190" s="6">
        <f t="shared" si="51"/>
        <v>1.2569214876033059</v>
      </c>
      <c r="P190" s="6">
        <f t="shared" si="52"/>
        <v>0.1307198347107438</v>
      </c>
      <c r="Q190" s="10">
        <f t="shared" si="53"/>
        <v>2.7233298898071624E-3</v>
      </c>
      <c r="R190" s="10">
        <f t="shared" si="54"/>
        <v>1.8874620894311772E-2</v>
      </c>
      <c r="S190" s="10">
        <f t="shared" si="55"/>
        <v>2.1597950784118934E-2</v>
      </c>
    </row>
    <row r="191" spans="1:19" x14ac:dyDescent="0.25">
      <c r="A191" s="5" t="s">
        <v>22</v>
      </c>
      <c r="B191" s="5" t="s">
        <v>63</v>
      </c>
      <c r="C191" s="5" t="s">
        <v>27</v>
      </c>
      <c r="D191" s="5" t="s">
        <v>385</v>
      </c>
      <c r="E191" s="5" t="s">
        <v>384</v>
      </c>
      <c r="F191" s="5" t="s">
        <v>30</v>
      </c>
      <c r="G191" s="5" t="s">
        <v>397</v>
      </c>
      <c r="H191" s="5" t="s">
        <v>64</v>
      </c>
      <c r="I191" s="5" t="s">
        <v>12</v>
      </c>
      <c r="J191" s="15">
        <v>3750</v>
      </c>
      <c r="K191" s="7">
        <v>42</v>
      </c>
      <c r="L191" s="7">
        <f t="shared" si="50"/>
        <v>89.285714285714292</v>
      </c>
      <c r="M191" s="5" t="s">
        <v>10</v>
      </c>
      <c r="N191" s="5">
        <v>4</v>
      </c>
      <c r="O191" s="6">
        <f t="shared" si="51"/>
        <v>18.684231505102044</v>
      </c>
      <c r="P191" s="6">
        <f t="shared" si="52"/>
        <v>1.9431600765306125</v>
      </c>
      <c r="Q191" s="10">
        <f t="shared" si="53"/>
        <v>4.0482501594387758E-2</v>
      </c>
      <c r="R191" s="10">
        <f t="shared" si="54"/>
        <v>0.14289056521434054</v>
      </c>
      <c r="S191" s="10">
        <f t="shared" si="55"/>
        <v>0.18337306680872831</v>
      </c>
    </row>
    <row r="192" spans="1:19" x14ac:dyDescent="0.25">
      <c r="A192" s="5" t="s">
        <v>22</v>
      </c>
      <c r="B192" s="5" t="s">
        <v>26</v>
      </c>
      <c r="C192" s="5" t="s">
        <v>27</v>
      </c>
      <c r="D192" s="5" t="s">
        <v>385</v>
      </c>
      <c r="E192" s="5" t="s">
        <v>384</v>
      </c>
      <c r="F192" s="5" t="s">
        <v>30</v>
      </c>
      <c r="G192" s="5" t="s">
        <v>392</v>
      </c>
      <c r="H192" s="5" t="s">
        <v>31</v>
      </c>
      <c r="I192" s="5" t="s">
        <v>32</v>
      </c>
      <c r="J192" s="15">
        <v>1150</v>
      </c>
      <c r="K192" s="7">
        <v>21.5</v>
      </c>
      <c r="L192" s="7">
        <f t="shared" si="50"/>
        <v>53.488372093023258</v>
      </c>
      <c r="M192" s="5" t="s">
        <v>10</v>
      </c>
      <c r="N192" s="5">
        <v>4</v>
      </c>
      <c r="O192" s="6">
        <f t="shared" si="51"/>
        <v>2.0563480259599789</v>
      </c>
      <c r="P192" s="6">
        <f t="shared" si="52"/>
        <v>0.21386019469983777</v>
      </c>
      <c r="Q192" s="10">
        <f t="shared" si="53"/>
        <v>4.4554207229132873E-3</v>
      </c>
      <c r="R192" s="10">
        <f t="shared" si="54"/>
        <v>2.7303579591746802E-2</v>
      </c>
      <c r="S192" s="10">
        <f t="shared" si="55"/>
        <v>3.1759000314660092E-2</v>
      </c>
    </row>
    <row r="193" spans="1:19" x14ac:dyDescent="0.25">
      <c r="A193" s="5" t="s">
        <v>8</v>
      </c>
      <c r="B193" s="5" t="s">
        <v>217</v>
      </c>
      <c r="C193" s="5" t="s">
        <v>27</v>
      </c>
      <c r="D193" s="5" t="s">
        <v>385</v>
      </c>
      <c r="E193" s="5" t="s">
        <v>384</v>
      </c>
      <c r="F193" s="5" t="s">
        <v>30</v>
      </c>
      <c r="G193" s="5" t="s">
        <v>392</v>
      </c>
      <c r="H193" s="5" t="s">
        <v>31</v>
      </c>
      <c r="I193" s="5" t="s">
        <v>218</v>
      </c>
      <c r="J193" s="15">
        <v>1200</v>
      </c>
      <c r="K193" s="7">
        <v>28</v>
      </c>
      <c r="L193" s="7">
        <f t="shared" si="50"/>
        <v>42.857142857142854</v>
      </c>
      <c r="M193" s="5" t="s">
        <v>10</v>
      </c>
      <c r="N193" s="5">
        <v>4</v>
      </c>
      <c r="O193" s="6">
        <f t="shared" si="51"/>
        <v>1.3775510204081631</v>
      </c>
      <c r="P193" s="6">
        <f t="shared" si="52"/>
        <v>0.14326530612244898</v>
      </c>
      <c r="Q193" s="10">
        <f t="shared" si="53"/>
        <v>2.9846938775510198E-3</v>
      </c>
      <c r="R193" s="10">
        <f t="shared" si="54"/>
        <v>2.0217520582724226E-2</v>
      </c>
      <c r="S193" s="10">
        <f t="shared" si="55"/>
        <v>2.3202214460275247E-2</v>
      </c>
    </row>
    <row r="194" spans="1:19" x14ac:dyDescent="0.25">
      <c r="A194" s="5" t="s">
        <v>22</v>
      </c>
      <c r="B194" s="5" t="s">
        <v>26</v>
      </c>
      <c r="C194" s="5" t="s">
        <v>27</v>
      </c>
      <c r="D194" s="5" t="s">
        <v>385</v>
      </c>
      <c r="E194" s="5" t="s">
        <v>384</v>
      </c>
      <c r="F194" s="5" t="s">
        <v>30</v>
      </c>
      <c r="G194" s="5" t="s">
        <v>392</v>
      </c>
      <c r="H194" s="5" t="s">
        <v>31</v>
      </c>
      <c r="I194" s="5" t="s">
        <v>33</v>
      </c>
      <c r="J194" s="15">
        <v>1200</v>
      </c>
      <c r="K194" s="7">
        <v>25</v>
      </c>
      <c r="L194" s="7">
        <f t="shared" si="50"/>
        <v>48</v>
      </c>
      <c r="M194" s="5" t="s">
        <v>10</v>
      </c>
      <c r="N194" s="5">
        <v>4</v>
      </c>
      <c r="O194" s="6">
        <f t="shared" si="51"/>
        <v>1.728</v>
      </c>
      <c r="P194" s="6">
        <f t="shared" si="52"/>
        <v>0.17971200000000001</v>
      </c>
      <c r="Q194" s="10">
        <f t="shared" si="53"/>
        <v>3.7439999999999995E-3</v>
      </c>
      <c r="R194" s="10">
        <f t="shared" si="54"/>
        <v>2.3963758151521651E-2</v>
      </c>
      <c r="S194" s="10">
        <f t="shared" si="55"/>
        <v>2.7707758151521652E-2</v>
      </c>
    </row>
    <row r="195" spans="1:19" x14ac:dyDescent="0.25">
      <c r="A195" s="5" t="s">
        <v>22</v>
      </c>
      <c r="B195" s="5" t="s">
        <v>63</v>
      </c>
      <c r="C195" s="5" t="s">
        <v>27</v>
      </c>
      <c r="D195" s="5" t="s">
        <v>385</v>
      </c>
      <c r="E195" s="5" t="s">
        <v>384</v>
      </c>
      <c r="F195" s="5" t="s">
        <v>30</v>
      </c>
      <c r="G195" s="5" t="s">
        <v>392</v>
      </c>
      <c r="H195" s="5" t="s">
        <v>31</v>
      </c>
      <c r="I195" s="5" t="s">
        <v>33</v>
      </c>
      <c r="J195" s="15">
        <v>1050</v>
      </c>
      <c r="K195" s="7">
        <v>23</v>
      </c>
      <c r="L195" s="7">
        <f t="shared" si="50"/>
        <v>45.652173913043477</v>
      </c>
      <c r="M195" s="5" t="s">
        <v>10</v>
      </c>
      <c r="N195" s="5">
        <v>4</v>
      </c>
      <c r="O195" s="6">
        <f t="shared" si="51"/>
        <v>1.3677043950850662</v>
      </c>
      <c r="P195" s="6">
        <f t="shared" si="52"/>
        <v>0.14224125708884686</v>
      </c>
      <c r="Q195" s="10">
        <f t="shared" si="53"/>
        <v>2.9633595226843099E-3</v>
      </c>
      <c r="R195" s="10">
        <f t="shared" si="54"/>
        <v>2.0109038528318947E-2</v>
      </c>
      <c r="S195" s="10">
        <f t="shared" si="55"/>
        <v>2.3072398051003258E-2</v>
      </c>
    </row>
    <row r="196" spans="1:19" x14ac:dyDescent="0.25">
      <c r="A196" s="5" t="s">
        <v>8</v>
      </c>
      <c r="B196" s="5" t="s">
        <v>287</v>
      </c>
      <c r="C196" s="5" t="s">
        <v>27</v>
      </c>
      <c r="D196" s="5" t="s">
        <v>385</v>
      </c>
      <c r="E196" s="5" t="s">
        <v>384</v>
      </c>
      <c r="F196" s="5" t="s">
        <v>30</v>
      </c>
      <c r="G196" s="5" t="s">
        <v>392</v>
      </c>
      <c r="H196" s="5" t="s">
        <v>31</v>
      </c>
      <c r="I196" s="5" t="s">
        <v>33</v>
      </c>
      <c r="J196" s="15">
        <v>1000</v>
      </c>
      <c r="K196" s="7">
        <v>24.4</v>
      </c>
      <c r="L196" s="7">
        <f t="shared" si="50"/>
        <v>40.983606557377051</v>
      </c>
      <c r="M196" s="5" t="s">
        <v>10</v>
      </c>
      <c r="N196" s="5">
        <v>4</v>
      </c>
      <c r="O196" s="6">
        <f t="shared" si="51"/>
        <v>1.0497850040311745</v>
      </c>
      <c r="P196" s="6">
        <f t="shared" si="52"/>
        <v>0.10917764041924215</v>
      </c>
      <c r="Q196" s="10">
        <f t="shared" si="53"/>
        <v>2.2745341754008778E-3</v>
      </c>
      <c r="R196" s="10">
        <f t="shared" si="54"/>
        <v>1.6490066149903643E-2</v>
      </c>
      <c r="S196" s="10">
        <f t="shared" si="55"/>
        <v>1.8764600325304519E-2</v>
      </c>
    </row>
    <row r="197" spans="1:19" x14ac:dyDescent="0.25">
      <c r="A197" s="5" t="s">
        <v>8</v>
      </c>
      <c r="B197" s="5" t="s">
        <v>291</v>
      </c>
      <c r="C197" s="5" t="s">
        <v>27</v>
      </c>
      <c r="D197" s="5" t="s">
        <v>385</v>
      </c>
      <c r="E197" s="5" t="s">
        <v>384</v>
      </c>
      <c r="F197" s="5" t="s">
        <v>30</v>
      </c>
      <c r="G197" s="5" t="s">
        <v>392</v>
      </c>
      <c r="H197" s="5" t="s">
        <v>31</v>
      </c>
      <c r="I197" s="5" t="s">
        <v>33</v>
      </c>
      <c r="J197" s="15">
        <v>1171</v>
      </c>
      <c r="K197" s="7">
        <v>23.8</v>
      </c>
      <c r="L197" s="7">
        <f t="shared" si="50"/>
        <v>49.201680672268907</v>
      </c>
      <c r="M197" s="5" t="s">
        <v>10</v>
      </c>
      <c r="N197" s="5">
        <v>4</v>
      </c>
      <c r="O197" s="6">
        <f t="shared" si="51"/>
        <v>1.7717269382017513</v>
      </c>
      <c r="P197" s="6">
        <f t="shared" si="52"/>
        <v>0.18425960157298213</v>
      </c>
      <c r="Q197" s="10">
        <f t="shared" si="53"/>
        <v>3.8387416994371277E-3</v>
      </c>
      <c r="R197" s="10">
        <f t="shared" si="54"/>
        <v>2.4417135633988743E-2</v>
      </c>
      <c r="S197" s="10">
        <f t="shared" si="55"/>
        <v>2.8255877333425869E-2</v>
      </c>
    </row>
    <row r="198" spans="1:19" x14ac:dyDescent="0.25">
      <c r="A198" s="5" t="s">
        <v>8</v>
      </c>
      <c r="B198" s="5" t="s">
        <v>291</v>
      </c>
      <c r="C198" s="5" t="s">
        <v>27</v>
      </c>
      <c r="D198" s="5" t="s">
        <v>385</v>
      </c>
      <c r="E198" s="5" t="s">
        <v>384</v>
      </c>
      <c r="F198" s="5" t="s">
        <v>30</v>
      </c>
      <c r="G198" s="5" t="s">
        <v>392</v>
      </c>
      <c r="H198" s="5" t="s">
        <v>31</v>
      </c>
      <c r="I198" s="5" t="s">
        <v>33</v>
      </c>
      <c r="J198" s="15">
        <v>1121</v>
      </c>
      <c r="K198" s="7">
        <v>23.2</v>
      </c>
      <c r="L198" s="7">
        <f t="shared" si="50"/>
        <v>48.318965517241381</v>
      </c>
      <c r="M198" s="5" t="s">
        <v>10</v>
      </c>
      <c r="N198" s="5">
        <v>4</v>
      </c>
      <c r="O198" s="6">
        <f t="shared" si="51"/>
        <v>1.6357649015773632</v>
      </c>
      <c r="P198" s="6">
        <f t="shared" si="52"/>
        <v>0.17011954976404578</v>
      </c>
      <c r="Q198" s="10">
        <f t="shared" si="53"/>
        <v>3.5441572867509533E-3</v>
      </c>
      <c r="R198" s="10">
        <f t="shared" si="54"/>
        <v>2.2997879194034985E-2</v>
      </c>
      <c r="S198" s="10">
        <f t="shared" si="55"/>
        <v>2.6542036480785937E-2</v>
      </c>
    </row>
    <row r="199" spans="1:19" x14ac:dyDescent="0.25">
      <c r="A199" s="5" t="s">
        <v>8</v>
      </c>
      <c r="B199" s="5" t="s">
        <v>307</v>
      </c>
      <c r="C199" s="5" t="s">
        <v>27</v>
      </c>
      <c r="D199" s="5" t="s">
        <v>385</v>
      </c>
      <c r="E199" s="5" t="s">
        <v>384</v>
      </c>
      <c r="F199" s="5" t="s">
        <v>30</v>
      </c>
      <c r="G199" s="5" t="s">
        <v>392</v>
      </c>
      <c r="H199" s="5" t="s">
        <v>31</v>
      </c>
      <c r="I199" s="5" t="s">
        <v>33</v>
      </c>
      <c r="J199" s="15">
        <v>1150</v>
      </c>
      <c r="K199" s="7">
        <v>29.5</v>
      </c>
      <c r="L199" s="7">
        <f t="shared" si="50"/>
        <v>38.983050847457626</v>
      </c>
      <c r="M199" s="5" t="s">
        <v>10</v>
      </c>
      <c r="N199" s="5">
        <v>4</v>
      </c>
      <c r="O199" s="6">
        <f t="shared" si="51"/>
        <v>1.0922687446136168</v>
      </c>
      <c r="P199" s="6">
        <f t="shared" si="52"/>
        <v>0.11359594943981614</v>
      </c>
      <c r="Q199" s="10">
        <f t="shared" si="53"/>
        <v>2.3665822799961698E-3</v>
      </c>
      <c r="R199" s="10">
        <f t="shared" si="54"/>
        <v>1.6988078304717071E-2</v>
      </c>
      <c r="S199" s="10">
        <f t="shared" si="55"/>
        <v>1.9354660584713242E-2</v>
      </c>
    </row>
    <row r="200" spans="1:19" x14ac:dyDescent="0.25">
      <c r="A200" s="5" t="s">
        <v>8</v>
      </c>
      <c r="B200" s="5" t="s">
        <v>311</v>
      </c>
      <c r="C200" s="5" t="s">
        <v>27</v>
      </c>
      <c r="D200" s="5" t="s">
        <v>385</v>
      </c>
      <c r="E200" s="5" t="s">
        <v>384</v>
      </c>
      <c r="F200" s="5" t="s">
        <v>30</v>
      </c>
      <c r="G200" s="5" t="s">
        <v>392</v>
      </c>
      <c r="H200" s="5" t="s">
        <v>31</v>
      </c>
      <c r="I200" s="5" t="s">
        <v>33</v>
      </c>
      <c r="J200" s="15">
        <v>1100</v>
      </c>
      <c r="K200" s="7">
        <v>28</v>
      </c>
      <c r="L200" s="7">
        <f t="shared" si="50"/>
        <v>39.285714285714285</v>
      </c>
      <c r="M200" s="5" t="s">
        <v>10</v>
      </c>
      <c r="N200" s="5">
        <v>4</v>
      </c>
      <c r="O200" s="6">
        <f t="shared" si="51"/>
        <v>1.061065051020408</v>
      </c>
      <c r="P200" s="6">
        <f t="shared" si="52"/>
        <v>0.11035076530612244</v>
      </c>
      <c r="Q200" s="10">
        <f t="shared" si="53"/>
        <v>2.2989742772108841E-3</v>
      </c>
      <c r="R200" s="10">
        <f t="shared" si="54"/>
        <v>1.6622779036452554E-2</v>
      </c>
      <c r="S200" s="10">
        <f t="shared" si="55"/>
        <v>1.8921753313663438E-2</v>
      </c>
    </row>
    <row r="201" spans="1:19" x14ac:dyDescent="0.25">
      <c r="A201" s="5" t="s">
        <v>8</v>
      </c>
      <c r="B201" s="5" t="s">
        <v>339</v>
      </c>
      <c r="C201" s="5" t="s">
        <v>27</v>
      </c>
      <c r="D201" s="5" t="s">
        <v>385</v>
      </c>
      <c r="E201" s="5" t="s">
        <v>384</v>
      </c>
      <c r="F201" s="5" t="s">
        <v>30</v>
      </c>
      <c r="G201" s="5" t="s">
        <v>392</v>
      </c>
      <c r="H201" s="5" t="s">
        <v>31</v>
      </c>
      <c r="I201" s="5" t="s">
        <v>33</v>
      </c>
      <c r="J201" s="15">
        <v>1080</v>
      </c>
      <c r="K201" s="7">
        <v>19.5</v>
      </c>
      <c r="L201" s="7">
        <f t="shared" si="50"/>
        <v>55.384615384615387</v>
      </c>
      <c r="M201" s="5" t="s">
        <v>10</v>
      </c>
      <c r="N201" s="5">
        <v>4</v>
      </c>
      <c r="O201" s="6">
        <f t="shared" si="51"/>
        <v>2.0705325443786986</v>
      </c>
      <c r="P201" s="6">
        <f t="shared" si="52"/>
        <v>0.21533538461538462</v>
      </c>
      <c r="Q201" s="10">
        <f t="shared" si="53"/>
        <v>4.4861538461538472E-3</v>
      </c>
      <c r="R201" s="10">
        <f t="shared" si="54"/>
        <v>2.744471151966631E-2</v>
      </c>
      <c r="S201" s="10">
        <f t="shared" si="55"/>
        <v>3.1930865365820155E-2</v>
      </c>
    </row>
    <row r="202" spans="1:19" x14ac:dyDescent="0.25">
      <c r="A202" s="5" t="s">
        <v>22</v>
      </c>
      <c r="B202" s="5" t="s">
        <v>63</v>
      </c>
      <c r="C202" s="5" t="s">
        <v>27</v>
      </c>
      <c r="D202" s="5" t="s">
        <v>385</v>
      </c>
      <c r="E202" s="5" t="s">
        <v>384</v>
      </c>
      <c r="F202" s="5" t="s">
        <v>30</v>
      </c>
      <c r="G202" s="5" t="s">
        <v>392</v>
      </c>
      <c r="H202" s="5" t="s">
        <v>31</v>
      </c>
      <c r="I202" s="5" t="s">
        <v>141</v>
      </c>
      <c r="J202" s="15">
        <v>3255</v>
      </c>
      <c r="K202" s="7">
        <v>31</v>
      </c>
      <c r="L202" s="7">
        <f t="shared" si="50"/>
        <v>105</v>
      </c>
      <c r="M202" s="5" t="s">
        <v>10</v>
      </c>
      <c r="N202" s="5">
        <v>4</v>
      </c>
      <c r="O202" s="6">
        <f t="shared" si="51"/>
        <v>22.428984374999999</v>
      </c>
      <c r="P202" s="6">
        <f t="shared" si="52"/>
        <v>2.3326143749999999</v>
      </c>
      <c r="Q202" s="10">
        <f t="shared" si="53"/>
        <v>4.8596132812499998E-2</v>
      </c>
      <c r="R202" s="10">
        <f t="shared" si="54"/>
        <v>0.16387184018502851</v>
      </c>
      <c r="S202" s="10">
        <f t="shared" si="55"/>
        <v>0.21246797299752851</v>
      </c>
    </row>
    <row r="203" spans="1:19" x14ac:dyDescent="0.25">
      <c r="A203" s="5" t="s">
        <v>8</v>
      </c>
      <c r="B203" s="5" t="s">
        <v>284</v>
      </c>
      <c r="C203" s="5" t="s">
        <v>27</v>
      </c>
      <c r="D203" s="5" t="s">
        <v>385</v>
      </c>
      <c r="E203" s="5" t="s">
        <v>384</v>
      </c>
      <c r="F203" s="5" t="s">
        <v>30</v>
      </c>
      <c r="G203" s="5" t="s">
        <v>392</v>
      </c>
      <c r="H203" s="5" t="s">
        <v>31</v>
      </c>
      <c r="I203" s="5" t="s">
        <v>286</v>
      </c>
      <c r="J203" s="15">
        <v>1800</v>
      </c>
      <c r="K203" s="7">
        <v>33.6</v>
      </c>
      <c r="L203" s="7">
        <f t="shared" si="50"/>
        <v>53.571428571428569</v>
      </c>
      <c r="M203" s="5" t="s">
        <v>10</v>
      </c>
      <c r="N203" s="5">
        <v>4</v>
      </c>
      <c r="O203" s="6">
        <f t="shared" si="51"/>
        <v>3.2286352040816326</v>
      </c>
      <c r="P203" s="6">
        <f t="shared" si="52"/>
        <v>0.33577806122448972</v>
      </c>
      <c r="Q203" s="10">
        <f t="shared" si="53"/>
        <v>6.9953762755102034E-3</v>
      </c>
      <c r="R203" s="10">
        <f t="shared" si="54"/>
        <v>3.8296700440793495E-2</v>
      </c>
      <c r="S203" s="10">
        <f t="shared" si="55"/>
        <v>4.5292076716303697E-2</v>
      </c>
    </row>
    <row r="204" spans="1:19" x14ac:dyDescent="0.25">
      <c r="A204" s="5" t="s">
        <v>8</v>
      </c>
      <c r="B204" s="5" t="s">
        <v>308</v>
      </c>
      <c r="C204" s="5" t="s">
        <v>27</v>
      </c>
      <c r="D204" s="5" t="s">
        <v>385</v>
      </c>
      <c r="E204" s="5" t="s">
        <v>384</v>
      </c>
      <c r="F204" s="5" t="s">
        <v>30</v>
      </c>
      <c r="G204" s="5" t="s">
        <v>392</v>
      </c>
      <c r="H204" s="5" t="s">
        <v>31</v>
      </c>
      <c r="I204" s="5" t="s">
        <v>286</v>
      </c>
      <c r="J204" s="15">
        <v>1749</v>
      </c>
      <c r="K204" s="7">
        <v>23</v>
      </c>
      <c r="L204" s="7">
        <f t="shared" si="50"/>
        <v>76.043478260869563</v>
      </c>
      <c r="M204" s="5" t="s">
        <v>10</v>
      </c>
      <c r="N204" s="5">
        <v>4</v>
      </c>
      <c r="O204" s="6">
        <f t="shared" si="51"/>
        <v>6.3211161968336489</v>
      </c>
      <c r="P204" s="6">
        <f t="shared" si="52"/>
        <v>0.65739608447069942</v>
      </c>
      <c r="Q204" s="10">
        <f t="shared" si="53"/>
        <v>1.3695751759806238E-2</v>
      </c>
      <c r="R204" s="10">
        <f t="shared" si="54"/>
        <v>6.3385869858994706E-2</v>
      </c>
      <c r="S204" s="10">
        <f t="shared" si="55"/>
        <v>7.7081621618800944E-2</v>
      </c>
    </row>
    <row r="205" spans="1:19" x14ac:dyDescent="0.25">
      <c r="A205" s="5" t="s">
        <v>8</v>
      </c>
      <c r="B205" s="5" t="s">
        <v>316</v>
      </c>
      <c r="C205" s="5" t="s">
        <v>27</v>
      </c>
      <c r="D205" s="5" t="s">
        <v>385</v>
      </c>
      <c r="E205" s="5" t="s">
        <v>384</v>
      </c>
      <c r="F205" s="5" t="s">
        <v>30</v>
      </c>
      <c r="G205" s="5" t="s">
        <v>392</v>
      </c>
      <c r="H205" s="5" t="s">
        <v>34</v>
      </c>
      <c r="I205" s="5" t="s">
        <v>317</v>
      </c>
      <c r="J205" s="15">
        <v>1190</v>
      </c>
      <c r="K205" s="7">
        <v>18</v>
      </c>
      <c r="L205" s="7">
        <f t="shared" si="50"/>
        <v>66.111111111111114</v>
      </c>
      <c r="M205" s="5" t="s">
        <v>10</v>
      </c>
      <c r="N205" s="5">
        <v>4</v>
      </c>
      <c r="O205" s="6">
        <f t="shared" si="51"/>
        <v>3.2506925154320987</v>
      </c>
      <c r="P205" s="6">
        <f t="shared" si="52"/>
        <v>0.33807202160493827</v>
      </c>
      <c r="Q205" s="10">
        <f t="shared" si="53"/>
        <v>7.0431671167695475E-3</v>
      </c>
      <c r="R205" s="10">
        <f t="shared" si="54"/>
        <v>3.8492759193587217E-2</v>
      </c>
      <c r="S205" s="10">
        <f t="shared" si="55"/>
        <v>4.5535926310356765E-2</v>
      </c>
    </row>
    <row r="206" spans="1:19" x14ac:dyDescent="0.25">
      <c r="A206" s="5" t="s">
        <v>8</v>
      </c>
      <c r="B206" s="5" t="s">
        <v>370</v>
      </c>
      <c r="C206" s="5" t="s">
        <v>27</v>
      </c>
      <c r="D206" s="5" t="s">
        <v>385</v>
      </c>
      <c r="E206" s="5" t="s">
        <v>384</v>
      </c>
      <c r="F206" s="5" t="s">
        <v>30</v>
      </c>
      <c r="G206" s="5" t="s">
        <v>392</v>
      </c>
      <c r="H206" s="5" t="s">
        <v>34</v>
      </c>
      <c r="I206" s="5" t="s">
        <v>371</v>
      </c>
      <c r="J206" s="15">
        <v>823</v>
      </c>
      <c r="K206" s="7">
        <v>21.3</v>
      </c>
      <c r="L206" s="7">
        <f t="shared" si="50"/>
        <v>38.63849765258216</v>
      </c>
      <c r="M206" s="5" t="s">
        <v>10</v>
      </c>
      <c r="N206" s="5">
        <v>4</v>
      </c>
      <c r="O206" s="6">
        <f t="shared" si="51"/>
        <v>0.76792766949899716</v>
      </c>
      <c r="P206" s="6">
        <f t="shared" si="52"/>
        <v>7.9864477627895697E-2</v>
      </c>
      <c r="Q206" s="10">
        <f t="shared" si="53"/>
        <v>1.6638432839144936E-3</v>
      </c>
      <c r="R206" s="10">
        <f t="shared" si="54"/>
        <v>1.3043296338772574E-2</v>
      </c>
      <c r="S206" s="10">
        <f t="shared" si="55"/>
        <v>1.4707139622687068E-2</v>
      </c>
    </row>
    <row r="207" spans="1:19" x14ac:dyDescent="0.25">
      <c r="A207" s="5" t="s">
        <v>8</v>
      </c>
      <c r="B207" s="5" t="s">
        <v>370</v>
      </c>
      <c r="C207" s="5" t="s">
        <v>27</v>
      </c>
      <c r="D207" s="5" t="s">
        <v>385</v>
      </c>
      <c r="E207" s="5" t="s">
        <v>384</v>
      </c>
      <c r="F207" s="5" t="s">
        <v>30</v>
      </c>
      <c r="G207" s="5" t="s">
        <v>392</v>
      </c>
      <c r="H207" s="5" t="s">
        <v>34</v>
      </c>
      <c r="I207" s="5" t="s">
        <v>371</v>
      </c>
      <c r="J207" s="15">
        <v>704</v>
      </c>
      <c r="K207" s="7">
        <v>18.7</v>
      </c>
      <c r="L207" s="7">
        <f t="shared" si="50"/>
        <v>37.647058823529413</v>
      </c>
      <c r="M207" s="5" t="s">
        <v>10</v>
      </c>
      <c r="N207" s="5">
        <v>4</v>
      </c>
      <c r="O207" s="6">
        <f t="shared" si="51"/>
        <v>0.62361245674740484</v>
      </c>
      <c r="P207" s="6">
        <f t="shared" si="52"/>
        <v>6.4855695501730107E-2</v>
      </c>
      <c r="Q207" s="10">
        <f t="shared" si="53"/>
        <v>1.3511603229527105E-3</v>
      </c>
      <c r="R207" s="10">
        <f t="shared" si="54"/>
        <v>1.1157919160137931E-2</v>
      </c>
      <c r="S207" s="10">
        <f t="shared" si="55"/>
        <v>1.2509079483090641E-2</v>
      </c>
    </row>
    <row r="208" spans="1:19" x14ac:dyDescent="0.25">
      <c r="A208" s="5" t="s">
        <v>8</v>
      </c>
      <c r="B208" s="5" t="s">
        <v>270</v>
      </c>
      <c r="C208" s="5" t="s">
        <v>27</v>
      </c>
      <c r="D208" s="5" t="s">
        <v>385</v>
      </c>
      <c r="E208" s="5" t="s">
        <v>384</v>
      </c>
      <c r="F208" s="5" t="s">
        <v>30</v>
      </c>
      <c r="G208" s="5" t="s">
        <v>392</v>
      </c>
      <c r="H208" s="5" t="s">
        <v>34</v>
      </c>
      <c r="I208" s="5" t="s">
        <v>274</v>
      </c>
      <c r="J208" s="15">
        <v>2280</v>
      </c>
      <c r="K208" s="7">
        <v>34.9</v>
      </c>
      <c r="L208" s="7">
        <f t="shared" si="50"/>
        <v>65.329512893982809</v>
      </c>
      <c r="M208" s="5" t="s">
        <v>10</v>
      </c>
      <c r="N208" s="5">
        <v>4</v>
      </c>
      <c r="O208" s="6">
        <f t="shared" si="51"/>
        <v>6.0818219883252187</v>
      </c>
      <c r="P208" s="6">
        <f t="shared" si="52"/>
        <v>0.63250948678582275</v>
      </c>
      <c r="Q208" s="10">
        <f t="shared" si="53"/>
        <v>1.3177280974704641E-2</v>
      </c>
      <c r="R208" s="10">
        <f t="shared" si="54"/>
        <v>6.1577549589278129E-2</v>
      </c>
      <c r="S208" s="10">
        <f t="shared" si="55"/>
        <v>7.4754830563982771E-2</v>
      </c>
    </row>
    <row r="209" spans="1:19" x14ac:dyDescent="0.25">
      <c r="A209" s="5" t="s">
        <v>8</v>
      </c>
      <c r="B209" s="5" t="s">
        <v>270</v>
      </c>
      <c r="C209" s="5" t="s">
        <v>27</v>
      </c>
      <c r="D209" s="5" t="s">
        <v>385</v>
      </c>
      <c r="E209" s="5" t="s">
        <v>384</v>
      </c>
      <c r="F209" s="5" t="s">
        <v>30</v>
      </c>
      <c r="G209" s="5" t="s">
        <v>392</v>
      </c>
      <c r="H209" s="5" t="s">
        <v>34</v>
      </c>
      <c r="I209" s="5" t="s">
        <v>271</v>
      </c>
      <c r="J209" s="15">
        <v>3510</v>
      </c>
      <c r="K209" s="7">
        <v>36.6</v>
      </c>
      <c r="L209" s="7">
        <f t="shared" si="50"/>
        <v>95.901639344262293</v>
      </c>
      <c r="M209" s="5" t="s">
        <v>10</v>
      </c>
      <c r="N209" s="5">
        <v>4</v>
      </c>
      <c r="O209" s="6">
        <f t="shared" si="51"/>
        <v>20.176191715936575</v>
      </c>
      <c r="P209" s="6">
        <f t="shared" si="52"/>
        <v>2.0983239384574035</v>
      </c>
      <c r="Q209" s="10">
        <f t="shared" si="53"/>
        <v>4.3715082051195904E-2</v>
      </c>
      <c r="R209" s="10">
        <f t="shared" si="54"/>
        <v>0.15136536806834505</v>
      </c>
      <c r="S209" s="10">
        <f t="shared" si="55"/>
        <v>0.19508045011954095</v>
      </c>
    </row>
    <row r="210" spans="1:19" x14ac:dyDescent="0.25">
      <c r="A210" s="5" t="s">
        <v>8</v>
      </c>
      <c r="B210" s="5" t="s">
        <v>270</v>
      </c>
      <c r="C210" s="5" t="s">
        <v>27</v>
      </c>
      <c r="D210" s="5" t="s">
        <v>385</v>
      </c>
      <c r="E210" s="5" t="s">
        <v>384</v>
      </c>
      <c r="F210" s="5" t="s">
        <v>30</v>
      </c>
      <c r="G210" s="5" t="s">
        <v>392</v>
      </c>
      <c r="H210" s="5" t="s">
        <v>34</v>
      </c>
      <c r="I210" s="5" t="s">
        <v>273</v>
      </c>
      <c r="J210" s="15">
        <v>1760</v>
      </c>
      <c r="K210" s="7">
        <v>32.5</v>
      </c>
      <c r="L210" s="7">
        <f t="shared" si="50"/>
        <v>54.153846153846153</v>
      </c>
      <c r="M210" s="5" t="s">
        <v>10</v>
      </c>
      <c r="N210" s="5">
        <v>4</v>
      </c>
      <c r="O210" s="6">
        <f t="shared" si="51"/>
        <v>3.2259029585798817</v>
      </c>
      <c r="P210" s="6">
        <f t="shared" si="52"/>
        <v>0.33549390769230769</v>
      </c>
      <c r="Q210" s="10">
        <f t="shared" si="53"/>
        <v>6.9894564102564102E-3</v>
      </c>
      <c r="R210" s="10">
        <f t="shared" si="54"/>
        <v>3.827239131633859E-2</v>
      </c>
      <c r="S210" s="10">
        <f t="shared" si="55"/>
        <v>4.5261847726595E-2</v>
      </c>
    </row>
    <row r="211" spans="1:19" x14ac:dyDescent="0.25">
      <c r="A211" s="5" t="s">
        <v>8</v>
      </c>
      <c r="B211" s="5" t="s">
        <v>270</v>
      </c>
      <c r="C211" s="5" t="s">
        <v>27</v>
      </c>
      <c r="D211" s="5" t="s">
        <v>385</v>
      </c>
      <c r="E211" s="5" t="s">
        <v>384</v>
      </c>
      <c r="F211" s="5" t="s">
        <v>30</v>
      </c>
      <c r="G211" s="5" t="s">
        <v>392</v>
      </c>
      <c r="H211" s="5" t="s">
        <v>34</v>
      </c>
      <c r="I211" s="5" t="s">
        <v>276</v>
      </c>
      <c r="J211" s="15">
        <v>1850</v>
      </c>
      <c r="K211" s="7">
        <v>28.4</v>
      </c>
      <c r="L211" s="7">
        <f t="shared" si="50"/>
        <v>65.140845070422543</v>
      </c>
      <c r="M211" s="5" t="s">
        <v>10</v>
      </c>
      <c r="N211" s="5">
        <v>4</v>
      </c>
      <c r="O211" s="6">
        <f t="shared" si="51"/>
        <v>4.9063499615651676</v>
      </c>
      <c r="P211" s="6">
        <f t="shared" si="52"/>
        <v>0.51026039600277739</v>
      </c>
      <c r="Q211" s="10">
        <f t="shared" si="53"/>
        <v>1.0630424916724529E-2</v>
      </c>
      <c r="R211" s="10">
        <f t="shared" si="54"/>
        <v>5.2416258332901387E-2</v>
      </c>
      <c r="S211" s="10">
        <f t="shared" si="55"/>
        <v>6.3046683249625923E-2</v>
      </c>
    </row>
    <row r="212" spans="1:19" x14ac:dyDescent="0.25">
      <c r="A212" s="5" t="s">
        <v>8</v>
      </c>
      <c r="B212" s="5" t="s">
        <v>270</v>
      </c>
      <c r="C212" s="5" t="s">
        <v>27</v>
      </c>
      <c r="D212" s="5" t="s">
        <v>385</v>
      </c>
      <c r="E212" s="5" t="s">
        <v>384</v>
      </c>
      <c r="F212" s="5" t="s">
        <v>30</v>
      </c>
      <c r="G212" s="5" t="s">
        <v>392</v>
      </c>
      <c r="H212" s="5" t="s">
        <v>34</v>
      </c>
      <c r="I212" s="5" t="s">
        <v>275</v>
      </c>
      <c r="J212" s="15">
        <v>2410</v>
      </c>
      <c r="K212" s="7">
        <v>32.299999999999997</v>
      </c>
      <c r="L212" s="7">
        <f t="shared" ref="L212:L243" si="56">J212/K212</f>
        <v>74.613003095975245</v>
      </c>
      <c r="M212" s="5" t="s">
        <v>10</v>
      </c>
      <c r="N212" s="5">
        <v>4</v>
      </c>
      <c r="O212" s="6">
        <f t="shared" ref="O212:O243" si="57">(J212*L212^2)/(1.6*10^6)</f>
        <v>8.3854447229437667</v>
      </c>
      <c r="P212" s="6">
        <f t="shared" ref="P212:P243" si="58">(0.104*J212*L212^2)/(1.6*10^6)</f>
        <v>0.8720862511861518</v>
      </c>
      <c r="Q212" s="10">
        <f t="shared" ref="Q212:Q243" si="59">(0.104*O212)/(12*N212)</f>
        <v>1.8168463566378159E-2</v>
      </c>
      <c r="R212" s="10">
        <f t="shared" ref="R212:R243" si="60">0.0159*O212^0.75</f>
        <v>7.8350486889121454E-2</v>
      </c>
      <c r="S212" s="10">
        <f t="shared" ref="S212:S243" si="61">Q212+R212</f>
        <v>9.6518950455499616E-2</v>
      </c>
    </row>
    <row r="213" spans="1:19" x14ac:dyDescent="0.25">
      <c r="A213" s="5" t="s">
        <v>8</v>
      </c>
      <c r="B213" s="5" t="s">
        <v>270</v>
      </c>
      <c r="C213" s="5" t="s">
        <v>27</v>
      </c>
      <c r="D213" s="5" t="s">
        <v>385</v>
      </c>
      <c r="E213" s="5" t="s">
        <v>384</v>
      </c>
      <c r="F213" s="5" t="s">
        <v>30</v>
      </c>
      <c r="G213" s="5" t="s">
        <v>392</v>
      </c>
      <c r="H213" s="5" t="s">
        <v>34</v>
      </c>
      <c r="I213" s="5" t="s">
        <v>272</v>
      </c>
      <c r="J213" s="15">
        <v>3350</v>
      </c>
      <c r="K213" s="7">
        <v>37</v>
      </c>
      <c r="L213" s="7">
        <f t="shared" si="56"/>
        <v>90.540540540540547</v>
      </c>
      <c r="M213" s="5" t="s">
        <v>10</v>
      </c>
      <c r="N213" s="5">
        <v>4</v>
      </c>
      <c r="O213" s="6">
        <f t="shared" si="57"/>
        <v>17.163702976625277</v>
      </c>
      <c r="P213" s="6">
        <f t="shared" si="58"/>
        <v>1.7850251095690288</v>
      </c>
      <c r="Q213" s="10">
        <f t="shared" si="59"/>
        <v>3.7188023116021436E-2</v>
      </c>
      <c r="R213" s="10">
        <f t="shared" si="60"/>
        <v>0.13407733437686528</v>
      </c>
      <c r="S213" s="10">
        <f t="shared" si="61"/>
        <v>0.17126535749288671</v>
      </c>
    </row>
    <row r="214" spans="1:19" x14ac:dyDescent="0.25">
      <c r="A214" s="5" t="s">
        <v>8</v>
      </c>
      <c r="B214" s="5" t="s">
        <v>270</v>
      </c>
      <c r="C214" s="5" t="s">
        <v>27</v>
      </c>
      <c r="D214" s="5" t="s">
        <v>385</v>
      </c>
      <c r="E214" s="5" t="s">
        <v>384</v>
      </c>
      <c r="F214" s="5" t="s">
        <v>30</v>
      </c>
      <c r="G214" s="5" t="s">
        <v>392</v>
      </c>
      <c r="H214" s="5" t="s">
        <v>34</v>
      </c>
      <c r="I214" s="5" t="s">
        <v>272</v>
      </c>
      <c r="J214" s="15">
        <v>3350</v>
      </c>
      <c r="K214" s="7">
        <v>38.799999999999997</v>
      </c>
      <c r="L214" s="7">
        <f t="shared" si="56"/>
        <v>86.340206185567013</v>
      </c>
      <c r="M214" s="5" t="s">
        <v>10</v>
      </c>
      <c r="N214" s="5">
        <v>4</v>
      </c>
      <c r="O214" s="6">
        <f t="shared" si="57"/>
        <v>15.608134083723032</v>
      </c>
      <c r="P214" s="6">
        <f t="shared" si="58"/>
        <v>1.6232459447071952</v>
      </c>
      <c r="Q214" s="10">
        <f t="shared" si="59"/>
        <v>3.3817623848066566E-2</v>
      </c>
      <c r="R214" s="10">
        <f t="shared" si="60"/>
        <v>0.12485627237086265</v>
      </c>
      <c r="S214" s="10">
        <f t="shared" si="61"/>
        <v>0.15867389621892922</v>
      </c>
    </row>
    <row r="215" spans="1:19" x14ac:dyDescent="0.25">
      <c r="A215" s="5" t="s">
        <v>22</v>
      </c>
      <c r="B215" s="5" t="s">
        <v>26</v>
      </c>
      <c r="C215" s="5" t="s">
        <v>27</v>
      </c>
      <c r="D215" s="5" t="s">
        <v>385</v>
      </c>
      <c r="E215" s="5" t="s">
        <v>384</v>
      </c>
      <c r="F215" s="5" t="s">
        <v>30</v>
      </c>
      <c r="G215" s="5" t="s">
        <v>392</v>
      </c>
      <c r="H215" s="5" t="s">
        <v>34</v>
      </c>
      <c r="I215" s="5" t="s">
        <v>21</v>
      </c>
      <c r="J215" s="15">
        <v>1000</v>
      </c>
      <c r="K215" s="7">
        <v>20</v>
      </c>
      <c r="L215" s="7">
        <f t="shared" si="56"/>
        <v>50</v>
      </c>
      <c r="M215" s="5" t="s">
        <v>10</v>
      </c>
      <c r="N215" s="5">
        <v>4</v>
      </c>
      <c r="O215" s="6">
        <f t="shared" si="57"/>
        <v>1.5625</v>
      </c>
      <c r="P215" s="6">
        <f t="shared" si="58"/>
        <v>0.16250000000000001</v>
      </c>
      <c r="Q215" s="10">
        <f t="shared" si="59"/>
        <v>3.3854166666666668E-3</v>
      </c>
      <c r="R215" s="10">
        <f t="shared" si="60"/>
        <v>2.2220925526404162E-2</v>
      </c>
      <c r="S215" s="10">
        <f t="shared" si="61"/>
        <v>2.5606342193070827E-2</v>
      </c>
    </row>
    <row r="216" spans="1:19" x14ac:dyDescent="0.25">
      <c r="A216" s="5" t="s">
        <v>22</v>
      </c>
      <c r="B216" s="5" t="s">
        <v>63</v>
      </c>
      <c r="C216" s="5" t="s">
        <v>27</v>
      </c>
      <c r="D216" s="5" t="s">
        <v>385</v>
      </c>
      <c r="E216" s="5" t="s">
        <v>384</v>
      </c>
      <c r="F216" s="5" t="s">
        <v>30</v>
      </c>
      <c r="G216" s="5" t="s">
        <v>392</v>
      </c>
      <c r="H216" s="5" t="s">
        <v>34</v>
      </c>
      <c r="I216" s="5" t="s">
        <v>21</v>
      </c>
      <c r="J216" s="15">
        <v>1050</v>
      </c>
      <c r="K216" s="7">
        <v>23</v>
      </c>
      <c r="L216" s="7">
        <f t="shared" si="56"/>
        <v>45.652173913043477</v>
      </c>
      <c r="M216" s="5" t="s">
        <v>10</v>
      </c>
      <c r="N216" s="5">
        <v>4</v>
      </c>
      <c r="O216" s="6">
        <f t="shared" si="57"/>
        <v>1.3677043950850662</v>
      </c>
      <c r="P216" s="6">
        <f t="shared" si="58"/>
        <v>0.14224125708884686</v>
      </c>
      <c r="Q216" s="10">
        <f t="shared" si="59"/>
        <v>2.9633595226843099E-3</v>
      </c>
      <c r="R216" s="10">
        <f t="shared" si="60"/>
        <v>2.0109038528318947E-2</v>
      </c>
      <c r="S216" s="10">
        <f t="shared" si="61"/>
        <v>2.3072398051003258E-2</v>
      </c>
    </row>
    <row r="217" spans="1:19" x14ac:dyDescent="0.25">
      <c r="A217" s="5" t="s">
        <v>8</v>
      </c>
      <c r="B217" s="5" t="s">
        <v>226</v>
      </c>
      <c r="C217" s="5" t="s">
        <v>27</v>
      </c>
      <c r="D217" s="5" t="s">
        <v>385</v>
      </c>
      <c r="E217" s="5" t="s">
        <v>384</v>
      </c>
      <c r="F217" s="5" t="s">
        <v>30</v>
      </c>
      <c r="G217" s="5" t="s">
        <v>392</v>
      </c>
      <c r="H217" s="5" t="s">
        <v>34</v>
      </c>
      <c r="I217" s="5" t="s">
        <v>21</v>
      </c>
      <c r="J217" s="15">
        <v>1429</v>
      </c>
      <c r="K217" s="7">
        <v>23.9</v>
      </c>
      <c r="L217" s="7">
        <f t="shared" si="56"/>
        <v>59.7907949790795</v>
      </c>
      <c r="M217" s="5" t="s">
        <v>10</v>
      </c>
      <c r="N217" s="5">
        <v>4</v>
      </c>
      <c r="O217" s="6">
        <f t="shared" si="57"/>
        <v>3.1928675410532033</v>
      </c>
      <c r="P217" s="6">
        <f t="shared" si="58"/>
        <v>0.33205822426953308</v>
      </c>
      <c r="Q217" s="10">
        <f t="shared" si="59"/>
        <v>6.9178796722819402E-3</v>
      </c>
      <c r="R217" s="10">
        <f t="shared" si="60"/>
        <v>3.7978062134013092E-2</v>
      </c>
      <c r="S217" s="10">
        <f t="shared" si="61"/>
        <v>4.4895941806295032E-2</v>
      </c>
    </row>
    <row r="218" spans="1:19" x14ac:dyDescent="0.25">
      <c r="A218" s="5" t="s">
        <v>22</v>
      </c>
      <c r="B218" s="5" t="s">
        <v>63</v>
      </c>
      <c r="C218" s="5" t="s">
        <v>27</v>
      </c>
      <c r="D218" s="5" t="s">
        <v>385</v>
      </c>
      <c r="E218" s="5" t="s">
        <v>384</v>
      </c>
      <c r="F218" s="5" t="s">
        <v>30</v>
      </c>
      <c r="G218" s="5" t="s">
        <v>392</v>
      </c>
      <c r="H218" s="5" t="s">
        <v>34</v>
      </c>
      <c r="I218" s="5" t="s">
        <v>142</v>
      </c>
      <c r="J218" s="15">
        <v>1350</v>
      </c>
      <c r="K218" s="7">
        <v>25</v>
      </c>
      <c r="L218" s="7">
        <f t="shared" si="56"/>
        <v>54</v>
      </c>
      <c r="M218" s="5" t="s">
        <v>10</v>
      </c>
      <c r="N218" s="5">
        <v>4</v>
      </c>
      <c r="O218" s="6">
        <f t="shared" si="57"/>
        <v>2.460375</v>
      </c>
      <c r="P218" s="6">
        <f t="shared" si="58"/>
        <v>0.25587900000000002</v>
      </c>
      <c r="Q218" s="10">
        <f t="shared" si="59"/>
        <v>5.3308124999999996E-3</v>
      </c>
      <c r="R218" s="10">
        <f t="shared" si="60"/>
        <v>3.1235474191314793E-2</v>
      </c>
      <c r="S218" s="10">
        <f t="shared" si="61"/>
        <v>3.6566286691314794E-2</v>
      </c>
    </row>
    <row r="219" spans="1:19" x14ac:dyDescent="0.25">
      <c r="A219" s="5" t="s">
        <v>8</v>
      </c>
      <c r="B219" s="5" t="s">
        <v>217</v>
      </c>
      <c r="C219" s="5" t="s">
        <v>27</v>
      </c>
      <c r="D219" s="5" t="s">
        <v>385</v>
      </c>
      <c r="E219" s="5" t="s">
        <v>384</v>
      </c>
      <c r="F219" s="5" t="s">
        <v>30</v>
      </c>
      <c r="G219" s="5" t="s">
        <v>392</v>
      </c>
      <c r="H219" s="5" t="s">
        <v>34</v>
      </c>
      <c r="I219" s="5" t="s">
        <v>142</v>
      </c>
      <c r="J219" s="15">
        <v>1300</v>
      </c>
      <c r="K219" s="7">
        <v>24.8</v>
      </c>
      <c r="L219" s="7">
        <f t="shared" si="56"/>
        <v>52.419354838709673</v>
      </c>
      <c r="M219" s="5" t="s">
        <v>10</v>
      </c>
      <c r="N219" s="5">
        <v>4</v>
      </c>
      <c r="O219" s="6">
        <f t="shared" si="57"/>
        <v>2.2325783688865761</v>
      </c>
      <c r="P219" s="6">
        <f t="shared" si="58"/>
        <v>0.2321881503642039</v>
      </c>
      <c r="Q219" s="10">
        <f t="shared" si="59"/>
        <v>4.8372531325875812E-3</v>
      </c>
      <c r="R219" s="10">
        <f t="shared" si="60"/>
        <v>2.9040370897396122E-2</v>
      </c>
      <c r="S219" s="10">
        <f t="shared" si="61"/>
        <v>3.3877624029983705E-2</v>
      </c>
    </row>
    <row r="220" spans="1:19" x14ac:dyDescent="0.25">
      <c r="A220" s="5" t="s">
        <v>8</v>
      </c>
      <c r="B220" s="5" t="s">
        <v>316</v>
      </c>
      <c r="C220" s="5" t="s">
        <v>27</v>
      </c>
      <c r="D220" s="5" t="s">
        <v>385</v>
      </c>
      <c r="E220" s="5" t="s">
        <v>384</v>
      </c>
      <c r="F220" s="5" t="s">
        <v>30</v>
      </c>
      <c r="G220" s="5" t="s">
        <v>392</v>
      </c>
      <c r="H220" s="5" t="s">
        <v>34</v>
      </c>
      <c r="I220" s="5" t="s">
        <v>318</v>
      </c>
      <c r="J220" s="15">
        <v>1980</v>
      </c>
      <c r="K220" s="7">
        <v>26</v>
      </c>
      <c r="L220" s="7">
        <f t="shared" si="56"/>
        <v>76.15384615384616</v>
      </c>
      <c r="M220" s="5" t="s">
        <v>10</v>
      </c>
      <c r="N220" s="5">
        <v>4</v>
      </c>
      <c r="O220" s="6">
        <f t="shared" si="57"/>
        <v>7.1767677514792911</v>
      </c>
      <c r="P220" s="6">
        <f t="shared" si="58"/>
        <v>0.74638384615384623</v>
      </c>
      <c r="Q220" s="10">
        <f t="shared" si="59"/>
        <v>1.5549663461538464E-2</v>
      </c>
      <c r="R220" s="10">
        <f t="shared" si="60"/>
        <v>6.9717819153043717E-2</v>
      </c>
      <c r="S220" s="10">
        <f t="shared" si="61"/>
        <v>8.5267482614582182E-2</v>
      </c>
    </row>
    <row r="221" spans="1:19" x14ac:dyDescent="0.25">
      <c r="A221" s="5" t="s">
        <v>8</v>
      </c>
      <c r="B221" s="5" t="s">
        <v>357</v>
      </c>
      <c r="C221" s="5" t="s">
        <v>27</v>
      </c>
      <c r="D221" s="5" t="s">
        <v>385</v>
      </c>
      <c r="E221" s="5" t="s">
        <v>384</v>
      </c>
      <c r="F221" s="5" t="s">
        <v>30</v>
      </c>
      <c r="G221" s="5" t="s">
        <v>392</v>
      </c>
      <c r="H221" s="5" t="s">
        <v>34</v>
      </c>
      <c r="I221" s="5" t="s">
        <v>318</v>
      </c>
      <c r="J221" s="15">
        <v>1952</v>
      </c>
      <c r="K221" s="7">
        <v>28.2</v>
      </c>
      <c r="L221" s="7">
        <f t="shared" si="56"/>
        <v>69.219858156028366</v>
      </c>
      <c r="M221" s="5" t="s">
        <v>10</v>
      </c>
      <c r="N221" s="5">
        <v>4</v>
      </c>
      <c r="O221" s="6">
        <f t="shared" si="57"/>
        <v>5.8454942910316374</v>
      </c>
      <c r="P221" s="6">
        <f t="shared" si="58"/>
        <v>0.60793140626729025</v>
      </c>
      <c r="Q221" s="10">
        <f t="shared" si="59"/>
        <v>1.2665237630568546E-2</v>
      </c>
      <c r="R221" s="10">
        <f t="shared" si="60"/>
        <v>5.9774101244652454E-2</v>
      </c>
      <c r="S221" s="10">
        <f t="shared" si="61"/>
        <v>7.2439338875220999E-2</v>
      </c>
    </row>
    <row r="222" spans="1:19" x14ac:dyDescent="0.25">
      <c r="A222" s="5" t="s">
        <v>22</v>
      </c>
      <c r="B222" s="5" t="s">
        <v>26</v>
      </c>
      <c r="C222" s="5" t="s">
        <v>27</v>
      </c>
      <c r="D222" s="5" t="s">
        <v>385</v>
      </c>
      <c r="E222" s="5" t="s">
        <v>384</v>
      </c>
      <c r="F222" s="5" t="s">
        <v>30</v>
      </c>
      <c r="G222" s="5" t="s">
        <v>392</v>
      </c>
      <c r="H222" s="5" t="s">
        <v>34</v>
      </c>
      <c r="I222" s="5" t="s">
        <v>35</v>
      </c>
      <c r="J222" s="15">
        <v>2750</v>
      </c>
      <c r="K222" s="7">
        <v>29</v>
      </c>
      <c r="L222" s="7">
        <f t="shared" si="56"/>
        <v>94.827586206896555</v>
      </c>
      <c r="M222" s="5" t="s">
        <v>10</v>
      </c>
      <c r="N222" s="5">
        <v>4</v>
      </c>
      <c r="O222" s="6">
        <f t="shared" si="57"/>
        <v>15.455465963139122</v>
      </c>
      <c r="P222" s="6">
        <f t="shared" si="58"/>
        <v>1.6073684601664686</v>
      </c>
      <c r="Q222" s="10">
        <f t="shared" si="59"/>
        <v>3.3486842920134763E-2</v>
      </c>
      <c r="R222" s="10">
        <f t="shared" si="60"/>
        <v>0.12393920372417333</v>
      </c>
      <c r="S222" s="10">
        <f t="shared" si="61"/>
        <v>0.15742604664430809</v>
      </c>
    </row>
    <row r="223" spans="1:19" x14ac:dyDescent="0.25">
      <c r="A223" s="5" t="s">
        <v>8</v>
      </c>
      <c r="B223" s="5" t="s">
        <v>366</v>
      </c>
      <c r="C223" s="5" t="s">
        <v>27</v>
      </c>
      <c r="D223" s="5" t="s">
        <v>385</v>
      </c>
      <c r="E223" s="5" t="s">
        <v>384</v>
      </c>
      <c r="F223" s="5" t="s">
        <v>30</v>
      </c>
      <c r="G223" s="5" t="s">
        <v>392</v>
      </c>
      <c r="H223" s="5" t="s">
        <v>232</v>
      </c>
      <c r="I223" s="5" t="s">
        <v>367</v>
      </c>
      <c r="J223" s="15">
        <v>1950</v>
      </c>
      <c r="K223" s="7">
        <v>26.5</v>
      </c>
      <c r="L223" s="7">
        <f t="shared" si="56"/>
        <v>73.584905660377359</v>
      </c>
      <c r="M223" s="5" t="s">
        <v>10</v>
      </c>
      <c r="N223" s="5">
        <v>4</v>
      </c>
      <c r="O223" s="6">
        <f t="shared" si="57"/>
        <v>6.5992123531505875</v>
      </c>
      <c r="P223" s="6">
        <f t="shared" si="58"/>
        <v>0.68631808472766109</v>
      </c>
      <c r="Q223" s="10">
        <f t="shared" si="59"/>
        <v>1.4298293431826273E-2</v>
      </c>
      <c r="R223" s="10">
        <f t="shared" si="60"/>
        <v>6.5466059667993612E-2</v>
      </c>
      <c r="S223" s="10">
        <f t="shared" si="61"/>
        <v>7.9764353099819885E-2</v>
      </c>
    </row>
    <row r="224" spans="1:19" x14ac:dyDescent="0.25">
      <c r="A224" s="5" t="s">
        <v>8</v>
      </c>
      <c r="B224" s="5" t="s">
        <v>231</v>
      </c>
      <c r="C224" s="5" t="s">
        <v>27</v>
      </c>
      <c r="D224" s="5" t="s">
        <v>385</v>
      </c>
      <c r="E224" s="5" t="s">
        <v>384</v>
      </c>
      <c r="F224" s="5" t="s">
        <v>30</v>
      </c>
      <c r="G224" s="5" t="s">
        <v>392</v>
      </c>
      <c r="H224" s="5" t="s">
        <v>232</v>
      </c>
      <c r="I224" s="5" t="s">
        <v>67</v>
      </c>
      <c r="J224" s="15">
        <v>2400</v>
      </c>
      <c r="K224" s="7">
        <v>28</v>
      </c>
      <c r="L224" s="7">
        <f t="shared" si="56"/>
        <v>85.714285714285708</v>
      </c>
      <c r="M224" s="5" t="s">
        <v>10</v>
      </c>
      <c r="N224" s="5">
        <v>4</v>
      </c>
      <c r="O224" s="6">
        <f t="shared" si="57"/>
        <v>11.020408163265305</v>
      </c>
      <c r="P224" s="6">
        <f t="shared" si="58"/>
        <v>1.1461224489795918</v>
      </c>
      <c r="Q224" s="10">
        <f t="shared" si="59"/>
        <v>2.3877551020408158E-2</v>
      </c>
      <c r="R224" s="10">
        <f t="shared" si="60"/>
        <v>9.6171277298758448E-2</v>
      </c>
      <c r="S224" s="10">
        <f t="shared" si="61"/>
        <v>0.12004882831916661</v>
      </c>
    </row>
    <row r="225" spans="1:19" x14ac:dyDescent="0.25">
      <c r="A225" s="5" t="s">
        <v>8</v>
      </c>
      <c r="B225" s="5" t="s">
        <v>366</v>
      </c>
      <c r="C225" s="5" t="s">
        <v>27</v>
      </c>
      <c r="D225" s="5" t="s">
        <v>385</v>
      </c>
      <c r="E225" s="5" t="s">
        <v>384</v>
      </c>
      <c r="F225" s="5" t="s">
        <v>30</v>
      </c>
      <c r="G225" s="5" t="s">
        <v>392</v>
      </c>
      <c r="H225" s="5" t="s">
        <v>232</v>
      </c>
      <c r="I225" s="5" t="s">
        <v>368</v>
      </c>
      <c r="J225" s="15">
        <v>2350</v>
      </c>
      <c r="K225" s="7">
        <v>28.5</v>
      </c>
      <c r="L225" s="7">
        <f t="shared" si="56"/>
        <v>82.456140350877192</v>
      </c>
      <c r="M225" s="5" t="s">
        <v>10</v>
      </c>
      <c r="N225" s="5">
        <v>4</v>
      </c>
      <c r="O225" s="6">
        <f t="shared" si="57"/>
        <v>9.9860534010464761</v>
      </c>
      <c r="P225" s="6">
        <f t="shared" si="58"/>
        <v>1.0385495537088334</v>
      </c>
      <c r="Q225" s="10">
        <f t="shared" si="59"/>
        <v>2.1636449035600695E-2</v>
      </c>
      <c r="R225" s="10">
        <f t="shared" si="60"/>
        <v>8.9318729610296993E-2</v>
      </c>
      <c r="S225" s="10">
        <f t="shared" si="61"/>
        <v>0.11095517864589768</v>
      </c>
    </row>
    <row r="226" spans="1:19" x14ac:dyDescent="0.25">
      <c r="A226" s="5" t="s">
        <v>8</v>
      </c>
      <c r="B226" s="5" t="s">
        <v>366</v>
      </c>
      <c r="C226" s="5" t="s">
        <v>27</v>
      </c>
      <c r="D226" s="5" t="s">
        <v>385</v>
      </c>
      <c r="E226" s="5" t="s">
        <v>384</v>
      </c>
      <c r="F226" s="5" t="s">
        <v>30</v>
      </c>
      <c r="G226" s="5" t="s">
        <v>392</v>
      </c>
      <c r="H226" s="5" t="s">
        <v>232</v>
      </c>
      <c r="I226" s="5" t="s">
        <v>368</v>
      </c>
      <c r="J226" s="15">
        <v>2726</v>
      </c>
      <c r="K226" s="7">
        <v>30.5</v>
      </c>
      <c r="L226" s="7">
        <f t="shared" si="56"/>
        <v>89.377049180327873</v>
      </c>
      <c r="M226" s="5" t="s">
        <v>10</v>
      </c>
      <c r="N226" s="5">
        <v>4</v>
      </c>
      <c r="O226" s="6">
        <f t="shared" si="57"/>
        <v>13.609992727761355</v>
      </c>
      <c r="P226" s="6">
        <f t="shared" si="58"/>
        <v>1.4154392436871808</v>
      </c>
      <c r="Q226" s="10">
        <f t="shared" si="59"/>
        <v>2.9488317576816272E-2</v>
      </c>
      <c r="R226" s="10">
        <f t="shared" si="60"/>
        <v>0.11266539513595818</v>
      </c>
      <c r="S226" s="10">
        <f t="shared" si="61"/>
        <v>0.14215371271277444</v>
      </c>
    </row>
    <row r="227" spans="1:19" x14ac:dyDescent="0.25">
      <c r="A227" s="5" t="s">
        <v>8</v>
      </c>
      <c r="B227" s="5" t="s">
        <v>366</v>
      </c>
      <c r="C227" s="5" t="s">
        <v>27</v>
      </c>
      <c r="D227" s="5" t="s">
        <v>385</v>
      </c>
      <c r="E227" s="5" t="s">
        <v>384</v>
      </c>
      <c r="F227" s="5" t="s">
        <v>30</v>
      </c>
      <c r="G227" s="5" t="s">
        <v>392</v>
      </c>
      <c r="H227" s="5" t="s">
        <v>232</v>
      </c>
      <c r="I227" s="5" t="s">
        <v>35</v>
      </c>
      <c r="J227" s="15">
        <v>2900</v>
      </c>
      <c r="K227" s="7">
        <v>33</v>
      </c>
      <c r="L227" s="7">
        <f t="shared" si="56"/>
        <v>87.878787878787875</v>
      </c>
      <c r="M227" s="5" t="s">
        <v>10</v>
      </c>
      <c r="N227" s="5">
        <v>4</v>
      </c>
      <c r="O227" s="6">
        <f t="shared" si="57"/>
        <v>13.997359963269052</v>
      </c>
      <c r="P227" s="6">
        <f t="shared" si="58"/>
        <v>1.4557254361799814</v>
      </c>
      <c r="Q227" s="10">
        <f t="shared" si="59"/>
        <v>3.0327613253749608E-2</v>
      </c>
      <c r="R227" s="10">
        <f t="shared" si="60"/>
        <v>0.11506194811191645</v>
      </c>
      <c r="S227" s="10">
        <f t="shared" si="61"/>
        <v>0.14538956136566605</v>
      </c>
    </row>
    <row r="228" spans="1:19" x14ac:dyDescent="0.25">
      <c r="A228" s="5" t="s">
        <v>22</v>
      </c>
      <c r="B228" s="5" t="s">
        <v>63</v>
      </c>
      <c r="C228" s="5" t="s">
        <v>27</v>
      </c>
      <c r="D228" s="5" t="s">
        <v>385</v>
      </c>
      <c r="E228" s="5" t="s">
        <v>384</v>
      </c>
      <c r="F228" s="5" t="s">
        <v>30</v>
      </c>
      <c r="G228" s="5" t="s">
        <v>392</v>
      </c>
      <c r="H228" s="5" t="s">
        <v>66</v>
      </c>
      <c r="I228" s="5" t="s">
        <v>67</v>
      </c>
      <c r="J228" s="15">
        <v>2350</v>
      </c>
      <c r="K228" s="7">
        <v>28</v>
      </c>
      <c r="L228" s="7">
        <f t="shared" si="56"/>
        <v>83.928571428571431</v>
      </c>
      <c r="M228" s="5" t="s">
        <v>10</v>
      </c>
      <c r="N228" s="5">
        <v>4</v>
      </c>
      <c r="O228" s="6">
        <f t="shared" si="57"/>
        <v>10.345882493622449</v>
      </c>
      <c r="P228" s="6">
        <f t="shared" si="58"/>
        <v>1.0759717793367347</v>
      </c>
      <c r="Q228" s="10">
        <f t="shared" si="59"/>
        <v>2.2416078736181972E-2</v>
      </c>
      <c r="R228" s="10">
        <f t="shared" si="60"/>
        <v>9.1721844656989765E-2</v>
      </c>
      <c r="S228" s="10">
        <f t="shared" si="61"/>
        <v>0.11413792339317173</v>
      </c>
    </row>
    <row r="229" spans="1:19" x14ac:dyDescent="0.25">
      <c r="A229" s="5" t="s">
        <v>8</v>
      </c>
      <c r="B229" s="5" t="s">
        <v>241</v>
      </c>
      <c r="C229" s="5" t="s">
        <v>27</v>
      </c>
      <c r="D229" s="5" t="s">
        <v>385</v>
      </c>
      <c r="E229" s="5" t="s">
        <v>384</v>
      </c>
      <c r="F229" s="5" t="s">
        <v>30</v>
      </c>
      <c r="G229" s="5" t="s">
        <v>392</v>
      </c>
      <c r="H229" s="5" t="s">
        <v>40</v>
      </c>
      <c r="I229" s="5" t="s">
        <v>249</v>
      </c>
      <c r="J229" s="15">
        <v>1750</v>
      </c>
      <c r="K229" s="7">
        <v>25</v>
      </c>
      <c r="L229" s="7">
        <f t="shared" si="56"/>
        <v>70</v>
      </c>
      <c r="M229" s="5" t="s">
        <v>10</v>
      </c>
      <c r="N229" s="5">
        <v>4</v>
      </c>
      <c r="O229" s="6">
        <f t="shared" si="57"/>
        <v>5.359375</v>
      </c>
      <c r="P229" s="6">
        <f t="shared" si="58"/>
        <v>0.55737499999999995</v>
      </c>
      <c r="Q229" s="10">
        <f t="shared" si="59"/>
        <v>1.1611979166666666E-2</v>
      </c>
      <c r="R229" s="10">
        <f t="shared" si="60"/>
        <v>5.6005765012085269E-2</v>
      </c>
      <c r="S229" s="10">
        <f t="shared" si="61"/>
        <v>6.7617744178751937E-2</v>
      </c>
    </row>
    <row r="230" spans="1:19" x14ac:dyDescent="0.25">
      <c r="A230" s="5" t="s">
        <v>22</v>
      </c>
      <c r="B230" s="5" t="s">
        <v>26</v>
      </c>
      <c r="C230" s="5" t="s">
        <v>27</v>
      </c>
      <c r="D230" s="5" t="s">
        <v>385</v>
      </c>
      <c r="E230" s="5" t="s">
        <v>384</v>
      </c>
      <c r="F230" s="5" t="s">
        <v>30</v>
      </c>
      <c r="G230" s="5" t="s">
        <v>392</v>
      </c>
      <c r="H230" s="5" t="s">
        <v>40</v>
      </c>
      <c r="I230" s="5" t="s">
        <v>41</v>
      </c>
      <c r="J230" s="15">
        <v>2500</v>
      </c>
      <c r="K230" s="7">
        <v>28</v>
      </c>
      <c r="L230" s="7">
        <f t="shared" si="56"/>
        <v>89.285714285714292</v>
      </c>
      <c r="M230" s="5" t="s">
        <v>10</v>
      </c>
      <c r="N230" s="5">
        <v>4</v>
      </c>
      <c r="O230" s="6">
        <f t="shared" si="57"/>
        <v>12.456154336734695</v>
      </c>
      <c r="P230" s="6">
        <f t="shared" si="58"/>
        <v>1.2954400510204083</v>
      </c>
      <c r="Q230" s="10">
        <f t="shared" si="59"/>
        <v>2.6988334396258504E-2</v>
      </c>
      <c r="R230" s="10">
        <f t="shared" si="60"/>
        <v>0.10542293667898026</v>
      </c>
      <c r="S230" s="10">
        <f t="shared" si="61"/>
        <v>0.13241127107523876</v>
      </c>
    </row>
    <row r="231" spans="1:19" x14ac:dyDescent="0.25">
      <c r="A231" s="5" t="s">
        <v>8</v>
      </c>
      <c r="B231" s="5" t="s">
        <v>241</v>
      </c>
      <c r="C231" s="5" t="s">
        <v>27</v>
      </c>
      <c r="D231" s="5" t="s">
        <v>385</v>
      </c>
      <c r="E231" s="5" t="s">
        <v>384</v>
      </c>
      <c r="F231" s="5" t="s">
        <v>30</v>
      </c>
      <c r="G231" s="5" t="s">
        <v>392</v>
      </c>
      <c r="H231" s="5" t="s">
        <v>40</v>
      </c>
      <c r="I231" s="5" t="s">
        <v>41</v>
      </c>
      <c r="J231" s="15">
        <v>2300</v>
      </c>
      <c r="K231" s="7">
        <v>31</v>
      </c>
      <c r="L231" s="7">
        <f t="shared" si="56"/>
        <v>74.193548387096769</v>
      </c>
      <c r="M231" s="5" t="s">
        <v>10</v>
      </c>
      <c r="N231" s="5">
        <v>4</v>
      </c>
      <c r="O231" s="6">
        <f t="shared" si="57"/>
        <v>7.912981269510925</v>
      </c>
      <c r="P231" s="6">
        <f t="shared" si="58"/>
        <v>0.82295005202913618</v>
      </c>
      <c r="Q231" s="10">
        <f t="shared" si="59"/>
        <v>1.7144792750607003E-2</v>
      </c>
      <c r="R231" s="10">
        <f t="shared" si="60"/>
        <v>7.5015710610391848E-2</v>
      </c>
      <c r="S231" s="10">
        <f t="shared" si="61"/>
        <v>9.2160503360998847E-2</v>
      </c>
    </row>
    <row r="232" spans="1:19" x14ac:dyDescent="0.25">
      <c r="A232" s="5" t="s">
        <v>8</v>
      </c>
      <c r="B232" s="5" t="s">
        <v>313</v>
      </c>
      <c r="C232" s="5" t="s">
        <v>27</v>
      </c>
      <c r="D232" s="5" t="s">
        <v>385</v>
      </c>
      <c r="E232" s="5" t="s">
        <v>384</v>
      </c>
      <c r="F232" s="5" t="s">
        <v>30</v>
      </c>
      <c r="G232" s="5" t="s">
        <v>392</v>
      </c>
      <c r="H232" s="5" t="s">
        <v>40</v>
      </c>
      <c r="I232" s="5" t="s">
        <v>41</v>
      </c>
      <c r="J232" s="15">
        <v>2650</v>
      </c>
      <c r="K232" s="7">
        <v>27.1</v>
      </c>
      <c r="L232" s="7">
        <f t="shared" si="56"/>
        <v>97.785977859778598</v>
      </c>
      <c r="M232" s="5" t="s">
        <v>10</v>
      </c>
      <c r="N232" s="5">
        <v>4</v>
      </c>
      <c r="O232" s="6">
        <f t="shared" si="57"/>
        <v>15.83722392805109</v>
      </c>
      <c r="P232" s="6">
        <f t="shared" si="58"/>
        <v>1.6470712885173131</v>
      </c>
      <c r="Q232" s="10">
        <f t="shared" si="59"/>
        <v>3.431398517744403E-2</v>
      </c>
      <c r="R232" s="10">
        <f t="shared" si="60"/>
        <v>0.1262282081691613</v>
      </c>
      <c r="S232" s="10">
        <f t="shared" si="61"/>
        <v>0.16054219334660533</v>
      </c>
    </row>
    <row r="233" spans="1:19" x14ac:dyDescent="0.25">
      <c r="A233" s="5" t="s">
        <v>8</v>
      </c>
      <c r="B233" s="5" t="s">
        <v>241</v>
      </c>
      <c r="C233" s="5" t="s">
        <v>27</v>
      </c>
      <c r="D233" s="5" t="s">
        <v>385</v>
      </c>
      <c r="E233" s="5" t="s">
        <v>384</v>
      </c>
      <c r="F233" s="5" t="s">
        <v>30</v>
      </c>
      <c r="G233" s="5" t="s">
        <v>392</v>
      </c>
      <c r="H233" s="5" t="s">
        <v>40</v>
      </c>
      <c r="I233" s="5" t="s">
        <v>250</v>
      </c>
      <c r="J233" s="15">
        <v>1710</v>
      </c>
      <c r="K233" s="7">
        <v>25</v>
      </c>
      <c r="L233" s="7">
        <f t="shared" si="56"/>
        <v>68.400000000000006</v>
      </c>
      <c r="M233" s="5" t="s">
        <v>10</v>
      </c>
      <c r="N233" s="5">
        <v>4</v>
      </c>
      <c r="O233" s="6">
        <f t="shared" si="57"/>
        <v>5.0002110000000002</v>
      </c>
      <c r="P233" s="6">
        <f t="shared" si="58"/>
        <v>0.52002194400000012</v>
      </c>
      <c r="Q233" s="10">
        <f t="shared" si="59"/>
        <v>1.0833790500000001E-2</v>
      </c>
      <c r="R233" s="10">
        <f t="shared" si="60"/>
        <v>5.316653690438651E-2</v>
      </c>
      <c r="S233" s="10">
        <f t="shared" si="61"/>
        <v>6.4000327404386506E-2</v>
      </c>
    </row>
    <row r="234" spans="1:19" x14ac:dyDescent="0.25">
      <c r="A234" s="5" t="s">
        <v>8</v>
      </c>
      <c r="B234" s="5" t="s">
        <v>241</v>
      </c>
      <c r="C234" s="5" t="s">
        <v>27</v>
      </c>
      <c r="D234" s="5" t="s">
        <v>385</v>
      </c>
      <c r="E234" s="5" t="s">
        <v>384</v>
      </c>
      <c r="F234" s="5" t="s">
        <v>30</v>
      </c>
      <c r="G234" s="5" t="s">
        <v>392</v>
      </c>
      <c r="H234" s="5" t="s">
        <v>40</v>
      </c>
      <c r="I234" s="5" t="s">
        <v>252</v>
      </c>
      <c r="J234" s="15">
        <v>1670</v>
      </c>
      <c r="K234" s="7">
        <v>28.5</v>
      </c>
      <c r="L234" s="7">
        <f t="shared" si="56"/>
        <v>58.596491228070178</v>
      </c>
      <c r="M234" s="5" t="s">
        <v>10</v>
      </c>
      <c r="N234" s="5">
        <v>4</v>
      </c>
      <c r="O234" s="6">
        <f t="shared" si="57"/>
        <v>3.5837665435518629</v>
      </c>
      <c r="P234" s="6">
        <f t="shared" si="58"/>
        <v>0.37271172052939366</v>
      </c>
      <c r="Q234" s="10">
        <f t="shared" si="59"/>
        <v>7.7648275110290361E-3</v>
      </c>
      <c r="R234" s="10">
        <f t="shared" si="60"/>
        <v>4.1414450883432853E-2</v>
      </c>
      <c r="S234" s="10">
        <f t="shared" si="61"/>
        <v>4.9179278394461887E-2</v>
      </c>
    </row>
    <row r="235" spans="1:19" x14ac:dyDescent="0.25">
      <c r="A235" s="5" t="s">
        <v>8</v>
      </c>
      <c r="B235" s="5" t="s">
        <v>241</v>
      </c>
      <c r="C235" s="5" t="s">
        <v>27</v>
      </c>
      <c r="D235" s="5" t="s">
        <v>385</v>
      </c>
      <c r="E235" s="5" t="s">
        <v>384</v>
      </c>
      <c r="F235" s="5" t="s">
        <v>30</v>
      </c>
      <c r="G235" s="5" t="s">
        <v>392</v>
      </c>
      <c r="H235" s="5" t="s">
        <v>40</v>
      </c>
      <c r="I235" s="5" t="s">
        <v>11</v>
      </c>
      <c r="J235" s="15">
        <v>2375</v>
      </c>
      <c r="K235" s="7">
        <v>27</v>
      </c>
      <c r="L235" s="7">
        <f t="shared" si="56"/>
        <v>87.962962962962962</v>
      </c>
      <c r="M235" s="5" t="s">
        <v>10</v>
      </c>
      <c r="N235" s="5">
        <v>4</v>
      </c>
      <c r="O235" s="6">
        <f t="shared" si="57"/>
        <v>11.485326110253771</v>
      </c>
      <c r="P235" s="6">
        <f t="shared" si="58"/>
        <v>1.1944739154663921</v>
      </c>
      <c r="Q235" s="10">
        <f t="shared" si="59"/>
        <v>2.4884873238883169E-2</v>
      </c>
      <c r="R235" s="10">
        <f t="shared" si="60"/>
        <v>9.9198389756610938E-2</v>
      </c>
      <c r="S235" s="10">
        <f t="shared" si="61"/>
        <v>0.1240832629954941</v>
      </c>
    </row>
    <row r="236" spans="1:19" x14ac:dyDescent="0.25">
      <c r="A236" s="5" t="s">
        <v>8</v>
      </c>
      <c r="B236" s="5" t="s">
        <v>241</v>
      </c>
      <c r="C236" s="5" t="s">
        <v>27</v>
      </c>
      <c r="D236" s="5" t="s">
        <v>385</v>
      </c>
      <c r="E236" s="5" t="s">
        <v>384</v>
      </c>
      <c r="F236" s="5" t="s">
        <v>30</v>
      </c>
      <c r="G236" s="5" t="s">
        <v>392</v>
      </c>
      <c r="H236" s="5" t="s">
        <v>40</v>
      </c>
      <c r="I236" s="5" t="s">
        <v>260</v>
      </c>
      <c r="J236" s="15">
        <v>2250</v>
      </c>
      <c r="K236" s="7">
        <v>26.2</v>
      </c>
      <c r="L236" s="7">
        <f t="shared" si="56"/>
        <v>85.877862595419856</v>
      </c>
      <c r="M236" s="5" t="s">
        <v>10</v>
      </c>
      <c r="N236" s="5">
        <v>4</v>
      </c>
      <c r="O236" s="6">
        <f t="shared" si="57"/>
        <v>10.371103993065674</v>
      </c>
      <c r="P236" s="6">
        <f t="shared" si="58"/>
        <v>1.0785948152788301</v>
      </c>
      <c r="Q236" s="10">
        <f t="shared" si="59"/>
        <v>2.2470725318308959E-2</v>
      </c>
      <c r="R236" s="10">
        <f t="shared" si="60"/>
        <v>9.1889495281948216E-2</v>
      </c>
      <c r="S236" s="10">
        <f t="shared" si="61"/>
        <v>0.11436022060025718</v>
      </c>
    </row>
    <row r="237" spans="1:19" x14ac:dyDescent="0.25">
      <c r="A237" s="5" t="s">
        <v>8</v>
      </c>
      <c r="B237" s="5" t="s">
        <v>188</v>
      </c>
      <c r="C237" s="5" t="s">
        <v>27</v>
      </c>
      <c r="D237" s="5" t="s">
        <v>385</v>
      </c>
      <c r="E237" s="5" t="s">
        <v>384</v>
      </c>
      <c r="F237" s="5" t="s">
        <v>30</v>
      </c>
      <c r="G237" s="5" t="s">
        <v>392</v>
      </c>
      <c r="H237" s="5" t="s">
        <v>40</v>
      </c>
      <c r="I237" s="5" t="s">
        <v>190</v>
      </c>
      <c r="J237" s="15">
        <v>2800</v>
      </c>
      <c r="K237" s="7">
        <v>27</v>
      </c>
      <c r="L237" s="7">
        <f t="shared" si="56"/>
        <v>103.70370370370371</v>
      </c>
      <c r="M237" s="5" t="s">
        <v>10</v>
      </c>
      <c r="N237" s="5">
        <v>4</v>
      </c>
      <c r="O237" s="6">
        <f t="shared" si="57"/>
        <v>18.820301783264746</v>
      </c>
      <c r="P237" s="6">
        <f t="shared" si="58"/>
        <v>1.9573113854595339</v>
      </c>
      <c r="Q237" s="10">
        <f t="shared" si="59"/>
        <v>4.0777320530406946E-2</v>
      </c>
      <c r="R237" s="10">
        <f t="shared" si="60"/>
        <v>0.14367032083802037</v>
      </c>
      <c r="S237" s="10">
        <f t="shared" si="61"/>
        <v>0.18444764136842731</v>
      </c>
    </row>
    <row r="238" spans="1:19" x14ac:dyDescent="0.25">
      <c r="A238" s="5" t="s">
        <v>8</v>
      </c>
      <c r="B238" s="5" t="s">
        <v>241</v>
      </c>
      <c r="C238" s="5" t="s">
        <v>27</v>
      </c>
      <c r="D238" s="5" t="s">
        <v>385</v>
      </c>
      <c r="E238" s="5" t="s">
        <v>384</v>
      </c>
      <c r="F238" s="5" t="s">
        <v>30</v>
      </c>
      <c r="G238" s="5" t="s">
        <v>392</v>
      </c>
      <c r="H238" s="5" t="s">
        <v>40</v>
      </c>
      <c r="I238" s="5" t="s">
        <v>190</v>
      </c>
      <c r="J238" s="15">
        <v>2885</v>
      </c>
      <c r="K238" s="7">
        <v>27.5</v>
      </c>
      <c r="L238" s="7">
        <f t="shared" si="56"/>
        <v>104.90909090909091</v>
      </c>
      <c r="M238" s="5" t="s">
        <v>10</v>
      </c>
      <c r="N238" s="5">
        <v>4</v>
      </c>
      <c r="O238" s="6">
        <f t="shared" si="57"/>
        <v>19.845044731404958</v>
      </c>
      <c r="P238" s="6">
        <f t="shared" si="58"/>
        <v>2.0638846520661156</v>
      </c>
      <c r="Q238" s="10">
        <f t="shared" si="59"/>
        <v>4.2997596918044077E-2</v>
      </c>
      <c r="R238" s="10">
        <f t="shared" si="60"/>
        <v>0.1494982765139998</v>
      </c>
      <c r="S238" s="10">
        <f t="shared" si="61"/>
        <v>0.19249587343204388</v>
      </c>
    </row>
    <row r="239" spans="1:19" x14ac:dyDescent="0.25">
      <c r="A239" s="5" t="s">
        <v>8</v>
      </c>
      <c r="B239" s="5" t="s">
        <v>241</v>
      </c>
      <c r="C239" s="5" t="s">
        <v>27</v>
      </c>
      <c r="D239" s="5" t="s">
        <v>385</v>
      </c>
      <c r="E239" s="5" t="s">
        <v>384</v>
      </c>
      <c r="F239" s="5" t="s">
        <v>30</v>
      </c>
      <c r="G239" s="5" t="s">
        <v>392</v>
      </c>
      <c r="H239" s="5" t="s">
        <v>40</v>
      </c>
      <c r="I239" s="5" t="s">
        <v>257</v>
      </c>
      <c r="J239" s="15">
        <v>2020</v>
      </c>
      <c r="K239" s="7">
        <v>23.5</v>
      </c>
      <c r="L239" s="7">
        <f t="shared" si="56"/>
        <v>85.957446808510639</v>
      </c>
      <c r="M239" s="5" t="s">
        <v>10</v>
      </c>
      <c r="N239" s="5">
        <v>4</v>
      </c>
      <c r="O239" s="6">
        <f t="shared" si="57"/>
        <v>9.3282118605703932</v>
      </c>
      <c r="P239" s="6">
        <f t="shared" si="58"/>
        <v>0.97013403349932081</v>
      </c>
      <c r="Q239" s="10">
        <f t="shared" si="59"/>
        <v>2.0211125697902517E-2</v>
      </c>
      <c r="R239" s="10">
        <f t="shared" si="60"/>
        <v>8.486838252062337E-2</v>
      </c>
      <c r="S239" s="10">
        <f t="shared" si="61"/>
        <v>0.10507950821852588</v>
      </c>
    </row>
    <row r="240" spans="1:19" x14ac:dyDescent="0.25">
      <c r="A240" s="5" t="s">
        <v>8</v>
      </c>
      <c r="B240" s="5" t="s">
        <v>241</v>
      </c>
      <c r="C240" s="5" t="s">
        <v>27</v>
      </c>
      <c r="D240" s="5" t="s">
        <v>385</v>
      </c>
      <c r="E240" s="5" t="s">
        <v>384</v>
      </c>
      <c r="F240" s="5" t="s">
        <v>30</v>
      </c>
      <c r="G240" s="5" t="s">
        <v>392</v>
      </c>
      <c r="H240" s="5" t="s">
        <v>40</v>
      </c>
      <c r="I240" s="5" t="s">
        <v>258</v>
      </c>
      <c r="J240" s="15">
        <v>2220</v>
      </c>
      <c r="K240" s="7">
        <v>28</v>
      </c>
      <c r="L240" s="7">
        <f t="shared" si="56"/>
        <v>79.285714285714292</v>
      </c>
      <c r="M240" s="5" t="s">
        <v>10</v>
      </c>
      <c r="N240" s="5">
        <v>4</v>
      </c>
      <c r="O240" s="6">
        <f t="shared" si="57"/>
        <v>8.7221364795918372</v>
      </c>
      <c r="P240" s="6">
        <f t="shared" si="58"/>
        <v>0.90710219387755109</v>
      </c>
      <c r="Q240" s="10">
        <f t="shared" si="59"/>
        <v>1.8897962372448979E-2</v>
      </c>
      <c r="R240" s="10">
        <f t="shared" si="60"/>
        <v>8.0698280844358428E-2</v>
      </c>
      <c r="S240" s="10">
        <f t="shared" si="61"/>
        <v>9.9596243216807406E-2</v>
      </c>
    </row>
    <row r="241" spans="1:19" x14ac:dyDescent="0.25">
      <c r="A241" s="5" t="s">
        <v>8</v>
      </c>
      <c r="B241" s="5" t="s">
        <v>188</v>
      </c>
      <c r="C241" s="5" t="s">
        <v>27</v>
      </c>
      <c r="D241" s="5" t="s">
        <v>385</v>
      </c>
      <c r="E241" s="5" t="s">
        <v>384</v>
      </c>
      <c r="F241" s="5" t="s">
        <v>30</v>
      </c>
      <c r="G241" s="5" t="s">
        <v>392</v>
      </c>
      <c r="H241" s="5" t="s">
        <v>40</v>
      </c>
      <c r="I241" s="5" t="s">
        <v>189</v>
      </c>
      <c r="J241" s="15">
        <v>2200</v>
      </c>
      <c r="K241" s="7">
        <v>28.7</v>
      </c>
      <c r="L241" s="7">
        <f t="shared" si="56"/>
        <v>76.655052264808361</v>
      </c>
      <c r="M241" s="5" t="s">
        <v>10</v>
      </c>
      <c r="N241" s="5">
        <v>4</v>
      </c>
      <c r="O241" s="6">
        <f t="shared" si="57"/>
        <v>8.0794959268656896</v>
      </c>
      <c r="P241" s="6">
        <f t="shared" si="58"/>
        <v>0.8402675763940316</v>
      </c>
      <c r="Q241" s="10">
        <f t="shared" si="59"/>
        <v>1.7505574508208995E-2</v>
      </c>
      <c r="R241" s="10">
        <f t="shared" si="60"/>
        <v>7.6196552828618133E-2</v>
      </c>
      <c r="S241" s="10">
        <f t="shared" si="61"/>
        <v>9.3702127336827132E-2</v>
      </c>
    </row>
    <row r="242" spans="1:19" x14ac:dyDescent="0.25">
      <c r="A242" s="5" t="s">
        <v>8</v>
      </c>
      <c r="B242" s="5" t="s">
        <v>188</v>
      </c>
      <c r="C242" s="5" t="s">
        <v>27</v>
      </c>
      <c r="D242" s="5" t="s">
        <v>385</v>
      </c>
      <c r="E242" s="5" t="s">
        <v>384</v>
      </c>
      <c r="F242" s="5" t="s">
        <v>30</v>
      </c>
      <c r="G242" s="5" t="s">
        <v>392</v>
      </c>
      <c r="H242" s="5" t="s">
        <v>40</v>
      </c>
      <c r="I242" s="5" t="s">
        <v>189</v>
      </c>
      <c r="J242" s="15">
        <v>2100</v>
      </c>
      <c r="K242" s="7">
        <v>22.2</v>
      </c>
      <c r="L242" s="7">
        <f t="shared" si="56"/>
        <v>94.594594594594597</v>
      </c>
      <c r="M242" s="5" t="s">
        <v>10</v>
      </c>
      <c r="N242" s="5">
        <v>4</v>
      </c>
      <c r="O242" s="6">
        <f t="shared" si="57"/>
        <v>11.744430241051864</v>
      </c>
      <c r="P242" s="6">
        <f t="shared" si="58"/>
        <v>1.2214207450693937</v>
      </c>
      <c r="Q242" s="10">
        <f t="shared" si="59"/>
        <v>2.5446265522279039E-2</v>
      </c>
      <c r="R242" s="10">
        <f t="shared" si="60"/>
        <v>0.1008721061659506</v>
      </c>
      <c r="S242" s="10">
        <f t="shared" si="61"/>
        <v>0.12631837168822965</v>
      </c>
    </row>
    <row r="243" spans="1:19" x14ac:dyDescent="0.25">
      <c r="A243" s="5" t="s">
        <v>8</v>
      </c>
      <c r="B243" s="5" t="s">
        <v>313</v>
      </c>
      <c r="C243" s="5" t="s">
        <v>27</v>
      </c>
      <c r="D243" s="5" t="s">
        <v>385</v>
      </c>
      <c r="E243" s="5" t="s">
        <v>384</v>
      </c>
      <c r="F243" s="5" t="s">
        <v>30</v>
      </c>
      <c r="G243" s="5" t="s">
        <v>392</v>
      </c>
      <c r="H243" s="5" t="s">
        <v>40</v>
      </c>
      <c r="I243" s="5" t="s">
        <v>314</v>
      </c>
      <c r="J243" s="15">
        <v>1910</v>
      </c>
      <c r="K243" s="7">
        <v>24</v>
      </c>
      <c r="L243" s="7">
        <f t="shared" si="56"/>
        <v>79.583333333333329</v>
      </c>
      <c r="M243" s="5" t="s">
        <v>10</v>
      </c>
      <c r="N243" s="5">
        <v>4</v>
      </c>
      <c r="O243" s="6">
        <f t="shared" si="57"/>
        <v>7.5606239149305541</v>
      </c>
      <c r="P243" s="6">
        <f t="shared" si="58"/>
        <v>0.78630488715277769</v>
      </c>
      <c r="Q243" s="10">
        <f t="shared" si="59"/>
        <v>1.6381351815682867E-2</v>
      </c>
      <c r="R243" s="10">
        <f t="shared" si="60"/>
        <v>7.2496218047525651E-2</v>
      </c>
      <c r="S243" s="10">
        <f t="shared" si="61"/>
        <v>8.8877569863208522E-2</v>
      </c>
    </row>
    <row r="244" spans="1:19" x14ac:dyDescent="0.25">
      <c r="A244" s="5" t="s">
        <v>8</v>
      </c>
      <c r="B244" s="5" t="s">
        <v>241</v>
      </c>
      <c r="C244" s="5" t="s">
        <v>27</v>
      </c>
      <c r="D244" s="5" t="s">
        <v>385</v>
      </c>
      <c r="E244" s="5" t="s">
        <v>384</v>
      </c>
      <c r="F244" s="5" t="s">
        <v>30</v>
      </c>
      <c r="G244" s="5" t="s">
        <v>392</v>
      </c>
      <c r="H244" s="5" t="s">
        <v>40</v>
      </c>
      <c r="I244" s="5" t="s">
        <v>251</v>
      </c>
      <c r="J244" s="15">
        <v>1940</v>
      </c>
      <c r="K244" s="7">
        <v>26.5</v>
      </c>
      <c r="L244" s="7">
        <f t="shared" ref="L244:L275" si="62">J244/K244</f>
        <v>73.20754716981132</v>
      </c>
      <c r="M244" s="5" t="s">
        <v>10</v>
      </c>
      <c r="N244" s="5">
        <v>4</v>
      </c>
      <c r="O244" s="6">
        <f t="shared" ref="O244:O277" si="63">(J244*L244^2)/(1.6*10^6)</f>
        <v>6.4982057671769313</v>
      </c>
      <c r="P244" s="6">
        <f t="shared" ref="P244:P277" si="64">(0.104*J244*L244^2)/(1.6*10^6)</f>
        <v>0.67581339978640087</v>
      </c>
      <c r="Q244" s="10">
        <f t="shared" ref="Q244:Q277" si="65">(0.104*O244)/(12*N244)</f>
        <v>1.4079445828883352E-2</v>
      </c>
      <c r="R244" s="10">
        <f t="shared" ref="R244:R277" si="66">0.0159*O244^0.75</f>
        <v>6.4713102102881032E-2</v>
      </c>
      <c r="S244" s="10">
        <f t="shared" ref="S244:S275" si="67">Q244+R244</f>
        <v>7.8792547931764378E-2</v>
      </c>
    </row>
    <row r="245" spans="1:19" x14ac:dyDescent="0.25">
      <c r="A245" s="5" t="s">
        <v>8</v>
      </c>
      <c r="B245" s="5" t="s">
        <v>361</v>
      </c>
      <c r="C245" s="5" t="s">
        <v>27</v>
      </c>
      <c r="D245" s="5" t="s">
        <v>385</v>
      </c>
      <c r="E245" s="5" t="s">
        <v>384</v>
      </c>
      <c r="F245" s="5" t="s">
        <v>30</v>
      </c>
      <c r="G245" s="5" t="s">
        <v>392</v>
      </c>
      <c r="H245" s="5" t="s">
        <v>40</v>
      </c>
      <c r="I245" s="5" t="s">
        <v>362</v>
      </c>
      <c r="J245" s="15">
        <v>1970</v>
      </c>
      <c r="K245" s="7">
        <v>26.9</v>
      </c>
      <c r="L245" s="7">
        <f t="shared" si="62"/>
        <v>73.234200743494426</v>
      </c>
      <c r="M245" s="5" t="s">
        <v>10</v>
      </c>
      <c r="N245" s="5">
        <v>4</v>
      </c>
      <c r="O245" s="6">
        <f t="shared" si="63"/>
        <v>6.6034992952004536</v>
      </c>
      <c r="P245" s="6">
        <f t="shared" si="64"/>
        <v>0.68676392670084707</v>
      </c>
      <c r="Q245" s="10">
        <f t="shared" si="65"/>
        <v>1.430758180626765E-2</v>
      </c>
      <c r="R245" s="10">
        <f t="shared" si="66"/>
        <v>6.5497952840159274E-2</v>
      </c>
      <c r="S245" s="10">
        <f t="shared" si="67"/>
        <v>7.9805534646426923E-2</v>
      </c>
    </row>
    <row r="246" spans="1:19" x14ac:dyDescent="0.25">
      <c r="A246" s="5" t="s">
        <v>8</v>
      </c>
      <c r="B246" s="5" t="s">
        <v>241</v>
      </c>
      <c r="C246" s="5" t="s">
        <v>27</v>
      </c>
      <c r="D246" s="5" t="s">
        <v>385</v>
      </c>
      <c r="E246" s="5" t="s">
        <v>384</v>
      </c>
      <c r="F246" s="5" t="s">
        <v>30</v>
      </c>
      <c r="G246" s="5" t="s">
        <v>392</v>
      </c>
      <c r="H246" s="5" t="s">
        <v>40</v>
      </c>
      <c r="I246" s="5" t="s">
        <v>255</v>
      </c>
      <c r="J246" s="15">
        <v>2180</v>
      </c>
      <c r="K246" s="7">
        <v>20.2</v>
      </c>
      <c r="L246" s="7">
        <f t="shared" si="62"/>
        <v>107.92079207920793</v>
      </c>
      <c r="M246" s="5" t="s">
        <v>10</v>
      </c>
      <c r="N246" s="5">
        <v>4</v>
      </c>
      <c r="O246" s="6">
        <f t="shared" si="63"/>
        <v>15.868897657092445</v>
      </c>
      <c r="P246" s="6">
        <f t="shared" si="64"/>
        <v>1.6503653563376142</v>
      </c>
      <c r="Q246" s="10">
        <f t="shared" si="65"/>
        <v>3.4382611590366964E-2</v>
      </c>
      <c r="R246" s="10">
        <f t="shared" si="66"/>
        <v>0.12641749889048123</v>
      </c>
      <c r="S246" s="10">
        <f t="shared" si="67"/>
        <v>0.16080011048084819</v>
      </c>
    </row>
    <row r="247" spans="1:19" x14ac:dyDescent="0.25">
      <c r="A247" s="5" t="s">
        <v>8</v>
      </c>
      <c r="B247" s="5" t="s">
        <v>375</v>
      </c>
      <c r="C247" s="5" t="s">
        <v>27</v>
      </c>
      <c r="D247" s="5" t="s">
        <v>385</v>
      </c>
      <c r="E247" s="5" t="s">
        <v>384</v>
      </c>
      <c r="F247" s="5" t="s">
        <v>30</v>
      </c>
      <c r="G247" s="5" t="s">
        <v>392</v>
      </c>
      <c r="H247" s="5" t="s">
        <v>40</v>
      </c>
      <c r="I247" s="5" t="s">
        <v>377</v>
      </c>
      <c r="J247" s="15">
        <v>1900</v>
      </c>
      <c r="K247" s="7">
        <v>31.8</v>
      </c>
      <c r="L247" s="7">
        <f t="shared" si="62"/>
        <v>59.748427672955977</v>
      </c>
      <c r="M247" s="5" t="s">
        <v>10</v>
      </c>
      <c r="N247" s="5">
        <v>4</v>
      </c>
      <c r="O247" s="6">
        <f t="shared" si="63"/>
        <v>4.2392260986511614</v>
      </c>
      <c r="P247" s="6">
        <f t="shared" si="64"/>
        <v>0.44087951425972072</v>
      </c>
      <c r="Q247" s="10">
        <f t="shared" si="65"/>
        <v>9.1849898804108494E-3</v>
      </c>
      <c r="R247" s="10">
        <f t="shared" si="66"/>
        <v>4.6974488465593794E-2</v>
      </c>
      <c r="S247" s="10">
        <f t="shared" si="67"/>
        <v>5.615947834600464E-2</v>
      </c>
    </row>
    <row r="248" spans="1:19" x14ac:dyDescent="0.25">
      <c r="A248" s="5" t="s">
        <v>8</v>
      </c>
      <c r="B248" s="5" t="s">
        <v>241</v>
      </c>
      <c r="C248" s="5" t="s">
        <v>27</v>
      </c>
      <c r="D248" s="5" t="s">
        <v>385</v>
      </c>
      <c r="E248" s="5" t="s">
        <v>384</v>
      </c>
      <c r="F248" s="5" t="s">
        <v>30</v>
      </c>
      <c r="G248" s="5" t="s">
        <v>392</v>
      </c>
      <c r="H248" s="5" t="s">
        <v>40</v>
      </c>
      <c r="I248" s="5" t="s">
        <v>242</v>
      </c>
      <c r="J248" s="15">
        <v>1765</v>
      </c>
      <c r="K248" s="7">
        <v>23.2</v>
      </c>
      <c r="L248" s="7">
        <f t="shared" si="62"/>
        <v>76.077586206896555</v>
      </c>
      <c r="M248" s="5" t="s">
        <v>10</v>
      </c>
      <c r="N248" s="5">
        <v>4</v>
      </c>
      <c r="O248" s="6">
        <f t="shared" si="63"/>
        <v>6.3846659076341412</v>
      </c>
      <c r="P248" s="6">
        <f t="shared" si="64"/>
        <v>0.66400525439395075</v>
      </c>
      <c r="Q248" s="10">
        <f t="shared" si="65"/>
        <v>1.3833442799873972E-2</v>
      </c>
      <c r="R248" s="10">
        <f t="shared" si="66"/>
        <v>6.3863211893944297E-2</v>
      </c>
      <c r="S248" s="10">
        <f t="shared" si="67"/>
        <v>7.7696654693818271E-2</v>
      </c>
    </row>
    <row r="249" spans="1:19" x14ac:dyDescent="0.25">
      <c r="A249" s="5" t="s">
        <v>8</v>
      </c>
      <c r="B249" s="5" t="s">
        <v>241</v>
      </c>
      <c r="C249" s="5" t="s">
        <v>27</v>
      </c>
      <c r="D249" s="5" t="s">
        <v>385</v>
      </c>
      <c r="E249" s="5" t="s">
        <v>384</v>
      </c>
      <c r="F249" s="5" t="s">
        <v>30</v>
      </c>
      <c r="G249" s="5" t="s">
        <v>392</v>
      </c>
      <c r="H249" s="5" t="s">
        <v>40</v>
      </c>
      <c r="I249" s="5" t="s">
        <v>261</v>
      </c>
      <c r="J249" s="15">
        <v>2600</v>
      </c>
      <c r="K249" s="7">
        <v>27.5</v>
      </c>
      <c r="L249" s="7">
        <f t="shared" si="62"/>
        <v>94.545454545454547</v>
      </c>
      <c r="M249" s="5" t="s">
        <v>10</v>
      </c>
      <c r="N249" s="5">
        <v>4</v>
      </c>
      <c r="O249" s="6">
        <f t="shared" si="63"/>
        <v>14.525619834710744</v>
      </c>
      <c r="P249" s="6">
        <f t="shared" si="64"/>
        <v>1.5106644628099171</v>
      </c>
      <c r="Q249" s="10">
        <f t="shared" si="65"/>
        <v>3.1472176308539941E-2</v>
      </c>
      <c r="R249" s="10">
        <f t="shared" si="66"/>
        <v>0.11830364604409564</v>
      </c>
      <c r="S249" s="10">
        <f t="shared" si="67"/>
        <v>0.14977582235263559</v>
      </c>
    </row>
    <row r="250" spans="1:19" x14ac:dyDescent="0.25">
      <c r="A250" s="5" t="s">
        <v>8</v>
      </c>
      <c r="B250" s="5" t="s">
        <v>241</v>
      </c>
      <c r="C250" s="5" t="s">
        <v>27</v>
      </c>
      <c r="D250" s="5" t="s">
        <v>385</v>
      </c>
      <c r="E250" s="5" t="s">
        <v>384</v>
      </c>
      <c r="F250" s="5" t="s">
        <v>30</v>
      </c>
      <c r="G250" s="5" t="s">
        <v>392</v>
      </c>
      <c r="H250" s="5" t="s">
        <v>40</v>
      </c>
      <c r="I250" s="5" t="s">
        <v>243</v>
      </c>
      <c r="J250" s="15">
        <v>4700</v>
      </c>
      <c r="K250" s="7">
        <v>36.4</v>
      </c>
      <c r="L250" s="7">
        <f t="shared" si="62"/>
        <v>129.12087912087912</v>
      </c>
      <c r="M250" s="5" t="s">
        <v>10</v>
      </c>
      <c r="N250" s="5">
        <v>4</v>
      </c>
      <c r="O250" s="6">
        <f t="shared" si="63"/>
        <v>48.974591685786741</v>
      </c>
      <c r="P250" s="6">
        <f t="shared" si="64"/>
        <v>5.0933575353218208</v>
      </c>
      <c r="Q250" s="10">
        <f t="shared" si="65"/>
        <v>0.1061116153192046</v>
      </c>
      <c r="R250" s="10">
        <f t="shared" si="66"/>
        <v>0.29435759247386778</v>
      </c>
      <c r="S250" s="10">
        <f t="shared" si="67"/>
        <v>0.40046920779307238</v>
      </c>
    </row>
    <row r="251" spans="1:19" x14ac:dyDescent="0.25">
      <c r="A251" s="5" t="s">
        <v>8</v>
      </c>
      <c r="B251" s="5" t="s">
        <v>241</v>
      </c>
      <c r="C251" s="5" t="s">
        <v>27</v>
      </c>
      <c r="D251" s="5" t="s">
        <v>385</v>
      </c>
      <c r="E251" s="5" t="s">
        <v>384</v>
      </c>
      <c r="F251" s="5" t="s">
        <v>30</v>
      </c>
      <c r="G251" s="5" t="s">
        <v>392</v>
      </c>
      <c r="H251" s="5" t="s">
        <v>40</v>
      </c>
      <c r="I251" s="5" t="s">
        <v>244</v>
      </c>
      <c r="J251" s="15">
        <v>1500</v>
      </c>
      <c r="K251" s="7">
        <v>23</v>
      </c>
      <c r="L251" s="7">
        <f t="shared" si="62"/>
        <v>65.217391304347828</v>
      </c>
      <c r="M251" s="5" t="s">
        <v>10</v>
      </c>
      <c r="N251" s="5">
        <v>4</v>
      </c>
      <c r="O251" s="6">
        <f t="shared" si="63"/>
        <v>3.9874763705103979</v>
      </c>
      <c r="P251" s="6">
        <f t="shared" si="64"/>
        <v>0.41469754253308139</v>
      </c>
      <c r="Q251" s="10">
        <f t="shared" si="65"/>
        <v>8.6395321361058628E-3</v>
      </c>
      <c r="R251" s="10">
        <f t="shared" si="66"/>
        <v>4.4866347546259483E-2</v>
      </c>
      <c r="S251" s="10">
        <f t="shared" si="67"/>
        <v>5.3505879682365344E-2</v>
      </c>
    </row>
    <row r="252" spans="1:19" x14ac:dyDescent="0.25">
      <c r="A252" s="5" t="s">
        <v>22</v>
      </c>
      <c r="B252" s="5" t="s">
        <v>63</v>
      </c>
      <c r="C252" s="5" t="s">
        <v>27</v>
      </c>
      <c r="D252" s="5" t="s">
        <v>385</v>
      </c>
      <c r="E252" s="5" t="s">
        <v>384</v>
      </c>
      <c r="F252" s="5" t="s">
        <v>30</v>
      </c>
      <c r="G252" s="5" t="s">
        <v>392</v>
      </c>
      <c r="H252" s="5" t="s">
        <v>40</v>
      </c>
      <c r="I252" s="5" t="s">
        <v>65</v>
      </c>
      <c r="J252" s="15">
        <v>2200</v>
      </c>
      <c r="K252" s="7">
        <v>27</v>
      </c>
      <c r="L252" s="7">
        <f t="shared" si="62"/>
        <v>81.481481481481481</v>
      </c>
      <c r="M252" s="5" t="s">
        <v>10</v>
      </c>
      <c r="N252" s="5">
        <v>4</v>
      </c>
      <c r="O252" s="6">
        <f t="shared" si="63"/>
        <v>9.1289437585733886</v>
      </c>
      <c r="P252" s="6">
        <f t="shared" si="64"/>
        <v>0.94941015089163217</v>
      </c>
      <c r="Q252" s="10">
        <f t="shared" si="65"/>
        <v>1.9779378143575676E-2</v>
      </c>
      <c r="R252" s="10">
        <f t="shared" si="66"/>
        <v>8.3505008186665314E-2</v>
      </c>
      <c r="S252" s="10">
        <f t="shared" si="67"/>
        <v>0.10328438633024099</v>
      </c>
    </row>
    <row r="253" spans="1:19" x14ac:dyDescent="0.25">
      <c r="A253" s="5" t="s">
        <v>22</v>
      </c>
      <c r="B253" s="5" t="s">
        <v>26</v>
      </c>
      <c r="C253" s="5" t="s">
        <v>27</v>
      </c>
      <c r="D253" s="5" t="s">
        <v>385</v>
      </c>
      <c r="E253" s="5" t="s">
        <v>384</v>
      </c>
      <c r="F253" s="5" t="s">
        <v>30</v>
      </c>
      <c r="G253" s="5" t="s">
        <v>392</v>
      </c>
      <c r="H253" s="5" t="s">
        <v>40</v>
      </c>
      <c r="I253" s="5" t="s">
        <v>42</v>
      </c>
      <c r="J253" s="15">
        <v>2600</v>
      </c>
      <c r="K253" s="7">
        <v>29</v>
      </c>
      <c r="L253" s="7">
        <f t="shared" si="62"/>
        <v>89.65517241379311</v>
      </c>
      <c r="M253" s="5" t="s">
        <v>10</v>
      </c>
      <c r="N253" s="5">
        <v>4</v>
      </c>
      <c r="O253" s="6">
        <f t="shared" si="63"/>
        <v>13.061831153388825</v>
      </c>
      <c r="P253" s="6">
        <f t="shared" si="64"/>
        <v>1.3584304399524376</v>
      </c>
      <c r="Q253" s="10">
        <f t="shared" si="65"/>
        <v>2.8300634165675787E-2</v>
      </c>
      <c r="R253" s="10">
        <f t="shared" si="66"/>
        <v>0.10924464894421673</v>
      </c>
      <c r="S253" s="10">
        <f t="shared" si="67"/>
        <v>0.13754528310989253</v>
      </c>
    </row>
    <row r="254" spans="1:19" x14ac:dyDescent="0.25">
      <c r="A254" s="5" t="s">
        <v>8</v>
      </c>
      <c r="B254" s="5" t="s">
        <v>188</v>
      </c>
      <c r="C254" s="5" t="s">
        <v>27</v>
      </c>
      <c r="D254" s="5" t="s">
        <v>385</v>
      </c>
      <c r="E254" s="5" t="s">
        <v>384</v>
      </c>
      <c r="F254" s="5" t="s">
        <v>30</v>
      </c>
      <c r="G254" s="5" t="s">
        <v>392</v>
      </c>
      <c r="H254" s="5" t="s">
        <v>40</v>
      </c>
      <c r="I254" s="5" t="s">
        <v>42</v>
      </c>
      <c r="J254" s="15">
        <v>2100</v>
      </c>
      <c r="K254" s="7">
        <v>21.8</v>
      </c>
      <c r="L254" s="7">
        <f t="shared" si="62"/>
        <v>96.330275229357795</v>
      </c>
      <c r="M254" s="5" t="s">
        <v>10</v>
      </c>
      <c r="N254" s="5">
        <v>4</v>
      </c>
      <c r="O254" s="6">
        <f t="shared" si="63"/>
        <v>12.179372527565018</v>
      </c>
      <c r="P254" s="6">
        <f t="shared" si="64"/>
        <v>1.2666547428667618</v>
      </c>
      <c r="Q254" s="10">
        <f t="shared" si="65"/>
        <v>2.6388640476390873E-2</v>
      </c>
      <c r="R254" s="10">
        <f t="shared" si="66"/>
        <v>0.10366109929063344</v>
      </c>
      <c r="S254" s="10">
        <f t="shared" si="67"/>
        <v>0.1300497397670243</v>
      </c>
    </row>
    <row r="255" spans="1:19" x14ac:dyDescent="0.25">
      <c r="A255" s="5" t="s">
        <v>8</v>
      </c>
      <c r="B255" s="5" t="s">
        <v>188</v>
      </c>
      <c r="C255" s="5" t="s">
        <v>27</v>
      </c>
      <c r="D255" s="5" t="s">
        <v>385</v>
      </c>
      <c r="E255" s="5" t="s">
        <v>384</v>
      </c>
      <c r="F255" s="5" t="s">
        <v>30</v>
      </c>
      <c r="G255" s="5" t="s">
        <v>392</v>
      </c>
      <c r="H255" s="5" t="s">
        <v>40</v>
      </c>
      <c r="I255" s="5" t="s">
        <v>42</v>
      </c>
      <c r="J255" s="15">
        <v>2700</v>
      </c>
      <c r="K255" s="7">
        <v>24.6</v>
      </c>
      <c r="L255" s="7">
        <f t="shared" si="62"/>
        <v>109.7560975609756</v>
      </c>
      <c r="M255" s="5" t="s">
        <v>10</v>
      </c>
      <c r="N255" s="5">
        <v>4</v>
      </c>
      <c r="O255" s="6">
        <f t="shared" si="63"/>
        <v>20.328301606186795</v>
      </c>
      <c r="P255" s="6">
        <f t="shared" si="64"/>
        <v>2.1141433670434266</v>
      </c>
      <c r="Q255" s="10">
        <f t="shared" si="65"/>
        <v>4.4044653480071388E-2</v>
      </c>
      <c r="R255" s="10">
        <f t="shared" si="66"/>
        <v>0.15222043056323636</v>
      </c>
      <c r="S255" s="10">
        <f t="shared" si="67"/>
        <v>0.19626508404330775</v>
      </c>
    </row>
    <row r="256" spans="1:19" x14ac:dyDescent="0.25">
      <c r="A256" s="5" t="s">
        <v>8</v>
      </c>
      <c r="B256" s="5" t="s">
        <v>241</v>
      </c>
      <c r="C256" s="5" t="s">
        <v>27</v>
      </c>
      <c r="D256" s="5" t="s">
        <v>385</v>
      </c>
      <c r="E256" s="5" t="s">
        <v>384</v>
      </c>
      <c r="F256" s="5" t="s">
        <v>30</v>
      </c>
      <c r="G256" s="5" t="s">
        <v>392</v>
      </c>
      <c r="H256" s="5" t="s">
        <v>40</v>
      </c>
      <c r="I256" s="5" t="s">
        <v>42</v>
      </c>
      <c r="J256" s="15">
        <v>2200</v>
      </c>
      <c r="K256" s="7">
        <v>29</v>
      </c>
      <c r="L256" s="7">
        <f t="shared" si="62"/>
        <v>75.862068965517238</v>
      </c>
      <c r="M256" s="5" t="s">
        <v>10</v>
      </c>
      <c r="N256" s="5">
        <v>4</v>
      </c>
      <c r="O256" s="6">
        <f t="shared" si="63"/>
        <v>7.9131985731272296</v>
      </c>
      <c r="P256" s="6">
        <f t="shared" si="64"/>
        <v>0.82297265160523181</v>
      </c>
      <c r="Q256" s="10">
        <f t="shared" si="65"/>
        <v>1.7145263575108996E-2</v>
      </c>
      <c r="R256" s="10">
        <f t="shared" si="66"/>
        <v>7.501725564715013E-2</v>
      </c>
      <c r="S256" s="10">
        <f t="shared" si="67"/>
        <v>9.2162519222259126E-2</v>
      </c>
    </row>
    <row r="257" spans="1:19" x14ac:dyDescent="0.25">
      <c r="A257" s="5" t="s">
        <v>8</v>
      </c>
      <c r="B257" s="5" t="s">
        <v>339</v>
      </c>
      <c r="C257" s="5" t="s">
        <v>27</v>
      </c>
      <c r="D257" s="5" t="s">
        <v>385</v>
      </c>
      <c r="E257" s="5" t="s">
        <v>384</v>
      </c>
      <c r="F257" s="5" t="s">
        <v>30</v>
      </c>
      <c r="G257" s="5" t="s">
        <v>392</v>
      </c>
      <c r="H257" s="5" t="s">
        <v>40</v>
      </c>
      <c r="I257" s="5" t="s">
        <v>42</v>
      </c>
      <c r="J257" s="15">
        <v>1750</v>
      </c>
      <c r="K257" s="7">
        <v>18.899999999999999</v>
      </c>
      <c r="L257" s="7">
        <f t="shared" si="62"/>
        <v>92.592592592592595</v>
      </c>
      <c r="M257" s="5" t="s">
        <v>10</v>
      </c>
      <c r="N257" s="5">
        <v>4</v>
      </c>
      <c r="O257" s="6">
        <f t="shared" si="63"/>
        <v>9.3771433470507564</v>
      </c>
      <c r="P257" s="6">
        <f t="shared" si="64"/>
        <v>0.9752229080932785</v>
      </c>
      <c r="Q257" s="10">
        <f t="shared" si="65"/>
        <v>2.0317143918609972E-2</v>
      </c>
      <c r="R257" s="10">
        <f t="shared" si="66"/>
        <v>8.5202049293344517E-2</v>
      </c>
      <c r="S257" s="10">
        <f t="shared" si="67"/>
        <v>0.10551919321195449</v>
      </c>
    </row>
    <row r="258" spans="1:19" x14ac:dyDescent="0.25">
      <c r="A258" s="5" t="s">
        <v>8</v>
      </c>
      <c r="B258" s="5" t="s">
        <v>372</v>
      </c>
      <c r="C258" s="5" t="s">
        <v>27</v>
      </c>
      <c r="D258" s="5" t="s">
        <v>385</v>
      </c>
      <c r="E258" s="5" t="s">
        <v>384</v>
      </c>
      <c r="F258" s="5" t="s">
        <v>30</v>
      </c>
      <c r="G258" s="5" t="s">
        <v>392</v>
      </c>
      <c r="H258" s="5" t="s">
        <v>40</v>
      </c>
      <c r="I258" s="5" t="s">
        <v>42</v>
      </c>
      <c r="J258" s="15">
        <v>2260</v>
      </c>
      <c r="K258" s="7">
        <v>32.5</v>
      </c>
      <c r="L258" s="7">
        <f t="shared" si="62"/>
        <v>69.538461538461533</v>
      </c>
      <c r="M258" s="5" t="s">
        <v>10</v>
      </c>
      <c r="N258" s="5">
        <v>4</v>
      </c>
      <c r="O258" s="6">
        <f t="shared" si="63"/>
        <v>6.8302816568047318</v>
      </c>
      <c r="P258" s="6">
        <f t="shared" si="64"/>
        <v>0.71034929230769206</v>
      </c>
      <c r="Q258" s="10">
        <f t="shared" si="65"/>
        <v>1.4798943589743584E-2</v>
      </c>
      <c r="R258" s="10">
        <f t="shared" si="66"/>
        <v>6.7177847468393184E-2</v>
      </c>
      <c r="S258" s="10">
        <f t="shared" si="67"/>
        <v>8.1976791058136766E-2</v>
      </c>
    </row>
    <row r="259" spans="1:19" x14ac:dyDescent="0.25">
      <c r="A259" s="5" t="s">
        <v>8</v>
      </c>
      <c r="B259" s="5" t="s">
        <v>241</v>
      </c>
      <c r="C259" s="5" t="s">
        <v>27</v>
      </c>
      <c r="D259" s="5" t="s">
        <v>385</v>
      </c>
      <c r="E259" s="5" t="s">
        <v>384</v>
      </c>
      <c r="F259" s="5" t="s">
        <v>30</v>
      </c>
      <c r="G259" s="5" t="s">
        <v>392</v>
      </c>
      <c r="H259" s="5" t="s">
        <v>40</v>
      </c>
      <c r="I259" s="5" t="s">
        <v>248</v>
      </c>
      <c r="J259" s="15">
        <v>2250</v>
      </c>
      <c r="K259" s="7">
        <v>26.5</v>
      </c>
      <c r="L259" s="7">
        <f t="shared" si="62"/>
        <v>84.905660377358487</v>
      </c>
      <c r="M259" s="5" t="s">
        <v>10</v>
      </c>
      <c r="N259" s="5">
        <v>4</v>
      </c>
      <c r="O259" s="6">
        <f t="shared" si="63"/>
        <v>10.1376156995372</v>
      </c>
      <c r="P259" s="6">
        <f t="shared" si="64"/>
        <v>1.0543120327518689</v>
      </c>
      <c r="Q259" s="10">
        <f t="shared" si="65"/>
        <v>2.1964834015663931E-2</v>
      </c>
      <c r="R259" s="10">
        <f t="shared" si="66"/>
        <v>9.033353218570736E-2</v>
      </c>
      <c r="S259" s="10">
        <f t="shared" si="67"/>
        <v>0.11229836620137129</v>
      </c>
    </row>
    <row r="260" spans="1:19" x14ac:dyDescent="0.25">
      <c r="A260" s="5" t="s">
        <v>8</v>
      </c>
      <c r="B260" s="5" t="s">
        <v>241</v>
      </c>
      <c r="C260" s="5" t="s">
        <v>27</v>
      </c>
      <c r="D260" s="5" t="s">
        <v>385</v>
      </c>
      <c r="E260" s="5" t="s">
        <v>384</v>
      </c>
      <c r="F260" s="5" t="s">
        <v>30</v>
      </c>
      <c r="G260" s="5" t="s">
        <v>392</v>
      </c>
      <c r="H260" s="5" t="s">
        <v>40</v>
      </c>
      <c r="I260" s="5" t="s">
        <v>256</v>
      </c>
      <c r="J260" s="15">
        <v>2435</v>
      </c>
      <c r="K260" s="7">
        <v>30.5</v>
      </c>
      <c r="L260" s="7">
        <f t="shared" si="62"/>
        <v>79.836065573770497</v>
      </c>
      <c r="M260" s="5" t="s">
        <v>10</v>
      </c>
      <c r="N260" s="5">
        <v>4</v>
      </c>
      <c r="O260" s="6">
        <f t="shared" si="63"/>
        <v>9.7001228668368729</v>
      </c>
      <c r="P260" s="6">
        <f t="shared" si="64"/>
        <v>1.0088127781510348</v>
      </c>
      <c r="Q260" s="10">
        <f t="shared" si="65"/>
        <v>2.1016932878146558E-2</v>
      </c>
      <c r="R260" s="10">
        <f t="shared" si="66"/>
        <v>8.7393684760953466E-2</v>
      </c>
      <c r="S260" s="10">
        <f t="shared" si="67"/>
        <v>0.10841061763910002</v>
      </c>
    </row>
    <row r="261" spans="1:19" x14ac:dyDescent="0.25">
      <c r="A261" s="5" t="s">
        <v>8</v>
      </c>
      <c r="B261" s="5" t="s">
        <v>289</v>
      </c>
      <c r="C261" s="5" t="s">
        <v>27</v>
      </c>
      <c r="D261" s="5" t="s">
        <v>385</v>
      </c>
      <c r="E261" s="5" t="s">
        <v>384</v>
      </c>
      <c r="F261" s="5" t="s">
        <v>30</v>
      </c>
      <c r="G261" s="5" t="s">
        <v>392</v>
      </c>
      <c r="H261" s="5" t="s">
        <v>40</v>
      </c>
      <c r="I261" s="5" t="s">
        <v>256</v>
      </c>
      <c r="J261" s="15">
        <v>2718</v>
      </c>
      <c r="K261" s="7">
        <v>23.1</v>
      </c>
      <c r="L261" s="7">
        <f t="shared" si="62"/>
        <v>117.66233766233765</v>
      </c>
      <c r="M261" s="5" t="s">
        <v>10</v>
      </c>
      <c r="N261" s="5">
        <v>4</v>
      </c>
      <c r="O261" s="6">
        <f t="shared" si="63"/>
        <v>23.518218164951929</v>
      </c>
      <c r="P261" s="6">
        <f t="shared" si="64"/>
        <v>2.4458946891549997</v>
      </c>
      <c r="Q261" s="10">
        <f t="shared" si="65"/>
        <v>5.0956139357395847E-2</v>
      </c>
      <c r="R261" s="10">
        <f t="shared" si="66"/>
        <v>0.16980498484927839</v>
      </c>
      <c r="S261" s="10">
        <f t="shared" si="67"/>
        <v>0.22076112420667424</v>
      </c>
    </row>
    <row r="262" spans="1:19" x14ac:dyDescent="0.25">
      <c r="A262" s="5" t="s">
        <v>8</v>
      </c>
      <c r="B262" s="5" t="s">
        <v>290</v>
      </c>
      <c r="C262" s="5" t="s">
        <v>27</v>
      </c>
      <c r="D262" s="5" t="s">
        <v>385</v>
      </c>
      <c r="E262" s="5" t="s">
        <v>384</v>
      </c>
      <c r="F262" s="5" t="s">
        <v>30</v>
      </c>
      <c r="G262" s="5" t="s">
        <v>392</v>
      </c>
      <c r="H262" s="5" t="s">
        <v>40</v>
      </c>
      <c r="I262" s="5" t="s">
        <v>256</v>
      </c>
      <c r="J262" s="15">
        <v>2452</v>
      </c>
      <c r="K262" s="7">
        <v>30</v>
      </c>
      <c r="L262" s="7">
        <f t="shared" si="62"/>
        <v>81.733333333333334</v>
      </c>
      <c r="M262" s="5" t="s">
        <v>10</v>
      </c>
      <c r="N262" s="5">
        <v>4</v>
      </c>
      <c r="O262" s="6">
        <f t="shared" si="63"/>
        <v>10.237617644444445</v>
      </c>
      <c r="P262" s="6">
        <f t="shared" si="64"/>
        <v>1.0647122350222222</v>
      </c>
      <c r="Q262" s="10">
        <f t="shared" si="65"/>
        <v>2.2181504896296295E-2</v>
      </c>
      <c r="R262" s="10">
        <f t="shared" si="66"/>
        <v>9.1001029050637408E-2</v>
      </c>
      <c r="S262" s="10">
        <f t="shared" si="67"/>
        <v>0.1131825339469337</v>
      </c>
    </row>
    <row r="263" spans="1:19" x14ac:dyDescent="0.25">
      <c r="A263" s="5" t="s">
        <v>8</v>
      </c>
      <c r="B263" s="5" t="s">
        <v>375</v>
      </c>
      <c r="C263" s="5" t="s">
        <v>27</v>
      </c>
      <c r="D263" s="5" t="s">
        <v>385</v>
      </c>
      <c r="E263" s="5" t="s">
        <v>384</v>
      </c>
      <c r="F263" s="5" t="s">
        <v>30</v>
      </c>
      <c r="G263" s="5" t="s">
        <v>392</v>
      </c>
      <c r="H263" s="5" t="s">
        <v>40</v>
      </c>
      <c r="I263" s="5" t="s">
        <v>376</v>
      </c>
      <c r="J263" s="15">
        <v>2200</v>
      </c>
      <c r="K263" s="7">
        <v>31.5</v>
      </c>
      <c r="L263" s="7">
        <f t="shared" si="62"/>
        <v>69.841269841269835</v>
      </c>
      <c r="M263" s="5" t="s">
        <v>10</v>
      </c>
      <c r="N263" s="5">
        <v>4</v>
      </c>
      <c r="O263" s="6">
        <f t="shared" si="63"/>
        <v>6.706979087931467</v>
      </c>
      <c r="P263" s="6">
        <f t="shared" si="64"/>
        <v>0.69752582514487249</v>
      </c>
      <c r="Q263" s="10">
        <f t="shared" si="65"/>
        <v>1.453178802385151E-2</v>
      </c>
      <c r="R263" s="10">
        <f t="shared" si="66"/>
        <v>6.626624143790244E-2</v>
      </c>
      <c r="S263" s="10">
        <f t="shared" si="67"/>
        <v>8.0798029461753948E-2</v>
      </c>
    </row>
    <row r="264" spans="1:19" x14ac:dyDescent="0.25">
      <c r="A264" s="5" t="s">
        <v>8</v>
      </c>
      <c r="B264" s="5" t="s">
        <v>241</v>
      </c>
      <c r="C264" s="5" t="s">
        <v>27</v>
      </c>
      <c r="D264" s="5" t="s">
        <v>385</v>
      </c>
      <c r="E264" s="5" t="s">
        <v>384</v>
      </c>
      <c r="F264" s="5" t="s">
        <v>30</v>
      </c>
      <c r="G264" s="5" t="s">
        <v>392</v>
      </c>
      <c r="H264" s="5" t="s">
        <v>40</v>
      </c>
      <c r="I264" s="5" t="s">
        <v>259</v>
      </c>
      <c r="J264" s="15">
        <v>2120</v>
      </c>
      <c r="K264" s="7">
        <v>28</v>
      </c>
      <c r="L264" s="7">
        <f t="shared" si="62"/>
        <v>75.714285714285708</v>
      </c>
      <c r="M264" s="5" t="s">
        <v>10</v>
      </c>
      <c r="N264" s="5">
        <v>4</v>
      </c>
      <c r="O264" s="6">
        <f t="shared" si="63"/>
        <v>7.5957653061224475</v>
      </c>
      <c r="P264" s="6">
        <f t="shared" si="64"/>
        <v>0.78995959183673448</v>
      </c>
      <c r="Q264" s="10">
        <f t="shared" si="65"/>
        <v>1.6457491496598635E-2</v>
      </c>
      <c r="R264" s="10">
        <f t="shared" si="66"/>
        <v>7.2748790523327542E-2</v>
      </c>
      <c r="S264" s="10">
        <f t="shared" si="67"/>
        <v>8.920628201992617E-2</v>
      </c>
    </row>
    <row r="265" spans="1:19" x14ac:dyDescent="0.25">
      <c r="A265" s="5" t="s">
        <v>8</v>
      </c>
      <c r="B265" s="5" t="s">
        <v>241</v>
      </c>
      <c r="C265" s="5" t="s">
        <v>27</v>
      </c>
      <c r="D265" s="5" t="s">
        <v>385</v>
      </c>
      <c r="E265" s="5" t="s">
        <v>384</v>
      </c>
      <c r="F265" s="5" t="s">
        <v>30</v>
      </c>
      <c r="G265" s="5" t="s">
        <v>392</v>
      </c>
      <c r="H265" s="5" t="s">
        <v>40</v>
      </c>
      <c r="I265" s="5" t="s">
        <v>50</v>
      </c>
      <c r="J265" s="15">
        <v>1960</v>
      </c>
      <c r="K265" s="7">
        <v>26.5</v>
      </c>
      <c r="L265" s="7">
        <f t="shared" si="62"/>
        <v>73.962264150943398</v>
      </c>
      <c r="M265" s="5" t="s">
        <v>10</v>
      </c>
      <c r="N265" s="5">
        <v>4</v>
      </c>
      <c r="O265" s="6">
        <f t="shared" si="63"/>
        <v>6.7012602349590606</v>
      </c>
      <c r="P265" s="6">
        <f t="shared" si="64"/>
        <v>0.69693106443574226</v>
      </c>
      <c r="Q265" s="10">
        <f t="shared" si="65"/>
        <v>1.4519397175744631E-2</v>
      </c>
      <c r="R265" s="10">
        <f t="shared" si="66"/>
        <v>6.62238593952931E-2</v>
      </c>
      <c r="S265" s="10">
        <f t="shared" si="67"/>
        <v>8.074325657103773E-2</v>
      </c>
    </row>
    <row r="266" spans="1:19" x14ac:dyDescent="0.25">
      <c r="A266" s="5" t="s">
        <v>8</v>
      </c>
      <c r="B266" s="5" t="s">
        <v>241</v>
      </c>
      <c r="C266" s="5" t="s">
        <v>27</v>
      </c>
      <c r="D266" s="5" t="s">
        <v>385</v>
      </c>
      <c r="E266" s="5" t="s">
        <v>384</v>
      </c>
      <c r="F266" s="5" t="s">
        <v>30</v>
      </c>
      <c r="G266" s="5" t="s">
        <v>392</v>
      </c>
      <c r="H266" s="5" t="s">
        <v>40</v>
      </c>
      <c r="I266" s="5" t="s">
        <v>246</v>
      </c>
      <c r="J266" s="15">
        <v>1545</v>
      </c>
      <c r="K266" s="7">
        <v>20.5</v>
      </c>
      <c r="L266" s="7">
        <f t="shared" si="62"/>
        <v>75.365853658536579</v>
      </c>
      <c r="M266" s="5" t="s">
        <v>10</v>
      </c>
      <c r="N266" s="5">
        <v>4</v>
      </c>
      <c r="O266" s="6">
        <f t="shared" si="63"/>
        <v>5.4847614886972025</v>
      </c>
      <c r="P266" s="6">
        <f t="shared" si="64"/>
        <v>0.5704151948245092</v>
      </c>
      <c r="Q266" s="10">
        <f t="shared" si="65"/>
        <v>1.1883649892177273E-2</v>
      </c>
      <c r="R266" s="10">
        <f t="shared" si="66"/>
        <v>5.6985640531587591E-2</v>
      </c>
      <c r="S266" s="10">
        <f t="shared" si="67"/>
        <v>6.8869290423764856E-2</v>
      </c>
    </row>
    <row r="267" spans="1:19" x14ac:dyDescent="0.25">
      <c r="A267" s="5" t="s">
        <v>8</v>
      </c>
      <c r="B267" s="5" t="s">
        <v>241</v>
      </c>
      <c r="C267" s="5" t="s">
        <v>27</v>
      </c>
      <c r="D267" s="5" t="s">
        <v>385</v>
      </c>
      <c r="E267" s="5" t="s">
        <v>384</v>
      </c>
      <c r="F267" s="5" t="s">
        <v>30</v>
      </c>
      <c r="G267" s="5" t="s">
        <v>392</v>
      </c>
      <c r="H267" s="5" t="s">
        <v>40</v>
      </c>
      <c r="I267" s="5" t="s">
        <v>262</v>
      </c>
      <c r="J267" s="15">
        <v>2320</v>
      </c>
      <c r="K267" s="7">
        <v>28.5</v>
      </c>
      <c r="L267" s="7">
        <f t="shared" si="62"/>
        <v>81.403508771929822</v>
      </c>
      <c r="M267" s="5" t="s">
        <v>10</v>
      </c>
      <c r="N267" s="5">
        <v>4</v>
      </c>
      <c r="O267" s="6">
        <f t="shared" si="63"/>
        <v>9.6084702985533994</v>
      </c>
      <c r="P267" s="6">
        <f t="shared" si="64"/>
        <v>0.99928091104955352</v>
      </c>
      <c r="Q267" s="10">
        <f t="shared" si="65"/>
        <v>2.0818352313532365E-2</v>
      </c>
      <c r="R267" s="10">
        <f t="shared" si="66"/>
        <v>8.6773639521385768E-2</v>
      </c>
      <c r="S267" s="10">
        <f t="shared" si="67"/>
        <v>0.10759199183491813</v>
      </c>
    </row>
    <row r="268" spans="1:19" x14ac:dyDescent="0.25">
      <c r="A268" s="5" t="s">
        <v>22</v>
      </c>
      <c r="B268" s="5" t="s">
        <v>26</v>
      </c>
      <c r="C268" s="5" t="s">
        <v>27</v>
      </c>
      <c r="D268" s="5" t="s">
        <v>385</v>
      </c>
      <c r="E268" s="5" t="s">
        <v>384</v>
      </c>
      <c r="F268" s="5" t="s">
        <v>30</v>
      </c>
      <c r="G268" s="5" t="s">
        <v>392</v>
      </c>
      <c r="H268" s="5" t="s">
        <v>40</v>
      </c>
      <c r="I268" s="5" t="s">
        <v>43</v>
      </c>
      <c r="J268" s="15">
        <v>2000</v>
      </c>
      <c r="K268" s="7">
        <v>31.5</v>
      </c>
      <c r="L268" s="7">
        <f t="shared" si="62"/>
        <v>63.492063492063494</v>
      </c>
      <c r="M268" s="5" t="s">
        <v>10</v>
      </c>
      <c r="N268" s="5">
        <v>4</v>
      </c>
      <c r="O268" s="6">
        <f t="shared" si="63"/>
        <v>5.0390526581002772</v>
      </c>
      <c r="P268" s="6">
        <f t="shared" si="64"/>
        <v>0.52406147644242884</v>
      </c>
      <c r="Q268" s="10">
        <f t="shared" si="65"/>
        <v>1.0917947425883935E-2</v>
      </c>
      <c r="R268" s="10">
        <f t="shared" si="66"/>
        <v>5.34759855037336E-2</v>
      </c>
      <c r="S268" s="10">
        <f t="shared" si="67"/>
        <v>6.4393932929617537E-2</v>
      </c>
    </row>
    <row r="269" spans="1:19" x14ac:dyDescent="0.25">
      <c r="A269" s="5" t="s">
        <v>8</v>
      </c>
      <c r="B269" s="5" t="s">
        <v>241</v>
      </c>
      <c r="C269" s="5" t="s">
        <v>27</v>
      </c>
      <c r="D269" s="5" t="s">
        <v>385</v>
      </c>
      <c r="E269" s="5" t="s">
        <v>384</v>
      </c>
      <c r="F269" s="5" t="s">
        <v>30</v>
      </c>
      <c r="G269" s="5" t="s">
        <v>392</v>
      </c>
      <c r="H269" s="5" t="s">
        <v>40</v>
      </c>
      <c r="I269" s="5" t="s">
        <v>43</v>
      </c>
      <c r="J269" s="15">
        <v>1850</v>
      </c>
      <c r="K269" s="7">
        <v>32</v>
      </c>
      <c r="L269" s="7">
        <f t="shared" si="62"/>
        <v>57.8125</v>
      </c>
      <c r="M269" s="5" t="s">
        <v>10</v>
      </c>
      <c r="N269" s="5">
        <v>4</v>
      </c>
      <c r="O269" s="6">
        <f t="shared" si="63"/>
        <v>3.8645172119140625</v>
      </c>
      <c r="P269" s="6">
        <f t="shared" si="64"/>
        <v>0.40190979003906241</v>
      </c>
      <c r="Q269" s="10">
        <f t="shared" si="65"/>
        <v>8.3731206258138013E-3</v>
      </c>
      <c r="R269" s="10">
        <f t="shared" si="66"/>
        <v>4.3824660334541701E-2</v>
      </c>
      <c r="S269" s="10">
        <f t="shared" si="67"/>
        <v>5.2197780960355503E-2</v>
      </c>
    </row>
    <row r="270" spans="1:19" x14ac:dyDescent="0.25">
      <c r="A270" s="5" t="s">
        <v>8</v>
      </c>
      <c r="B270" s="5" t="s">
        <v>241</v>
      </c>
      <c r="C270" s="5" t="s">
        <v>27</v>
      </c>
      <c r="D270" s="5" t="s">
        <v>385</v>
      </c>
      <c r="E270" s="5" t="s">
        <v>384</v>
      </c>
      <c r="F270" s="5" t="s">
        <v>30</v>
      </c>
      <c r="G270" s="5" t="s">
        <v>392</v>
      </c>
      <c r="H270" s="5" t="s">
        <v>40</v>
      </c>
      <c r="I270" s="5" t="s">
        <v>263</v>
      </c>
      <c r="J270" s="15">
        <v>2260</v>
      </c>
      <c r="K270" s="7">
        <v>33.200000000000003</v>
      </c>
      <c r="L270" s="7">
        <f t="shared" si="62"/>
        <v>68.072289156626496</v>
      </c>
      <c r="M270" s="5" t="s">
        <v>10</v>
      </c>
      <c r="N270" s="5">
        <v>4</v>
      </c>
      <c r="O270" s="6">
        <f t="shared" si="63"/>
        <v>6.5452941283205082</v>
      </c>
      <c r="P270" s="6">
        <f t="shared" si="64"/>
        <v>0.68071058934533279</v>
      </c>
      <c r="Q270" s="10">
        <f t="shared" si="65"/>
        <v>1.41814706113611E-2</v>
      </c>
      <c r="R270" s="10">
        <f t="shared" si="66"/>
        <v>6.506448548789423E-2</v>
      </c>
      <c r="S270" s="10">
        <f t="shared" si="67"/>
        <v>7.9245956099255332E-2</v>
      </c>
    </row>
    <row r="271" spans="1:19" x14ac:dyDescent="0.25">
      <c r="A271" s="5" t="s">
        <v>22</v>
      </c>
      <c r="B271" s="5" t="s">
        <v>26</v>
      </c>
      <c r="C271" s="5" t="s">
        <v>27</v>
      </c>
      <c r="D271" s="5" t="s">
        <v>385</v>
      </c>
      <c r="E271" s="5" t="s">
        <v>384</v>
      </c>
      <c r="F271" s="5" t="s">
        <v>30</v>
      </c>
      <c r="G271" s="5" t="s">
        <v>392</v>
      </c>
      <c r="H271" s="5" t="s">
        <v>40</v>
      </c>
      <c r="I271" s="5" t="s">
        <v>44</v>
      </c>
      <c r="J271" s="15">
        <v>3400</v>
      </c>
      <c r="K271" s="7">
        <v>35</v>
      </c>
      <c r="L271" s="7">
        <f t="shared" si="62"/>
        <v>97.142857142857139</v>
      </c>
      <c r="M271" s="5" t="s">
        <v>10</v>
      </c>
      <c r="N271" s="5">
        <v>4</v>
      </c>
      <c r="O271" s="6">
        <f t="shared" si="63"/>
        <v>20.053061224489795</v>
      </c>
      <c r="P271" s="6">
        <f t="shared" si="64"/>
        <v>2.0855183673469386</v>
      </c>
      <c r="Q271" s="10">
        <f t="shared" si="65"/>
        <v>4.3448299319727886E-2</v>
      </c>
      <c r="R271" s="10">
        <f t="shared" si="66"/>
        <v>0.15067202812691205</v>
      </c>
      <c r="S271" s="10">
        <f t="shared" si="67"/>
        <v>0.19412032744663993</v>
      </c>
    </row>
    <row r="272" spans="1:19" x14ac:dyDescent="0.25">
      <c r="A272" s="5" t="s">
        <v>8</v>
      </c>
      <c r="B272" s="5" t="s">
        <v>241</v>
      </c>
      <c r="C272" s="5" t="s">
        <v>27</v>
      </c>
      <c r="D272" s="5" t="s">
        <v>385</v>
      </c>
      <c r="E272" s="5" t="s">
        <v>384</v>
      </c>
      <c r="F272" s="5" t="s">
        <v>30</v>
      </c>
      <c r="G272" s="5" t="s">
        <v>392</v>
      </c>
      <c r="H272" s="5" t="s">
        <v>40</v>
      </c>
      <c r="I272" s="5" t="s">
        <v>44</v>
      </c>
      <c r="J272" s="15">
        <v>3250</v>
      </c>
      <c r="K272" s="7">
        <v>36.5</v>
      </c>
      <c r="L272" s="7">
        <f t="shared" si="62"/>
        <v>89.041095890410958</v>
      </c>
      <c r="M272" s="5" t="s">
        <v>10</v>
      </c>
      <c r="N272" s="5">
        <v>4</v>
      </c>
      <c r="O272" s="6">
        <f t="shared" si="63"/>
        <v>16.104393413398384</v>
      </c>
      <c r="P272" s="6">
        <f t="shared" si="64"/>
        <v>1.674856914993432</v>
      </c>
      <c r="Q272" s="10">
        <f t="shared" si="65"/>
        <v>3.4892852395696498E-2</v>
      </c>
      <c r="R272" s="10">
        <f t="shared" si="66"/>
        <v>0.12782193945216461</v>
      </c>
      <c r="S272" s="10">
        <f t="shared" si="67"/>
        <v>0.16271479184786111</v>
      </c>
    </row>
    <row r="273" spans="1:19" x14ac:dyDescent="0.25">
      <c r="A273" s="5" t="s">
        <v>8</v>
      </c>
      <c r="B273" s="5" t="s">
        <v>364</v>
      </c>
      <c r="C273" s="5" t="s">
        <v>27</v>
      </c>
      <c r="D273" s="5" t="s">
        <v>385</v>
      </c>
      <c r="E273" s="5" t="s">
        <v>384</v>
      </c>
      <c r="F273" s="5" t="s">
        <v>30</v>
      </c>
      <c r="G273" s="5" t="s">
        <v>392</v>
      </c>
      <c r="H273" s="5" t="s">
        <v>40</v>
      </c>
      <c r="I273" s="5" t="s">
        <v>365</v>
      </c>
      <c r="J273" s="15">
        <v>1764</v>
      </c>
      <c r="K273" s="7">
        <v>23.3</v>
      </c>
      <c r="L273" s="7">
        <f t="shared" si="62"/>
        <v>75.708154506437765</v>
      </c>
      <c r="M273" s="5" t="s">
        <v>10</v>
      </c>
      <c r="N273" s="5">
        <v>4</v>
      </c>
      <c r="O273" s="6">
        <f t="shared" si="63"/>
        <v>6.3192264362946453</v>
      </c>
      <c r="P273" s="6">
        <f t="shared" si="64"/>
        <v>0.65719954937464309</v>
      </c>
      <c r="Q273" s="10">
        <f t="shared" si="65"/>
        <v>1.3691657278638398E-2</v>
      </c>
      <c r="R273" s="10">
        <f t="shared" si="66"/>
        <v>6.3371656950773778E-2</v>
      </c>
      <c r="S273" s="10">
        <f t="shared" si="67"/>
        <v>7.7063314229412178E-2</v>
      </c>
    </row>
    <row r="274" spans="1:19" x14ac:dyDescent="0.25">
      <c r="A274" s="5" t="s">
        <v>8</v>
      </c>
      <c r="B274" s="5" t="s">
        <v>241</v>
      </c>
      <c r="C274" s="5" t="s">
        <v>27</v>
      </c>
      <c r="D274" s="5" t="s">
        <v>385</v>
      </c>
      <c r="E274" s="5" t="s">
        <v>384</v>
      </c>
      <c r="F274" s="5" t="s">
        <v>30</v>
      </c>
      <c r="G274" s="5" t="s">
        <v>392</v>
      </c>
      <c r="H274" s="5" t="s">
        <v>40</v>
      </c>
      <c r="I274" s="5" t="s">
        <v>247</v>
      </c>
      <c r="J274" s="15">
        <v>2450</v>
      </c>
      <c r="K274" s="7">
        <v>30</v>
      </c>
      <c r="L274" s="7">
        <f t="shared" si="62"/>
        <v>81.666666666666671</v>
      </c>
      <c r="M274" s="5" t="s">
        <v>10</v>
      </c>
      <c r="N274" s="5">
        <v>4</v>
      </c>
      <c r="O274" s="6">
        <f t="shared" si="63"/>
        <v>10.212586805555558</v>
      </c>
      <c r="P274" s="6">
        <f t="shared" si="64"/>
        <v>1.0621090277777778</v>
      </c>
      <c r="Q274" s="10">
        <f t="shared" si="65"/>
        <v>2.2127271412037044E-2</v>
      </c>
      <c r="R274" s="10">
        <f t="shared" si="66"/>
        <v>9.0834105769885987E-2</v>
      </c>
      <c r="S274" s="10">
        <f t="shared" si="67"/>
        <v>0.11296137718192303</v>
      </c>
    </row>
    <row r="275" spans="1:19" x14ac:dyDescent="0.25">
      <c r="A275" s="5" t="s">
        <v>8</v>
      </c>
      <c r="B275" s="5" t="s">
        <v>241</v>
      </c>
      <c r="C275" s="5" t="s">
        <v>27</v>
      </c>
      <c r="D275" s="5" t="s">
        <v>385</v>
      </c>
      <c r="E275" s="5" t="s">
        <v>384</v>
      </c>
      <c r="F275" s="5" t="s">
        <v>30</v>
      </c>
      <c r="G275" s="5" t="s">
        <v>392</v>
      </c>
      <c r="H275" s="5" t="s">
        <v>40</v>
      </c>
      <c r="I275" s="5" t="s">
        <v>253</v>
      </c>
      <c r="J275" s="15">
        <v>1750</v>
      </c>
      <c r="K275" s="7">
        <v>28.5</v>
      </c>
      <c r="L275" s="7">
        <f t="shared" si="62"/>
        <v>61.403508771929822</v>
      </c>
      <c r="M275" s="5" t="s">
        <v>10</v>
      </c>
      <c r="N275" s="5">
        <v>4</v>
      </c>
      <c r="O275" s="6">
        <f t="shared" si="63"/>
        <v>4.1238650353955055</v>
      </c>
      <c r="P275" s="6">
        <f t="shared" si="64"/>
        <v>0.42888196368113263</v>
      </c>
      <c r="Q275" s="10">
        <f t="shared" si="65"/>
        <v>8.9350409100235947E-3</v>
      </c>
      <c r="R275" s="10">
        <f t="shared" si="66"/>
        <v>4.6012460418506596E-2</v>
      </c>
      <c r="S275" s="10">
        <f t="shared" si="67"/>
        <v>5.4947501328530192E-2</v>
      </c>
    </row>
    <row r="276" spans="1:19" x14ac:dyDescent="0.25">
      <c r="A276" s="5" t="s">
        <v>8</v>
      </c>
      <c r="B276" s="5" t="s">
        <v>241</v>
      </c>
      <c r="C276" s="5" t="s">
        <v>27</v>
      </c>
      <c r="D276" s="5" t="s">
        <v>385</v>
      </c>
      <c r="E276" s="5" t="s">
        <v>384</v>
      </c>
      <c r="F276" s="5" t="s">
        <v>30</v>
      </c>
      <c r="G276" s="5" t="s">
        <v>392</v>
      </c>
      <c r="H276" s="5" t="s">
        <v>40</v>
      </c>
      <c r="I276" s="5" t="s">
        <v>245</v>
      </c>
      <c r="J276" s="15">
        <v>1340</v>
      </c>
      <c r="K276" s="7">
        <v>23</v>
      </c>
      <c r="L276" s="7">
        <f t="shared" ref="L276:L277" si="68">J276/K276</f>
        <v>58.260869565217391</v>
      </c>
      <c r="M276" s="5" t="s">
        <v>10</v>
      </c>
      <c r="N276" s="5">
        <v>4</v>
      </c>
      <c r="O276" s="6">
        <f t="shared" si="63"/>
        <v>2.8427504725897923</v>
      </c>
      <c r="P276" s="6">
        <f t="shared" si="64"/>
        <v>0.29564604914933834</v>
      </c>
      <c r="Q276" s="10">
        <f t="shared" si="65"/>
        <v>6.1592926906112169E-3</v>
      </c>
      <c r="R276" s="10">
        <f t="shared" si="66"/>
        <v>3.4809772072794537E-2</v>
      </c>
      <c r="S276" s="10">
        <f t="shared" ref="S276:S277" si="69">Q276+R276</f>
        <v>4.0969064763405755E-2</v>
      </c>
    </row>
    <row r="277" spans="1:19" x14ac:dyDescent="0.25">
      <c r="A277" s="5" t="s">
        <v>8</v>
      </c>
      <c r="B277" s="5" t="s">
        <v>241</v>
      </c>
      <c r="C277" s="5" t="s">
        <v>27</v>
      </c>
      <c r="D277" s="5" t="s">
        <v>385</v>
      </c>
      <c r="E277" s="5" t="s">
        <v>384</v>
      </c>
      <c r="F277" s="5" t="s">
        <v>30</v>
      </c>
      <c r="G277" s="5" t="s">
        <v>392</v>
      </c>
      <c r="H277" s="5" t="s">
        <v>40</v>
      </c>
      <c r="I277" s="5" t="s">
        <v>254</v>
      </c>
      <c r="J277" s="15">
        <v>2500</v>
      </c>
      <c r="K277" s="7">
        <v>26.5</v>
      </c>
      <c r="L277" s="7">
        <f t="shared" si="68"/>
        <v>94.339622641509436</v>
      </c>
      <c r="M277" s="5" t="s">
        <v>10</v>
      </c>
      <c r="N277" s="5">
        <v>4</v>
      </c>
      <c r="O277" s="6">
        <f t="shared" si="63"/>
        <v>13.906194375222499</v>
      </c>
      <c r="P277" s="6">
        <f t="shared" si="64"/>
        <v>1.44624421502314</v>
      </c>
      <c r="Q277" s="10">
        <f t="shared" si="65"/>
        <v>3.0130087812982081E-2</v>
      </c>
      <c r="R277" s="10">
        <f t="shared" si="66"/>
        <v>0.11449943560372897</v>
      </c>
      <c r="S277" s="10">
        <f t="shared" si="69"/>
        <v>0.14462952341671104</v>
      </c>
    </row>
    <row r="278" spans="1:19" x14ac:dyDescent="0.25">
      <c r="J278" s="16">
        <f t="shared" ref="J278:S278" si="70">AVERAGE(J150:J277)</f>
        <v>2091.6796875</v>
      </c>
      <c r="K278" s="12">
        <f t="shared" si="70"/>
        <v>28.724218749999995</v>
      </c>
      <c r="L278" s="12">
        <f t="shared" si="70"/>
        <v>73.042720965235972</v>
      </c>
      <c r="M278" s="11" t="e">
        <f t="shared" si="70"/>
        <v>#DIV/0!</v>
      </c>
      <c r="N278" s="11">
        <f t="shared" si="70"/>
        <v>4</v>
      </c>
      <c r="O278" s="13">
        <f t="shared" si="70"/>
        <v>9.8488934714342964</v>
      </c>
      <c r="P278" s="13">
        <f t="shared" si="70"/>
        <v>1.0242849210291662</v>
      </c>
      <c r="Q278" s="14">
        <f t="shared" si="70"/>
        <v>2.1339269188107628E-2</v>
      </c>
      <c r="R278" s="14">
        <f t="shared" si="70"/>
        <v>7.9645413038236496E-2</v>
      </c>
      <c r="S278" s="14">
        <f t="shared" si="70"/>
        <v>0.10098468222634407</v>
      </c>
    </row>
    <row r="279" spans="1:19" x14ac:dyDescent="0.25">
      <c r="A279" s="5" t="s">
        <v>22</v>
      </c>
      <c r="B279" s="5" t="s">
        <v>63</v>
      </c>
      <c r="C279" s="5" t="s">
        <v>27</v>
      </c>
      <c r="D279" s="5" t="s">
        <v>385</v>
      </c>
      <c r="E279" s="5" t="s">
        <v>384</v>
      </c>
      <c r="F279" s="5" t="s">
        <v>45</v>
      </c>
      <c r="G279" s="5" t="s">
        <v>390</v>
      </c>
      <c r="H279" s="5" t="s">
        <v>68</v>
      </c>
      <c r="I279" s="5" t="s">
        <v>69</v>
      </c>
      <c r="J279" s="15">
        <v>945</v>
      </c>
      <c r="K279" s="7">
        <v>21.5</v>
      </c>
      <c r="L279" s="7">
        <f t="shared" ref="L279:L310" si="71">J279/K279</f>
        <v>43.953488372093027</v>
      </c>
      <c r="M279" s="5" t="s">
        <v>10</v>
      </c>
      <c r="N279" s="5">
        <v>4</v>
      </c>
      <c r="O279" s="6">
        <f t="shared" ref="O279:O310" si="72">(J279*L279^2)/(1.6*10^6)</f>
        <v>1.1410338358572203</v>
      </c>
      <c r="P279" s="6">
        <f t="shared" ref="P279:P310" si="73">(0.104*J279*L279^2)/(1.6*10^6)</f>
        <v>0.11866751892915092</v>
      </c>
      <c r="Q279" s="10">
        <f t="shared" ref="Q279:Q310" si="74">(0.104*O279)/(12*N279)</f>
        <v>2.4722399776906439E-3</v>
      </c>
      <c r="R279" s="10">
        <f t="shared" ref="R279:R310" si="75">0.0159*O279^0.75</f>
        <v>1.7553794774037217E-2</v>
      </c>
      <c r="S279" s="10">
        <f t="shared" ref="S279:S310" si="76">Q279+R279</f>
        <v>2.0026034751727862E-2</v>
      </c>
    </row>
    <row r="280" spans="1:19" x14ac:dyDescent="0.25">
      <c r="A280" s="5" t="s">
        <v>22</v>
      </c>
      <c r="B280" s="5" t="s">
        <v>63</v>
      </c>
      <c r="C280" s="5" t="s">
        <v>27</v>
      </c>
      <c r="D280" s="5" t="s">
        <v>385</v>
      </c>
      <c r="E280" s="5" t="s">
        <v>384</v>
      </c>
      <c r="F280" s="5" t="s">
        <v>45</v>
      </c>
      <c r="G280" s="5" t="s">
        <v>390</v>
      </c>
      <c r="H280" s="5" t="s">
        <v>79</v>
      </c>
      <c r="I280" s="5" t="s">
        <v>80</v>
      </c>
      <c r="J280" s="15">
        <v>1270</v>
      </c>
      <c r="K280" s="7">
        <v>44</v>
      </c>
      <c r="L280" s="7">
        <f t="shared" si="71"/>
        <v>28.863636363636363</v>
      </c>
      <c r="M280" s="5" t="s">
        <v>10</v>
      </c>
      <c r="N280" s="5">
        <v>4</v>
      </c>
      <c r="O280" s="6">
        <f t="shared" si="72"/>
        <v>0.66128066890495862</v>
      </c>
      <c r="P280" s="6">
        <f t="shared" si="73"/>
        <v>6.8773189566115694E-2</v>
      </c>
      <c r="Q280" s="10">
        <f t="shared" si="74"/>
        <v>1.4327747826274103E-3</v>
      </c>
      <c r="R280" s="10">
        <f t="shared" si="75"/>
        <v>1.165967633207318E-2</v>
      </c>
      <c r="S280" s="10">
        <f t="shared" si="76"/>
        <v>1.3092451114700591E-2</v>
      </c>
    </row>
    <row r="281" spans="1:19" x14ac:dyDescent="0.25">
      <c r="A281" s="5" t="s">
        <v>22</v>
      </c>
      <c r="B281" s="5" t="s">
        <v>63</v>
      </c>
      <c r="C281" s="5" t="s">
        <v>27</v>
      </c>
      <c r="D281" s="5" t="s">
        <v>385</v>
      </c>
      <c r="E281" s="5" t="s">
        <v>384</v>
      </c>
      <c r="F281" s="5" t="s">
        <v>45</v>
      </c>
      <c r="G281" s="5" t="s">
        <v>390</v>
      </c>
      <c r="H281" s="5" t="s">
        <v>81</v>
      </c>
      <c r="I281" s="5" t="s">
        <v>82</v>
      </c>
      <c r="J281" s="15">
        <v>740</v>
      </c>
      <c r="K281" s="7">
        <v>27</v>
      </c>
      <c r="L281" s="7">
        <f t="shared" si="71"/>
        <v>27.407407407407408</v>
      </c>
      <c r="M281" s="5" t="s">
        <v>10</v>
      </c>
      <c r="N281" s="5">
        <v>4</v>
      </c>
      <c r="O281" s="6">
        <f t="shared" si="72"/>
        <v>0.34741426611796983</v>
      </c>
      <c r="P281" s="6">
        <f t="shared" si="73"/>
        <v>3.6131083676268862E-2</v>
      </c>
      <c r="Q281" s="10">
        <f t="shared" si="74"/>
        <v>7.5273090992226792E-4</v>
      </c>
      <c r="R281" s="10">
        <f t="shared" si="75"/>
        <v>7.1950341649546588E-3</v>
      </c>
      <c r="S281" s="10">
        <f t="shared" si="76"/>
        <v>7.9477650748769266E-3</v>
      </c>
    </row>
    <row r="282" spans="1:19" x14ac:dyDescent="0.25">
      <c r="A282" s="5" t="s">
        <v>22</v>
      </c>
      <c r="B282" s="5" t="s">
        <v>63</v>
      </c>
      <c r="C282" s="5" t="s">
        <v>27</v>
      </c>
      <c r="D282" s="5" t="s">
        <v>385</v>
      </c>
      <c r="E282" s="5" t="s">
        <v>384</v>
      </c>
      <c r="F282" s="5" t="s">
        <v>45</v>
      </c>
      <c r="G282" s="5" t="s">
        <v>390</v>
      </c>
      <c r="H282" s="5" t="s">
        <v>70</v>
      </c>
      <c r="I282" s="5" t="s">
        <v>71</v>
      </c>
      <c r="J282" s="15">
        <v>950</v>
      </c>
      <c r="K282" s="7">
        <v>37</v>
      </c>
      <c r="L282" s="7">
        <f t="shared" si="71"/>
        <v>25.675675675675677</v>
      </c>
      <c r="M282" s="5" t="s">
        <v>10</v>
      </c>
      <c r="N282" s="5">
        <v>4</v>
      </c>
      <c r="O282" s="6">
        <f t="shared" si="72"/>
        <v>0.39142394083272469</v>
      </c>
      <c r="P282" s="6">
        <f t="shared" si="73"/>
        <v>4.0708089846603367E-2</v>
      </c>
      <c r="Q282" s="10">
        <f t="shared" si="74"/>
        <v>8.4808520513757017E-4</v>
      </c>
      <c r="R282" s="10">
        <f t="shared" si="75"/>
        <v>7.8683317585654267E-3</v>
      </c>
      <c r="S282" s="10">
        <f t="shared" si="76"/>
        <v>8.716416963702997E-3</v>
      </c>
    </row>
    <row r="283" spans="1:19" x14ac:dyDescent="0.25">
      <c r="A283" s="5" t="s">
        <v>8</v>
      </c>
      <c r="B283" s="5" t="s">
        <v>161</v>
      </c>
      <c r="C283" s="5" t="s">
        <v>27</v>
      </c>
      <c r="D283" s="5" t="s">
        <v>385</v>
      </c>
      <c r="E283" s="5" t="s">
        <v>384</v>
      </c>
      <c r="F283" s="5" t="s">
        <v>45</v>
      </c>
      <c r="G283" s="5" t="s">
        <v>390</v>
      </c>
      <c r="H283" s="5" t="s">
        <v>70</v>
      </c>
      <c r="I283" s="5" t="s">
        <v>71</v>
      </c>
      <c r="J283" s="15">
        <v>940</v>
      </c>
      <c r="K283" s="7">
        <v>36</v>
      </c>
      <c r="L283" s="7">
        <f t="shared" si="71"/>
        <v>26.111111111111111</v>
      </c>
      <c r="M283" s="5" t="s">
        <v>10</v>
      </c>
      <c r="N283" s="5">
        <v>4</v>
      </c>
      <c r="O283" s="6">
        <f t="shared" si="72"/>
        <v>0.40055169753086417</v>
      </c>
      <c r="P283" s="6">
        <f t="shared" si="73"/>
        <v>4.1657376543209869E-2</v>
      </c>
      <c r="Q283" s="10">
        <f t="shared" si="74"/>
        <v>8.678620113168723E-4</v>
      </c>
      <c r="R283" s="10">
        <f t="shared" si="75"/>
        <v>8.0055478331547292E-3</v>
      </c>
      <c r="S283" s="10">
        <f t="shared" si="76"/>
        <v>8.8734098444716008E-3</v>
      </c>
    </row>
    <row r="284" spans="1:19" x14ac:dyDescent="0.25">
      <c r="A284" s="5" t="s">
        <v>22</v>
      </c>
      <c r="B284" s="5" t="s">
        <v>63</v>
      </c>
      <c r="C284" s="5" t="s">
        <v>27</v>
      </c>
      <c r="D284" s="5" t="s">
        <v>385</v>
      </c>
      <c r="E284" s="5" t="s">
        <v>384</v>
      </c>
      <c r="F284" s="5" t="s">
        <v>45</v>
      </c>
      <c r="G284" s="5" t="s">
        <v>390</v>
      </c>
      <c r="H284" s="5" t="s">
        <v>75</v>
      </c>
      <c r="I284" s="5" t="s">
        <v>76</v>
      </c>
      <c r="J284" s="15">
        <v>1700</v>
      </c>
      <c r="K284" s="7">
        <v>55</v>
      </c>
      <c r="L284" s="7">
        <f t="shared" si="71"/>
        <v>30.90909090909091</v>
      </c>
      <c r="M284" s="5" t="s">
        <v>10</v>
      </c>
      <c r="N284" s="5">
        <v>4</v>
      </c>
      <c r="O284" s="6">
        <f t="shared" si="72"/>
        <v>1.0150826446280992</v>
      </c>
      <c r="P284" s="6">
        <f t="shared" si="73"/>
        <v>0.10556859504132231</v>
      </c>
      <c r="Q284" s="10">
        <f t="shared" si="74"/>
        <v>2.1993457300275481E-3</v>
      </c>
      <c r="R284" s="10">
        <f t="shared" si="75"/>
        <v>1.6079523553745634E-2</v>
      </c>
      <c r="S284" s="10">
        <f t="shared" si="76"/>
        <v>1.8278869283773182E-2</v>
      </c>
    </row>
    <row r="285" spans="1:19" x14ac:dyDescent="0.25">
      <c r="A285" s="5" t="s">
        <v>8</v>
      </c>
      <c r="B285" s="5" t="s">
        <v>313</v>
      </c>
      <c r="C285" s="5" t="s">
        <v>27</v>
      </c>
      <c r="D285" s="5" t="s">
        <v>385</v>
      </c>
      <c r="E285" s="5" t="s">
        <v>384</v>
      </c>
      <c r="F285" s="5" t="s">
        <v>45</v>
      </c>
      <c r="G285" s="5" t="s">
        <v>390</v>
      </c>
      <c r="H285" s="5" t="s">
        <v>46</v>
      </c>
      <c r="I285" s="5" t="s">
        <v>167</v>
      </c>
      <c r="J285" s="15">
        <v>980</v>
      </c>
      <c r="K285" s="7">
        <v>26</v>
      </c>
      <c r="L285" s="7">
        <f t="shared" si="71"/>
        <v>37.692307692307693</v>
      </c>
      <c r="M285" s="5" t="s">
        <v>10</v>
      </c>
      <c r="N285" s="5">
        <v>4</v>
      </c>
      <c r="O285" s="6">
        <f t="shared" si="72"/>
        <v>0.87018491124260366</v>
      </c>
      <c r="P285" s="6">
        <f t="shared" si="73"/>
        <v>9.0499230769230776E-2</v>
      </c>
      <c r="Q285" s="10">
        <f t="shared" si="74"/>
        <v>1.8854006410256412E-3</v>
      </c>
      <c r="R285" s="10">
        <f t="shared" si="75"/>
        <v>1.4325367948525116E-2</v>
      </c>
      <c r="S285" s="10">
        <f t="shared" si="76"/>
        <v>1.6210768589550756E-2</v>
      </c>
    </row>
    <row r="286" spans="1:19" x14ac:dyDescent="0.25">
      <c r="A286" s="5" t="s">
        <v>8</v>
      </c>
      <c r="B286" s="5" t="s">
        <v>206</v>
      </c>
      <c r="C286" s="5" t="s">
        <v>27</v>
      </c>
      <c r="D286" s="5" t="s">
        <v>385</v>
      </c>
      <c r="E286" s="5" t="s">
        <v>384</v>
      </c>
      <c r="F286" s="5" t="s">
        <v>45</v>
      </c>
      <c r="G286" s="5" t="s">
        <v>390</v>
      </c>
      <c r="H286" s="5" t="s">
        <v>46</v>
      </c>
      <c r="I286" s="5" t="s">
        <v>207</v>
      </c>
      <c r="J286" s="15">
        <v>1000</v>
      </c>
      <c r="K286" s="7">
        <v>28.3</v>
      </c>
      <c r="L286" s="7">
        <f t="shared" si="71"/>
        <v>35.335689045936398</v>
      </c>
      <c r="M286" s="5" t="s">
        <v>10</v>
      </c>
      <c r="N286" s="5">
        <v>4</v>
      </c>
      <c r="O286" s="6">
        <f t="shared" si="72"/>
        <v>0.78038182521944355</v>
      </c>
      <c r="P286" s="6">
        <f t="shared" si="73"/>
        <v>8.1159709822822126E-2</v>
      </c>
      <c r="Q286" s="10">
        <f t="shared" si="74"/>
        <v>1.690827287975461E-3</v>
      </c>
      <c r="R286" s="10">
        <f t="shared" si="75"/>
        <v>1.3201627791862751E-2</v>
      </c>
      <c r="S286" s="10">
        <f t="shared" si="76"/>
        <v>1.4892455079838211E-2</v>
      </c>
    </row>
    <row r="287" spans="1:19" x14ac:dyDescent="0.25">
      <c r="A287" s="5" t="s">
        <v>8</v>
      </c>
      <c r="B287" s="5" t="s">
        <v>208</v>
      </c>
      <c r="C287" s="5" t="s">
        <v>27</v>
      </c>
      <c r="D287" s="5" t="s">
        <v>385</v>
      </c>
      <c r="E287" s="5" t="s">
        <v>384</v>
      </c>
      <c r="F287" s="5" t="s">
        <v>45</v>
      </c>
      <c r="G287" s="5" t="s">
        <v>390</v>
      </c>
      <c r="H287" s="5" t="s">
        <v>46</v>
      </c>
      <c r="I287" s="5" t="s">
        <v>207</v>
      </c>
      <c r="J287" s="15">
        <v>1070</v>
      </c>
      <c r="K287" s="7">
        <v>28.1</v>
      </c>
      <c r="L287" s="7">
        <f t="shared" si="71"/>
        <v>38.078291814946617</v>
      </c>
      <c r="M287" s="5" t="s">
        <v>10</v>
      </c>
      <c r="N287" s="5">
        <v>4</v>
      </c>
      <c r="O287" s="6">
        <f t="shared" si="72"/>
        <v>0.9696582806702041</v>
      </c>
      <c r="P287" s="6">
        <f t="shared" si="73"/>
        <v>0.10084446118970124</v>
      </c>
      <c r="Q287" s="10">
        <f t="shared" si="74"/>
        <v>2.1009262747854422E-3</v>
      </c>
      <c r="R287" s="10">
        <f t="shared" si="75"/>
        <v>1.5536785046705944E-2</v>
      </c>
      <c r="S287" s="10">
        <f t="shared" si="76"/>
        <v>1.7637711321491386E-2</v>
      </c>
    </row>
    <row r="288" spans="1:19" x14ac:dyDescent="0.25">
      <c r="A288" s="5" t="s">
        <v>8</v>
      </c>
      <c r="B288" s="5" t="s">
        <v>209</v>
      </c>
      <c r="C288" s="5" t="s">
        <v>27</v>
      </c>
      <c r="D288" s="5" t="s">
        <v>385</v>
      </c>
      <c r="E288" s="5" t="s">
        <v>384</v>
      </c>
      <c r="F288" s="5" t="s">
        <v>45</v>
      </c>
      <c r="G288" s="5" t="s">
        <v>390</v>
      </c>
      <c r="H288" s="5" t="s">
        <v>46</v>
      </c>
      <c r="I288" s="5" t="s">
        <v>207</v>
      </c>
      <c r="J288" s="15">
        <v>1500</v>
      </c>
      <c r="K288" s="7">
        <v>46.9</v>
      </c>
      <c r="L288" s="7">
        <f t="shared" si="71"/>
        <v>31.982942430703627</v>
      </c>
      <c r="M288" s="5" t="s">
        <v>10</v>
      </c>
      <c r="N288" s="5">
        <v>4</v>
      </c>
      <c r="O288" s="6">
        <f t="shared" si="72"/>
        <v>0.95897681861784601</v>
      </c>
      <c r="P288" s="6">
        <f t="shared" si="73"/>
        <v>9.973358913625599E-2</v>
      </c>
      <c r="Q288" s="10">
        <f t="shared" si="74"/>
        <v>2.0777831070053327E-3</v>
      </c>
      <c r="R288" s="10">
        <f t="shared" si="75"/>
        <v>1.5408246091418672E-2</v>
      </c>
      <c r="S288" s="10">
        <f t="shared" si="76"/>
        <v>1.7486029198424003E-2</v>
      </c>
    </row>
    <row r="289" spans="1:19" x14ac:dyDescent="0.25">
      <c r="A289" s="5" t="s">
        <v>8</v>
      </c>
      <c r="B289" s="5" t="s">
        <v>210</v>
      </c>
      <c r="C289" s="5" t="s">
        <v>27</v>
      </c>
      <c r="D289" s="5" t="s">
        <v>385</v>
      </c>
      <c r="E289" s="5" t="s">
        <v>384</v>
      </c>
      <c r="F289" s="5" t="s">
        <v>45</v>
      </c>
      <c r="G289" s="5" t="s">
        <v>390</v>
      </c>
      <c r="H289" s="5" t="s">
        <v>46</v>
      </c>
      <c r="I289" s="5" t="s">
        <v>207</v>
      </c>
      <c r="J289" s="15">
        <v>1330</v>
      </c>
      <c r="K289" s="7">
        <v>30</v>
      </c>
      <c r="L289" s="7">
        <f t="shared" si="71"/>
        <v>44.333333333333336</v>
      </c>
      <c r="M289" s="5" t="s">
        <v>10</v>
      </c>
      <c r="N289" s="5">
        <v>4</v>
      </c>
      <c r="O289" s="6">
        <f t="shared" si="72"/>
        <v>1.6337756944444446</v>
      </c>
      <c r="P289" s="6">
        <f t="shared" si="73"/>
        <v>0.1699126722222222</v>
      </c>
      <c r="Q289" s="10">
        <f t="shared" si="74"/>
        <v>3.5398473379629632E-3</v>
      </c>
      <c r="R289" s="10">
        <f t="shared" si="75"/>
        <v>2.2976900704314702E-2</v>
      </c>
      <c r="S289" s="10">
        <f t="shared" si="76"/>
        <v>2.6516748042277664E-2</v>
      </c>
    </row>
    <row r="290" spans="1:19" x14ac:dyDescent="0.25">
      <c r="A290" s="5" t="s">
        <v>8</v>
      </c>
      <c r="B290" s="5" t="s">
        <v>308</v>
      </c>
      <c r="C290" s="5" t="s">
        <v>27</v>
      </c>
      <c r="D290" s="5" t="s">
        <v>385</v>
      </c>
      <c r="E290" s="5" t="s">
        <v>384</v>
      </c>
      <c r="F290" s="5" t="s">
        <v>45</v>
      </c>
      <c r="G290" s="5" t="s">
        <v>390</v>
      </c>
      <c r="H290" s="5" t="s">
        <v>46</v>
      </c>
      <c r="I290" s="5" t="s">
        <v>310</v>
      </c>
      <c r="J290" s="15">
        <v>972</v>
      </c>
      <c r="K290" s="7">
        <v>19.7</v>
      </c>
      <c r="L290" s="7">
        <f t="shared" si="71"/>
        <v>49.340101522842644</v>
      </c>
      <c r="M290" s="5" t="s">
        <v>10</v>
      </c>
      <c r="N290" s="5">
        <v>4</v>
      </c>
      <c r="O290" s="6">
        <f t="shared" si="72"/>
        <v>1.4789257131077846</v>
      </c>
      <c r="P290" s="6">
        <f t="shared" si="73"/>
        <v>0.15380827416320958</v>
      </c>
      <c r="Q290" s="10">
        <f t="shared" si="74"/>
        <v>3.204339045066867E-3</v>
      </c>
      <c r="R290" s="10">
        <f t="shared" si="75"/>
        <v>2.1323421621601071E-2</v>
      </c>
      <c r="S290" s="10">
        <f t="shared" si="76"/>
        <v>2.4527760666667939E-2</v>
      </c>
    </row>
    <row r="291" spans="1:19" x14ac:dyDescent="0.25">
      <c r="A291" s="5" t="s">
        <v>22</v>
      </c>
      <c r="B291" s="5" t="s">
        <v>26</v>
      </c>
      <c r="C291" s="5" t="s">
        <v>27</v>
      </c>
      <c r="D291" s="5" t="s">
        <v>385</v>
      </c>
      <c r="E291" s="5" t="s">
        <v>384</v>
      </c>
      <c r="F291" s="5" t="s">
        <v>45</v>
      </c>
      <c r="G291" s="5" t="s">
        <v>390</v>
      </c>
      <c r="H291" s="5" t="s">
        <v>46</v>
      </c>
      <c r="I291" s="5" t="s">
        <v>16</v>
      </c>
      <c r="J291" s="15">
        <v>1400</v>
      </c>
      <c r="K291" s="7">
        <v>39</v>
      </c>
      <c r="L291" s="7">
        <f t="shared" si="71"/>
        <v>35.897435897435898</v>
      </c>
      <c r="M291" s="5" t="s">
        <v>10</v>
      </c>
      <c r="N291" s="5">
        <v>4</v>
      </c>
      <c r="O291" s="6">
        <f t="shared" si="72"/>
        <v>1.1275476660092045</v>
      </c>
      <c r="P291" s="6">
        <f t="shared" si="73"/>
        <v>0.11726495726495727</v>
      </c>
      <c r="Q291" s="10">
        <f t="shared" si="74"/>
        <v>2.4430199430199432E-3</v>
      </c>
      <c r="R291" s="10">
        <f t="shared" si="75"/>
        <v>1.7397959160789959E-2</v>
      </c>
      <c r="S291" s="10">
        <f t="shared" si="76"/>
        <v>1.9840979103809903E-2</v>
      </c>
    </row>
    <row r="292" spans="1:19" x14ac:dyDescent="0.25">
      <c r="A292" s="5" t="s">
        <v>8</v>
      </c>
      <c r="B292" s="5" t="s">
        <v>322</v>
      </c>
      <c r="C292" s="5" t="s">
        <v>27</v>
      </c>
      <c r="D292" s="5" t="s">
        <v>385</v>
      </c>
      <c r="E292" s="5" t="s">
        <v>384</v>
      </c>
      <c r="F292" s="5" t="s">
        <v>45</v>
      </c>
      <c r="G292" s="5" t="s">
        <v>390</v>
      </c>
      <c r="H292" s="5" t="s">
        <v>46</v>
      </c>
      <c r="I292" s="5" t="s">
        <v>323</v>
      </c>
      <c r="J292" s="15">
        <v>810</v>
      </c>
      <c r="K292" s="7">
        <v>29</v>
      </c>
      <c r="L292" s="7">
        <f t="shared" si="71"/>
        <v>27.931034482758619</v>
      </c>
      <c r="M292" s="5" t="s">
        <v>10</v>
      </c>
      <c r="N292" s="5">
        <v>4</v>
      </c>
      <c r="O292" s="6">
        <f t="shared" si="72"/>
        <v>0.39494723543400712</v>
      </c>
      <c r="P292" s="6">
        <f t="shared" si="73"/>
        <v>4.1074512485136737E-2</v>
      </c>
      <c r="Q292" s="10">
        <f t="shared" si="74"/>
        <v>8.5571901010701539E-4</v>
      </c>
      <c r="R292" s="10">
        <f t="shared" si="75"/>
        <v>7.9213906781575756E-3</v>
      </c>
      <c r="S292" s="10">
        <f t="shared" si="76"/>
        <v>8.7771096882645911E-3</v>
      </c>
    </row>
    <row r="293" spans="1:19" x14ac:dyDescent="0.25">
      <c r="A293" s="5" t="s">
        <v>22</v>
      </c>
      <c r="B293" s="5" t="s">
        <v>26</v>
      </c>
      <c r="C293" s="5" t="s">
        <v>27</v>
      </c>
      <c r="D293" s="5" t="s">
        <v>385</v>
      </c>
      <c r="E293" s="5" t="s">
        <v>384</v>
      </c>
      <c r="F293" s="5" t="s">
        <v>45</v>
      </c>
      <c r="G293" s="5" t="s">
        <v>390</v>
      </c>
      <c r="H293" s="5" t="s">
        <v>46</v>
      </c>
      <c r="I293" s="5" t="s">
        <v>47</v>
      </c>
      <c r="J293" s="15">
        <v>1200</v>
      </c>
      <c r="K293" s="7">
        <v>28</v>
      </c>
      <c r="L293" s="7">
        <f t="shared" si="71"/>
        <v>42.857142857142854</v>
      </c>
      <c r="M293" s="5" t="s">
        <v>10</v>
      </c>
      <c r="N293" s="5">
        <v>4</v>
      </c>
      <c r="O293" s="6">
        <f t="shared" si="72"/>
        <v>1.3775510204081631</v>
      </c>
      <c r="P293" s="6">
        <f t="shared" si="73"/>
        <v>0.14326530612244898</v>
      </c>
      <c r="Q293" s="10">
        <f t="shared" si="74"/>
        <v>2.9846938775510198E-3</v>
      </c>
      <c r="R293" s="10">
        <f t="shared" si="75"/>
        <v>2.0217520582724226E-2</v>
      </c>
      <c r="S293" s="10">
        <f t="shared" si="76"/>
        <v>2.3202214460275247E-2</v>
      </c>
    </row>
    <row r="294" spans="1:19" x14ac:dyDescent="0.25">
      <c r="A294" s="5" t="s">
        <v>8</v>
      </c>
      <c r="B294" s="5" t="s">
        <v>300</v>
      </c>
      <c r="C294" s="5" t="s">
        <v>27</v>
      </c>
      <c r="D294" s="5" t="s">
        <v>385</v>
      </c>
      <c r="E294" s="5" t="s">
        <v>384</v>
      </c>
      <c r="F294" s="5" t="s">
        <v>45</v>
      </c>
      <c r="G294" s="5" t="s">
        <v>390</v>
      </c>
      <c r="H294" s="5" t="s">
        <v>46</v>
      </c>
      <c r="I294" s="5" t="s">
        <v>47</v>
      </c>
      <c r="J294" s="15">
        <v>1198</v>
      </c>
      <c r="K294" s="7">
        <v>28.2</v>
      </c>
      <c r="L294" s="7">
        <f t="shared" si="71"/>
        <v>42.4822695035461</v>
      </c>
      <c r="M294" s="5" t="s">
        <v>10</v>
      </c>
      <c r="N294" s="5">
        <v>4</v>
      </c>
      <c r="O294" s="6">
        <f t="shared" si="72"/>
        <v>1.3513014876012275</v>
      </c>
      <c r="P294" s="6">
        <f t="shared" si="73"/>
        <v>0.14053535471052764</v>
      </c>
      <c r="Q294" s="10">
        <f t="shared" si="74"/>
        <v>2.927819889802659E-3</v>
      </c>
      <c r="R294" s="10">
        <f t="shared" si="75"/>
        <v>1.9927889917281474E-2</v>
      </c>
      <c r="S294" s="10">
        <f t="shared" si="76"/>
        <v>2.2855709807084134E-2</v>
      </c>
    </row>
    <row r="295" spans="1:19" x14ac:dyDescent="0.25">
      <c r="A295" s="5" t="s">
        <v>8</v>
      </c>
      <c r="B295" s="5" t="s">
        <v>202</v>
      </c>
      <c r="C295" s="5" t="s">
        <v>27</v>
      </c>
      <c r="D295" s="5" t="s">
        <v>385</v>
      </c>
      <c r="E295" s="5" t="s">
        <v>384</v>
      </c>
      <c r="F295" s="5" t="s">
        <v>45</v>
      </c>
      <c r="G295" s="5" t="s">
        <v>390</v>
      </c>
      <c r="H295" s="5" t="s">
        <v>46</v>
      </c>
      <c r="I295" s="5" t="s">
        <v>203</v>
      </c>
      <c r="J295" s="15">
        <v>1230</v>
      </c>
      <c r="K295" s="7">
        <v>25.5</v>
      </c>
      <c r="L295" s="7">
        <f t="shared" si="71"/>
        <v>48.235294117647058</v>
      </c>
      <c r="M295" s="5" t="s">
        <v>10</v>
      </c>
      <c r="N295" s="5">
        <v>4</v>
      </c>
      <c r="O295" s="6">
        <f t="shared" si="72"/>
        <v>1.788607266435986</v>
      </c>
      <c r="P295" s="6">
        <f t="shared" si="73"/>
        <v>0.18601515570934254</v>
      </c>
      <c r="Q295" s="10">
        <f t="shared" si="74"/>
        <v>3.8753157439446362E-3</v>
      </c>
      <c r="R295" s="10">
        <f t="shared" si="75"/>
        <v>2.4591406420233046E-2</v>
      </c>
      <c r="S295" s="10">
        <f t="shared" si="76"/>
        <v>2.8466722164177682E-2</v>
      </c>
    </row>
    <row r="296" spans="1:19" x14ac:dyDescent="0.25">
      <c r="A296" s="5" t="s">
        <v>8</v>
      </c>
      <c r="B296" s="5" t="s">
        <v>204</v>
      </c>
      <c r="C296" s="5" t="s">
        <v>27</v>
      </c>
      <c r="D296" s="5" t="s">
        <v>385</v>
      </c>
      <c r="E296" s="5" t="s">
        <v>384</v>
      </c>
      <c r="F296" s="5" t="s">
        <v>45</v>
      </c>
      <c r="G296" s="5" t="s">
        <v>390</v>
      </c>
      <c r="H296" s="5" t="s">
        <v>46</v>
      </c>
      <c r="I296" s="5" t="s">
        <v>203</v>
      </c>
      <c r="J296" s="15">
        <v>900</v>
      </c>
      <c r="K296" s="7">
        <v>26</v>
      </c>
      <c r="L296" s="7">
        <f t="shared" si="71"/>
        <v>34.615384615384613</v>
      </c>
      <c r="M296" s="5" t="s">
        <v>10</v>
      </c>
      <c r="N296" s="5">
        <v>4</v>
      </c>
      <c r="O296" s="6">
        <f t="shared" si="72"/>
        <v>0.67400147928994081</v>
      </c>
      <c r="P296" s="6">
        <f t="shared" si="73"/>
        <v>7.0096153846153836E-2</v>
      </c>
      <c r="Q296" s="10">
        <f t="shared" si="74"/>
        <v>1.4603365384615382E-3</v>
      </c>
      <c r="R296" s="10">
        <f t="shared" si="75"/>
        <v>1.1827494686413892E-2</v>
      </c>
      <c r="S296" s="10">
        <f t="shared" si="76"/>
        <v>1.3287831224875431E-2</v>
      </c>
    </row>
    <row r="297" spans="1:19" x14ac:dyDescent="0.25">
      <c r="A297" s="5" t="s">
        <v>8</v>
      </c>
      <c r="B297" s="5" t="s">
        <v>205</v>
      </c>
      <c r="C297" s="5" t="s">
        <v>27</v>
      </c>
      <c r="D297" s="5" t="s">
        <v>385</v>
      </c>
      <c r="E297" s="5" t="s">
        <v>384</v>
      </c>
      <c r="F297" s="5" t="s">
        <v>45</v>
      </c>
      <c r="G297" s="5" t="s">
        <v>390</v>
      </c>
      <c r="H297" s="5" t="s">
        <v>46</v>
      </c>
      <c r="I297" s="5" t="s">
        <v>203</v>
      </c>
      <c r="J297" s="15">
        <v>1100</v>
      </c>
      <c r="K297" s="7">
        <v>30</v>
      </c>
      <c r="L297" s="7">
        <f t="shared" si="71"/>
        <v>36.666666666666664</v>
      </c>
      <c r="M297" s="5" t="s">
        <v>10</v>
      </c>
      <c r="N297" s="5">
        <v>4</v>
      </c>
      <c r="O297" s="6">
        <f t="shared" si="72"/>
        <v>0.92430555555555549</v>
      </c>
      <c r="P297" s="6">
        <f t="shared" si="73"/>
        <v>9.6127777777777756E-2</v>
      </c>
      <c r="Q297" s="10">
        <f t="shared" si="74"/>
        <v>2.0026620370370367E-3</v>
      </c>
      <c r="R297" s="10">
        <f t="shared" si="75"/>
        <v>1.4988521556455617E-2</v>
      </c>
      <c r="S297" s="10">
        <f t="shared" si="76"/>
        <v>1.6991183593492654E-2</v>
      </c>
    </row>
    <row r="298" spans="1:19" x14ac:dyDescent="0.25">
      <c r="A298" s="5" t="s">
        <v>8</v>
      </c>
      <c r="B298" s="5" t="s">
        <v>201</v>
      </c>
      <c r="C298" s="5" t="s">
        <v>27</v>
      </c>
      <c r="D298" s="5" t="s">
        <v>385</v>
      </c>
      <c r="E298" s="5" t="s">
        <v>384</v>
      </c>
      <c r="F298" s="5" t="s">
        <v>45</v>
      </c>
      <c r="G298" s="5" t="s">
        <v>390</v>
      </c>
      <c r="H298" s="5" t="s">
        <v>46</v>
      </c>
      <c r="I298" s="5" t="s">
        <v>203</v>
      </c>
      <c r="J298" s="15">
        <v>1060</v>
      </c>
      <c r="K298" s="7">
        <v>29.5</v>
      </c>
      <c r="L298" s="7">
        <f t="shared" si="71"/>
        <v>35.932203389830505</v>
      </c>
      <c r="M298" s="5" t="s">
        <v>10</v>
      </c>
      <c r="N298" s="5">
        <v>4</v>
      </c>
      <c r="O298" s="6">
        <f t="shared" si="72"/>
        <v>0.85536914679689724</v>
      </c>
      <c r="P298" s="6">
        <f t="shared" si="73"/>
        <v>8.895839126687731E-2</v>
      </c>
      <c r="Q298" s="10">
        <f t="shared" si="74"/>
        <v>1.8532998180599439E-3</v>
      </c>
      <c r="R298" s="10">
        <f t="shared" si="75"/>
        <v>1.414204810560408E-2</v>
      </c>
      <c r="S298" s="10">
        <f t="shared" si="76"/>
        <v>1.5995347923664024E-2</v>
      </c>
    </row>
    <row r="299" spans="1:19" x14ac:dyDescent="0.25">
      <c r="A299" s="5" t="s">
        <v>8</v>
      </c>
      <c r="B299" s="5" t="s">
        <v>219</v>
      </c>
      <c r="C299" s="5" t="s">
        <v>27</v>
      </c>
      <c r="D299" s="5" t="s">
        <v>385</v>
      </c>
      <c r="E299" s="5" t="s">
        <v>384</v>
      </c>
      <c r="F299" s="5" t="s">
        <v>45</v>
      </c>
      <c r="G299" s="5" t="s">
        <v>390</v>
      </c>
      <c r="H299" s="5" t="s">
        <v>46</v>
      </c>
      <c r="I299" s="5" t="s">
        <v>203</v>
      </c>
      <c r="J299" s="15">
        <v>900</v>
      </c>
      <c r="K299" s="7">
        <v>26.9</v>
      </c>
      <c r="L299" s="7">
        <f t="shared" si="71"/>
        <v>33.457249070631974</v>
      </c>
      <c r="M299" s="5" t="s">
        <v>10</v>
      </c>
      <c r="N299" s="5">
        <v>4</v>
      </c>
      <c r="O299" s="6">
        <f t="shared" si="72"/>
        <v>0.62965547739804595</v>
      </c>
      <c r="P299" s="6">
        <f t="shared" si="73"/>
        <v>6.5484169649396781E-2</v>
      </c>
      <c r="Q299" s="10">
        <f t="shared" si="74"/>
        <v>1.3642535343624329E-3</v>
      </c>
      <c r="R299" s="10">
        <f t="shared" si="75"/>
        <v>1.1238914402422381E-2</v>
      </c>
      <c r="S299" s="10">
        <f t="shared" si="76"/>
        <v>1.2603167936784815E-2</v>
      </c>
    </row>
    <row r="300" spans="1:19" x14ac:dyDescent="0.25">
      <c r="A300" s="5" t="s">
        <v>8</v>
      </c>
      <c r="B300" s="5" t="s">
        <v>291</v>
      </c>
      <c r="C300" s="5" t="s">
        <v>27</v>
      </c>
      <c r="D300" s="5" t="s">
        <v>385</v>
      </c>
      <c r="E300" s="5" t="s">
        <v>384</v>
      </c>
      <c r="F300" s="5" t="s">
        <v>45</v>
      </c>
      <c r="G300" s="5" t="s">
        <v>390</v>
      </c>
      <c r="H300" s="5" t="s">
        <v>46</v>
      </c>
      <c r="I300" s="5" t="s">
        <v>203</v>
      </c>
      <c r="J300" s="15">
        <v>1221</v>
      </c>
      <c r="K300" s="7">
        <v>34.799999999999997</v>
      </c>
      <c r="L300" s="7">
        <f t="shared" si="71"/>
        <v>35.08620689655173</v>
      </c>
      <c r="M300" s="5" t="s">
        <v>10</v>
      </c>
      <c r="N300" s="5">
        <v>4</v>
      </c>
      <c r="O300" s="6">
        <f t="shared" si="72"/>
        <v>0.9394388609170633</v>
      </c>
      <c r="P300" s="6">
        <f t="shared" si="73"/>
        <v>9.770164153537457E-2</v>
      </c>
      <c r="Q300" s="10">
        <f t="shared" si="74"/>
        <v>2.035450865320304E-3</v>
      </c>
      <c r="R300" s="10">
        <f t="shared" si="75"/>
        <v>1.5172198474885332E-2</v>
      </c>
      <c r="S300" s="10">
        <f t="shared" si="76"/>
        <v>1.7207649340205636E-2</v>
      </c>
    </row>
    <row r="301" spans="1:19" x14ac:dyDescent="0.25">
      <c r="A301" s="5" t="s">
        <v>8</v>
      </c>
      <c r="B301" s="5" t="s">
        <v>291</v>
      </c>
      <c r="C301" s="5" t="s">
        <v>27</v>
      </c>
      <c r="D301" s="5" t="s">
        <v>385</v>
      </c>
      <c r="E301" s="5" t="s">
        <v>384</v>
      </c>
      <c r="F301" s="5" t="s">
        <v>45</v>
      </c>
      <c r="G301" s="5" t="s">
        <v>390</v>
      </c>
      <c r="H301" s="5" t="s">
        <v>46</v>
      </c>
      <c r="I301" s="5" t="s">
        <v>203</v>
      </c>
      <c r="J301" s="15">
        <v>1180</v>
      </c>
      <c r="K301" s="7">
        <v>28.1</v>
      </c>
      <c r="L301" s="7">
        <f t="shared" si="71"/>
        <v>41.992882562277579</v>
      </c>
      <c r="M301" s="5" t="s">
        <v>10</v>
      </c>
      <c r="N301" s="5">
        <v>4</v>
      </c>
      <c r="O301" s="6">
        <f t="shared" si="72"/>
        <v>1.3005091120933117</v>
      </c>
      <c r="P301" s="6">
        <f t="shared" si="73"/>
        <v>0.13525294765770443</v>
      </c>
      <c r="Q301" s="10">
        <f t="shared" si="74"/>
        <v>2.8177697428688419E-3</v>
      </c>
      <c r="R301" s="10">
        <f t="shared" si="75"/>
        <v>1.9363424830278701E-2</v>
      </c>
      <c r="S301" s="10">
        <f t="shared" si="76"/>
        <v>2.2181194573147541E-2</v>
      </c>
    </row>
    <row r="302" spans="1:19" x14ac:dyDescent="0.25">
      <c r="A302" s="5" t="s">
        <v>8</v>
      </c>
      <c r="B302" s="5" t="s">
        <v>291</v>
      </c>
      <c r="C302" s="5" t="s">
        <v>27</v>
      </c>
      <c r="D302" s="5" t="s">
        <v>385</v>
      </c>
      <c r="E302" s="5" t="s">
        <v>384</v>
      </c>
      <c r="F302" s="5" t="s">
        <v>45</v>
      </c>
      <c r="G302" s="5" t="s">
        <v>390</v>
      </c>
      <c r="H302" s="5" t="s">
        <v>46</v>
      </c>
      <c r="I302" s="5" t="s">
        <v>203</v>
      </c>
      <c r="J302" s="15">
        <v>1358</v>
      </c>
      <c r="K302" s="7">
        <v>27.2</v>
      </c>
      <c r="L302" s="7">
        <f t="shared" si="71"/>
        <v>49.926470588235297</v>
      </c>
      <c r="M302" s="5" t="s">
        <v>10</v>
      </c>
      <c r="N302" s="5">
        <v>4</v>
      </c>
      <c r="O302" s="6">
        <f t="shared" si="72"/>
        <v>2.115638780006488</v>
      </c>
      <c r="P302" s="6">
        <f t="shared" si="73"/>
        <v>0.22002643312067477</v>
      </c>
      <c r="Q302" s="10">
        <f t="shared" si="74"/>
        <v>4.5838840233473907E-3</v>
      </c>
      <c r="R302" s="10">
        <f t="shared" si="75"/>
        <v>2.7891910544193911E-2</v>
      </c>
      <c r="S302" s="10">
        <f t="shared" si="76"/>
        <v>3.2475794567541301E-2</v>
      </c>
    </row>
    <row r="303" spans="1:19" x14ac:dyDescent="0.25">
      <c r="A303" s="5" t="s">
        <v>8</v>
      </c>
      <c r="B303" s="5" t="s">
        <v>291</v>
      </c>
      <c r="C303" s="5" t="s">
        <v>27</v>
      </c>
      <c r="D303" s="5" t="s">
        <v>385</v>
      </c>
      <c r="E303" s="5" t="s">
        <v>384</v>
      </c>
      <c r="F303" s="5" t="s">
        <v>45</v>
      </c>
      <c r="G303" s="5" t="s">
        <v>390</v>
      </c>
      <c r="H303" s="5" t="s">
        <v>46</v>
      </c>
      <c r="I303" s="5" t="s">
        <v>203</v>
      </c>
      <c r="J303" s="15">
        <v>1194</v>
      </c>
      <c r="K303" s="7">
        <v>25.9</v>
      </c>
      <c r="L303" s="7">
        <f t="shared" si="71"/>
        <v>46.100386100386103</v>
      </c>
      <c r="M303" s="5" t="s">
        <v>10</v>
      </c>
      <c r="N303" s="5">
        <v>4</v>
      </c>
      <c r="O303" s="6">
        <f t="shared" si="72"/>
        <v>1.5859645279587367</v>
      </c>
      <c r="P303" s="6">
        <f t="shared" si="73"/>
        <v>0.16494031090770858</v>
      </c>
      <c r="Q303" s="10">
        <f t="shared" si="74"/>
        <v>3.4362564772439292E-3</v>
      </c>
      <c r="R303" s="10">
        <f t="shared" si="75"/>
        <v>2.2470732330724698E-2</v>
      </c>
      <c r="S303" s="10">
        <f t="shared" si="76"/>
        <v>2.5906988807968628E-2</v>
      </c>
    </row>
    <row r="304" spans="1:19" x14ac:dyDescent="0.25">
      <c r="A304" s="5" t="s">
        <v>8</v>
      </c>
      <c r="B304" s="5" t="s">
        <v>291</v>
      </c>
      <c r="C304" s="5" t="s">
        <v>27</v>
      </c>
      <c r="D304" s="5" t="s">
        <v>385</v>
      </c>
      <c r="E304" s="5" t="s">
        <v>384</v>
      </c>
      <c r="F304" s="5" t="s">
        <v>45</v>
      </c>
      <c r="G304" s="5" t="s">
        <v>390</v>
      </c>
      <c r="H304" s="5" t="s">
        <v>46</v>
      </c>
      <c r="I304" s="5" t="s">
        <v>203</v>
      </c>
      <c r="J304" s="15">
        <v>1038</v>
      </c>
      <c r="K304" s="7">
        <v>25.2</v>
      </c>
      <c r="L304" s="7">
        <f t="shared" si="71"/>
        <v>41.19047619047619</v>
      </c>
      <c r="M304" s="5" t="s">
        <v>10</v>
      </c>
      <c r="N304" s="5">
        <v>4</v>
      </c>
      <c r="O304" s="6">
        <f t="shared" si="72"/>
        <v>1.1007051445578231</v>
      </c>
      <c r="P304" s="6">
        <f t="shared" si="73"/>
        <v>0.11447333503401359</v>
      </c>
      <c r="Q304" s="10">
        <f t="shared" si="74"/>
        <v>2.3848611465419499E-3</v>
      </c>
      <c r="R304" s="10">
        <f t="shared" si="75"/>
        <v>1.7086392225529067E-2</v>
      </c>
      <c r="S304" s="10">
        <f t="shared" si="76"/>
        <v>1.9471253372071017E-2</v>
      </c>
    </row>
    <row r="305" spans="1:19" x14ac:dyDescent="0.25">
      <c r="A305" s="5" t="s">
        <v>8</v>
      </c>
      <c r="B305" s="5" t="s">
        <v>322</v>
      </c>
      <c r="C305" s="5" t="s">
        <v>27</v>
      </c>
      <c r="D305" s="5" t="s">
        <v>385</v>
      </c>
      <c r="E305" s="5" t="s">
        <v>384</v>
      </c>
      <c r="F305" s="5" t="s">
        <v>45</v>
      </c>
      <c r="G305" s="5" t="s">
        <v>390</v>
      </c>
      <c r="H305" s="5" t="s">
        <v>46</v>
      </c>
      <c r="I305" s="5" t="s">
        <v>203</v>
      </c>
      <c r="J305" s="15">
        <v>1000</v>
      </c>
      <c r="K305" s="7">
        <v>22</v>
      </c>
      <c r="L305" s="7">
        <f t="shared" si="71"/>
        <v>45.454545454545453</v>
      </c>
      <c r="M305" s="5" t="s">
        <v>10</v>
      </c>
      <c r="N305" s="5">
        <v>4</v>
      </c>
      <c r="O305" s="6">
        <f t="shared" si="72"/>
        <v>1.2913223140495866</v>
      </c>
      <c r="P305" s="6">
        <f t="shared" si="73"/>
        <v>0.13429752066115702</v>
      </c>
      <c r="Q305" s="10">
        <f t="shared" si="74"/>
        <v>2.7978650137741039E-3</v>
      </c>
      <c r="R305" s="10">
        <f t="shared" si="75"/>
        <v>1.9260746534398895E-2</v>
      </c>
      <c r="S305" s="10">
        <f t="shared" si="76"/>
        <v>2.2058611548172999E-2</v>
      </c>
    </row>
    <row r="306" spans="1:19" x14ac:dyDescent="0.25">
      <c r="A306" s="5" t="s">
        <v>22</v>
      </c>
      <c r="B306" s="5" t="s">
        <v>26</v>
      </c>
      <c r="C306" s="5" t="s">
        <v>27</v>
      </c>
      <c r="D306" s="5" t="s">
        <v>385</v>
      </c>
      <c r="E306" s="5" t="s">
        <v>384</v>
      </c>
      <c r="F306" s="5" t="s">
        <v>45</v>
      </c>
      <c r="G306" s="5" t="s">
        <v>390</v>
      </c>
      <c r="H306" s="5" t="s">
        <v>46</v>
      </c>
      <c r="I306" s="5" t="s">
        <v>11</v>
      </c>
      <c r="J306" s="15">
        <v>1450</v>
      </c>
      <c r="K306" s="7">
        <v>27</v>
      </c>
      <c r="L306" s="7">
        <f t="shared" si="71"/>
        <v>53.703703703703702</v>
      </c>
      <c r="M306" s="5" t="s">
        <v>10</v>
      </c>
      <c r="N306" s="5">
        <v>4</v>
      </c>
      <c r="O306" s="6">
        <f t="shared" si="72"/>
        <v>2.6137045610425238</v>
      </c>
      <c r="P306" s="6">
        <f t="shared" si="73"/>
        <v>0.27182527434842246</v>
      </c>
      <c r="Q306" s="10">
        <f t="shared" si="74"/>
        <v>5.6630265489254683E-3</v>
      </c>
      <c r="R306" s="10">
        <f t="shared" si="75"/>
        <v>3.2684323180094878E-2</v>
      </c>
      <c r="S306" s="10">
        <f t="shared" si="76"/>
        <v>3.8347349729020347E-2</v>
      </c>
    </row>
    <row r="307" spans="1:19" x14ac:dyDescent="0.25">
      <c r="A307" s="5" t="s">
        <v>8</v>
      </c>
      <c r="B307" s="5" t="s">
        <v>192</v>
      </c>
      <c r="C307" s="5" t="s">
        <v>27</v>
      </c>
      <c r="D307" s="5" t="s">
        <v>385</v>
      </c>
      <c r="E307" s="5" t="s">
        <v>384</v>
      </c>
      <c r="F307" s="5" t="s">
        <v>45</v>
      </c>
      <c r="G307" s="5" t="s">
        <v>390</v>
      </c>
      <c r="H307" s="5" t="s">
        <v>46</v>
      </c>
      <c r="I307" s="5" t="s">
        <v>11</v>
      </c>
      <c r="J307" s="15">
        <v>1050</v>
      </c>
      <c r="K307" s="7">
        <v>32</v>
      </c>
      <c r="L307" s="7">
        <f t="shared" si="71"/>
        <v>32.8125</v>
      </c>
      <c r="M307" s="5" t="s">
        <v>10</v>
      </c>
      <c r="N307" s="5">
        <v>4</v>
      </c>
      <c r="O307" s="6">
        <f t="shared" si="72"/>
        <v>0.7065582275390625</v>
      </c>
      <c r="P307" s="6">
        <f t="shared" si="73"/>
        <v>7.348205566406249E-2</v>
      </c>
      <c r="Q307" s="10">
        <f t="shared" si="74"/>
        <v>1.5308761596679685E-3</v>
      </c>
      <c r="R307" s="10">
        <f t="shared" si="75"/>
        <v>1.2253441811234738E-2</v>
      </c>
      <c r="S307" s="10">
        <f t="shared" si="76"/>
        <v>1.3784317970902706E-2</v>
      </c>
    </row>
    <row r="308" spans="1:19" x14ac:dyDescent="0.25">
      <c r="A308" s="5" t="s">
        <v>8</v>
      </c>
      <c r="B308" s="5" t="s">
        <v>214</v>
      </c>
      <c r="C308" s="5" t="s">
        <v>27</v>
      </c>
      <c r="D308" s="5" t="s">
        <v>385</v>
      </c>
      <c r="E308" s="5" t="s">
        <v>384</v>
      </c>
      <c r="F308" s="5" t="s">
        <v>45</v>
      </c>
      <c r="G308" s="5" t="s">
        <v>390</v>
      </c>
      <c r="H308" s="5" t="s">
        <v>46</v>
      </c>
      <c r="I308" s="5" t="s">
        <v>216</v>
      </c>
      <c r="J308" s="15">
        <v>910</v>
      </c>
      <c r="K308" s="7">
        <v>31</v>
      </c>
      <c r="L308" s="7">
        <f t="shared" si="71"/>
        <v>29.35483870967742</v>
      </c>
      <c r="M308" s="5" t="s">
        <v>10</v>
      </c>
      <c r="N308" s="5">
        <v>4</v>
      </c>
      <c r="O308" s="6">
        <f t="shared" si="72"/>
        <v>0.49009560353798132</v>
      </c>
      <c r="P308" s="6">
        <f t="shared" si="73"/>
        <v>5.0969942767950062E-2</v>
      </c>
      <c r="Q308" s="10">
        <f t="shared" si="74"/>
        <v>1.0618738076656261E-3</v>
      </c>
      <c r="R308" s="10">
        <f t="shared" si="75"/>
        <v>9.3133887089925389E-3</v>
      </c>
      <c r="S308" s="10">
        <f t="shared" si="76"/>
        <v>1.0375262516658166E-2</v>
      </c>
    </row>
    <row r="309" spans="1:19" x14ac:dyDescent="0.25">
      <c r="A309" s="5" t="s">
        <v>8</v>
      </c>
      <c r="B309" s="5" t="s">
        <v>281</v>
      </c>
      <c r="C309" s="5" t="s">
        <v>27</v>
      </c>
      <c r="D309" s="5" t="s">
        <v>385</v>
      </c>
      <c r="E309" s="5" t="s">
        <v>384</v>
      </c>
      <c r="F309" s="5" t="s">
        <v>45</v>
      </c>
      <c r="G309" s="5" t="s">
        <v>390</v>
      </c>
      <c r="H309" s="5" t="s">
        <v>46</v>
      </c>
      <c r="I309" s="5" t="s">
        <v>216</v>
      </c>
      <c r="J309" s="15">
        <v>990</v>
      </c>
      <c r="K309" s="7">
        <v>25.5</v>
      </c>
      <c r="L309" s="7">
        <f t="shared" si="71"/>
        <v>38.823529411764703</v>
      </c>
      <c r="M309" s="5" t="s">
        <v>10</v>
      </c>
      <c r="N309" s="5">
        <v>4</v>
      </c>
      <c r="O309" s="6">
        <f t="shared" si="72"/>
        <v>0.93262110726643588</v>
      </c>
      <c r="P309" s="6">
        <f t="shared" si="73"/>
        <v>9.6992595155709335E-2</v>
      </c>
      <c r="Q309" s="10">
        <f t="shared" si="74"/>
        <v>2.0206790657439442E-3</v>
      </c>
      <c r="R309" s="10">
        <f t="shared" si="75"/>
        <v>1.5089541872016023E-2</v>
      </c>
      <c r="S309" s="10">
        <f t="shared" si="76"/>
        <v>1.7110220937759969E-2</v>
      </c>
    </row>
    <row r="310" spans="1:19" x14ac:dyDescent="0.25">
      <c r="A310" s="5" t="s">
        <v>8</v>
      </c>
      <c r="B310" s="5" t="s">
        <v>307</v>
      </c>
      <c r="C310" s="5" t="s">
        <v>27</v>
      </c>
      <c r="D310" s="5" t="s">
        <v>385</v>
      </c>
      <c r="E310" s="5" t="s">
        <v>384</v>
      </c>
      <c r="F310" s="5" t="s">
        <v>45</v>
      </c>
      <c r="G310" s="5" t="s">
        <v>390</v>
      </c>
      <c r="H310" s="5" t="s">
        <v>46</v>
      </c>
      <c r="I310" s="5" t="s">
        <v>216</v>
      </c>
      <c r="J310" s="15">
        <v>820</v>
      </c>
      <c r="K310" s="7">
        <v>31</v>
      </c>
      <c r="L310" s="7">
        <f t="shared" si="71"/>
        <v>26.451612903225808</v>
      </c>
      <c r="M310" s="5" t="s">
        <v>10</v>
      </c>
      <c r="N310" s="5">
        <v>4</v>
      </c>
      <c r="O310" s="6">
        <f t="shared" si="72"/>
        <v>0.35859001040582733</v>
      </c>
      <c r="P310" s="6">
        <f t="shared" si="73"/>
        <v>3.7293361082206045E-2</v>
      </c>
      <c r="Q310" s="10">
        <f t="shared" si="74"/>
        <v>7.7694502254595915E-4</v>
      </c>
      <c r="R310" s="10">
        <f t="shared" si="75"/>
        <v>7.3679346366924492E-3</v>
      </c>
      <c r="S310" s="10">
        <f t="shared" si="76"/>
        <v>8.1448796592384076E-3</v>
      </c>
    </row>
    <row r="311" spans="1:19" x14ac:dyDescent="0.25">
      <c r="A311" s="5" t="s">
        <v>8</v>
      </c>
      <c r="B311" s="5" t="s">
        <v>339</v>
      </c>
      <c r="C311" s="5" t="s">
        <v>27</v>
      </c>
      <c r="D311" s="5" t="s">
        <v>385</v>
      </c>
      <c r="E311" s="5" t="s">
        <v>384</v>
      </c>
      <c r="F311" s="5" t="s">
        <v>45</v>
      </c>
      <c r="G311" s="5" t="s">
        <v>390</v>
      </c>
      <c r="H311" s="5" t="s">
        <v>46</v>
      </c>
      <c r="I311" s="5" t="s">
        <v>216</v>
      </c>
      <c r="J311" s="15">
        <v>763</v>
      </c>
      <c r="K311" s="7">
        <v>24.1</v>
      </c>
      <c r="L311" s="7">
        <f t="shared" ref="L311:L342" si="77">J311/K311</f>
        <v>31.659751037344396</v>
      </c>
      <c r="M311" s="5" t="s">
        <v>10</v>
      </c>
      <c r="N311" s="5">
        <v>4</v>
      </c>
      <c r="O311" s="6">
        <f t="shared" ref="O311:O342" si="78">(J311*L311^2)/(1.6*10^6)</f>
        <v>0.47799080917167397</v>
      </c>
      <c r="P311" s="6">
        <f t="shared" ref="P311:P342" si="79">(0.104*J311*L311^2)/(1.6*10^6)</f>
        <v>4.9711044153854085E-2</v>
      </c>
      <c r="Q311" s="10">
        <f t="shared" ref="Q311:Q342" si="80">(0.104*O311)/(12*N311)</f>
        <v>1.0356467532052936E-3</v>
      </c>
      <c r="R311" s="10">
        <f t="shared" ref="R311:R342" si="81">0.0159*O311^0.75</f>
        <v>9.1403280678869249E-3</v>
      </c>
      <c r="S311" s="10">
        <f t="shared" ref="S311:S342" si="82">Q311+R311</f>
        <v>1.0175974821092219E-2</v>
      </c>
    </row>
    <row r="312" spans="1:19" x14ac:dyDescent="0.25">
      <c r="A312" s="5" t="s">
        <v>8</v>
      </c>
      <c r="B312" s="5" t="s">
        <v>214</v>
      </c>
      <c r="C312" s="5" t="s">
        <v>27</v>
      </c>
      <c r="D312" s="5" t="s">
        <v>385</v>
      </c>
      <c r="E312" s="5" t="s">
        <v>384</v>
      </c>
      <c r="F312" s="5" t="s">
        <v>45</v>
      </c>
      <c r="G312" s="5" t="s">
        <v>390</v>
      </c>
      <c r="H312" s="5" t="s">
        <v>46</v>
      </c>
      <c r="I312" s="5" t="s">
        <v>62</v>
      </c>
      <c r="J312" s="15">
        <v>1000</v>
      </c>
      <c r="K312" s="7">
        <v>29</v>
      </c>
      <c r="L312" s="7">
        <f t="shared" si="77"/>
        <v>34.482758620689658</v>
      </c>
      <c r="M312" s="5" t="s">
        <v>10</v>
      </c>
      <c r="N312" s="5">
        <v>4</v>
      </c>
      <c r="O312" s="6">
        <f t="shared" si="78"/>
        <v>0.74316290130796681</v>
      </c>
      <c r="P312" s="6">
        <f t="shared" si="79"/>
        <v>7.7288941736028557E-2</v>
      </c>
      <c r="Q312" s="10">
        <f t="shared" si="80"/>
        <v>1.6101862861672613E-3</v>
      </c>
      <c r="R312" s="10">
        <f t="shared" si="81"/>
        <v>1.27265339526514E-2</v>
      </c>
      <c r="S312" s="10">
        <f t="shared" si="82"/>
        <v>1.4336720238818662E-2</v>
      </c>
    </row>
    <row r="313" spans="1:19" x14ac:dyDescent="0.25">
      <c r="A313" s="5" t="s">
        <v>8</v>
      </c>
      <c r="B313" s="5" t="s">
        <v>197</v>
      </c>
      <c r="C313" s="5" t="s">
        <v>27</v>
      </c>
      <c r="D313" s="5" t="s">
        <v>385</v>
      </c>
      <c r="E313" s="5" t="s">
        <v>384</v>
      </c>
      <c r="F313" s="5" t="s">
        <v>45</v>
      </c>
      <c r="G313" s="5" t="s">
        <v>390</v>
      </c>
      <c r="H313" s="5" t="s">
        <v>46</v>
      </c>
      <c r="I313" s="5" t="s">
        <v>196</v>
      </c>
      <c r="J313" s="15">
        <v>1150</v>
      </c>
      <c r="K313" s="7">
        <v>24.5</v>
      </c>
      <c r="L313" s="7">
        <f t="shared" si="77"/>
        <v>46.938775510204081</v>
      </c>
      <c r="M313" s="5" t="s">
        <v>10</v>
      </c>
      <c r="N313" s="5">
        <v>4</v>
      </c>
      <c r="O313" s="6">
        <f t="shared" si="78"/>
        <v>1.5835849645980844</v>
      </c>
      <c r="P313" s="6">
        <f t="shared" si="79"/>
        <v>0.16469283631820075</v>
      </c>
      <c r="Q313" s="10">
        <f t="shared" si="80"/>
        <v>3.4311007566291828E-3</v>
      </c>
      <c r="R313" s="10">
        <f t="shared" si="81"/>
        <v>2.2445441459619402E-2</v>
      </c>
      <c r="S313" s="10">
        <f t="shared" si="82"/>
        <v>2.5876542216248584E-2</v>
      </c>
    </row>
    <row r="314" spans="1:19" x14ac:dyDescent="0.25">
      <c r="A314" s="5" t="s">
        <v>8</v>
      </c>
      <c r="B314" s="5" t="s">
        <v>191</v>
      </c>
      <c r="C314" s="5" t="s">
        <v>27</v>
      </c>
      <c r="D314" s="5" t="s">
        <v>385</v>
      </c>
      <c r="E314" s="5" t="s">
        <v>384</v>
      </c>
      <c r="F314" s="5" t="s">
        <v>45</v>
      </c>
      <c r="G314" s="5" t="s">
        <v>390</v>
      </c>
      <c r="H314" s="5" t="s">
        <v>46</v>
      </c>
      <c r="I314" s="5" t="s">
        <v>196</v>
      </c>
      <c r="J314" s="15">
        <v>1100</v>
      </c>
      <c r="K314" s="7">
        <v>26</v>
      </c>
      <c r="L314" s="7">
        <f t="shared" si="77"/>
        <v>42.307692307692307</v>
      </c>
      <c r="M314" s="5" t="s">
        <v>10</v>
      </c>
      <c r="N314" s="5">
        <v>4</v>
      </c>
      <c r="O314" s="6">
        <f t="shared" si="78"/>
        <v>1.2305843195266273</v>
      </c>
      <c r="P314" s="6">
        <f t="shared" si="79"/>
        <v>0.12798076923076923</v>
      </c>
      <c r="Q314" s="10">
        <f t="shared" si="80"/>
        <v>2.6662660256410258E-3</v>
      </c>
      <c r="R314" s="10">
        <f t="shared" si="81"/>
        <v>1.8577217122682087E-2</v>
      </c>
      <c r="S314" s="10">
        <f t="shared" si="82"/>
        <v>2.1243483148323111E-2</v>
      </c>
    </row>
    <row r="315" spans="1:19" x14ac:dyDescent="0.25">
      <c r="A315" s="5" t="s">
        <v>8</v>
      </c>
      <c r="B315" s="5" t="s">
        <v>193</v>
      </c>
      <c r="C315" s="5" t="s">
        <v>27</v>
      </c>
      <c r="D315" s="5" t="s">
        <v>385</v>
      </c>
      <c r="E315" s="5" t="s">
        <v>384</v>
      </c>
      <c r="F315" s="5" t="s">
        <v>45</v>
      </c>
      <c r="G315" s="5" t="s">
        <v>390</v>
      </c>
      <c r="H315" s="5" t="s">
        <v>46</v>
      </c>
      <c r="I315" s="5" t="s">
        <v>196</v>
      </c>
      <c r="J315" s="15">
        <v>925</v>
      </c>
      <c r="K315" s="7">
        <v>24</v>
      </c>
      <c r="L315" s="7">
        <f t="shared" si="77"/>
        <v>38.541666666666664</v>
      </c>
      <c r="M315" s="5" t="s">
        <v>10</v>
      </c>
      <c r="N315" s="5">
        <v>4</v>
      </c>
      <c r="O315" s="6">
        <f t="shared" si="78"/>
        <v>0.85878160264756942</v>
      </c>
      <c r="P315" s="6">
        <f t="shared" si="79"/>
        <v>8.9313286675347214E-2</v>
      </c>
      <c r="Q315" s="10">
        <f t="shared" si="80"/>
        <v>1.860693472403067E-3</v>
      </c>
      <c r="R315" s="10">
        <f t="shared" si="81"/>
        <v>1.4184341326858875E-2</v>
      </c>
      <c r="S315" s="10">
        <f t="shared" si="82"/>
        <v>1.6045034799261941E-2</v>
      </c>
    </row>
    <row r="316" spans="1:19" x14ac:dyDescent="0.25">
      <c r="A316" s="5" t="s">
        <v>8</v>
      </c>
      <c r="B316" s="5" t="s">
        <v>198</v>
      </c>
      <c r="C316" s="5" t="s">
        <v>27</v>
      </c>
      <c r="D316" s="5" t="s">
        <v>385</v>
      </c>
      <c r="E316" s="5" t="s">
        <v>384</v>
      </c>
      <c r="F316" s="5" t="s">
        <v>45</v>
      </c>
      <c r="G316" s="5" t="s">
        <v>390</v>
      </c>
      <c r="H316" s="5" t="s">
        <v>46</v>
      </c>
      <c r="I316" s="5" t="s">
        <v>196</v>
      </c>
      <c r="J316" s="15">
        <v>720</v>
      </c>
      <c r="K316" s="7">
        <v>19.5</v>
      </c>
      <c r="L316" s="7">
        <f t="shared" si="77"/>
        <v>36.92307692307692</v>
      </c>
      <c r="M316" s="5" t="s">
        <v>10</v>
      </c>
      <c r="N316" s="5">
        <v>4</v>
      </c>
      <c r="O316" s="6">
        <f t="shared" si="78"/>
        <v>0.6134911242603549</v>
      </c>
      <c r="P316" s="6">
        <f t="shared" si="79"/>
        <v>6.3803076923076907E-2</v>
      </c>
      <c r="Q316" s="10">
        <f t="shared" si="80"/>
        <v>1.329230769230769E-3</v>
      </c>
      <c r="R316" s="10">
        <f t="shared" si="81"/>
        <v>1.1021820585628738E-2</v>
      </c>
      <c r="S316" s="10">
        <f t="shared" si="82"/>
        <v>1.2351051354859506E-2</v>
      </c>
    </row>
    <row r="317" spans="1:19" x14ac:dyDescent="0.25">
      <c r="A317" s="5" t="s">
        <v>8</v>
      </c>
      <c r="B317" s="5" t="s">
        <v>199</v>
      </c>
      <c r="C317" s="5" t="s">
        <v>27</v>
      </c>
      <c r="D317" s="5" t="s">
        <v>385</v>
      </c>
      <c r="E317" s="5" t="s">
        <v>384</v>
      </c>
      <c r="F317" s="5" t="s">
        <v>45</v>
      </c>
      <c r="G317" s="5" t="s">
        <v>390</v>
      </c>
      <c r="H317" s="5" t="s">
        <v>46</v>
      </c>
      <c r="I317" s="5" t="s">
        <v>196</v>
      </c>
      <c r="J317" s="15">
        <v>1090</v>
      </c>
      <c r="K317" s="7">
        <v>25</v>
      </c>
      <c r="L317" s="7">
        <f t="shared" si="77"/>
        <v>43.6</v>
      </c>
      <c r="M317" s="5" t="s">
        <v>10</v>
      </c>
      <c r="N317" s="5">
        <v>4</v>
      </c>
      <c r="O317" s="6">
        <f t="shared" si="78"/>
        <v>1.295029</v>
      </c>
      <c r="P317" s="6">
        <f t="shared" si="79"/>
        <v>0.13468301600000002</v>
      </c>
      <c r="Q317" s="10">
        <f t="shared" si="80"/>
        <v>2.8058961666666666E-3</v>
      </c>
      <c r="R317" s="10">
        <f t="shared" si="81"/>
        <v>1.9302197041295953E-2</v>
      </c>
      <c r="S317" s="10">
        <f t="shared" si="82"/>
        <v>2.2108093207962618E-2</v>
      </c>
    </row>
    <row r="318" spans="1:19" x14ac:dyDescent="0.25">
      <c r="A318" s="5" t="s">
        <v>8</v>
      </c>
      <c r="B318" s="5" t="s">
        <v>200</v>
      </c>
      <c r="C318" s="5" t="s">
        <v>27</v>
      </c>
      <c r="D318" s="5" t="s">
        <v>385</v>
      </c>
      <c r="E318" s="5" t="s">
        <v>384</v>
      </c>
      <c r="F318" s="5" t="s">
        <v>45</v>
      </c>
      <c r="G318" s="5" t="s">
        <v>390</v>
      </c>
      <c r="H318" s="5" t="s">
        <v>46</v>
      </c>
      <c r="I318" s="5" t="s">
        <v>196</v>
      </c>
      <c r="J318" s="15">
        <v>1040</v>
      </c>
      <c r="K318" s="7">
        <v>25.5</v>
      </c>
      <c r="L318" s="7">
        <f t="shared" si="77"/>
        <v>40.784313725490193</v>
      </c>
      <c r="M318" s="5" t="s">
        <v>10</v>
      </c>
      <c r="N318" s="5">
        <v>4</v>
      </c>
      <c r="O318" s="6">
        <f t="shared" si="78"/>
        <v>1.081184159938485</v>
      </c>
      <c r="P318" s="6">
        <f t="shared" si="79"/>
        <v>0.11244315263360244</v>
      </c>
      <c r="Q318" s="10">
        <f t="shared" si="80"/>
        <v>2.3425656798667176E-3</v>
      </c>
      <c r="R318" s="10">
        <f t="shared" si="81"/>
        <v>1.685861450724056E-2</v>
      </c>
      <c r="S318" s="10">
        <f t="shared" si="82"/>
        <v>1.9201180187107276E-2</v>
      </c>
    </row>
    <row r="319" spans="1:19" x14ac:dyDescent="0.25">
      <c r="A319" s="5" t="s">
        <v>8</v>
      </c>
      <c r="B319" s="5" t="s">
        <v>201</v>
      </c>
      <c r="C319" s="5" t="s">
        <v>27</v>
      </c>
      <c r="D319" s="5" t="s">
        <v>385</v>
      </c>
      <c r="E319" s="5" t="s">
        <v>384</v>
      </c>
      <c r="F319" s="5" t="s">
        <v>45</v>
      </c>
      <c r="G319" s="5" t="s">
        <v>390</v>
      </c>
      <c r="H319" s="5" t="s">
        <v>46</v>
      </c>
      <c r="I319" s="5" t="s">
        <v>196</v>
      </c>
      <c r="J319" s="15">
        <v>1020</v>
      </c>
      <c r="K319" s="7">
        <v>23.5</v>
      </c>
      <c r="L319" s="7">
        <f t="shared" si="77"/>
        <v>43.404255319148938</v>
      </c>
      <c r="M319" s="5" t="s">
        <v>10</v>
      </c>
      <c r="N319" s="5">
        <v>4</v>
      </c>
      <c r="O319" s="6">
        <f t="shared" si="78"/>
        <v>1.2010049796287914</v>
      </c>
      <c r="P319" s="6">
        <f t="shared" si="79"/>
        <v>0.1249045178813943</v>
      </c>
      <c r="Q319" s="10">
        <f t="shared" si="80"/>
        <v>2.6021774558623811E-3</v>
      </c>
      <c r="R319" s="10">
        <f t="shared" si="81"/>
        <v>1.824129766845984E-2</v>
      </c>
      <c r="S319" s="10">
        <f t="shared" si="82"/>
        <v>2.0843475124322219E-2</v>
      </c>
    </row>
    <row r="320" spans="1:19" x14ac:dyDescent="0.25">
      <c r="A320" s="5" t="s">
        <v>8</v>
      </c>
      <c r="B320" s="5" t="s">
        <v>300</v>
      </c>
      <c r="C320" s="5" t="s">
        <v>27</v>
      </c>
      <c r="D320" s="5" t="s">
        <v>385</v>
      </c>
      <c r="E320" s="5" t="s">
        <v>384</v>
      </c>
      <c r="F320" s="5" t="s">
        <v>45</v>
      </c>
      <c r="G320" s="5" t="s">
        <v>390</v>
      </c>
      <c r="H320" s="5" t="s">
        <v>46</v>
      </c>
      <c r="I320" s="5" t="s">
        <v>196</v>
      </c>
      <c r="J320" s="15">
        <v>1195</v>
      </c>
      <c r="K320" s="7">
        <v>24</v>
      </c>
      <c r="L320" s="7">
        <f t="shared" si="77"/>
        <v>49.791666666666664</v>
      </c>
      <c r="M320" s="5" t="s">
        <v>10</v>
      </c>
      <c r="N320" s="5">
        <v>4</v>
      </c>
      <c r="O320" s="6">
        <f t="shared" si="78"/>
        <v>1.8516600206163194</v>
      </c>
      <c r="P320" s="6">
        <f t="shared" si="79"/>
        <v>0.19257264214409722</v>
      </c>
      <c r="Q320" s="10">
        <f t="shared" si="80"/>
        <v>4.0119300446686918E-3</v>
      </c>
      <c r="R320" s="10">
        <f t="shared" si="81"/>
        <v>2.5238762776790758E-2</v>
      </c>
      <c r="S320" s="10">
        <f t="shared" si="82"/>
        <v>2.9250692821459451E-2</v>
      </c>
    </row>
    <row r="321" spans="1:19" x14ac:dyDescent="0.25">
      <c r="A321" s="5" t="s">
        <v>8</v>
      </c>
      <c r="B321" s="5" t="s">
        <v>322</v>
      </c>
      <c r="C321" s="5" t="s">
        <v>27</v>
      </c>
      <c r="D321" s="5" t="s">
        <v>385</v>
      </c>
      <c r="E321" s="5" t="s">
        <v>384</v>
      </c>
      <c r="F321" s="5" t="s">
        <v>45</v>
      </c>
      <c r="G321" s="5" t="s">
        <v>390</v>
      </c>
      <c r="H321" s="5" t="s">
        <v>46</v>
      </c>
      <c r="I321" s="5" t="s">
        <v>196</v>
      </c>
      <c r="J321" s="15">
        <v>840</v>
      </c>
      <c r="K321" s="7">
        <v>25</v>
      </c>
      <c r="L321" s="7">
        <f t="shared" si="77"/>
        <v>33.6</v>
      </c>
      <c r="M321" s="5" t="s">
        <v>10</v>
      </c>
      <c r="N321" s="5">
        <v>4</v>
      </c>
      <c r="O321" s="6">
        <f t="shared" si="78"/>
        <v>0.59270400000000001</v>
      </c>
      <c r="P321" s="6">
        <f t="shared" si="79"/>
        <v>6.1641216000000006E-2</v>
      </c>
      <c r="Q321" s="10">
        <f t="shared" si="80"/>
        <v>1.284192E-3</v>
      </c>
      <c r="R321" s="10">
        <f t="shared" si="81"/>
        <v>1.0740525188849282E-2</v>
      </c>
      <c r="S321" s="10">
        <f t="shared" si="82"/>
        <v>1.2024717188849282E-2</v>
      </c>
    </row>
    <row r="322" spans="1:19" x14ac:dyDescent="0.25">
      <c r="A322" s="5" t="s">
        <v>8</v>
      </c>
      <c r="B322" s="5" t="s">
        <v>328</v>
      </c>
      <c r="C322" s="5" t="s">
        <v>27</v>
      </c>
      <c r="D322" s="5" t="s">
        <v>385</v>
      </c>
      <c r="E322" s="5" t="s">
        <v>384</v>
      </c>
      <c r="F322" s="5" t="s">
        <v>45</v>
      </c>
      <c r="G322" s="5" t="s">
        <v>390</v>
      </c>
      <c r="H322" s="5" t="s">
        <v>46</v>
      </c>
      <c r="I322" s="5" t="s">
        <v>196</v>
      </c>
      <c r="J322" s="15">
        <v>1022</v>
      </c>
      <c r="K322" s="7">
        <v>24.8</v>
      </c>
      <c r="L322" s="7">
        <f t="shared" si="77"/>
        <v>41.20967741935484</v>
      </c>
      <c r="M322" s="5" t="s">
        <v>10</v>
      </c>
      <c r="N322" s="5">
        <v>4</v>
      </c>
      <c r="O322" s="6">
        <f t="shared" si="78"/>
        <v>1.0847492114334027</v>
      </c>
      <c r="P322" s="6">
        <f t="shared" si="79"/>
        <v>0.11281391798907389</v>
      </c>
      <c r="Q322" s="10">
        <f t="shared" si="80"/>
        <v>2.3502899581057056E-3</v>
      </c>
      <c r="R322" s="10">
        <f t="shared" si="81"/>
        <v>1.6900289015310911E-2</v>
      </c>
      <c r="S322" s="10">
        <f t="shared" si="82"/>
        <v>1.9250578973416616E-2</v>
      </c>
    </row>
    <row r="323" spans="1:19" x14ac:dyDescent="0.25">
      <c r="A323" s="5" t="s">
        <v>8</v>
      </c>
      <c r="B323" s="5" t="s">
        <v>339</v>
      </c>
      <c r="C323" s="5" t="s">
        <v>27</v>
      </c>
      <c r="D323" s="5" t="s">
        <v>385</v>
      </c>
      <c r="E323" s="5" t="s">
        <v>384</v>
      </c>
      <c r="F323" s="5" t="s">
        <v>45</v>
      </c>
      <c r="G323" s="5" t="s">
        <v>390</v>
      </c>
      <c r="H323" s="5" t="s">
        <v>46</v>
      </c>
      <c r="I323" s="5" t="s">
        <v>196</v>
      </c>
      <c r="J323" s="15">
        <v>880</v>
      </c>
      <c r="K323" s="7">
        <v>22.6</v>
      </c>
      <c r="L323" s="7">
        <f t="shared" si="77"/>
        <v>38.938053097345133</v>
      </c>
      <c r="M323" s="5" t="s">
        <v>10</v>
      </c>
      <c r="N323" s="5">
        <v>4</v>
      </c>
      <c r="O323" s="6">
        <f t="shared" si="78"/>
        <v>0.83389458845641784</v>
      </c>
      <c r="P323" s="6">
        <f t="shared" si="79"/>
        <v>8.6725037199467447E-2</v>
      </c>
      <c r="Q323" s="10">
        <f t="shared" si="80"/>
        <v>1.8067716083222385E-3</v>
      </c>
      <c r="R323" s="10">
        <f t="shared" si="81"/>
        <v>1.3874920102171794E-2</v>
      </c>
      <c r="S323" s="10">
        <f t="shared" si="82"/>
        <v>1.5681691710494033E-2</v>
      </c>
    </row>
    <row r="324" spans="1:19" x14ac:dyDescent="0.25">
      <c r="A324" s="5" t="s">
        <v>8</v>
      </c>
      <c r="B324" s="5" t="s">
        <v>339</v>
      </c>
      <c r="C324" s="5" t="s">
        <v>27</v>
      </c>
      <c r="D324" s="5" t="s">
        <v>385</v>
      </c>
      <c r="E324" s="5" t="s">
        <v>384</v>
      </c>
      <c r="F324" s="5" t="s">
        <v>45</v>
      </c>
      <c r="G324" s="5" t="s">
        <v>390</v>
      </c>
      <c r="H324" s="5" t="s">
        <v>46</v>
      </c>
      <c r="I324" s="5" t="s">
        <v>196</v>
      </c>
      <c r="J324" s="15">
        <v>820</v>
      </c>
      <c r="K324" s="7">
        <v>21.8</v>
      </c>
      <c r="L324" s="7">
        <f t="shared" si="77"/>
        <v>37.61467889908257</v>
      </c>
      <c r="M324" s="5" t="s">
        <v>10</v>
      </c>
      <c r="N324" s="5">
        <v>4</v>
      </c>
      <c r="O324" s="6">
        <f t="shared" si="78"/>
        <v>0.72511783519905726</v>
      </c>
      <c r="P324" s="6">
        <f t="shared" si="79"/>
        <v>7.5412254860701966E-2</v>
      </c>
      <c r="Q324" s="10">
        <f t="shared" si="80"/>
        <v>1.5710886429312907E-3</v>
      </c>
      <c r="R324" s="10">
        <f t="shared" si="81"/>
        <v>1.2494059354586017E-2</v>
      </c>
      <c r="S324" s="10">
        <f t="shared" si="82"/>
        <v>1.4065147997517308E-2</v>
      </c>
    </row>
    <row r="325" spans="1:19" x14ac:dyDescent="0.25">
      <c r="A325" s="5" t="s">
        <v>8</v>
      </c>
      <c r="B325" s="5" t="s">
        <v>192</v>
      </c>
      <c r="C325" s="5" t="s">
        <v>27</v>
      </c>
      <c r="D325" s="5" t="s">
        <v>385</v>
      </c>
      <c r="E325" s="5" t="s">
        <v>384</v>
      </c>
      <c r="F325" s="5" t="s">
        <v>45</v>
      </c>
      <c r="G325" s="5" t="s">
        <v>390</v>
      </c>
      <c r="H325" s="5" t="s">
        <v>46</v>
      </c>
      <c r="I325" s="5" t="s">
        <v>212</v>
      </c>
      <c r="J325" s="15">
        <v>730</v>
      </c>
      <c r="K325" s="7">
        <v>24.3</v>
      </c>
      <c r="L325" s="7">
        <f t="shared" si="77"/>
        <v>30.041152263374485</v>
      </c>
      <c r="M325" s="5" t="s">
        <v>10</v>
      </c>
      <c r="N325" s="5">
        <v>4</v>
      </c>
      <c r="O325" s="6">
        <f t="shared" si="78"/>
        <v>0.41175231587325783</v>
      </c>
      <c r="P325" s="6">
        <f t="shared" si="79"/>
        <v>4.2822240850818816E-2</v>
      </c>
      <c r="Q325" s="10">
        <f t="shared" si="80"/>
        <v>8.9213001772539199E-4</v>
      </c>
      <c r="R325" s="10">
        <f t="shared" si="81"/>
        <v>8.1728619312888239E-3</v>
      </c>
      <c r="S325" s="10">
        <f t="shared" si="82"/>
        <v>9.0649919490142158E-3</v>
      </c>
    </row>
    <row r="326" spans="1:19" x14ac:dyDescent="0.25">
      <c r="A326" s="5" t="s">
        <v>22</v>
      </c>
      <c r="B326" s="5" t="s">
        <v>63</v>
      </c>
      <c r="C326" s="5" t="s">
        <v>27</v>
      </c>
      <c r="D326" s="5" t="s">
        <v>385</v>
      </c>
      <c r="E326" s="5" t="s">
        <v>384</v>
      </c>
      <c r="F326" s="5" t="s">
        <v>45</v>
      </c>
      <c r="G326" s="5" t="s">
        <v>390</v>
      </c>
      <c r="H326" s="5" t="s">
        <v>46</v>
      </c>
      <c r="I326" s="5" t="s">
        <v>152</v>
      </c>
      <c r="J326" s="15">
        <v>2050</v>
      </c>
      <c r="K326" s="7">
        <v>48</v>
      </c>
      <c r="L326" s="7">
        <f t="shared" si="77"/>
        <v>42.708333333333336</v>
      </c>
      <c r="M326" s="5" t="s">
        <v>10</v>
      </c>
      <c r="N326" s="5">
        <v>4</v>
      </c>
      <c r="O326" s="6">
        <f t="shared" si="78"/>
        <v>2.3370022243923612</v>
      </c>
      <c r="P326" s="6">
        <f t="shared" si="79"/>
        <v>0.24304823133680559</v>
      </c>
      <c r="Q326" s="10">
        <f t="shared" si="80"/>
        <v>5.0635048195167825E-3</v>
      </c>
      <c r="R326" s="10">
        <f t="shared" si="81"/>
        <v>3.0053251699317985E-2</v>
      </c>
      <c r="S326" s="10">
        <f t="shared" si="82"/>
        <v>3.5116756518834766E-2</v>
      </c>
    </row>
    <row r="327" spans="1:19" x14ac:dyDescent="0.25">
      <c r="A327" s="5" t="s">
        <v>8</v>
      </c>
      <c r="B327" s="5" t="s">
        <v>375</v>
      </c>
      <c r="C327" s="5" t="s">
        <v>27</v>
      </c>
      <c r="D327" s="5" t="s">
        <v>385</v>
      </c>
      <c r="E327" s="5" t="s">
        <v>384</v>
      </c>
      <c r="F327" s="5" t="s">
        <v>45</v>
      </c>
      <c r="G327" s="5" t="s">
        <v>390</v>
      </c>
      <c r="H327" s="5" t="s">
        <v>46</v>
      </c>
      <c r="I327" s="5" t="s">
        <v>152</v>
      </c>
      <c r="J327" s="15">
        <v>2000</v>
      </c>
      <c r="K327" s="7">
        <v>47</v>
      </c>
      <c r="L327" s="7">
        <f t="shared" si="77"/>
        <v>42.553191489361701</v>
      </c>
      <c r="M327" s="5" t="s">
        <v>10</v>
      </c>
      <c r="N327" s="5">
        <v>4</v>
      </c>
      <c r="O327" s="6">
        <f t="shared" si="78"/>
        <v>2.2634676324128562</v>
      </c>
      <c r="P327" s="6">
        <f t="shared" si="79"/>
        <v>0.23540063377093706</v>
      </c>
      <c r="Q327" s="10">
        <f t="shared" si="80"/>
        <v>4.9041798702278549E-3</v>
      </c>
      <c r="R327" s="10">
        <f t="shared" si="81"/>
        <v>2.9341197903551185E-2</v>
      </c>
      <c r="S327" s="10">
        <f t="shared" si="82"/>
        <v>3.4245377773779041E-2</v>
      </c>
    </row>
    <row r="328" spans="1:19" x14ac:dyDescent="0.25">
      <c r="A328" s="5" t="s">
        <v>8</v>
      </c>
      <c r="B328" s="5" t="s">
        <v>300</v>
      </c>
      <c r="C328" s="5" t="s">
        <v>27</v>
      </c>
      <c r="D328" s="5" t="s">
        <v>385</v>
      </c>
      <c r="E328" s="5" t="s">
        <v>384</v>
      </c>
      <c r="F328" s="5" t="s">
        <v>45</v>
      </c>
      <c r="G328" s="5" t="s">
        <v>390</v>
      </c>
      <c r="H328" s="5" t="s">
        <v>46</v>
      </c>
      <c r="I328" s="5" t="s">
        <v>302</v>
      </c>
      <c r="J328" s="15">
        <v>1357</v>
      </c>
      <c r="K328" s="7">
        <v>29</v>
      </c>
      <c r="L328" s="7">
        <f t="shared" si="77"/>
        <v>46.793103448275865</v>
      </c>
      <c r="M328" s="5" t="s">
        <v>10</v>
      </c>
      <c r="N328" s="5">
        <v>4</v>
      </c>
      <c r="O328" s="6">
        <f t="shared" si="78"/>
        <v>1.8570498610285375</v>
      </c>
      <c r="P328" s="6">
        <f t="shared" si="79"/>
        <v>0.19313318554696787</v>
      </c>
      <c r="Q328" s="10">
        <f t="shared" si="80"/>
        <v>4.0236080322284982E-3</v>
      </c>
      <c r="R328" s="10">
        <f t="shared" si="81"/>
        <v>2.5293841786768613E-2</v>
      </c>
      <c r="S328" s="10">
        <f t="shared" si="82"/>
        <v>2.9317449818997112E-2</v>
      </c>
    </row>
    <row r="329" spans="1:19" x14ac:dyDescent="0.25">
      <c r="A329" s="5" t="s">
        <v>8</v>
      </c>
      <c r="B329" s="5" t="s">
        <v>328</v>
      </c>
      <c r="C329" s="5" t="s">
        <v>27</v>
      </c>
      <c r="D329" s="5" t="s">
        <v>385</v>
      </c>
      <c r="E329" s="5" t="s">
        <v>384</v>
      </c>
      <c r="F329" s="5" t="s">
        <v>45</v>
      </c>
      <c r="G329" s="5" t="s">
        <v>390</v>
      </c>
      <c r="H329" s="5" t="s">
        <v>46</v>
      </c>
      <c r="I329" s="5" t="s">
        <v>302</v>
      </c>
      <c r="J329" s="15">
        <v>1363</v>
      </c>
      <c r="K329" s="7">
        <v>28.2</v>
      </c>
      <c r="L329" s="7">
        <f t="shared" si="77"/>
        <v>48.333333333333336</v>
      </c>
      <c r="M329" s="5" t="s">
        <v>10</v>
      </c>
      <c r="N329" s="5">
        <v>4</v>
      </c>
      <c r="O329" s="6">
        <f t="shared" si="78"/>
        <v>1.9900746527777777</v>
      </c>
      <c r="P329" s="6">
        <f t="shared" si="79"/>
        <v>0.20696776388888888</v>
      </c>
      <c r="Q329" s="10">
        <f t="shared" si="80"/>
        <v>4.3118284143518516E-3</v>
      </c>
      <c r="R329" s="10">
        <f t="shared" si="81"/>
        <v>2.6640915833609679E-2</v>
      </c>
      <c r="S329" s="10">
        <f t="shared" si="82"/>
        <v>3.0952744247961531E-2</v>
      </c>
    </row>
    <row r="330" spans="1:19" x14ac:dyDescent="0.25">
      <c r="A330" s="5" t="s">
        <v>8</v>
      </c>
      <c r="B330" s="5" t="s">
        <v>354</v>
      </c>
      <c r="C330" s="5" t="s">
        <v>27</v>
      </c>
      <c r="D330" s="5" t="s">
        <v>385</v>
      </c>
      <c r="E330" s="5" t="s">
        <v>384</v>
      </c>
      <c r="F330" s="5" t="s">
        <v>45</v>
      </c>
      <c r="G330" s="5" t="s">
        <v>390</v>
      </c>
      <c r="H330" s="5" t="s">
        <v>46</v>
      </c>
      <c r="I330" s="5" t="s">
        <v>302</v>
      </c>
      <c r="J330" s="15">
        <v>1350</v>
      </c>
      <c r="K330" s="7">
        <v>32.5</v>
      </c>
      <c r="L330" s="7">
        <f t="shared" si="77"/>
        <v>41.53846153846154</v>
      </c>
      <c r="M330" s="5" t="s">
        <v>10</v>
      </c>
      <c r="N330" s="5">
        <v>4</v>
      </c>
      <c r="O330" s="6">
        <f t="shared" si="78"/>
        <v>1.4558431952662723</v>
      </c>
      <c r="P330" s="6">
        <f t="shared" si="79"/>
        <v>0.15140769230769233</v>
      </c>
      <c r="Q330" s="10">
        <f t="shared" si="80"/>
        <v>3.1543269230769229E-3</v>
      </c>
      <c r="R330" s="10">
        <f t="shared" si="81"/>
        <v>2.107332548180799E-2</v>
      </c>
      <c r="S330" s="10">
        <f t="shared" si="82"/>
        <v>2.4227652404884913E-2</v>
      </c>
    </row>
    <row r="331" spans="1:19" x14ac:dyDescent="0.25">
      <c r="A331" s="5" t="s">
        <v>22</v>
      </c>
      <c r="B331" s="5" t="s">
        <v>26</v>
      </c>
      <c r="C331" s="5" t="s">
        <v>27</v>
      </c>
      <c r="D331" s="5" t="s">
        <v>385</v>
      </c>
      <c r="E331" s="5" t="s">
        <v>384</v>
      </c>
      <c r="F331" s="5" t="s">
        <v>45</v>
      </c>
      <c r="G331" s="5" t="s">
        <v>390</v>
      </c>
      <c r="H331" s="5" t="s">
        <v>46</v>
      </c>
      <c r="I331" s="5" t="s">
        <v>48</v>
      </c>
      <c r="J331" s="15">
        <v>1300</v>
      </c>
      <c r="K331" s="7">
        <v>31.5</v>
      </c>
      <c r="L331" s="7">
        <f t="shared" si="77"/>
        <v>41.269841269841272</v>
      </c>
      <c r="M331" s="5" t="s">
        <v>10</v>
      </c>
      <c r="N331" s="5">
        <v>4</v>
      </c>
      <c r="O331" s="6">
        <f t="shared" si="78"/>
        <v>1.3838498362307887</v>
      </c>
      <c r="P331" s="6">
        <f t="shared" si="79"/>
        <v>0.14392038296800203</v>
      </c>
      <c r="Q331" s="10">
        <f t="shared" si="80"/>
        <v>2.9983413118333754E-3</v>
      </c>
      <c r="R331" s="10">
        <f t="shared" si="81"/>
        <v>2.0286814091063157E-2</v>
      </c>
      <c r="S331" s="10">
        <f t="shared" si="82"/>
        <v>2.3285155402896534E-2</v>
      </c>
    </row>
    <row r="332" spans="1:19" x14ac:dyDescent="0.25">
      <c r="A332" s="5" t="s">
        <v>8</v>
      </c>
      <c r="B332" s="5" t="s">
        <v>191</v>
      </c>
      <c r="C332" s="5" t="s">
        <v>27</v>
      </c>
      <c r="D332" s="5" t="s">
        <v>385</v>
      </c>
      <c r="E332" s="5" t="s">
        <v>384</v>
      </c>
      <c r="F332" s="5" t="s">
        <v>45</v>
      </c>
      <c r="G332" s="5" t="s">
        <v>390</v>
      </c>
      <c r="H332" s="5" t="s">
        <v>46</v>
      </c>
      <c r="I332" s="5" t="s">
        <v>48</v>
      </c>
      <c r="J332" s="15">
        <v>1700</v>
      </c>
      <c r="K332" s="7">
        <v>30</v>
      </c>
      <c r="L332" s="7">
        <f t="shared" si="77"/>
        <v>56.666666666666664</v>
      </c>
      <c r="M332" s="5" t="s">
        <v>10</v>
      </c>
      <c r="N332" s="5">
        <v>4</v>
      </c>
      <c r="O332" s="6">
        <f t="shared" si="78"/>
        <v>3.4118055555555551</v>
      </c>
      <c r="P332" s="6">
        <f t="shared" si="79"/>
        <v>0.35482777777777774</v>
      </c>
      <c r="Q332" s="10">
        <f t="shared" si="80"/>
        <v>7.3922453703703685E-3</v>
      </c>
      <c r="R332" s="10">
        <f t="shared" si="81"/>
        <v>3.9914925990768291E-2</v>
      </c>
      <c r="S332" s="10">
        <f t="shared" si="82"/>
        <v>4.7307171361138656E-2</v>
      </c>
    </row>
    <row r="333" spans="1:19" x14ac:dyDescent="0.25">
      <c r="A333" s="5" t="s">
        <v>8</v>
      </c>
      <c r="B333" s="5" t="s">
        <v>192</v>
      </c>
      <c r="C333" s="5" t="s">
        <v>27</v>
      </c>
      <c r="D333" s="5" t="s">
        <v>385</v>
      </c>
      <c r="E333" s="5" t="s">
        <v>384</v>
      </c>
      <c r="F333" s="5" t="s">
        <v>45</v>
      </c>
      <c r="G333" s="5" t="s">
        <v>390</v>
      </c>
      <c r="H333" s="5" t="s">
        <v>46</v>
      </c>
      <c r="I333" s="5" t="s">
        <v>48</v>
      </c>
      <c r="J333" s="15">
        <v>1590</v>
      </c>
      <c r="K333" s="7">
        <v>29.6</v>
      </c>
      <c r="L333" s="7">
        <f t="shared" si="77"/>
        <v>53.71621621621621</v>
      </c>
      <c r="M333" s="5" t="s">
        <v>10</v>
      </c>
      <c r="N333" s="5">
        <v>4</v>
      </c>
      <c r="O333" s="6">
        <f t="shared" si="78"/>
        <v>2.867397935308619</v>
      </c>
      <c r="P333" s="6">
        <f t="shared" si="79"/>
        <v>0.29820938527209634</v>
      </c>
      <c r="Q333" s="10">
        <f t="shared" si="80"/>
        <v>6.2126955265020068E-3</v>
      </c>
      <c r="R333" s="10">
        <f t="shared" si="81"/>
        <v>3.5035885669132544E-2</v>
      </c>
      <c r="S333" s="10">
        <f t="shared" si="82"/>
        <v>4.124858119563455E-2</v>
      </c>
    </row>
    <row r="334" spans="1:19" x14ac:dyDescent="0.25">
      <c r="A334" s="5" t="s">
        <v>8</v>
      </c>
      <c r="B334" s="5" t="s">
        <v>214</v>
      </c>
      <c r="C334" s="5" t="s">
        <v>27</v>
      </c>
      <c r="D334" s="5" t="s">
        <v>385</v>
      </c>
      <c r="E334" s="5" t="s">
        <v>384</v>
      </c>
      <c r="F334" s="5" t="s">
        <v>45</v>
      </c>
      <c r="G334" s="5" t="s">
        <v>390</v>
      </c>
      <c r="H334" s="5" t="s">
        <v>46</v>
      </c>
      <c r="I334" s="5" t="s">
        <v>48</v>
      </c>
      <c r="J334" s="15">
        <v>1100</v>
      </c>
      <c r="K334" s="7">
        <v>27</v>
      </c>
      <c r="L334" s="7">
        <f t="shared" si="77"/>
        <v>40.74074074074074</v>
      </c>
      <c r="M334" s="5" t="s">
        <v>10</v>
      </c>
      <c r="N334" s="5">
        <v>4</v>
      </c>
      <c r="O334" s="6">
        <f t="shared" si="78"/>
        <v>1.1411179698216736</v>
      </c>
      <c r="P334" s="6">
        <f t="shared" si="79"/>
        <v>0.11867626886145402</v>
      </c>
      <c r="Q334" s="10">
        <f t="shared" si="80"/>
        <v>2.4724222679469595E-3</v>
      </c>
      <c r="R334" s="10">
        <f t="shared" si="81"/>
        <v>1.7554765509974736E-2</v>
      </c>
      <c r="S334" s="10">
        <f t="shared" si="82"/>
        <v>2.0027187777921694E-2</v>
      </c>
    </row>
    <row r="335" spans="1:19" x14ac:dyDescent="0.25">
      <c r="A335" s="5" t="s">
        <v>8</v>
      </c>
      <c r="B335" s="5" t="s">
        <v>291</v>
      </c>
      <c r="C335" s="5" t="s">
        <v>27</v>
      </c>
      <c r="D335" s="5" t="s">
        <v>385</v>
      </c>
      <c r="E335" s="5" t="s">
        <v>384</v>
      </c>
      <c r="F335" s="5" t="s">
        <v>45</v>
      </c>
      <c r="G335" s="5" t="s">
        <v>390</v>
      </c>
      <c r="H335" s="5" t="s">
        <v>46</v>
      </c>
      <c r="I335" s="5" t="s">
        <v>48</v>
      </c>
      <c r="J335" s="15">
        <v>980</v>
      </c>
      <c r="K335" s="7">
        <v>26</v>
      </c>
      <c r="L335" s="7">
        <f t="shared" si="77"/>
        <v>37.692307692307693</v>
      </c>
      <c r="M335" s="5" t="s">
        <v>10</v>
      </c>
      <c r="N335" s="5">
        <v>4</v>
      </c>
      <c r="O335" s="6">
        <f t="shared" si="78"/>
        <v>0.87018491124260366</v>
      </c>
      <c r="P335" s="6">
        <f t="shared" si="79"/>
        <v>9.0499230769230776E-2</v>
      </c>
      <c r="Q335" s="10">
        <f t="shared" si="80"/>
        <v>1.8854006410256412E-3</v>
      </c>
      <c r="R335" s="10">
        <f t="shared" si="81"/>
        <v>1.4325367948525116E-2</v>
      </c>
      <c r="S335" s="10">
        <f t="shared" si="82"/>
        <v>1.6210768589550756E-2</v>
      </c>
    </row>
    <row r="336" spans="1:19" x14ac:dyDescent="0.25">
      <c r="A336" s="5" t="s">
        <v>8</v>
      </c>
      <c r="B336" s="5" t="s">
        <v>300</v>
      </c>
      <c r="C336" s="5" t="s">
        <v>27</v>
      </c>
      <c r="D336" s="5" t="s">
        <v>385</v>
      </c>
      <c r="E336" s="5" t="s">
        <v>384</v>
      </c>
      <c r="F336" s="5" t="s">
        <v>45</v>
      </c>
      <c r="G336" s="5" t="s">
        <v>390</v>
      </c>
      <c r="H336" s="5" t="s">
        <v>46</v>
      </c>
      <c r="I336" s="5" t="s">
        <v>48</v>
      </c>
      <c r="J336" s="15">
        <v>980</v>
      </c>
      <c r="K336" s="7">
        <v>26</v>
      </c>
      <c r="L336" s="7">
        <f t="shared" si="77"/>
        <v>37.692307692307693</v>
      </c>
      <c r="M336" s="5" t="s">
        <v>10</v>
      </c>
      <c r="N336" s="5">
        <v>4</v>
      </c>
      <c r="O336" s="6">
        <f t="shared" si="78"/>
        <v>0.87018491124260366</v>
      </c>
      <c r="P336" s="6">
        <f t="shared" si="79"/>
        <v>9.0499230769230776E-2</v>
      </c>
      <c r="Q336" s="10">
        <f t="shared" si="80"/>
        <v>1.8854006410256412E-3</v>
      </c>
      <c r="R336" s="10">
        <f t="shared" si="81"/>
        <v>1.4325367948525116E-2</v>
      </c>
      <c r="S336" s="10">
        <f t="shared" si="82"/>
        <v>1.6210768589550756E-2</v>
      </c>
    </row>
    <row r="337" spans="1:19" x14ac:dyDescent="0.25">
      <c r="A337" s="5" t="s">
        <v>8</v>
      </c>
      <c r="B337" s="5" t="s">
        <v>307</v>
      </c>
      <c r="C337" s="5" t="s">
        <v>27</v>
      </c>
      <c r="D337" s="5" t="s">
        <v>385</v>
      </c>
      <c r="E337" s="5" t="s">
        <v>384</v>
      </c>
      <c r="F337" s="5" t="s">
        <v>45</v>
      </c>
      <c r="G337" s="5" t="s">
        <v>390</v>
      </c>
      <c r="H337" s="5" t="s">
        <v>46</v>
      </c>
      <c r="I337" s="5" t="s">
        <v>48</v>
      </c>
      <c r="J337" s="15">
        <v>1600</v>
      </c>
      <c r="K337" s="7">
        <v>31.2</v>
      </c>
      <c r="L337" s="7">
        <f t="shared" si="77"/>
        <v>51.282051282051285</v>
      </c>
      <c r="M337" s="5" t="s">
        <v>10</v>
      </c>
      <c r="N337" s="5">
        <v>4</v>
      </c>
      <c r="O337" s="6">
        <f t="shared" si="78"/>
        <v>2.6298487836949382</v>
      </c>
      <c r="P337" s="6">
        <f t="shared" si="79"/>
        <v>0.27350427350427353</v>
      </c>
      <c r="Q337" s="10">
        <f t="shared" si="80"/>
        <v>5.6980056980057E-3</v>
      </c>
      <c r="R337" s="10">
        <f t="shared" si="81"/>
        <v>3.2835618960862005E-2</v>
      </c>
      <c r="S337" s="10">
        <f t="shared" si="82"/>
        <v>3.8533624658867706E-2</v>
      </c>
    </row>
    <row r="338" spans="1:19" x14ac:dyDescent="0.25">
      <c r="A338" s="5" t="s">
        <v>8</v>
      </c>
      <c r="B338" s="5" t="s">
        <v>339</v>
      </c>
      <c r="C338" s="5" t="s">
        <v>27</v>
      </c>
      <c r="D338" s="5" t="s">
        <v>385</v>
      </c>
      <c r="E338" s="5" t="s">
        <v>384</v>
      </c>
      <c r="F338" s="5" t="s">
        <v>45</v>
      </c>
      <c r="G338" s="5" t="s">
        <v>390</v>
      </c>
      <c r="H338" s="5" t="s">
        <v>46</v>
      </c>
      <c r="I338" s="5" t="s">
        <v>48</v>
      </c>
      <c r="J338" s="15">
        <v>1080</v>
      </c>
      <c r="K338" s="7">
        <v>28.5</v>
      </c>
      <c r="L338" s="7">
        <f t="shared" si="77"/>
        <v>37.89473684210526</v>
      </c>
      <c r="M338" s="5" t="s">
        <v>10</v>
      </c>
      <c r="N338" s="5">
        <v>4</v>
      </c>
      <c r="O338" s="6">
        <f t="shared" si="78"/>
        <v>0.96930747922437654</v>
      </c>
      <c r="P338" s="6">
        <f t="shared" si="79"/>
        <v>0.10080797783933516</v>
      </c>
      <c r="Q338" s="10">
        <f t="shared" si="80"/>
        <v>2.1001662049861488E-3</v>
      </c>
      <c r="R338" s="10">
        <f t="shared" si="81"/>
        <v>1.5532569200814635E-2</v>
      </c>
      <c r="S338" s="10">
        <f t="shared" si="82"/>
        <v>1.7632735405800785E-2</v>
      </c>
    </row>
    <row r="339" spans="1:19" x14ac:dyDescent="0.25">
      <c r="A339" s="5" t="s">
        <v>8</v>
      </c>
      <c r="B339" s="5" t="s">
        <v>339</v>
      </c>
      <c r="C339" s="5" t="s">
        <v>27</v>
      </c>
      <c r="D339" s="5" t="s">
        <v>385</v>
      </c>
      <c r="E339" s="5" t="s">
        <v>384</v>
      </c>
      <c r="F339" s="5" t="s">
        <v>45</v>
      </c>
      <c r="G339" s="5" t="s">
        <v>390</v>
      </c>
      <c r="H339" s="5" t="s">
        <v>46</v>
      </c>
      <c r="I339" s="5" t="s">
        <v>48</v>
      </c>
      <c r="J339" s="15">
        <v>962</v>
      </c>
      <c r="K339" s="7">
        <v>25</v>
      </c>
      <c r="L339" s="7">
        <f t="shared" si="77"/>
        <v>38.479999999999997</v>
      </c>
      <c r="M339" s="5" t="s">
        <v>10</v>
      </c>
      <c r="N339" s="5">
        <v>4</v>
      </c>
      <c r="O339" s="6">
        <f t="shared" si="78"/>
        <v>0.89027712799999981</v>
      </c>
      <c r="P339" s="6">
        <f t="shared" si="79"/>
        <v>9.2588821311999983E-2</v>
      </c>
      <c r="Q339" s="10">
        <f t="shared" si="80"/>
        <v>1.9289337773333328E-3</v>
      </c>
      <c r="R339" s="10">
        <f t="shared" si="81"/>
        <v>1.4572733957196257E-2</v>
      </c>
      <c r="S339" s="10">
        <f t="shared" si="82"/>
        <v>1.6501667734529591E-2</v>
      </c>
    </row>
    <row r="340" spans="1:19" x14ac:dyDescent="0.25">
      <c r="A340" s="5" t="s">
        <v>8</v>
      </c>
      <c r="B340" s="5" t="s">
        <v>339</v>
      </c>
      <c r="C340" s="5" t="s">
        <v>27</v>
      </c>
      <c r="D340" s="5" t="s">
        <v>385</v>
      </c>
      <c r="E340" s="5" t="s">
        <v>384</v>
      </c>
      <c r="F340" s="5" t="s">
        <v>45</v>
      </c>
      <c r="G340" s="5" t="s">
        <v>390</v>
      </c>
      <c r="H340" s="5" t="s">
        <v>46</v>
      </c>
      <c r="I340" s="5" t="s">
        <v>48</v>
      </c>
      <c r="J340" s="15">
        <v>970</v>
      </c>
      <c r="K340" s="7">
        <v>24.4</v>
      </c>
      <c r="L340" s="7">
        <f t="shared" si="77"/>
        <v>39.754098360655739</v>
      </c>
      <c r="M340" s="5" t="s">
        <v>10</v>
      </c>
      <c r="N340" s="5">
        <v>4</v>
      </c>
      <c r="O340" s="6">
        <f t="shared" si="78"/>
        <v>0.95811042898414411</v>
      </c>
      <c r="P340" s="6">
        <f t="shared" si="79"/>
        <v>9.9643484614350977E-2</v>
      </c>
      <c r="Q340" s="10">
        <f t="shared" si="80"/>
        <v>2.0759059294656454E-3</v>
      </c>
      <c r="R340" s="10">
        <f t="shared" si="81"/>
        <v>1.5397804452543755E-2</v>
      </c>
      <c r="S340" s="10">
        <f t="shared" si="82"/>
        <v>1.74737103820094E-2</v>
      </c>
    </row>
    <row r="341" spans="1:19" x14ac:dyDescent="0.25">
      <c r="A341" s="5" t="s">
        <v>22</v>
      </c>
      <c r="B341" s="5" t="s">
        <v>63</v>
      </c>
      <c r="C341" s="5" t="s">
        <v>27</v>
      </c>
      <c r="D341" s="5" t="s">
        <v>385</v>
      </c>
      <c r="E341" s="5" t="s">
        <v>384</v>
      </c>
      <c r="F341" s="5" t="s">
        <v>45</v>
      </c>
      <c r="G341" s="5" t="s">
        <v>390</v>
      </c>
      <c r="H341" s="5" t="s">
        <v>46</v>
      </c>
      <c r="I341" s="5" t="s">
        <v>14</v>
      </c>
      <c r="J341" s="15">
        <v>1110</v>
      </c>
      <c r="K341" s="7">
        <v>25</v>
      </c>
      <c r="L341" s="7">
        <f t="shared" si="77"/>
        <v>44.4</v>
      </c>
      <c r="M341" s="5" t="s">
        <v>10</v>
      </c>
      <c r="N341" s="5">
        <v>4</v>
      </c>
      <c r="O341" s="6">
        <f t="shared" si="78"/>
        <v>1.367631</v>
      </c>
      <c r="P341" s="6">
        <f t="shared" si="79"/>
        <v>0.14223362399999998</v>
      </c>
      <c r="Q341" s="10">
        <f t="shared" si="80"/>
        <v>2.9632005000000002E-3</v>
      </c>
      <c r="R341" s="10">
        <f t="shared" si="81"/>
        <v>2.0108229189784745E-2</v>
      </c>
      <c r="S341" s="10">
        <f t="shared" si="82"/>
        <v>2.3071429689784744E-2</v>
      </c>
    </row>
    <row r="342" spans="1:19" x14ac:dyDescent="0.25">
      <c r="A342" s="5" t="s">
        <v>8</v>
      </c>
      <c r="B342" s="5" t="s">
        <v>192</v>
      </c>
      <c r="C342" s="5" t="s">
        <v>27</v>
      </c>
      <c r="D342" s="5" t="s">
        <v>385</v>
      </c>
      <c r="E342" s="5" t="s">
        <v>384</v>
      </c>
      <c r="F342" s="5" t="s">
        <v>45</v>
      </c>
      <c r="G342" s="5" t="s">
        <v>390</v>
      </c>
      <c r="H342" s="5" t="s">
        <v>46</v>
      </c>
      <c r="I342" s="5" t="s">
        <v>14</v>
      </c>
      <c r="J342" s="15">
        <v>1090</v>
      </c>
      <c r="K342" s="7">
        <v>27.3</v>
      </c>
      <c r="L342" s="7">
        <f t="shared" si="77"/>
        <v>39.926739926739927</v>
      </c>
      <c r="M342" s="5" t="s">
        <v>10</v>
      </c>
      <c r="N342" s="5">
        <v>4</v>
      </c>
      <c r="O342" s="6">
        <f t="shared" si="78"/>
        <v>1.0860109823021911</v>
      </c>
      <c r="P342" s="6">
        <f t="shared" si="79"/>
        <v>0.11294514215942787</v>
      </c>
      <c r="Q342" s="10">
        <f t="shared" si="80"/>
        <v>2.3530237949880807E-3</v>
      </c>
      <c r="R342" s="10">
        <f t="shared" si="81"/>
        <v>1.6915030574766531E-2</v>
      </c>
      <c r="S342" s="10">
        <f t="shared" si="82"/>
        <v>1.9268054369754612E-2</v>
      </c>
    </row>
    <row r="343" spans="1:19" x14ac:dyDescent="0.25">
      <c r="A343" s="5" t="s">
        <v>8</v>
      </c>
      <c r="B343" s="5" t="s">
        <v>191</v>
      </c>
      <c r="C343" s="5" t="s">
        <v>27</v>
      </c>
      <c r="D343" s="5" t="s">
        <v>385</v>
      </c>
      <c r="E343" s="5" t="s">
        <v>384</v>
      </c>
      <c r="F343" s="5" t="s">
        <v>45</v>
      </c>
      <c r="G343" s="5" t="s">
        <v>390</v>
      </c>
      <c r="H343" s="5" t="s">
        <v>46</v>
      </c>
      <c r="I343" s="5" t="s">
        <v>14</v>
      </c>
      <c r="J343" s="15">
        <v>1200</v>
      </c>
      <c r="K343" s="7">
        <v>25</v>
      </c>
      <c r="L343" s="7">
        <f t="shared" ref="L343:L374" si="83">J343/K343</f>
        <v>48</v>
      </c>
      <c r="M343" s="5" t="s">
        <v>10</v>
      </c>
      <c r="N343" s="5">
        <v>4</v>
      </c>
      <c r="O343" s="6">
        <f t="shared" ref="O343:O374" si="84">(J343*L343^2)/(1.6*10^6)</f>
        <v>1.728</v>
      </c>
      <c r="P343" s="6">
        <f t="shared" ref="P343:P374" si="85">(0.104*J343*L343^2)/(1.6*10^6)</f>
        <v>0.17971200000000001</v>
      </c>
      <c r="Q343" s="10">
        <f t="shared" ref="Q343:Q374" si="86">(0.104*O343)/(12*N343)</f>
        <v>3.7439999999999995E-3</v>
      </c>
      <c r="R343" s="10">
        <f t="shared" ref="R343:R374" si="87">0.0159*O343^0.75</f>
        <v>2.3963758151521651E-2</v>
      </c>
      <c r="S343" s="10">
        <f t="shared" ref="S343:S374" si="88">Q343+R343</f>
        <v>2.7707758151521652E-2</v>
      </c>
    </row>
    <row r="344" spans="1:19" x14ac:dyDescent="0.25">
      <c r="A344" s="5" t="s">
        <v>8</v>
      </c>
      <c r="B344" s="5" t="s">
        <v>193</v>
      </c>
      <c r="C344" s="5" t="s">
        <v>27</v>
      </c>
      <c r="D344" s="5" t="s">
        <v>385</v>
      </c>
      <c r="E344" s="5" t="s">
        <v>384</v>
      </c>
      <c r="F344" s="5" t="s">
        <v>45</v>
      </c>
      <c r="G344" s="5" t="s">
        <v>390</v>
      </c>
      <c r="H344" s="5" t="s">
        <v>46</v>
      </c>
      <c r="I344" s="5" t="s">
        <v>14</v>
      </c>
      <c r="J344" s="15">
        <v>1110</v>
      </c>
      <c r="K344" s="7">
        <v>24.5</v>
      </c>
      <c r="L344" s="7">
        <f t="shared" si="83"/>
        <v>45.306122448979593</v>
      </c>
      <c r="M344" s="5" t="s">
        <v>10</v>
      </c>
      <c r="N344" s="5">
        <v>4</v>
      </c>
      <c r="O344" s="6">
        <f t="shared" si="84"/>
        <v>1.424022282382341</v>
      </c>
      <c r="P344" s="6">
        <f t="shared" si="85"/>
        <v>0.14809831736776344</v>
      </c>
      <c r="Q344" s="10">
        <f t="shared" si="86"/>
        <v>3.0853816118284055E-3</v>
      </c>
      <c r="R344" s="10">
        <f t="shared" si="87"/>
        <v>2.0726917227040922E-2</v>
      </c>
      <c r="S344" s="10">
        <f t="shared" si="88"/>
        <v>2.3812298838869327E-2</v>
      </c>
    </row>
    <row r="345" spans="1:19" x14ac:dyDescent="0.25">
      <c r="A345" s="5" t="s">
        <v>8</v>
      </c>
      <c r="B345" s="5" t="s">
        <v>194</v>
      </c>
      <c r="C345" s="5" t="s">
        <v>27</v>
      </c>
      <c r="D345" s="5" t="s">
        <v>385</v>
      </c>
      <c r="E345" s="5" t="s">
        <v>384</v>
      </c>
      <c r="F345" s="5" t="s">
        <v>45</v>
      </c>
      <c r="G345" s="5" t="s">
        <v>390</v>
      </c>
      <c r="H345" s="5" t="s">
        <v>46</v>
      </c>
      <c r="I345" s="5" t="s">
        <v>14</v>
      </c>
      <c r="J345" s="15">
        <v>1070</v>
      </c>
      <c r="K345" s="7">
        <v>24.5</v>
      </c>
      <c r="L345" s="7">
        <f t="shared" si="83"/>
        <v>43.673469387755105</v>
      </c>
      <c r="M345" s="5" t="s">
        <v>10</v>
      </c>
      <c r="N345" s="5">
        <v>4</v>
      </c>
      <c r="O345" s="6">
        <f t="shared" si="84"/>
        <v>1.275554977092878</v>
      </c>
      <c r="P345" s="6">
        <f t="shared" si="85"/>
        <v>0.13265771761765932</v>
      </c>
      <c r="Q345" s="10">
        <f t="shared" si="86"/>
        <v>2.7637024503679025E-3</v>
      </c>
      <c r="R345" s="10">
        <f t="shared" si="87"/>
        <v>1.9084092397598378E-2</v>
      </c>
      <c r="S345" s="10">
        <f t="shared" si="88"/>
        <v>2.1847794847966281E-2</v>
      </c>
    </row>
    <row r="346" spans="1:19" x14ac:dyDescent="0.25">
      <c r="A346" s="5" t="s">
        <v>8</v>
      </c>
      <c r="B346" s="5" t="s">
        <v>195</v>
      </c>
      <c r="C346" s="5" t="s">
        <v>27</v>
      </c>
      <c r="D346" s="5" t="s">
        <v>385</v>
      </c>
      <c r="E346" s="5" t="s">
        <v>384</v>
      </c>
      <c r="F346" s="5" t="s">
        <v>45</v>
      </c>
      <c r="G346" s="5" t="s">
        <v>390</v>
      </c>
      <c r="H346" s="5" t="s">
        <v>46</v>
      </c>
      <c r="I346" s="5" t="s">
        <v>14</v>
      </c>
      <c r="J346" s="15">
        <v>1160</v>
      </c>
      <c r="K346" s="7">
        <v>31.9</v>
      </c>
      <c r="L346" s="7">
        <f t="shared" si="83"/>
        <v>36.363636363636367</v>
      </c>
      <c r="M346" s="5" t="s">
        <v>10</v>
      </c>
      <c r="N346" s="5">
        <v>4</v>
      </c>
      <c r="O346" s="6">
        <f t="shared" si="84"/>
        <v>0.95867768595041347</v>
      </c>
      <c r="P346" s="6">
        <f t="shared" si="85"/>
        <v>9.9702479338843006E-2</v>
      </c>
      <c r="Q346" s="10">
        <f t="shared" si="86"/>
        <v>2.0771349862258957E-3</v>
      </c>
      <c r="R346" s="10">
        <f t="shared" si="87"/>
        <v>1.5404641241904566E-2</v>
      </c>
      <c r="S346" s="10">
        <f t="shared" si="88"/>
        <v>1.7481776228130463E-2</v>
      </c>
    </row>
    <row r="347" spans="1:19" x14ac:dyDescent="0.25">
      <c r="A347" s="5" t="s">
        <v>8</v>
      </c>
      <c r="B347" s="5" t="s">
        <v>214</v>
      </c>
      <c r="C347" s="5" t="s">
        <v>27</v>
      </c>
      <c r="D347" s="5" t="s">
        <v>385</v>
      </c>
      <c r="E347" s="5" t="s">
        <v>384</v>
      </c>
      <c r="F347" s="5" t="s">
        <v>45</v>
      </c>
      <c r="G347" s="5" t="s">
        <v>390</v>
      </c>
      <c r="H347" s="5" t="s">
        <v>46</v>
      </c>
      <c r="I347" s="5" t="s">
        <v>14</v>
      </c>
      <c r="J347" s="15">
        <v>1100</v>
      </c>
      <c r="K347" s="7">
        <v>32</v>
      </c>
      <c r="L347" s="7">
        <f t="shared" si="83"/>
        <v>34.375</v>
      </c>
      <c r="M347" s="5" t="s">
        <v>10</v>
      </c>
      <c r="N347" s="5">
        <v>4</v>
      </c>
      <c r="O347" s="6">
        <f t="shared" si="84"/>
        <v>0.8123779296875</v>
      </c>
      <c r="P347" s="6">
        <f t="shared" si="85"/>
        <v>8.4487304687500001E-2</v>
      </c>
      <c r="Q347" s="10">
        <f t="shared" si="86"/>
        <v>1.7601521809895834E-3</v>
      </c>
      <c r="R347" s="10">
        <f t="shared" si="87"/>
        <v>1.3605537743536752E-2</v>
      </c>
      <c r="S347" s="10">
        <f t="shared" si="88"/>
        <v>1.5365689924526336E-2</v>
      </c>
    </row>
    <row r="348" spans="1:19" x14ac:dyDescent="0.25">
      <c r="A348" s="5" t="s">
        <v>8</v>
      </c>
      <c r="B348" s="5" t="s">
        <v>329</v>
      </c>
      <c r="C348" s="5" t="s">
        <v>27</v>
      </c>
      <c r="D348" s="5" t="s">
        <v>385</v>
      </c>
      <c r="E348" s="5" t="s">
        <v>384</v>
      </c>
      <c r="F348" s="5" t="s">
        <v>45</v>
      </c>
      <c r="G348" s="5" t="s">
        <v>390</v>
      </c>
      <c r="H348" s="5" t="s">
        <v>46</v>
      </c>
      <c r="I348" s="5" t="s">
        <v>14</v>
      </c>
      <c r="J348" s="15">
        <v>1120</v>
      </c>
      <c r="K348" s="7">
        <v>36.5</v>
      </c>
      <c r="L348" s="7">
        <f t="shared" si="83"/>
        <v>30.684931506849313</v>
      </c>
      <c r="M348" s="5" t="s">
        <v>10</v>
      </c>
      <c r="N348" s="5">
        <v>4</v>
      </c>
      <c r="O348" s="6">
        <f t="shared" si="84"/>
        <v>0.65909551510602349</v>
      </c>
      <c r="P348" s="6">
        <f t="shared" si="85"/>
        <v>6.8545933571026438E-2</v>
      </c>
      <c r="Q348" s="10">
        <f t="shared" si="86"/>
        <v>1.4280402827297175E-3</v>
      </c>
      <c r="R348" s="10">
        <f t="shared" si="87"/>
        <v>1.1630767966535846E-2</v>
      </c>
      <c r="S348" s="10">
        <f t="shared" si="88"/>
        <v>1.3058808249265565E-2</v>
      </c>
    </row>
    <row r="349" spans="1:19" x14ac:dyDescent="0.25">
      <c r="A349" s="5" t="s">
        <v>8</v>
      </c>
      <c r="B349" s="5" t="s">
        <v>339</v>
      </c>
      <c r="C349" s="5" t="s">
        <v>27</v>
      </c>
      <c r="D349" s="5" t="s">
        <v>385</v>
      </c>
      <c r="E349" s="5" t="s">
        <v>384</v>
      </c>
      <c r="F349" s="5" t="s">
        <v>45</v>
      </c>
      <c r="G349" s="5" t="s">
        <v>390</v>
      </c>
      <c r="H349" s="5" t="s">
        <v>46</v>
      </c>
      <c r="I349" s="5" t="s">
        <v>14</v>
      </c>
      <c r="J349" s="15">
        <v>1010</v>
      </c>
      <c r="K349" s="7">
        <v>21.1</v>
      </c>
      <c r="L349" s="7">
        <f t="shared" si="83"/>
        <v>47.867298578199048</v>
      </c>
      <c r="M349" s="5" t="s">
        <v>10</v>
      </c>
      <c r="N349" s="5">
        <v>4</v>
      </c>
      <c r="O349" s="6">
        <f t="shared" si="84"/>
        <v>1.4463694099413755</v>
      </c>
      <c r="P349" s="6">
        <f t="shared" si="85"/>
        <v>0.15042241863390304</v>
      </c>
      <c r="Q349" s="10">
        <f t="shared" si="86"/>
        <v>3.1338003882063134E-3</v>
      </c>
      <c r="R349" s="10">
        <f t="shared" si="87"/>
        <v>2.0970391834637787E-2</v>
      </c>
      <c r="S349" s="10">
        <f t="shared" si="88"/>
        <v>2.4104192222844101E-2</v>
      </c>
    </row>
    <row r="350" spans="1:19" x14ac:dyDescent="0.25">
      <c r="A350" s="5" t="s">
        <v>8</v>
      </c>
      <c r="B350" s="5" t="s">
        <v>308</v>
      </c>
      <c r="C350" s="5" t="s">
        <v>27</v>
      </c>
      <c r="D350" s="5" t="s">
        <v>385</v>
      </c>
      <c r="E350" s="5" t="s">
        <v>384</v>
      </c>
      <c r="F350" s="5" t="s">
        <v>45</v>
      </c>
      <c r="G350" s="5" t="s">
        <v>390</v>
      </c>
      <c r="H350" s="5" t="s">
        <v>46</v>
      </c>
      <c r="I350" s="5" t="s">
        <v>71</v>
      </c>
      <c r="J350" s="15">
        <v>924</v>
      </c>
      <c r="K350" s="7">
        <v>33</v>
      </c>
      <c r="L350" s="7">
        <f t="shared" si="83"/>
        <v>28</v>
      </c>
      <c r="M350" s="5" t="s">
        <v>10</v>
      </c>
      <c r="N350" s="5">
        <v>4</v>
      </c>
      <c r="O350" s="6">
        <f t="shared" si="84"/>
        <v>0.45276</v>
      </c>
      <c r="P350" s="6">
        <f t="shared" si="85"/>
        <v>4.7087039999999997E-2</v>
      </c>
      <c r="Q350" s="10">
        <f t="shared" si="86"/>
        <v>9.8098E-4</v>
      </c>
      <c r="R350" s="10">
        <f t="shared" si="87"/>
        <v>8.7760312850900107E-3</v>
      </c>
      <c r="S350" s="10">
        <f t="shared" si="88"/>
        <v>9.7570112850900101E-3</v>
      </c>
    </row>
    <row r="351" spans="1:19" x14ac:dyDescent="0.25">
      <c r="A351" s="5" t="s">
        <v>8</v>
      </c>
      <c r="B351" s="5" t="s">
        <v>214</v>
      </c>
      <c r="C351" s="5" t="s">
        <v>27</v>
      </c>
      <c r="D351" s="5" t="s">
        <v>385</v>
      </c>
      <c r="E351" s="5" t="s">
        <v>384</v>
      </c>
      <c r="F351" s="5" t="s">
        <v>45</v>
      </c>
      <c r="G351" s="5" t="s">
        <v>390</v>
      </c>
      <c r="H351" s="5" t="s">
        <v>46</v>
      </c>
      <c r="I351" s="5" t="s">
        <v>215</v>
      </c>
      <c r="J351" s="15">
        <v>1100</v>
      </c>
      <c r="K351" s="7">
        <v>25</v>
      </c>
      <c r="L351" s="7">
        <f t="shared" si="83"/>
        <v>44</v>
      </c>
      <c r="M351" s="5" t="s">
        <v>10</v>
      </c>
      <c r="N351" s="5">
        <v>4</v>
      </c>
      <c r="O351" s="6">
        <f t="shared" si="84"/>
        <v>1.331</v>
      </c>
      <c r="P351" s="6">
        <f t="shared" si="85"/>
        <v>0.13842399999999999</v>
      </c>
      <c r="Q351" s="10">
        <f t="shared" si="86"/>
        <v>2.8838333333333333E-3</v>
      </c>
      <c r="R351" s="10">
        <f t="shared" si="87"/>
        <v>1.9702923264295638E-2</v>
      </c>
      <c r="S351" s="10">
        <f t="shared" si="88"/>
        <v>2.258675659762897E-2</v>
      </c>
    </row>
    <row r="352" spans="1:19" x14ac:dyDescent="0.25">
      <c r="A352" s="5" t="s">
        <v>8</v>
      </c>
      <c r="B352" s="5" t="s">
        <v>311</v>
      </c>
      <c r="C352" s="5" t="s">
        <v>27</v>
      </c>
      <c r="D352" s="5" t="s">
        <v>385</v>
      </c>
      <c r="E352" s="5" t="s">
        <v>384</v>
      </c>
      <c r="F352" s="5" t="s">
        <v>45</v>
      </c>
      <c r="G352" s="5" t="s">
        <v>390</v>
      </c>
      <c r="H352" s="5" t="s">
        <v>46</v>
      </c>
      <c r="I352" s="5" t="s">
        <v>215</v>
      </c>
      <c r="J352" s="15">
        <v>1200</v>
      </c>
      <c r="K352" s="7">
        <v>28</v>
      </c>
      <c r="L352" s="7">
        <f t="shared" si="83"/>
        <v>42.857142857142854</v>
      </c>
      <c r="M352" s="5" t="s">
        <v>10</v>
      </c>
      <c r="N352" s="5">
        <v>4</v>
      </c>
      <c r="O352" s="6">
        <f t="shared" si="84"/>
        <v>1.3775510204081631</v>
      </c>
      <c r="P352" s="6">
        <f t="shared" si="85"/>
        <v>0.14326530612244898</v>
      </c>
      <c r="Q352" s="10">
        <f t="shared" si="86"/>
        <v>2.9846938775510198E-3</v>
      </c>
      <c r="R352" s="10">
        <f t="shared" si="87"/>
        <v>2.0217520582724226E-2</v>
      </c>
      <c r="S352" s="10">
        <f t="shared" si="88"/>
        <v>2.3202214460275247E-2</v>
      </c>
    </row>
    <row r="353" spans="1:19" x14ac:dyDescent="0.25">
      <c r="A353" s="5" t="s">
        <v>8</v>
      </c>
      <c r="B353" s="5" t="s">
        <v>339</v>
      </c>
      <c r="C353" s="5" t="s">
        <v>27</v>
      </c>
      <c r="D353" s="5" t="s">
        <v>385</v>
      </c>
      <c r="E353" s="5" t="s">
        <v>384</v>
      </c>
      <c r="F353" s="5" t="s">
        <v>45</v>
      </c>
      <c r="G353" s="5" t="s">
        <v>390</v>
      </c>
      <c r="H353" s="5" t="s">
        <v>46</v>
      </c>
      <c r="I353" s="5" t="s">
        <v>342</v>
      </c>
      <c r="J353" s="15">
        <v>1400</v>
      </c>
      <c r="K353" s="7">
        <v>25.1</v>
      </c>
      <c r="L353" s="7">
        <f t="shared" si="83"/>
        <v>55.776892430278885</v>
      </c>
      <c r="M353" s="5" t="s">
        <v>10</v>
      </c>
      <c r="N353" s="5">
        <v>4</v>
      </c>
      <c r="O353" s="6">
        <f t="shared" si="84"/>
        <v>2.7221790130315395</v>
      </c>
      <c r="P353" s="6">
        <f t="shared" si="85"/>
        <v>0.28310661735528009</v>
      </c>
      <c r="Q353" s="10">
        <f t="shared" si="86"/>
        <v>5.8980545282350015E-3</v>
      </c>
      <c r="R353" s="10">
        <f t="shared" si="87"/>
        <v>3.3696487711617512E-2</v>
      </c>
      <c r="S353" s="10">
        <f t="shared" si="88"/>
        <v>3.9594542239852516E-2</v>
      </c>
    </row>
    <row r="354" spans="1:19" x14ac:dyDescent="0.25">
      <c r="A354" s="5" t="s">
        <v>8</v>
      </c>
      <c r="B354" s="5" t="s">
        <v>356</v>
      </c>
      <c r="C354" s="5" t="s">
        <v>27</v>
      </c>
      <c r="D354" s="5" t="s">
        <v>385</v>
      </c>
      <c r="E354" s="5" t="s">
        <v>384</v>
      </c>
      <c r="F354" s="5" t="s">
        <v>45</v>
      </c>
      <c r="G354" s="5" t="s">
        <v>390</v>
      </c>
      <c r="H354" s="5" t="s">
        <v>46</v>
      </c>
      <c r="I354" s="5" t="s">
        <v>355</v>
      </c>
      <c r="J354" s="15">
        <v>1145</v>
      </c>
      <c r="K354" s="7">
        <v>25</v>
      </c>
      <c r="L354" s="7">
        <f t="shared" si="83"/>
        <v>45.8</v>
      </c>
      <c r="M354" s="5" t="s">
        <v>10</v>
      </c>
      <c r="N354" s="5">
        <v>4</v>
      </c>
      <c r="O354" s="6">
        <f t="shared" si="84"/>
        <v>1.501123625</v>
      </c>
      <c r="P354" s="6">
        <f t="shared" si="85"/>
        <v>0.15611685699999997</v>
      </c>
      <c r="Q354" s="10">
        <f t="shared" si="86"/>
        <v>3.2524345208333333E-3</v>
      </c>
      <c r="R354" s="10">
        <f t="shared" si="87"/>
        <v>2.156301422213177E-2</v>
      </c>
      <c r="S354" s="10">
        <f t="shared" si="88"/>
        <v>2.4815448742965103E-2</v>
      </c>
    </row>
    <row r="355" spans="1:19" x14ac:dyDescent="0.25">
      <c r="A355" s="5" t="s">
        <v>8</v>
      </c>
      <c r="B355" s="5" t="s">
        <v>354</v>
      </c>
      <c r="C355" s="5" t="s">
        <v>27</v>
      </c>
      <c r="D355" s="5" t="s">
        <v>385</v>
      </c>
      <c r="E355" s="5" t="s">
        <v>384</v>
      </c>
      <c r="F355" s="5" t="s">
        <v>45</v>
      </c>
      <c r="G355" s="5" t="s">
        <v>390</v>
      </c>
      <c r="H355" s="5" t="s">
        <v>46</v>
      </c>
      <c r="I355" s="5" t="s">
        <v>355</v>
      </c>
      <c r="J355" s="15">
        <v>1110</v>
      </c>
      <c r="K355" s="7">
        <v>23.5</v>
      </c>
      <c r="L355" s="7">
        <f t="shared" si="83"/>
        <v>47.234042553191486</v>
      </c>
      <c r="M355" s="5" t="s">
        <v>10</v>
      </c>
      <c r="N355" s="5">
        <v>4</v>
      </c>
      <c r="O355" s="6">
        <f t="shared" si="84"/>
        <v>1.5477942507922133</v>
      </c>
      <c r="P355" s="6">
        <f t="shared" si="85"/>
        <v>0.16097060208239017</v>
      </c>
      <c r="Q355" s="10">
        <f t="shared" si="86"/>
        <v>3.3535542100497952E-3</v>
      </c>
      <c r="R355" s="10">
        <f t="shared" si="87"/>
        <v>2.2063888096792793E-2</v>
      </c>
      <c r="S355" s="10">
        <f t="shared" si="88"/>
        <v>2.5417442306842588E-2</v>
      </c>
    </row>
    <row r="356" spans="1:19" x14ac:dyDescent="0.25">
      <c r="A356" s="5" t="s">
        <v>22</v>
      </c>
      <c r="B356" s="5" t="s">
        <v>26</v>
      </c>
      <c r="C356" s="5" t="s">
        <v>27</v>
      </c>
      <c r="D356" s="5" t="s">
        <v>385</v>
      </c>
      <c r="E356" s="5" t="s">
        <v>384</v>
      </c>
      <c r="F356" s="5" t="s">
        <v>45</v>
      </c>
      <c r="G356" s="5" t="s">
        <v>390</v>
      </c>
      <c r="H356" s="5" t="s">
        <v>46</v>
      </c>
      <c r="I356" s="5" t="s">
        <v>49</v>
      </c>
      <c r="J356" s="15">
        <v>1350</v>
      </c>
      <c r="K356" s="7">
        <v>27</v>
      </c>
      <c r="L356" s="7">
        <f t="shared" si="83"/>
        <v>50</v>
      </c>
      <c r="M356" s="5" t="s">
        <v>10</v>
      </c>
      <c r="N356" s="5">
        <v>4</v>
      </c>
      <c r="O356" s="6">
        <f t="shared" si="84"/>
        <v>2.109375</v>
      </c>
      <c r="P356" s="6">
        <f t="shared" si="85"/>
        <v>0.21937499999999999</v>
      </c>
      <c r="Q356" s="10">
        <f t="shared" si="86"/>
        <v>4.5703124999999997E-3</v>
      </c>
      <c r="R356" s="10">
        <f t="shared" si="87"/>
        <v>2.7829952828119141E-2</v>
      </c>
      <c r="S356" s="10">
        <f t="shared" si="88"/>
        <v>3.2400265328119141E-2</v>
      </c>
    </row>
    <row r="357" spans="1:19" x14ac:dyDescent="0.25">
      <c r="A357" s="5" t="s">
        <v>8</v>
      </c>
      <c r="B357" s="5" t="s">
        <v>161</v>
      </c>
      <c r="C357" s="5" t="s">
        <v>27</v>
      </c>
      <c r="D357" s="5" t="s">
        <v>385</v>
      </c>
      <c r="E357" s="5" t="s">
        <v>384</v>
      </c>
      <c r="F357" s="5" t="s">
        <v>45</v>
      </c>
      <c r="G357" s="5" t="s">
        <v>390</v>
      </c>
      <c r="H357" s="5" t="s">
        <v>46</v>
      </c>
      <c r="I357" s="5" t="s">
        <v>49</v>
      </c>
      <c r="J357" s="15">
        <v>1280</v>
      </c>
      <c r="K357" s="7">
        <v>22</v>
      </c>
      <c r="L357" s="7">
        <f t="shared" si="83"/>
        <v>58.18181818181818</v>
      </c>
      <c r="M357" s="5" t="s">
        <v>10</v>
      </c>
      <c r="N357" s="5">
        <v>4</v>
      </c>
      <c r="O357" s="6">
        <f t="shared" si="84"/>
        <v>2.7080991735537188</v>
      </c>
      <c r="P357" s="6">
        <f t="shared" si="85"/>
        <v>0.28164231404958673</v>
      </c>
      <c r="Q357" s="10">
        <f t="shared" si="86"/>
        <v>5.8675482093663899E-3</v>
      </c>
      <c r="R357" s="10">
        <f t="shared" si="87"/>
        <v>3.3565687567479949E-2</v>
      </c>
      <c r="S357" s="10">
        <f t="shared" si="88"/>
        <v>3.9433235776846341E-2</v>
      </c>
    </row>
    <row r="358" spans="1:19" x14ac:dyDescent="0.25">
      <c r="A358" s="5" t="s">
        <v>8</v>
      </c>
      <c r="B358" s="5" t="s">
        <v>300</v>
      </c>
      <c r="C358" s="5" t="s">
        <v>27</v>
      </c>
      <c r="D358" s="5" t="s">
        <v>385</v>
      </c>
      <c r="E358" s="5" t="s">
        <v>384</v>
      </c>
      <c r="F358" s="5" t="s">
        <v>45</v>
      </c>
      <c r="G358" s="5" t="s">
        <v>390</v>
      </c>
      <c r="H358" s="5" t="s">
        <v>46</v>
      </c>
      <c r="I358" s="5" t="s">
        <v>301</v>
      </c>
      <c r="J358" s="15">
        <v>1165</v>
      </c>
      <c r="K358" s="7">
        <v>30</v>
      </c>
      <c r="L358" s="7">
        <f t="shared" si="83"/>
        <v>38.833333333333336</v>
      </c>
      <c r="M358" s="5" t="s">
        <v>10</v>
      </c>
      <c r="N358" s="5">
        <v>4</v>
      </c>
      <c r="O358" s="6">
        <f t="shared" si="84"/>
        <v>1.0980327256944447</v>
      </c>
      <c r="P358" s="6">
        <f t="shared" si="85"/>
        <v>0.11419540347222225</v>
      </c>
      <c r="Q358" s="10">
        <f t="shared" si="86"/>
        <v>2.3790709056712967E-3</v>
      </c>
      <c r="R358" s="10">
        <f t="shared" si="87"/>
        <v>1.7055269538571984E-2</v>
      </c>
      <c r="S358" s="10">
        <f t="shared" si="88"/>
        <v>1.9434340444243279E-2</v>
      </c>
    </row>
    <row r="359" spans="1:19" x14ac:dyDescent="0.25">
      <c r="A359" s="5" t="s">
        <v>8</v>
      </c>
      <c r="B359" s="5" t="s">
        <v>156</v>
      </c>
      <c r="C359" s="5" t="s">
        <v>27</v>
      </c>
      <c r="D359" s="5" t="s">
        <v>385</v>
      </c>
      <c r="E359" s="5" t="s">
        <v>384</v>
      </c>
      <c r="F359" s="5" t="s">
        <v>45</v>
      </c>
      <c r="G359" s="5" t="s">
        <v>390</v>
      </c>
      <c r="H359" s="5" t="s">
        <v>46</v>
      </c>
      <c r="I359" s="5" t="s">
        <v>159</v>
      </c>
      <c r="J359" s="15">
        <v>850</v>
      </c>
      <c r="K359" s="7">
        <v>30</v>
      </c>
      <c r="L359" s="7">
        <f t="shared" si="83"/>
        <v>28.333333333333332</v>
      </c>
      <c r="M359" s="5" t="s">
        <v>10</v>
      </c>
      <c r="N359" s="5">
        <v>4</v>
      </c>
      <c r="O359" s="6">
        <f t="shared" si="84"/>
        <v>0.42647569444444439</v>
      </c>
      <c r="P359" s="6">
        <f t="shared" si="85"/>
        <v>4.4353472222222218E-2</v>
      </c>
      <c r="Q359" s="10">
        <f t="shared" si="86"/>
        <v>9.2403067129629606E-4</v>
      </c>
      <c r="R359" s="10">
        <f t="shared" si="87"/>
        <v>8.3910795451885949E-3</v>
      </c>
      <c r="S359" s="10">
        <f t="shared" si="88"/>
        <v>9.3151102164848905E-3</v>
      </c>
    </row>
    <row r="360" spans="1:19" x14ac:dyDescent="0.25">
      <c r="A360" s="5" t="s">
        <v>8</v>
      </c>
      <c r="B360" s="5" t="s">
        <v>308</v>
      </c>
      <c r="C360" s="5" t="s">
        <v>27</v>
      </c>
      <c r="D360" s="5" t="s">
        <v>385</v>
      </c>
      <c r="E360" s="5" t="s">
        <v>384</v>
      </c>
      <c r="F360" s="5" t="s">
        <v>45</v>
      </c>
      <c r="G360" s="5" t="s">
        <v>390</v>
      </c>
      <c r="H360" s="5" t="s">
        <v>46</v>
      </c>
      <c r="I360" s="5" t="s">
        <v>159</v>
      </c>
      <c r="J360" s="15">
        <v>886</v>
      </c>
      <c r="K360" s="7">
        <v>27.7</v>
      </c>
      <c r="L360" s="7">
        <f t="shared" si="83"/>
        <v>31.985559566787003</v>
      </c>
      <c r="M360" s="5" t="s">
        <v>10</v>
      </c>
      <c r="N360" s="5">
        <v>4</v>
      </c>
      <c r="O360" s="6">
        <f t="shared" si="84"/>
        <v>0.56652834651826556</v>
      </c>
      <c r="P360" s="6">
        <f t="shared" si="85"/>
        <v>5.8918948037899606E-2</v>
      </c>
      <c r="Q360" s="10">
        <f t="shared" si="86"/>
        <v>1.2274780841229087E-3</v>
      </c>
      <c r="R360" s="10">
        <f t="shared" si="87"/>
        <v>1.0382772973710441E-2</v>
      </c>
      <c r="S360" s="10">
        <f t="shared" si="88"/>
        <v>1.1610251057833349E-2</v>
      </c>
    </row>
    <row r="361" spans="1:19" x14ac:dyDescent="0.25">
      <c r="A361" s="5" t="s">
        <v>22</v>
      </c>
      <c r="B361" s="5" t="s">
        <v>26</v>
      </c>
      <c r="C361" s="5" t="s">
        <v>27</v>
      </c>
      <c r="D361" s="5" t="s">
        <v>385</v>
      </c>
      <c r="E361" s="5" t="s">
        <v>384</v>
      </c>
      <c r="F361" s="5" t="s">
        <v>45</v>
      </c>
      <c r="G361" s="5" t="s">
        <v>390</v>
      </c>
      <c r="H361" s="5" t="s">
        <v>46</v>
      </c>
      <c r="I361" s="5" t="s">
        <v>50</v>
      </c>
      <c r="J361" s="15">
        <v>2050</v>
      </c>
      <c r="K361" s="7">
        <v>33</v>
      </c>
      <c r="L361" s="7">
        <f t="shared" si="83"/>
        <v>62.121212121212125</v>
      </c>
      <c r="M361" s="5" t="s">
        <v>10</v>
      </c>
      <c r="N361" s="5">
        <v>4</v>
      </c>
      <c r="O361" s="6">
        <f t="shared" si="84"/>
        <v>4.94440140036731</v>
      </c>
      <c r="P361" s="6">
        <f t="shared" si="85"/>
        <v>0.51421774563820022</v>
      </c>
      <c r="Q361" s="10">
        <f t="shared" si="86"/>
        <v>1.0712869700795838E-2</v>
      </c>
      <c r="R361" s="10">
        <f t="shared" si="87"/>
        <v>5.2720851367536438E-2</v>
      </c>
      <c r="S361" s="10">
        <f t="shared" si="88"/>
        <v>6.3433721068332283E-2</v>
      </c>
    </row>
    <row r="362" spans="1:19" x14ac:dyDescent="0.25">
      <c r="A362" s="5" t="s">
        <v>8</v>
      </c>
      <c r="B362" s="5" t="s">
        <v>284</v>
      </c>
      <c r="C362" s="5" t="s">
        <v>27</v>
      </c>
      <c r="D362" s="5" t="s">
        <v>385</v>
      </c>
      <c r="E362" s="5" t="s">
        <v>384</v>
      </c>
      <c r="F362" s="5" t="s">
        <v>45</v>
      </c>
      <c r="G362" s="5" t="s">
        <v>390</v>
      </c>
      <c r="H362" s="5" t="s">
        <v>46</v>
      </c>
      <c r="I362" s="5" t="s">
        <v>50</v>
      </c>
      <c r="J362" s="15">
        <v>1800</v>
      </c>
      <c r="K362" s="7">
        <v>36.700000000000003</v>
      </c>
      <c r="L362" s="7">
        <f t="shared" si="83"/>
        <v>49.046321525885553</v>
      </c>
      <c r="M362" s="5" t="s">
        <v>10</v>
      </c>
      <c r="N362" s="5">
        <v>4</v>
      </c>
      <c r="O362" s="6">
        <f t="shared" si="84"/>
        <v>2.7062343621231126</v>
      </c>
      <c r="P362" s="6">
        <f t="shared" si="85"/>
        <v>0.28144837366080372</v>
      </c>
      <c r="Q362" s="10">
        <f t="shared" si="86"/>
        <v>5.8635077846000772E-3</v>
      </c>
      <c r="R362" s="10">
        <f t="shared" si="87"/>
        <v>3.3548350942273784E-2</v>
      </c>
      <c r="S362" s="10">
        <f t="shared" si="88"/>
        <v>3.9411858726873861E-2</v>
      </c>
    </row>
    <row r="363" spans="1:19" x14ac:dyDescent="0.25">
      <c r="A363" s="5" t="s">
        <v>8</v>
      </c>
      <c r="B363" s="5" t="s">
        <v>233</v>
      </c>
      <c r="C363" s="5" t="s">
        <v>27</v>
      </c>
      <c r="D363" s="5" t="s">
        <v>385</v>
      </c>
      <c r="E363" s="5" t="s">
        <v>384</v>
      </c>
      <c r="F363" s="5" t="s">
        <v>45</v>
      </c>
      <c r="G363" s="5" t="s">
        <v>390</v>
      </c>
      <c r="H363" s="5" t="s">
        <v>46</v>
      </c>
      <c r="I363" s="5" t="s">
        <v>234</v>
      </c>
      <c r="J363" s="15">
        <v>1465</v>
      </c>
      <c r="K363" s="7">
        <v>35</v>
      </c>
      <c r="L363" s="7">
        <f t="shared" si="83"/>
        <v>41.857142857142854</v>
      </c>
      <c r="M363" s="5" t="s">
        <v>10</v>
      </c>
      <c r="N363" s="5">
        <v>4</v>
      </c>
      <c r="O363" s="6">
        <f t="shared" si="84"/>
        <v>1.6041936862244897</v>
      </c>
      <c r="P363" s="6">
        <f t="shared" si="85"/>
        <v>0.1668361433673469</v>
      </c>
      <c r="Q363" s="10">
        <f t="shared" si="86"/>
        <v>3.4757529868197274E-3</v>
      </c>
      <c r="R363" s="10">
        <f t="shared" si="87"/>
        <v>2.2664165160455583E-2</v>
      </c>
      <c r="S363" s="10">
        <f t="shared" si="88"/>
        <v>2.6139918147275312E-2</v>
      </c>
    </row>
    <row r="364" spans="1:19" x14ac:dyDescent="0.25">
      <c r="A364" s="5" t="s">
        <v>22</v>
      </c>
      <c r="B364" s="5" t="s">
        <v>26</v>
      </c>
      <c r="C364" s="5" t="s">
        <v>27</v>
      </c>
      <c r="D364" s="5" t="s">
        <v>385</v>
      </c>
      <c r="E364" s="5" t="s">
        <v>384</v>
      </c>
      <c r="F364" s="5" t="s">
        <v>45</v>
      </c>
      <c r="G364" s="5" t="s">
        <v>390</v>
      </c>
      <c r="H364" s="5" t="s">
        <v>46</v>
      </c>
      <c r="I364" s="5" t="s">
        <v>51</v>
      </c>
      <c r="J364" s="15">
        <v>1400</v>
      </c>
      <c r="K364" s="7">
        <v>30.5</v>
      </c>
      <c r="L364" s="7">
        <f t="shared" si="83"/>
        <v>45.901639344262293</v>
      </c>
      <c r="M364" s="5" t="s">
        <v>10</v>
      </c>
      <c r="N364" s="5">
        <v>4</v>
      </c>
      <c r="O364" s="6">
        <f t="shared" si="84"/>
        <v>1.843590432679387</v>
      </c>
      <c r="P364" s="6">
        <f t="shared" si="85"/>
        <v>0.19173340499865626</v>
      </c>
      <c r="Q364" s="10">
        <f t="shared" si="86"/>
        <v>3.9944459374720047E-3</v>
      </c>
      <c r="R364" s="10">
        <f t="shared" si="87"/>
        <v>2.5156224312647517E-2</v>
      </c>
      <c r="S364" s="10">
        <f t="shared" si="88"/>
        <v>2.9150670250119522E-2</v>
      </c>
    </row>
    <row r="365" spans="1:19" x14ac:dyDescent="0.25">
      <c r="A365" s="5" t="s">
        <v>8</v>
      </c>
      <c r="B365" s="5" t="s">
        <v>192</v>
      </c>
      <c r="C365" s="5" t="s">
        <v>27</v>
      </c>
      <c r="D365" s="5" t="s">
        <v>385</v>
      </c>
      <c r="E365" s="5" t="s">
        <v>384</v>
      </c>
      <c r="F365" s="5" t="s">
        <v>45</v>
      </c>
      <c r="G365" s="5" t="s">
        <v>390</v>
      </c>
      <c r="H365" s="5" t="s">
        <v>46</v>
      </c>
      <c r="I365" s="5" t="s">
        <v>51</v>
      </c>
      <c r="J365" s="15">
        <v>1100</v>
      </c>
      <c r="K365" s="7">
        <v>31</v>
      </c>
      <c r="L365" s="7">
        <f t="shared" si="83"/>
        <v>35.483870967741936</v>
      </c>
      <c r="M365" s="5" t="s">
        <v>10</v>
      </c>
      <c r="N365" s="5">
        <v>4</v>
      </c>
      <c r="O365" s="6">
        <f t="shared" si="84"/>
        <v>0.86563475546305946</v>
      </c>
      <c r="P365" s="6">
        <f t="shared" si="85"/>
        <v>9.0026014568158175E-2</v>
      </c>
      <c r="Q365" s="10">
        <f t="shared" si="86"/>
        <v>1.875541970169962E-3</v>
      </c>
      <c r="R365" s="10">
        <f t="shared" si="87"/>
        <v>1.4269151143928181E-2</v>
      </c>
      <c r="S365" s="10">
        <f t="shared" si="88"/>
        <v>1.6144693114098142E-2</v>
      </c>
    </row>
    <row r="366" spans="1:19" x14ac:dyDescent="0.25">
      <c r="A366" s="5" t="s">
        <v>8</v>
      </c>
      <c r="B366" s="5" t="s">
        <v>291</v>
      </c>
      <c r="C366" s="5" t="s">
        <v>27</v>
      </c>
      <c r="D366" s="5" t="s">
        <v>385</v>
      </c>
      <c r="E366" s="5" t="s">
        <v>384</v>
      </c>
      <c r="F366" s="5" t="s">
        <v>45</v>
      </c>
      <c r="G366" s="5" t="s">
        <v>390</v>
      </c>
      <c r="H366" s="5" t="s">
        <v>46</v>
      </c>
      <c r="I366" s="5" t="s">
        <v>51</v>
      </c>
      <c r="J366" s="15">
        <v>1294</v>
      </c>
      <c r="K366" s="7">
        <v>31.7</v>
      </c>
      <c r="L366" s="7">
        <f t="shared" si="83"/>
        <v>40.820189274447948</v>
      </c>
      <c r="M366" s="5" t="s">
        <v>10</v>
      </c>
      <c r="N366" s="5">
        <v>4</v>
      </c>
      <c r="O366" s="6">
        <f t="shared" si="84"/>
        <v>1.3476103006299196</v>
      </c>
      <c r="P366" s="6">
        <f t="shared" si="85"/>
        <v>0.14015147126551164</v>
      </c>
      <c r="Q366" s="10">
        <f t="shared" si="86"/>
        <v>2.9198223180314925E-3</v>
      </c>
      <c r="R366" s="10">
        <f t="shared" si="87"/>
        <v>1.9887050004996944E-2</v>
      </c>
      <c r="S366" s="10">
        <f t="shared" si="88"/>
        <v>2.2806872323028436E-2</v>
      </c>
    </row>
    <row r="367" spans="1:19" x14ac:dyDescent="0.25">
      <c r="A367" s="5" t="s">
        <v>8</v>
      </c>
      <c r="B367" s="5" t="s">
        <v>291</v>
      </c>
      <c r="C367" s="5" t="s">
        <v>27</v>
      </c>
      <c r="D367" s="5" t="s">
        <v>385</v>
      </c>
      <c r="E367" s="5" t="s">
        <v>384</v>
      </c>
      <c r="F367" s="5" t="s">
        <v>45</v>
      </c>
      <c r="G367" s="5" t="s">
        <v>390</v>
      </c>
      <c r="H367" s="5" t="s">
        <v>46</v>
      </c>
      <c r="I367" s="5" t="s">
        <v>51</v>
      </c>
      <c r="J367" s="15">
        <v>1309</v>
      </c>
      <c r="K367" s="7">
        <v>33.4</v>
      </c>
      <c r="L367" s="7">
        <f t="shared" si="83"/>
        <v>39.191616766467071</v>
      </c>
      <c r="M367" s="5" t="s">
        <v>10</v>
      </c>
      <c r="N367" s="5">
        <v>4</v>
      </c>
      <c r="O367" s="6">
        <f t="shared" si="84"/>
        <v>1.2566259485146476</v>
      </c>
      <c r="P367" s="6">
        <f t="shared" si="85"/>
        <v>0.13068909864552336</v>
      </c>
      <c r="Q367" s="10">
        <f t="shared" si="86"/>
        <v>2.7226895551150693E-3</v>
      </c>
      <c r="R367" s="10">
        <f t="shared" si="87"/>
        <v>1.8871292313959852E-2</v>
      </c>
      <c r="S367" s="10">
        <f t="shared" si="88"/>
        <v>2.1593981869074921E-2</v>
      </c>
    </row>
    <row r="368" spans="1:19" x14ac:dyDescent="0.25">
      <c r="A368" s="5" t="s">
        <v>8</v>
      </c>
      <c r="B368" s="5" t="s">
        <v>291</v>
      </c>
      <c r="C368" s="5" t="s">
        <v>27</v>
      </c>
      <c r="D368" s="5" t="s">
        <v>385</v>
      </c>
      <c r="E368" s="5" t="s">
        <v>384</v>
      </c>
      <c r="F368" s="5" t="s">
        <v>45</v>
      </c>
      <c r="G368" s="5" t="s">
        <v>390</v>
      </c>
      <c r="H368" s="5" t="s">
        <v>46</v>
      </c>
      <c r="I368" s="5" t="s">
        <v>51</v>
      </c>
      <c r="J368" s="15">
        <v>1245</v>
      </c>
      <c r="K368" s="7">
        <v>35.700000000000003</v>
      </c>
      <c r="L368" s="7">
        <f t="shared" si="83"/>
        <v>34.87394957983193</v>
      </c>
      <c r="M368" s="5" t="s">
        <v>10</v>
      </c>
      <c r="N368" s="5">
        <v>4</v>
      </c>
      <c r="O368" s="6">
        <f t="shared" si="84"/>
        <v>0.94634967957771321</v>
      </c>
      <c r="P368" s="6">
        <f t="shared" si="85"/>
        <v>9.8420366676082172E-2</v>
      </c>
      <c r="Q368" s="10">
        <f t="shared" si="86"/>
        <v>2.0504243057517121E-3</v>
      </c>
      <c r="R368" s="10">
        <f t="shared" si="87"/>
        <v>1.5255830466574619E-2</v>
      </c>
      <c r="S368" s="10">
        <f t="shared" si="88"/>
        <v>1.7306254772326331E-2</v>
      </c>
    </row>
    <row r="369" spans="1:19" x14ac:dyDescent="0.25">
      <c r="A369" s="5" t="s">
        <v>8</v>
      </c>
      <c r="B369" s="5" t="s">
        <v>291</v>
      </c>
      <c r="C369" s="5" t="s">
        <v>27</v>
      </c>
      <c r="D369" s="5" t="s">
        <v>385</v>
      </c>
      <c r="E369" s="5" t="s">
        <v>384</v>
      </c>
      <c r="F369" s="5" t="s">
        <v>45</v>
      </c>
      <c r="G369" s="5" t="s">
        <v>390</v>
      </c>
      <c r="H369" s="5" t="s">
        <v>46</v>
      </c>
      <c r="I369" s="5" t="s">
        <v>51</v>
      </c>
      <c r="J369" s="15">
        <v>1263</v>
      </c>
      <c r="K369" s="7">
        <v>27.6</v>
      </c>
      <c r="L369" s="7">
        <f t="shared" si="83"/>
        <v>45.760869565217391</v>
      </c>
      <c r="M369" s="5" t="s">
        <v>10</v>
      </c>
      <c r="N369" s="5">
        <v>4</v>
      </c>
      <c r="O369" s="6">
        <f t="shared" si="84"/>
        <v>1.6529963891186199</v>
      </c>
      <c r="P369" s="6">
        <f t="shared" si="85"/>
        <v>0.17191162446833649</v>
      </c>
      <c r="Q369" s="10">
        <f t="shared" si="86"/>
        <v>3.5814921764236764E-3</v>
      </c>
      <c r="R369" s="10">
        <f t="shared" si="87"/>
        <v>2.3179339312449272E-2</v>
      </c>
      <c r="S369" s="10">
        <f t="shared" si="88"/>
        <v>2.6760831488872948E-2</v>
      </c>
    </row>
    <row r="370" spans="1:19" x14ac:dyDescent="0.25">
      <c r="A370" s="5" t="s">
        <v>8</v>
      </c>
      <c r="B370" s="5" t="s">
        <v>291</v>
      </c>
      <c r="C370" s="5" t="s">
        <v>27</v>
      </c>
      <c r="D370" s="5" t="s">
        <v>385</v>
      </c>
      <c r="E370" s="5" t="s">
        <v>384</v>
      </c>
      <c r="F370" s="5" t="s">
        <v>45</v>
      </c>
      <c r="G370" s="5" t="s">
        <v>390</v>
      </c>
      <c r="H370" s="5" t="s">
        <v>46</v>
      </c>
      <c r="I370" s="5" t="s">
        <v>51</v>
      </c>
      <c r="J370" s="15">
        <v>1284</v>
      </c>
      <c r="K370" s="7">
        <v>30</v>
      </c>
      <c r="L370" s="7">
        <f t="shared" si="83"/>
        <v>42.8</v>
      </c>
      <c r="M370" s="5" t="s">
        <v>10</v>
      </c>
      <c r="N370" s="5">
        <v>4</v>
      </c>
      <c r="O370" s="6">
        <f t="shared" si="84"/>
        <v>1.4700515999999997</v>
      </c>
      <c r="P370" s="6">
        <f t="shared" si="85"/>
        <v>0.15288536639999997</v>
      </c>
      <c r="Q370" s="10">
        <f t="shared" si="86"/>
        <v>3.1851117999999994E-3</v>
      </c>
      <c r="R370" s="10">
        <f t="shared" si="87"/>
        <v>2.122738802515543E-2</v>
      </c>
      <c r="S370" s="10">
        <f t="shared" si="88"/>
        <v>2.4412499825155427E-2</v>
      </c>
    </row>
    <row r="371" spans="1:19" x14ac:dyDescent="0.25">
      <c r="A371" s="5" t="s">
        <v>8</v>
      </c>
      <c r="B371" s="5" t="s">
        <v>291</v>
      </c>
      <c r="C371" s="5" t="s">
        <v>27</v>
      </c>
      <c r="D371" s="5" t="s">
        <v>385</v>
      </c>
      <c r="E371" s="5" t="s">
        <v>384</v>
      </c>
      <c r="F371" s="5" t="s">
        <v>45</v>
      </c>
      <c r="G371" s="5" t="s">
        <v>390</v>
      </c>
      <c r="H371" s="5" t="s">
        <v>46</v>
      </c>
      <c r="I371" s="5" t="s">
        <v>51</v>
      </c>
      <c r="J371" s="15">
        <v>1251</v>
      </c>
      <c r="K371" s="7">
        <v>32.700000000000003</v>
      </c>
      <c r="L371" s="7">
        <f t="shared" si="83"/>
        <v>38.256880733944953</v>
      </c>
      <c r="M371" s="5" t="s">
        <v>10</v>
      </c>
      <c r="N371" s="5">
        <v>4</v>
      </c>
      <c r="O371" s="6">
        <f t="shared" si="84"/>
        <v>1.1443435895547511</v>
      </c>
      <c r="P371" s="6">
        <f t="shared" si="85"/>
        <v>0.11901173331369411</v>
      </c>
      <c r="Q371" s="10">
        <f t="shared" si="86"/>
        <v>2.4794111107019606E-3</v>
      </c>
      <c r="R371" s="10">
        <f t="shared" si="87"/>
        <v>1.759196916585937E-2</v>
      </c>
      <c r="S371" s="10">
        <f t="shared" si="88"/>
        <v>2.0071380276561329E-2</v>
      </c>
    </row>
    <row r="372" spans="1:19" x14ac:dyDescent="0.25">
      <c r="A372" s="5" t="s">
        <v>8</v>
      </c>
      <c r="B372" s="5" t="s">
        <v>291</v>
      </c>
      <c r="C372" s="5" t="s">
        <v>27</v>
      </c>
      <c r="D372" s="5" t="s">
        <v>385</v>
      </c>
      <c r="E372" s="5" t="s">
        <v>384</v>
      </c>
      <c r="F372" s="5" t="s">
        <v>45</v>
      </c>
      <c r="G372" s="5" t="s">
        <v>390</v>
      </c>
      <c r="H372" s="5" t="s">
        <v>46</v>
      </c>
      <c r="I372" s="5" t="s">
        <v>51</v>
      </c>
      <c r="J372" s="15">
        <v>1135</v>
      </c>
      <c r="K372" s="7">
        <v>29.2</v>
      </c>
      <c r="L372" s="7">
        <f t="shared" si="83"/>
        <v>38.869863013698634</v>
      </c>
      <c r="M372" s="5" t="s">
        <v>10</v>
      </c>
      <c r="N372" s="5">
        <v>4</v>
      </c>
      <c r="O372" s="6">
        <f t="shared" si="84"/>
        <v>1.0717707465929349</v>
      </c>
      <c r="P372" s="6">
        <f t="shared" si="85"/>
        <v>0.11146415764566524</v>
      </c>
      <c r="Q372" s="10">
        <f t="shared" si="86"/>
        <v>2.3221699509513587E-3</v>
      </c>
      <c r="R372" s="10">
        <f t="shared" si="87"/>
        <v>1.6748408640447264E-2</v>
      </c>
      <c r="S372" s="10">
        <f t="shared" si="88"/>
        <v>1.9070578591398622E-2</v>
      </c>
    </row>
    <row r="373" spans="1:19" x14ac:dyDescent="0.25">
      <c r="A373" s="5" t="s">
        <v>8</v>
      </c>
      <c r="B373" s="5" t="s">
        <v>291</v>
      </c>
      <c r="C373" s="5" t="s">
        <v>27</v>
      </c>
      <c r="D373" s="5" t="s">
        <v>385</v>
      </c>
      <c r="E373" s="5" t="s">
        <v>384</v>
      </c>
      <c r="F373" s="5" t="s">
        <v>45</v>
      </c>
      <c r="G373" s="5" t="s">
        <v>390</v>
      </c>
      <c r="H373" s="5" t="s">
        <v>46</v>
      </c>
      <c r="I373" s="5" t="s">
        <v>51</v>
      </c>
      <c r="J373" s="15">
        <v>1203</v>
      </c>
      <c r="K373" s="7">
        <v>26.7</v>
      </c>
      <c r="L373" s="7">
        <f t="shared" si="83"/>
        <v>45.056179775280903</v>
      </c>
      <c r="M373" s="5" t="s">
        <v>10</v>
      </c>
      <c r="N373" s="5">
        <v>4</v>
      </c>
      <c r="O373" s="6">
        <f t="shared" si="84"/>
        <v>1.526350863211716</v>
      </c>
      <c r="P373" s="6">
        <f t="shared" si="85"/>
        <v>0.15874048977401847</v>
      </c>
      <c r="Q373" s="10">
        <f t="shared" si="86"/>
        <v>3.3070935369587176E-3</v>
      </c>
      <c r="R373" s="10">
        <f t="shared" si="87"/>
        <v>2.1834231306130446E-2</v>
      </c>
      <c r="S373" s="10">
        <f t="shared" si="88"/>
        <v>2.5141324843089164E-2</v>
      </c>
    </row>
    <row r="374" spans="1:19" x14ac:dyDescent="0.25">
      <c r="A374" s="5" t="s">
        <v>8</v>
      </c>
      <c r="B374" s="5" t="s">
        <v>300</v>
      </c>
      <c r="C374" s="5" t="s">
        <v>27</v>
      </c>
      <c r="D374" s="5" t="s">
        <v>385</v>
      </c>
      <c r="E374" s="5" t="s">
        <v>384</v>
      </c>
      <c r="F374" s="5" t="s">
        <v>45</v>
      </c>
      <c r="G374" s="5" t="s">
        <v>390</v>
      </c>
      <c r="H374" s="5" t="s">
        <v>46</v>
      </c>
      <c r="I374" s="5" t="s">
        <v>51</v>
      </c>
      <c r="J374" s="15">
        <v>1263</v>
      </c>
      <c r="K374" s="7">
        <v>31.9</v>
      </c>
      <c r="L374" s="7">
        <f t="shared" si="83"/>
        <v>39.592476489028215</v>
      </c>
      <c r="M374" s="5" t="s">
        <v>10</v>
      </c>
      <c r="N374" s="5">
        <v>4</v>
      </c>
      <c r="O374" s="6">
        <f t="shared" si="84"/>
        <v>1.2373959860604751</v>
      </c>
      <c r="P374" s="6">
        <f t="shared" si="85"/>
        <v>0.12868918255028944</v>
      </c>
      <c r="Q374" s="10">
        <f t="shared" si="86"/>
        <v>2.6810246364643627E-3</v>
      </c>
      <c r="R374" s="10">
        <f t="shared" si="87"/>
        <v>1.8654286884243587E-2</v>
      </c>
      <c r="S374" s="10">
        <f t="shared" si="88"/>
        <v>2.1335311520707952E-2</v>
      </c>
    </row>
    <row r="375" spans="1:19" x14ac:dyDescent="0.25">
      <c r="A375" s="5" t="s">
        <v>8</v>
      </c>
      <c r="B375" s="5" t="s">
        <v>378</v>
      </c>
      <c r="C375" s="5" t="s">
        <v>27</v>
      </c>
      <c r="D375" s="5" t="s">
        <v>385</v>
      </c>
      <c r="E375" s="5" t="s">
        <v>384</v>
      </c>
      <c r="F375" s="5" t="s">
        <v>45</v>
      </c>
      <c r="G375" s="5" t="s">
        <v>390</v>
      </c>
      <c r="H375" s="5" t="s">
        <v>46</v>
      </c>
      <c r="I375" s="5" t="s">
        <v>183</v>
      </c>
      <c r="J375" s="15">
        <v>1470</v>
      </c>
      <c r="K375" s="7">
        <v>38.1</v>
      </c>
      <c r="L375" s="7">
        <f t="shared" ref="L375:L406" si="89">J375/K375</f>
        <v>38.582677165354326</v>
      </c>
      <c r="M375" s="5" t="s">
        <v>10</v>
      </c>
      <c r="N375" s="5">
        <v>4</v>
      </c>
      <c r="O375" s="6">
        <f t="shared" ref="O375:O406" si="90">(J375*L375^2)/(1.6*10^6)</f>
        <v>1.3676723603447203</v>
      </c>
      <c r="P375" s="6">
        <f t="shared" ref="P375:P406" si="91">(0.104*J375*L375^2)/(1.6*10^6)</f>
        <v>0.14223792547585093</v>
      </c>
      <c r="Q375" s="10">
        <f t="shared" ref="Q375:Q406" si="92">(0.104*O375)/(12*N375)</f>
        <v>2.963290114080227E-3</v>
      </c>
      <c r="R375" s="10">
        <f t="shared" ref="R375:R406" si="93">0.0159*O375^0.75</f>
        <v>2.010868527780138E-2</v>
      </c>
      <c r="S375" s="10">
        <f t="shared" ref="S375:S406" si="94">Q375+R375</f>
        <v>2.3071975391881609E-2</v>
      </c>
    </row>
    <row r="376" spans="1:19" x14ac:dyDescent="0.25">
      <c r="A376" s="5" t="s">
        <v>22</v>
      </c>
      <c r="B376" s="5" t="s">
        <v>63</v>
      </c>
      <c r="C376" s="5" t="s">
        <v>27</v>
      </c>
      <c r="D376" s="5" t="s">
        <v>385</v>
      </c>
      <c r="E376" s="5" t="s">
        <v>384</v>
      </c>
      <c r="F376" s="5" t="s">
        <v>45</v>
      </c>
      <c r="G376" s="5" t="s">
        <v>390</v>
      </c>
      <c r="H376" s="5" t="s">
        <v>46</v>
      </c>
      <c r="I376" s="5" t="s">
        <v>153</v>
      </c>
      <c r="J376" s="15">
        <v>1510</v>
      </c>
      <c r="K376" s="7">
        <v>39</v>
      </c>
      <c r="L376" s="7">
        <f t="shared" si="89"/>
        <v>38.717948717948715</v>
      </c>
      <c r="M376" s="5" t="s">
        <v>10</v>
      </c>
      <c r="N376" s="5">
        <v>4</v>
      </c>
      <c r="O376" s="6">
        <f t="shared" si="90"/>
        <v>1.4147563280736355</v>
      </c>
      <c r="P376" s="6">
        <f t="shared" si="91"/>
        <v>0.14713465811965809</v>
      </c>
      <c r="Q376" s="10">
        <f t="shared" si="92"/>
        <v>3.0653053774928767E-3</v>
      </c>
      <c r="R376" s="10">
        <f t="shared" si="93"/>
        <v>2.0625683925483206E-2</v>
      </c>
      <c r="S376" s="10">
        <f t="shared" si="94"/>
        <v>2.3690989302976084E-2</v>
      </c>
    </row>
    <row r="377" spans="1:19" x14ac:dyDescent="0.25">
      <c r="A377" s="5" t="s">
        <v>8</v>
      </c>
      <c r="B377" s="5" t="s">
        <v>375</v>
      </c>
      <c r="C377" s="5" t="s">
        <v>27</v>
      </c>
      <c r="D377" s="5" t="s">
        <v>385</v>
      </c>
      <c r="E377" s="5" t="s">
        <v>384</v>
      </c>
      <c r="F377" s="5" t="s">
        <v>45</v>
      </c>
      <c r="G377" s="5" t="s">
        <v>390</v>
      </c>
      <c r="H377" s="5" t="s">
        <v>46</v>
      </c>
      <c r="I377" s="5" t="s">
        <v>153</v>
      </c>
      <c r="J377" s="15">
        <v>1510</v>
      </c>
      <c r="K377" s="7">
        <v>39</v>
      </c>
      <c r="L377" s="7">
        <f t="shared" si="89"/>
        <v>38.717948717948715</v>
      </c>
      <c r="M377" s="5" t="s">
        <v>10</v>
      </c>
      <c r="N377" s="5">
        <v>4</v>
      </c>
      <c r="O377" s="6">
        <f t="shared" si="90"/>
        <v>1.4147563280736355</v>
      </c>
      <c r="P377" s="6">
        <f t="shared" si="91"/>
        <v>0.14713465811965809</v>
      </c>
      <c r="Q377" s="10">
        <f t="shared" si="92"/>
        <v>3.0653053774928767E-3</v>
      </c>
      <c r="R377" s="10">
        <f t="shared" si="93"/>
        <v>2.0625683925483206E-2</v>
      </c>
      <c r="S377" s="10">
        <f t="shared" si="94"/>
        <v>2.3690989302976084E-2</v>
      </c>
    </row>
    <row r="378" spans="1:19" x14ac:dyDescent="0.25">
      <c r="A378" s="5" t="s">
        <v>8</v>
      </c>
      <c r="B378" s="5" t="s">
        <v>328</v>
      </c>
      <c r="C378" s="5" t="s">
        <v>27</v>
      </c>
      <c r="D378" s="5" t="s">
        <v>385</v>
      </c>
      <c r="E378" s="5" t="s">
        <v>384</v>
      </c>
      <c r="F378" s="5" t="s">
        <v>45</v>
      </c>
      <c r="G378" s="5" t="s">
        <v>390</v>
      </c>
      <c r="H378" s="5" t="s">
        <v>46</v>
      </c>
      <c r="I378" s="5" t="s">
        <v>39</v>
      </c>
      <c r="J378" s="15">
        <v>1735</v>
      </c>
      <c r="K378" s="7">
        <v>27</v>
      </c>
      <c r="L378" s="7">
        <f t="shared" si="89"/>
        <v>64.259259259259252</v>
      </c>
      <c r="M378" s="5" t="s">
        <v>10</v>
      </c>
      <c r="N378" s="5">
        <v>4</v>
      </c>
      <c r="O378" s="6">
        <f t="shared" si="90"/>
        <v>4.4776580718449912</v>
      </c>
      <c r="P378" s="6">
        <f t="shared" si="91"/>
        <v>0.46567643947187914</v>
      </c>
      <c r="Q378" s="10">
        <f t="shared" si="92"/>
        <v>9.7015924889974816E-3</v>
      </c>
      <c r="R378" s="10">
        <f t="shared" si="93"/>
        <v>4.8942406422067777E-2</v>
      </c>
      <c r="S378" s="10">
        <f t="shared" si="94"/>
        <v>5.8643998911065261E-2</v>
      </c>
    </row>
    <row r="379" spans="1:19" x14ac:dyDescent="0.25">
      <c r="A379" s="5" t="s">
        <v>8</v>
      </c>
      <c r="B379" s="5" t="s">
        <v>378</v>
      </c>
      <c r="C379" s="5" t="s">
        <v>27</v>
      </c>
      <c r="D379" s="5" t="s">
        <v>385</v>
      </c>
      <c r="E379" s="5" t="s">
        <v>384</v>
      </c>
      <c r="F379" s="5" t="s">
        <v>45</v>
      </c>
      <c r="G379" s="5" t="s">
        <v>390</v>
      </c>
      <c r="H379" s="5" t="s">
        <v>46</v>
      </c>
      <c r="I379" s="5" t="s">
        <v>379</v>
      </c>
      <c r="J379" s="15">
        <v>1160</v>
      </c>
      <c r="K379" s="7">
        <v>39</v>
      </c>
      <c r="L379" s="7">
        <f t="shared" si="89"/>
        <v>29.743589743589745</v>
      </c>
      <c r="M379" s="5" t="s">
        <v>10</v>
      </c>
      <c r="N379" s="5">
        <v>4</v>
      </c>
      <c r="O379" s="6">
        <f t="shared" si="90"/>
        <v>0.64139381985535826</v>
      </c>
      <c r="P379" s="6">
        <f t="shared" si="91"/>
        <v>6.670495726495726E-2</v>
      </c>
      <c r="Q379" s="10">
        <f t="shared" si="92"/>
        <v>1.3896866096866096E-3</v>
      </c>
      <c r="R379" s="10">
        <f t="shared" si="93"/>
        <v>1.1395691995518462E-2</v>
      </c>
      <c r="S379" s="10">
        <f t="shared" si="94"/>
        <v>1.2785378605205072E-2</v>
      </c>
    </row>
    <row r="380" spans="1:19" x14ac:dyDescent="0.25">
      <c r="A380" s="5" t="s">
        <v>8</v>
      </c>
      <c r="B380" s="5" t="s">
        <v>339</v>
      </c>
      <c r="C380" s="5" t="s">
        <v>27</v>
      </c>
      <c r="D380" s="5" t="s">
        <v>385</v>
      </c>
      <c r="E380" s="5" t="s">
        <v>384</v>
      </c>
      <c r="F380" s="5" t="s">
        <v>45</v>
      </c>
      <c r="G380" s="5" t="s">
        <v>390</v>
      </c>
      <c r="H380" s="5" t="s">
        <v>46</v>
      </c>
      <c r="I380" s="5" t="s">
        <v>343</v>
      </c>
      <c r="J380" s="15">
        <v>917</v>
      </c>
      <c r="K380" s="7">
        <v>21.1</v>
      </c>
      <c r="L380" s="7">
        <f t="shared" si="89"/>
        <v>43.459715639810426</v>
      </c>
      <c r="M380" s="5" t="s">
        <v>10</v>
      </c>
      <c r="N380" s="5">
        <v>4</v>
      </c>
      <c r="O380" s="6">
        <f t="shared" si="90"/>
        <v>1.0824880576020304</v>
      </c>
      <c r="P380" s="6">
        <f t="shared" si="91"/>
        <v>0.11257875799061115</v>
      </c>
      <c r="Q380" s="10">
        <f t="shared" si="92"/>
        <v>2.3453907914710655E-3</v>
      </c>
      <c r="R380" s="10">
        <f t="shared" si="93"/>
        <v>1.6873860704511252E-2</v>
      </c>
      <c r="S380" s="10">
        <f t="shared" si="94"/>
        <v>1.9219251495982317E-2</v>
      </c>
    </row>
    <row r="381" spans="1:19" x14ac:dyDescent="0.25">
      <c r="A381" s="5" t="s">
        <v>8</v>
      </c>
      <c r="B381" s="5" t="s">
        <v>161</v>
      </c>
      <c r="C381" s="5" t="s">
        <v>27</v>
      </c>
      <c r="D381" s="5" t="s">
        <v>385</v>
      </c>
      <c r="E381" s="5" t="s">
        <v>384</v>
      </c>
      <c r="F381" s="5" t="s">
        <v>45</v>
      </c>
      <c r="G381" s="5" t="s">
        <v>390</v>
      </c>
      <c r="H381" s="5" t="s">
        <v>46</v>
      </c>
      <c r="I381" s="5" t="s">
        <v>163</v>
      </c>
      <c r="J381" s="15">
        <v>1320</v>
      </c>
      <c r="K381" s="7">
        <v>31</v>
      </c>
      <c r="L381" s="7">
        <f t="shared" si="89"/>
        <v>42.58064516129032</v>
      </c>
      <c r="M381" s="5" t="s">
        <v>10</v>
      </c>
      <c r="N381" s="5">
        <v>4</v>
      </c>
      <c r="O381" s="6">
        <f t="shared" si="90"/>
        <v>1.4958168574401665</v>
      </c>
      <c r="P381" s="6">
        <f t="shared" si="91"/>
        <v>0.1555649531737773</v>
      </c>
      <c r="Q381" s="10">
        <f t="shared" si="92"/>
        <v>3.2409365244536938E-3</v>
      </c>
      <c r="R381" s="10">
        <f t="shared" si="93"/>
        <v>2.1505816795006499E-2</v>
      </c>
      <c r="S381" s="10">
        <f t="shared" si="94"/>
        <v>2.4746753319460191E-2</v>
      </c>
    </row>
    <row r="382" spans="1:19" x14ac:dyDescent="0.25">
      <c r="A382" s="5" t="s">
        <v>22</v>
      </c>
      <c r="B382" s="5" t="s">
        <v>63</v>
      </c>
      <c r="C382" s="5" t="s">
        <v>27</v>
      </c>
      <c r="D382" s="5" t="s">
        <v>385</v>
      </c>
      <c r="E382" s="5" t="s">
        <v>384</v>
      </c>
      <c r="F382" s="5" t="s">
        <v>45</v>
      </c>
      <c r="G382" s="5" t="s">
        <v>390</v>
      </c>
      <c r="H382" s="5" t="s">
        <v>72</v>
      </c>
      <c r="I382" s="5" t="s">
        <v>73</v>
      </c>
      <c r="J382" s="15">
        <v>1100</v>
      </c>
      <c r="K382" s="7">
        <v>29</v>
      </c>
      <c r="L382" s="7">
        <f t="shared" si="89"/>
        <v>37.931034482758619</v>
      </c>
      <c r="M382" s="5" t="s">
        <v>10</v>
      </c>
      <c r="N382" s="5">
        <v>4</v>
      </c>
      <c r="O382" s="6">
        <f t="shared" si="90"/>
        <v>0.9891498216409037</v>
      </c>
      <c r="P382" s="6">
        <f t="shared" si="91"/>
        <v>0.10287158145065398</v>
      </c>
      <c r="Q382" s="10">
        <f t="shared" si="92"/>
        <v>2.1431579468886245E-3</v>
      </c>
      <c r="R382" s="10">
        <f t="shared" si="93"/>
        <v>1.5770435338965008E-2</v>
      </c>
      <c r="S382" s="10">
        <f t="shared" si="94"/>
        <v>1.7913593285853631E-2</v>
      </c>
    </row>
    <row r="383" spans="1:19" x14ac:dyDescent="0.25">
      <c r="A383" s="5" t="s">
        <v>22</v>
      </c>
      <c r="B383" s="5" t="s">
        <v>63</v>
      </c>
      <c r="C383" s="5" t="s">
        <v>27</v>
      </c>
      <c r="D383" s="5" t="s">
        <v>385</v>
      </c>
      <c r="E383" s="5" t="s">
        <v>384</v>
      </c>
      <c r="F383" s="5" t="s">
        <v>45</v>
      </c>
      <c r="G383" s="5" t="s">
        <v>390</v>
      </c>
      <c r="H383" s="5" t="s">
        <v>77</v>
      </c>
      <c r="I383" s="5" t="s">
        <v>78</v>
      </c>
      <c r="J383" s="15">
        <v>750</v>
      </c>
      <c r="K383" s="7">
        <v>25.5</v>
      </c>
      <c r="L383" s="7">
        <f t="shared" si="89"/>
        <v>29.411764705882351</v>
      </c>
      <c r="M383" s="5" t="s">
        <v>10</v>
      </c>
      <c r="N383" s="5">
        <v>4</v>
      </c>
      <c r="O383" s="6">
        <f t="shared" si="90"/>
        <v>0.40549307958477504</v>
      </c>
      <c r="P383" s="6">
        <f t="shared" si="91"/>
        <v>4.2171280276816603E-2</v>
      </c>
      <c r="Q383" s="10">
        <f t="shared" si="92"/>
        <v>8.7856833910034593E-4</v>
      </c>
      <c r="R383" s="10">
        <f t="shared" si="93"/>
        <v>8.0795041676919276E-3</v>
      </c>
      <c r="S383" s="10">
        <f t="shared" si="94"/>
        <v>8.958072506792274E-3</v>
      </c>
    </row>
    <row r="384" spans="1:19" x14ac:dyDescent="0.25">
      <c r="A384" s="5" t="s">
        <v>8</v>
      </c>
      <c r="B384" s="5" t="s">
        <v>296</v>
      </c>
      <c r="C384" s="5" t="s">
        <v>27</v>
      </c>
      <c r="D384" s="5" t="s">
        <v>385</v>
      </c>
      <c r="E384" s="5" t="s">
        <v>384</v>
      </c>
      <c r="F384" s="5" t="s">
        <v>45</v>
      </c>
      <c r="G384" s="5" t="s">
        <v>390</v>
      </c>
      <c r="H384" s="5" t="s">
        <v>77</v>
      </c>
      <c r="I384" s="5" t="s">
        <v>297</v>
      </c>
      <c r="J384" s="15">
        <v>740</v>
      </c>
      <c r="K384" s="7">
        <v>26</v>
      </c>
      <c r="L384" s="7">
        <f t="shared" si="89"/>
        <v>28.46153846153846</v>
      </c>
      <c r="M384" s="5" t="s">
        <v>10</v>
      </c>
      <c r="N384" s="5">
        <v>4</v>
      </c>
      <c r="O384" s="6">
        <f t="shared" si="90"/>
        <v>0.37465236686390524</v>
      </c>
      <c r="P384" s="6">
        <f t="shared" si="91"/>
        <v>3.8963846153846148E-2</v>
      </c>
      <c r="Q384" s="10">
        <f t="shared" si="92"/>
        <v>8.117467948717946E-4</v>
      </c>
      <c r="R384" s="10">
        <f t="shared" si="93"/>
        <v>7.6140983946227968E-3</v>
      </c>
      <c r="S384" s="10">
        <f t="shared" si="94"/>
        <v>8.4258451894945914E-3</v>
      </c>
    </row>
    <row r="385" spans="1:19" x14ac:dyDescent="0.25">
      <c r="A385" s="5" t="s">
        <v>8</v>
      </c>
      <c r="B385" s="5" t="s">
        <v>322</v>
      </c>
      <c r="C385" s="5" t="s">
        <v>27</v>
      </c>
      <c r="D385" s="5" t="s">
        <v>385</v>
      </c>
      <c r="E385" s="5" t="s">
        <v>384</v>
      </c>
      <c r="F385" s="5" t="s">
        <v>45</v>
      </c>
      <c r="G385" s="5" t="s">
        <v>390</v>
      </c>
      <c r="H385" s="5" t="s">
        <v>77</v>
      </c>
      <c r="I385" s="5" t="s">
        <v>324</v>
      </c>
      <c r="J385" s="15">
        <v>1100</v>
      </c>
      <c r="K385" s="7">
        <v>37</v>
      </c>
      <c r="L385" s="7">
        <f t="shared" si="89"/>
        <v>29.72972972972973</v>
      </c>
      <c r="M385" s="5" t="s">
        <v>10</v>
      </c>
      <c r="N385" s="5">
        <v>4</v>
      </c>
      <c r="O385" s="6">
        <f t="shared" si="90"/>
        <v>0.60765157048940832</v>
      </c>
      <c r="P385" s="6">
        <f t="shared" si="91"/>
        <v>6.3195763330898463E-2</v>
      </c>
      <c r="Q385" s="10">
        <f t="shared" si="92"/>
        <v>1.3165784027270512E-3</v>
      </c>
      <c r="R385" s="10">
        <f t="shared" si="93"/>
        <v>1.0943042674342459E-2</v>
      </c>
      <c r="S385" s="10">
        <f t="shared" si="94"/>
        <v>1.2259621077069511E-2</v>
      </c>
    </row>
    <row r="386" spans="1:19" x14ac:dyDescent="0.25">
      <c r="A386" s="5" t="s">
        <v>8</v>
      </c>
      <c r="B386" s="5" t="s">
        <v>322</v>
      </c>
      <c r="C386" s="5" t="s">
        <v>27</v>
      </c>
      <c r="D386" s="5" t="s">
        <v>385</v>
      </c>
      <c r="E386" s="5" t="s">
        <v>384</v>
      </c>
      <c r="F386" s="5" t="s">
        <v>45</v>
      </c>
      <c r="G386" s="5" t="s">
        <v>390</v>
      </c>
      <c r="H386" s="5" t="s">
        <v>77</v>
      </c>
      <c r="I386" s="5" t="s">
        <v>71</v>
      </c>
      <c r="J386" s="15">
        <v>1000</v>
      </c>
      <c r="K386" s="7">
        <v>34</v>
      </c>
      <c r="L386" s="7">
        <f t="shared" si="89"/>
        <v>29.411764705882351</v>
      </c>
      <c r="M386" s="5" t="s">
        <v>10</v>
      </c>
      <c r="N386" s="5">
        <v>4</v>
      </c>
      <c r="O386" s="6">
        <f t="shared" si="90"/>
        <v>0.54065743944636668</v>
      </c>
      <c r="P386" s="6">
        <f t="shared" si="91"/>
        <v>5.6228373702422139E-2</v>
      </c>
      <c r="Q386" s="10">
        <f t="shared" si="92"/>
        <v>1.1714244521337945E-3</v>
      </c>
      <c r="R386" s="10">
        <f t="shared" si="93"/>
        <v>1.0025101116786362E-2</v>
      </c>
      <c r="S386" s="10">
        <f t="shared" si="94"/>
        <v>1.1196525568920156E-2</v>
      </c>
    </row>
    <row r="387" spans="1:19" x14ac:dyDescent="0.25">
      <c r="A387" s="5" t="s">
        <v>22</v>
      </c>
      <c r="B387" s="5" t="s">
        <v>63</v>
      </c>
      <c r="C387" s="5" t="s">
        <v>27</v>
      </c>
      <c r="D387" s="5" t="s">
        <v>385</v>
      </c>
      <c r="E387" s="5" t="s">
        <v>384</v>
      </c>
      <c r="F387" s="5" t="s">
        <v>45</v>
      </c>
      <c r="G387" s="5" t="s">
        <v>390</v>
      </c>
      <c r="H387" s="5" t="s">
        <v>74</v>
      </c>
      <c r="I387" s="5" t="s">
        <v>24</v>
      </c>
      <c r="J387" s="15">
        <v>1000</v>
      </c>
      <c r="K387" s="7">
        <v>30</v>
      </c>
      <c r="L387" s="7">
        <f t="shared" si="89"/>
        <v>33.333333333333336</v>
      </c>
      <c r="M387" s="5" t="s">
        <v>10</v>
      </c>
      <c r="N387" s="5">
        <v>4</v>
      </c>
      <c r="O387" s="6">
        <f t="shared" si="90"/>
        <v>0.69444444444444453</v>
      </c>
      <c r="P387" s="6">
        <f t="shared" si="91"/>
        <v>7.2222222222222229E-2</v>
      </c>
      <c r="Q387" s="10">
        <f t="shared" si="92"/>
        <v>1.5046296296296298E-3</v>
      </c>
      <c r="R387" s="10">
        <f t="shared" si="93"/>
        <v>1.2095539811572421E-2</v>
      </c>
      <c r="S387" s="10">
        <f t="shared" si="94"/>
        <v>1.3600169441202051E-2</v>
      </c>
    </row>
    <row r="388" spans="1:19" x14ac:dyDescent="0.25">
      <c r="A388" s="5" t="s">
        <v>8</v>
      </c>
      <c r="B388" s="5" t="s">
        <v>264</v>
      </c>
      <c r="C388" s="5" t="s">
        <v>27</v>
      </c>
      <c r="D388" s="5" t="s">
        <v>385</v>
      </c>
      <c r="E388" s="5" t="s">
        <v>384</v>
      </c>
      <c r="F388" s="5" t="s">
        <v>45</v>
      </c>
      <c r="G388" s="5" t="s">
        <v>383</v>
      </c>
      <c r="H388" s="5" t="s">
        <v>89</v>
      </c>
      <c r="I388" s="5" t="s">
        <v>266</v>
      </c>
      <c r="J388" s="15">
        <v>1120</v>
      </c>
      <c r="K388" s="7">
        <v>29.2</v>
      </c>
      <c r="L388" s="7">
        <f t="shared" si="89"/>
        <v>38.356164383561648</v>
      </c>
      <c r="M388" s="5" t="s">
        <v>10</v>
      </c>
      <c r="N388" s="5">
        <v>4</v>
      </c>
      <c r="O388" s="6">
        <f t="shared" si="90"/>
        <v>1.029836742353162</v>
      </c>
      <c r="P388" s="6">
        <f t="shared" si="91"/>
        <v>0.10710302120472885</v>
      </c>
      <c r="Q388" s="10">
        <f t="shared" si="92"/>
        <v>2.2313129417651846E-3</v>
      </c>
      <c r="R388" s="10">
        <f t="shared" si="93"/>
        <v>1.6254492377313225E-2</v>
      </c>
      <c r="S388" s="10">
        <f t="shared" si="94"/>
        <v>1.8485805319078411E-2</v>
      </c>
    </row>
    <row r="389" spans="1:19" x14ac:dyDescent="0.25">
      <c r="A389" s="5" t="s">
        <v>8</v>
      </c>
      <c r="B389" s="5" t="s">
        <v>358</v>
      </c>
      <c r="C389" s="5" t="s">
        <v>27</v>
      </c>
      <c r="D389" s="5" t="s">
        <v>385</v>
      </c>
      <c r="E389" s="5" t="s">
        <v>384</v>
      </c>
      <c r="F389" s="5" t="s">
        <v>45</v>
      </c>
      <c r="G389" s="5" t="s">
        <v>383</v>
      </c>
      <c r="H389" s="5" t="s">
        <v>89</v>
      </c>
      <c r="I389" s="5" t="s">
        <v>267</v>
      </c>
      <c r="J389" s="15">
        <v>1425</v>
      </c>
      <c r="K389" s="7">
        <v>33.5</v>
      </c>
      <c r="L389" s="7">
        <f t="shared" si="89"/>
        <v>42.537313432835823</v>
      </c>
      <c r="M389" s="5" t="s">
        <v>10</v>
      </c>
      <c r="N389" s="5">
        <v>4</v>
      </c>
      <c r="O389" s="6">
        <f t="shared" si="90"/>
        <v>1.6115173897304527</v>
      </c>
      <c r="P389" s="6">
        <f t="shared" si="91"/>
        <v>0.16759780853196707</v>
      </c>
      <c r="Q389" s="10">
        <f t="shared" si="92"/>
        <v>3.4916210110826473E-3</v>
      </c>
      <c r="R389" s="10">
        <f t="shared" si="93"/>
        <v>2.2741723321392279E-2</v>
      </c>
      <c r="S389" s="10">
        <f t="shared" si="94"/>
        <v>2.6233344332474928E-2</v>
      </c>
    </row>
    <row r="390" spans="1:19" x14ac:dyDescent="0.25">
      <c r="A390" s="5" t="s">
        <v>8</v>
      </c>
      <c r="B390" s="5" t="s">
        <v>264</v>
      </c>
      <c r="C390" s="5" t="s">
        <v>27</v>
      </c>
      <c r="D390" s="5" t="s">
        <v>385</v>
      </c>
      <c r="E390" s="5" t="s">
        <v>384</v>
      </c>
      <c r="F390" s="5" t="s">
        <v>45</v>
      </c>
      <c r="G390" s="5" t="s">
        <v>383</v>
      </c>
      <c r="H390" s="5" t="s">
        <v>89</v>
      </c>
      <c r="I390" s="5" t="s">
        <v>267</v>
      </c>
      <c r="J390" s="15">
        <v>1300</v>
      </c>
      <c r="K390" s="7">
        <v>33.5</v>
      </c>
      <c r="L390" s="7">
        <f t="shared" si="89"/>
        <v>38.805970149253731</v>
      </c>
      <c r="M390" s="5" t="s">
        <v>10</v>
      </c>
      <c r="N390" s="5">
        <v>4</v>
      </c>
      <c r="O390" s="6">
        <f t="shared" si="90"/>
        <v>1.2235464468701269</v>
      </c>
      <c r="P390" s="6">
        <f t="shared" si="91"/>
        <v>0.1272488304744932</v>
      </c>
      <c r="Q390" s="10">
        <f t="shared" si="92"/>
        <v>2.6510173015519417E-3</v>
      </c>
      <c r="R390" s="10">
        <f t="shared" si="93"/>
        <v>1.8497475870327421E-2</v>
      </c>
      <c r="S390" s="10">
        <f t="shared" si="94"/>
        <v>2.1148493171879362E-2</v>
      </c>
    </row>
    <row r="391" spans="1:19" x14ac:dyDescent="0.25">
      <c r="A391" s="5" t="s">
        <v>22</v>
      </c>
      <c r="B391" s="5" t="s">
        <v>63</v>
      </c>
      <c r="C391" s="5" t="s">
        <v>27</v>
      </c>
      <c r="D391" s="5" t="s">
        <v>385</v>
      </c>
      <c r="E391" s="5" t="s">
        <v>384</v>
      </c>
      <c r="F391" s="5" t="s">
        <v>45</v>
      </c>
      <c r="G391" s="5" t="s">
        <v>383</v>
      </c>
      <c r="H391" s="5" t="s">
        <v>89</v>
      </c>
      <c r="I391" s="5" t="s">
        <v>90</v>
      </c>
      <c r="J391" s="15">
        <v>840</v>
      </c>
      <c r="K391" s="7">
        <v>21.5</v>
      </c>
      <c r="L391" s="7">
        <f t="shared" si="89"/>
        <v>39.069767441860463</v>
      </c>
      <c r="M391" s="5" t="s">
        <v>10</v>
      </c>
      <c r="N391" s="5">
        <v>4</v>
      </c>
      <c r="O391" s="6">
        <f t="shared" si="90"/>
        <v>0.80138453217955641</v>
      </c>
      <c r="P391" s="6">
        <f t="shared" si="91"/>
        <v>8.3343991346673862E-2</v>
      </c>
      <c r="Q391" s="10">
        <f t="shared" si="92"/>
        <v>1.7363331530557055E-3</v>
      </c>
      <c r="R391" s="10">
        <f t="shared" si="93"/>
        <v>1.3467216474127932E-2</v>
      </c>
      <c r="S391" s="10">
        <f t="shared" si="94"/>
        <v>1.5203549627183637E-2</v>
      </c>
    </row>
    <row r="392" spans="1:19" x14ac:dyDescent="0.25">
      <c r="A392" s="5" t="s">
        <v>8</v>
      </c>
      <c r="B392" s="5" t="s">
        <v>359</v>
      </c>
      <c r="C392" s="5" t="s">
        <v>27</v>
      </c>
      <c r="D392" s="5" t="s">
        <v>385</v>
      </c>
      <c r="E392" s="5" t="s">
        <v>384</v>
      </c>
      <c r="F392" s="5" t="s">
        <v>45</v>
      </c>
      <c r="G392" s="5" t="s">
        <v>383</v>
      </c>
      <c r="H392" s="5" t="s">
        <v>89</v>
      </c>
      <c r="I392" s="5" t="s">
        <v>90</v>
      </c>
      <c r="J392" s="15">
        <v>840</v>
      </c>
      <c r="K392" s="7">
        <v>21.5</v>
      </c>
      <c r="L392" s="7">
        <f t="shared" si="89"/>
        <v>39.069767441860463</v>
      </c>
      <c r="M392" s="5" t="s">
        <v>10</v>
      </c>
      <c r="N392" s="5">
        <v>4</v>
      </c>
      <c r="O392" s="6">
        <f t="shared" si="90"/>
        <v>0.80138453217955641</v>
      </c>
      <c r="P392" s="6">
        <f t="shared" si="91"/>
        <v>8.3343991346673862E-2</v>
      </c>
      <c r="Q392" s="10">
        <f t="shared" si="92"/>
        <v>1.7363331530557055E-3</v>
      </c>
      <c r="R392" s="10">
        <f t="shared" si="93"/>
        <v>1.3467216474127932E-2</v>
      </c>
      <c r="S392" s="10">
        <f t="shared" si="94"/>
        <v>1.5203549627183637E-2</v>
      </c>
    </row>
    <row r="393" spans="1:19" x14ac:dyDescent="0.25">
      <c r="A393" s="5" t="s">
        <v>8</v>
      </c>
      <c r="B393" s="5" t="s">
        <v>360</v>
      </c>
      <c r="C393" s="5" t="s">
        <v>27</v>
      </c>
      <c r="D393" s="5" t="s">
        <v>385</v>
      </c>
      <c r="E393" s="5" t="s">
        <v>384</v>
      </c>
      <c r="F393" s="5" t="s">
        <v>45</v>
      </c>
      <c r="G393" s="5" t="s">
        <v>383</v>
      </c>
      <c r="H393" s="5" t="s">
        <v>89</v>
      </c>
      <c r="I393" s="5" t="s">
        <v>90</v>
      </c>
      <c r="J393" s="15">
        <v>1190</v>
      </c>
      <c r="K393" s="7">
        <v>22.5</v>
      </c>
      <c r="L393" s="7">
        <f t="shared" si="89"/>
        <v>52.888888888888886</v>
      </c>
      <c r="M393" s="5" t="s">
        <v>10</v>
      </c>
      <c r="N393" s="5">
        <v>4</v>
      </c>
      <c r="O393" s="6">
        <f t="shared" si="90"/>
        <v>2.0804432098765431</v>
      </c>
      <c r="P393" s="6">
        <f t="shared" si="91"/>
        <v>0.21636609382716043</v>
      </c>
      <c r="Q393" s="10">
        <f t="shared" si="92"/>
        <v>4.5076269547325099E-3</v>
      </c>
      <c r="R393" s="10">
        <f t="shared" si="93"/>
        <v>2.7543176383485118E-2</v>
      </c>
      <c r="S393" s="10">
        <f t="shared" si="94"/>
        <v>3.205080333821763E-2</v>
      </c>
    </row>
    <row r="394" spans="1:19" x14ac:dyDescent="0.25">
      <c r="A394" s="5" t="s">
        <v>8</v>
      </c>
      <c r="B394" s="5" t="s">
        <v>264</v>
      </c>
      <c r="C394" s="5" t="s">
        <v>27</v>
      </c>
      <c r="D394" s="5" t="s">
        <v>385</v>
      </c>
      <c r="E394" s="5" t="s">
        <v>384</v>
      </c>
      <c r="F394" s="5" t="s">
        <v>45</v>
      </c>
      <c r="G394" s="5" t="s">
        <v>383</v>
      </c>
      <c r="H394" s="5" t="s">
        <v>89</v>
      </c>
      <c r="I394" s="5" t="s">
        <v>90</v>
      </c>
      <c r="J394" s="15">
        <v>1000</v>
      </c>
      <c r="K394" s="7">
        <v>22</v>
      </c>
      <c r="L394" s="7">
        <f t="shared" si="89"/>
        <v>45.454545454545453</v>
      </c>
      <c r="M394" s="5" t="s">
        <v>10</v>
      </c>
      <c r="N394" s="5">
        <v>4</v>
      </c>
      <c r="O394" s="6">
        <f t="shared" si="90"/>
        <v>1.2913223140495866</v>
      </c>
      <c r="P394" s="6">
        <f t="shared" si="91"/>
        <v>0.13429752066115702</v>
      </c>
      <c r="Q394" s="10">
        <f t="shared" si="92"/>
        <v>2.7978650137741039E-3</v>
      </c>
      <c r="R394" s="10">
        <f t="shared" si="93"/>
        <v>1.9260746534398895E-2</v>
      </c>
      <c r="S394" s="10">
        <f t="shared" si="94"/>
        <v>2.2058611548172999E-2</v>
      </c>
    </row>
    <row r="395" spans="1:19" x14ac:dyDescent="0.25">
      <c r="A395" s="5" t="s">
        <v>8</v>
      </c>
      <c r="B395" s="5" t="s">
        <v>264</v>
      </c>
      <c r="C395" s="5" t="s">
        <v>27</v>
      </c>
      <c r="D395" s="5" t="s">
        <v>385</v>
      </c>
      <c r="E395" s="5" t="s">
        <v>384</v>
      </c>
      <c r="F395" s="5" t="s">
        <v>45</v>
      </c>
      <c r="G395" s="5" t="s">
        <v>383</v>
      </c>
      <c r="H395" s="5" t="s">
        <v>89</v>
      </c>
      <c r="I395" s="5" t="s">
        <v>265</v>
      </c>
      <c r="J395" s="15">
        <v>1000</v>
      </c>
      <c r="K395" s="7">
        <v>25</v>
      </c>
      <c r="L395" s="7">
        <f t="shared" si="89"/>
        <v>40</v>
      </c>
      <c r="M395" s="5" t="s">
        <v>10</v>
      </c>
      <c r="N395" s="5">
        <v>4</v>
      </c>
      <c r="O395" s="6">
        <f t="shared" si="90"/>
        <v>1</v>
      </c>
      <c r="P395" s="6">
        <f t="shared" si="91"/>
        <v>0.104</v>
      </c>
      <c r="Q395" s="10">
        <f t="shared" si="92"/>
        <v>2.1666666666666666E-3</v>
      </c>
      <c r="R395" s="10">
        <f t="shared" si="93"/>
        <v>1.5900000000000001E-2</v>
      </c>
      <c r="S395" s="10">
        <f t="shared" si="94"/>
        <v>1.8066666666666668E-2</v>
      </c>
    </row>
    <row r="396" spans="1:19" x14ac:dyDescent="0.25">
      <c r="A396" s="5" t="s">
        <v>8</v>
      </c>
      <c r="B396" s="5" t="s">
        <v>264</v>
      </c>
      <c r="C396" s="5" t="s">
        <v>27</v>
      </c>
      <c r="D396" s="5" t="s">
        <v>385</v>
      </c>
      <c r="E396" s="5" t="s">
        <v>384</v>
      </c>
      <c r="F396" s="5" t="s">
        <v>45</v>
      </c>
      <c r="G396" s="5" t="s">
        <v>383</v>
      </c>
      <c r="H396" s="5" t="s">
        <v>89</v>
      </c>
      <c r="I396" s="5" t="s">
        <v>268</v>
      </c>
      <c r="J396" s="15">
        <v>1300</v>
      </c>
      <c r="K396" s="7">
        <v>27.5</v>
      </c>
      <c r="L396" s="7">
        <f t="shared" si="89"/>
        <v>47.272727272727273</v>
      </c>
      <c r="M396" s="5" t="s">
        <v>10</v>
      </c>
      <c r="N396" s="5">
        <v>4</v>
      </c>
      <c r="O396" s="6">
        <f t="shared" si="90"/>
        <v>1.815702479338843</v>
      </c>
      <c r="P396" s="6">
        <f t="shared" si="91"/>
        <v>0.18883305785123963</v>
      </c>
      <c r="Q396" s="10">
        <f t="shared" si="92"/>
        <v>3.9340220385674926E-3</v>
      </c>
      <c r="R396" s="10">
        <f t="shared" si="93"/>
        <v>2.4870277967481078E-2</v>
      </c>
      <c r="S396" s="10">
        <f t="shared" si="94"/>
        <v>2.8804300006048569E-2</v>
      </c>
    </row>
    <row r="397" spans="1:19" x14ac:dyDescent="0.25">
      <c r="A397" s="5" t="s">
        <v>8</v>
      </c>
      <c r="B397" s="5" t="s">
        <v>358</v>
      </c>
      <c r="C397" s="5" t="s">
        <v>27</v>
      </c>
      <c r="D397" s="5" t="s">
        <v>385</v>
      </c>
      <c r="E397" s="5" t="s">
        <v>384</v>
      </c>
      <c r="F397" s="5" t="s">
        <v>45</v>
      </c>
      <c r="G397" s="5" t="s">
        <v>383</v>
      </c>
      <c r="H397" s="5" t="s">
        <v>89</v>
      </c>
      <c r="I397" s="5" t="s">
        <v>269</v>
      </c>
      <c r="J397" s="15">
        <v>1150</v>
      </c>
      <c r="K397" s="7">
        <v>25.8</v>
      </c>
      <c r="L397" s="7">
        <f t="shared" si="89"/>
        <v>44.573643410852711</v>
      </c>
      <c r="M397" s="5" t="s">
        <v>10</v>
      </c>
      <c r="N397" s="5">
        <v>4</v>
      </c>
      <c r="O397" s="6">
        <f t="shared" si="90"/>
        <v>1.4280194624722071</v>
      </c>
      <c r="P397" s="6">
        <f t="shared" si="91"/>
        <v>0.14851402409710951</v>
      </c>
      <c r="Q397" s="10">
        <f t="shared" si="92"/>
        <v>3.0940421686897822E-3</v>
      </c>
      <c r="R397" s="10">
        <f t="shared" si="93"/>
        <v>2.0770536726440858E-2</v>
      </c>
      <c r="S397" s="10">
        <f t="shared" si="94"/>
        <v>2.3864578895130641E-2</v>
      </c>
    </row>
    <row r="398" spans="1:19" x14ac:dyDescent="0.25">
      <c r="A398" s="5" t="s">
        <v>8</v>
      </c>
      <c r="B398" s="5" t="s">
        <v>264</v>
      </c>
      <c r="C398" s="5" t="s">
        <v>27</v>
      </c>
      <c r="D398" s="5" t="s">
        <v>385</v>
      </c>
      <c r="E398" s="5" t="s">
        <v>384</v>
      </c>
      <c r="F398" s="5" t="s">
        <v>45</v>
      </c>
      <c r="G398" s="5" t="s">
        <v>383</v>
      </c>
      <c r="H398" s="5" t="s">
        <v>89</v>
      </c>
      <c r="I398" s="5" t="s">
        <v>269</v>
      </c>
      <c r="J398" s="15">
        <v>1060</v>
      </c>
      <c r="K398" s="7">
        <v>23.5</v>
      </c>
      <c r="L398" s="7">
        <f t="shared" si="89"/>
        <v>45.106382978723403</v>
      </c>
      <c r="M398" s="5" t="s">
        <v>10</v>
      </c>
      <c r="N398" s="5">
        <v>4</v>
      </c>
      <c r="O398" s="6">
        <f t="shared" si="90"/>
        <v>1.3479130828429153</v>
      </c>
      <c r="P398" s="6">
        <f t="shared" si="91"/>
        <v>0.14018296061566318</v>
      </c>
      <c r="Q398" s="10">
        <f t="shared" si="92"/>
        <v>2.9204783461596498E-3</v>
      </c>
      <c r="R398" s="10">
        <f t="shared" si="93"/>
        <v>1.9890401090197855E-2</v>
      </c>
      <c r="S398" s="10">
        <f t="shared" si="94"/>
        <v>2.2810879436357505E-2</v>
      </c>
    </row>
    <row r="399" spans="1:19" x14ac:dyDescent="0.25">
      <c r="A399" s="5" t="s">
        <v>8</v>
      </c>
      <c r="B399" s="5" t="s">
        <v>312</v>
      </c>
      <c r="C399" s="5" t="s">
        <v>27</v>
      </c>
      <c r="D399" s="5" t="s">
        <v>385</v>
      </c>
      <c r="E399" s="5" t="s">
        <v>384</v>
      </c>
      <c r="F399" s="5" t="s">
        <v>45</v>
      </c>
      <c r="G399" s="5" t="s">
        <v>383</v>
      </c>
      <c r="H399" s="5" t="s">
        <v>89</v>
      </c>
      <c r="I399" s="5" t="s">
        <v>269</v>
      </c>
      <c r="J399" s="15">
        <v>1040</v>
      </c>
      <c r="K399" s="7">
        <v>22</v>
      </c>
      <c r="L399" s="7">
        <f t="shared" si="89"/>
        <v>47.272727272727273</v>
      </c>
      <c r="M399" s="5" t="s">
        <v>10</v>
      </c>
      <c r="N399" s="5">
        <v>4</v>
      </c>
      <c r="O399" s="6">
        <f t="shared" si="90"/>
        <v>1.4525619834710741</v>
      </c>
      <c r="P399" s="6">
        <f t="shared" si="91"/>
        <v>0.15106644628099172</v>
      </c>
      <c r="Q399" s="10">
        <f t="shared" si="92"/>
        <v>3.1472176308539935E-3</v>
      </c>
      <c r="R399" s="10">
        <f t="shared" si="93"/>
        <v>2.1037693789274791E-2</v>
      </c>
      <c r="S399" s="10">
        <f t="shared" si="94"/>
        <v>2.4184911420128786E-2</v>
      </c>
    </row>
    <row r="400" spans="1:19" x14ac:dyDescent="0.25">
      <c r="A400" s="5" t="s">
        <v>8</v>
      </c>
      <c r="B400" s="5" t="s">
        <v>312</v>
      </c>
      <c r="C400" s="5" t="s">
        <v>27</v>
      </c>
      <c r="D400" s="5" t="s">
        <v>385</v>
      </c>
      <c r="E400" s="5" t="s">
        <v>384</v>
      </c>
      <c r="F400" s="5" t="s">
        <v>45</v>
      </c>
      <c r="G400" s="5" t="s">
        <v>383</v>
      </c>
      <c r="H400" s="5" t="s">
        <v>89</v>
      </c>
      <c r="I400" s="5" t="s">
        <v>269</v>
      </c>
      <c r="J400" s="15">
        <v>1215</v>
      </c>
      <c r="K400" s="7">
        <v>26.3</v>
      </c>
      <c r="L400" s="7">
        <f t="shared" si="89"/>
        <v>46.197718631178709</v>
      </c>
      <c r="M400" s="5" t="s">
        <v>10</v>
      </c>
      <c r="N400" s="5">
        <v>4</v>
      </c>
      <c r="O400" s="6">
        <f t="shared" si="90"/>
        <v>1.6206803038572197</v>
      </c>
      <c r="P400" s="6">
        <f t="shared" si="91"/>
        <v>0.16855075160115085</v>
      </c>
      <c r="Q400" s="10">
        <f t="shared" si="92"/>
        <v>3.5114739916906426E-3</v>
      </c>
      <c r="R400" s="10">
        <f t="shared" si="93"/>
        <v>2.2838634796892455E-2</v>
      </c>
      <c r="S400" s="10">
        <f t="shared" si="94"/>
        <v>2.6350108788583099E-2</v>
      </c>
    </row>
    <row r="401" spans="1:19" x14ac:dyDescent="0.25">
      <c r="A401" s="5" t="s">
        <v>8</v>
      </c>
      <c r="B401" s="5" t="s">
        <v>264</v>
      </c>
      <c r="C401" s="5" t="s">
        <v>27</v>
      </c>
      <c r="D401" s="5" t="s">
        <v>385</v>
      </c>
      <c r="E401" s="5" t="s">
        <v>384</v>
      </c>
      <c r="F401" s="5" t="s">
        <v>45</v>
      </c>
      <c r="G401" s="5" t="s">
        <v>383</v>
      </c>
      <c r="H401" s="5" t="s">
        <v>89</v>
      </c>
      <c r="I401" s="5" t="s">
        <v>130</v>
      </c>
      <c r="J401" s="15">
        <v>1385</v>
      </c>
      <c r="K401" s="7">
        <v>26.4</v>
      </c>
      <c r="L401" s="7">
        <f t="shared" si="89"/>
        <v>52.462121212121218</v>
      </c>
      <c r="M401" s="5" t="s">
        <v>10</v>
      </c>
      <c r="N401" s="5">
        <v>4</v>
      </c>
      <c r="O401" s="6">
        <f t="shared" si="90"/>
        <v>2.3824373215464307</v>
      </c>
      <c r="P401" s="6">
        <f t="shared" si="91"/>
        <v>0.24777348144082881</v>
      </c>
      <c r="Q401" s="10">
        <f t="shared" si="92"/>
        <v>5.1619475300172663E-3</v>
      </c>
      <c r="R401" s="10">
        <f t="shared" si="93"/>
        <v>3.0490408095780776E-2</v>
      </c>
      <c r="S401" s="10">
        <f t="shared" si="94"/>
        <v>3.5652355625798042E-2</v>
      </c>
    </row>
    <row r="402" spans="1:19" x14ac:dyDescent="0.25">
      <c r="A402" s="5" t="s">
        <v>22</v>
      </c>
      <c r="B402" s="5" t="s">
        <v>63</v>
      </c>
      <c r="C402" s="5" t="s">
        <v>27</v>
      </c>
      <c r="D402" s="5" t="s">
        <v>385</v>
      </c>
      <c r="E402" s="5" t="s">
        <v>384</v>
      </c>
      <c r="F402" s="5" t="s">
        <v>45</v>
      </c>
      <c r="G402" s="5" t="s">
        <v>383</v>
      </c>
      <c r="H402" s="5" t="s">
        <v>84</v>
      </c>
      <c r="I402" s="5" t="s">
        <v>85</v>
      </c>
      <c r="J402" s="15">
        <v>1150</v>
      </c>
      <c r="K402" s="7">
        <v>26</v>
      </c>
      <c r="L402" s="7">
        <f t="shared" si="89"/>
        <v>44.230769230769234</v>
      </c>
      <c r="M402" s="5" t="s">
        <v>10</v>
      </c>
      <c r="N402" s="5">
        <v>4</v>
      </c>
      <c r="O402" s="6">
        <f t="shared" si="90"/>
        <v>1.4061344304733729</v>
      </c>
      <c r="P402" s="6">
        <f t="shared" si="91"/>
        <v>0.14623798076923078</v>
      </c>
      <c r="Q402" s="10">
        <f t="shared" si="92"/>
        <v>3.0466245993589747E-3</v>
      </c>
      <c r="R402" s="10">
        <f t="shared" si="93"/>
        <v>2.0531338164569143E-2</v>
      </c>
      <c r="S402" s="10">
        <f t="shared" si="94"/>
        <v>2.3577962763928116E-2</v>
      </c>
    </row>
    <row r="403" spans="1:19" x14ac:dyDescent="0.25">
      <c r="A403" s="5" t="s">
        <v>8</v>
      </c>
      <c r="B403" s="5" t="s">
        <v>326</v>
      </c>
      <c r="C403" s="5" t="s">
        <v>27</v>
      </c>
      <c r="D403" s="5" t="s">
        <v>385</v>
      </c>
      <c r="E403" s="5" t="s">
        <v>384</v>
      </c>
      <c r="F403" s="5" t="s">
        <v>45</v>
      </c>
      <c r="G403" s="5" t="s">
        <v>383</v>
      </c>
      <c r="H403" s="5" t="s">
        <v>84</v>
      </c>
      <c r="I403" s="5" t="s">
        <v>327</v>
      </c>
      <c r="J403" s="15">
        <v>1150</v>
      </c>
      <c r="K403" s="7">
        <v>21</v>
      </c>
      <c r="L403" s="7">
        <f t="shared" si="89"/>
        <v>54.761904761904759</v>
      </c>
      <c r="M403" s="5" t="s">
        <v>10</v>
      </c>
      <c r="N403" s="5">
        <v>4</v>
      </c>
      <c r="O403" s="6">
        <f t="shared" si="90"/>
        <v>2.1554350907029476</v>
      </c>
      <c r="P403" s="6">
        <f t="shared" si="91"/>
        <v>0.22416524943310653</v>
      </c>
      <c r="Q403" s="10">
        <f t="shared" si="92"/>
        <v>4.6701093631897192E-3</v>
      </c>
      <c r="R403" s="10">
        <f t="shared" si="93"/>
        <v>2.828448893687794E-2</v>
      </c>
      <c r="S403" s="10">
        <f t="shared" si="94"/>
        <v>3.295459830006766E-2</v>
      </c>
    </row>
    <row r="404" spans="1:19" x14ac:dyDescent="0.25">
      <c r="A404" s="5" t="s">
        <v>8</v>
      </c>
      <c r="B404" s="5" t="s">
        <v>322</v>
      </c>
      <c r="C404" s="5" t="s">
        <v>27</v>
      </c>
      <c r="D404" s="5" t="s">
        <v>385</v>
      </c>
      <c r="E404" s="5" t="s">
        <v>384</v>
      </c>
      <c r="F404" s="5" t="s">
        <v>45</v>
      </c>
      <c r="G404" s="5" t="s">
        <v>383</v>
      </c>
      <c r="H404" s="5" t="s">
        <v>84</v>
      </c>
      <c r="I404" s="5" t="s">
        <v>211</v>
      </c>
      <c r="J404" s="15">
        <v>1350</v>
      </c>
      <c r="K404" s="7">
        <v>35</v>
      </c>
      <c r="L404" s="7">
        <f t="shared" si="89"/>
        <v>38.571428571428569</v>
      </c>
      <c r="M404" s="5" t="s">
        <v>10</v>
      </c>
      <c r="N404" s="5">
        <v>4</v>
      </c>
      <c r="O404" s="6">
        <f t="shared" si="90"/>
        <v>1.2552933673469386</v>
      </c>
      <c r="P404" s="6">
        <f t="shared" si="91"/>
        <v>0.13055051020408162</v>
      </c>
      <c r="Q404" s="10">
        <f t="shared" si="92"/>
        <v>2.719802295918367E-3</v>
      </c>
      <c r="R404" s="10">
        <f t="shared" si="93"/>
        <v>1.8856281365180333E-2</v>
      </c>
      <c r="S404" s="10">
        <f t="shared" si="94"/>
        <v>2.1576083661098699E-2</v>
      </c>
    </row>
    <row r="405" spans="1:19" x14ac:dyDescent="0.25">
      <c r="A405" s="5" t="s">
        <v>8</v>
      </c>
      <c r="B405" s="5" t="s">
        <v>206</v>
      </c>
      <c r="C405" s="5" t="s">
        <v>27</v>
      </c>
      <c r="D405" s="5" t="s">
        <v>385</v>
      </c>
      <c r="E405" s="5" t="s">
        <v>384</v>
      </c>
      <c r="F405" s="5" t="s">
        <v>45</v>
      </c>
      <c r="G405" s="5" t="s">
        <v>383</v>
      </c>
      <c r="H405" s="5" t="s">
        <v>84</v>
      </c>
      <c r="I405" s="5" t="s">
        <v>211</v>
      </c>
      <c r="J405" s="15">
        <v>1050</v>
      </c>
      <c r="K405" s="7">
        <v>20</v>
      </c>
      <c r="L405" s="7">
        <f t="shared" si="89"/>
        <v>52.5</v>
      </c>
      <c r="M405" s="5" t="s">
        <v>10</v>
      </c>
      <c r="N405" s="5">
        <v>4</v>
      </c>
      <c r="O405" s="6">
        <f t="shared" si="90"/>
        <v>1.8087890625</v>
      </c>
      <c r="P405" s="6">
        <f t="shared" si="91"/>
        <v>0.18811406249999996</v>
      </c>
      <c r="Q405" s="10">
        <f t="shared" si="92"/>
        <v>3.9190429687499997E-3</v>
      </c>
      <c r="R405" s="10">
        <f t="shared" si="93"/>
        <v>2.4799222591898096E-2</v>
      </c>
      <c r="S405" s="10">
        <f t="shared" si="94"/>
        <v>2.8718265560648097E-2</v>
      </c>
    </row>
    <row r="406" spans="1:19" x14ac:dyDescent="0.25">
      <c r="A406" s="5" t="s">
        <v>8</v>
      </c>
      <c r="B406" s="5" t="s">
        <v>204</v>
      </c>
      <c r="C406" s="5" t="s">
        <v>27</v>
      </c>
      <c r="D406" s="5" t="s">
        <v>385</v>
      </c>
      <c r="E406" s="5" t="s">
        <v>384</v>
      </c>
      <c r="F406" s="5" t="s">
        <v>45</v>
      </c>
      <c r="G406" s="5" t="s">
        <v>383</v>
      </c>
      <c r="H406" s="5" t="s">
        <v>84</v>
      </c>
      <c r="I406" s="5" t="s">
        <v>211</v>
      </c>
      <c r="J406" s="15">
        <v>1300</v>
      </c>
      <c r="K406" s="7">
        <v>31</v>
      </c>
      <c r="L406" s="7">
        <f t="shared" si="89"/>
        <v>41.935483870967744</v>
      </c>
      <c r="M406" s="5" t="s">
        <v>10</v>
      </c>
      <c r="N406" s="5">
        <v>4</v>
      </c>
      <c r="O406" s="6">
        <f t="shared" si="90"/>
        <v>1.4288501560874092</v>
      </c>
      <c r="P406" s="6">
        <f t="shared" si="91"/>
        <v>0.14860041623309053</v>
      </c>
      <c r="Q406" s="10">
        <f t="shared" si="92"/>
        <v>3.0958420048560532E-3</v>
      </c>
      <c r="R406" s="10">
        <f t="shared" si="93"/>
        <v>2.0779597893882982E-2</v>
      </c>
      <c r="S406" s="10">
        <f t="shared" si="94"/>
        <v>2.3875439898739036E-2</v>
      </c>
    </row>
    <row r="407" spans="1:19" x14ac:dyDescent="0.25">
      <c r="A407" s="5" t="s">
        <v>8</v>
      </c>
      <c r="B407" s="5" t="s">
        <v>192</v>
      </c>
      <c r="C407" s="5" t="s">
        <v>27</v>
      </c>
      <c r="D407" s="5" t="s">
        <v>385</v>
      </c>
      <c r="E407" s="5" t="s">
        <v>384</v>
      </c>
      <c r="F407" s="5" t="s">
        <v>45</v>
      </c>
      <c r="G407" s="5" t="s">
        <v>383</v>
      </c>
      <c r="H407" s="5" t="s">
        <v>84</v>
      </c>
      <c r="I407" s="5" t="s">
        <v>211</v>
      </c>
      <c r="J407" s="15">
        <v>1240</v>
      </c>
      <c r="K407" s="7">
        <v>33</v>
      </c>
      <c r="L407" s="7">
        <f t="shared" ref="L407:L415" si="95">J407/K407</f>
        <v>37.575757575757578</v>
      </c>
      <c r="M407" s="5" t="s">
        <v>10</v>
      </c>
      <c r="N407" s="5">
        <v>4</v>
      </c>
      <c r="O407" s="6">
        <f t="shared" ref="O407:O415" si="96">(J407*L407^2)/(1.6*10^6)</f>
        <v>1.0942516069788797</v>
      </c>
      <c r="P407" s="6">
        <f t="shared" ref="P407:P415" si="97">(0.104*J407*L407^2)/(1.6*10^6)</f>
        <v>0.1138021671258035</v>
      </c>
      <c r="Q407" s="10">
        <f t="shared" ref="Q407:Q415" si="98">(0.104*O407)/(12*N407)</f>
        <v>2.3708784817875728E-3</v>
      </c>
      <c r="R407" s="10">
        <f t="shared" ref="R407:R415" si="99">0.0159*O407^0.75</f>
        <v>1.7011202684541326E-2</v>
      </c>
      <c r="S407" s="10">
        <f t="shared" ref="S407:S415" si="100">Q407+R407</f>
        <v>1.9382081166328897E-2</v>
      </c>
    </row>
    <row r="408" spans="1:19" x14ac:dyDescent="0.25">
      <c r="A408" s="5" t="s">
        <v>22</v>
      </c>
      <c r="B408" s="5" t="s">
        <v>63</v>
      </c>
      <c r="C408" s="5" t="s">
        <v>27</v>
      </c>
      <c r="D408" s="5" t="s">
        <v>385</v>
      </c>
      <c r="E408" s="5" t="s">
        <v>384</v>
      </c>
      <c r="F408" s="5" t="s">
        <v>45</v>
      </c>
      <c r="G408" s="5" t="s">
        <v>383</v>
      </c>
      <c r="H408" s="5" t="s">
        <v>86</v>
      </c>
      <c r="I408" s="5" t="s">
        <v>87</v>
      </c>
      <c r="J408" s="15">
        <v>1500</v>
      </c>
      <c r="K408" s="7">
        <v>36</v>
      </c>
      <c r="L408" s="7">
        <f t="shared" si="95"/>
        <v>41.666666666666664</v>
      </c>
      <c r="M408" s="5" t="s">
        <v>10</v>
      </c>
      <c r="N408" s="5">
        <v>4</v>
      </c>
      <c r="O408" s="6">
        <f t="shared" si="96"/>
        <v>1.6276041666666665</v>
      </c>
      <c r="P408" s="6">
        <f t="shared" si="97"/>
        <v>0.16927083333333331</v>
      </c>
      <c r="Q408" s="10">
        <f t="shared" si="98"/>
        <v>3.5264756944444441E-3</v>
      </c>
      <c r="R408" s="10">
        <f t="shared" si="99"/>
        <v>2.2911774118795719E-2</v>
      </c>
      <c r="S408" s="10">
        <f t="shared" si="100"/>
        <v>2.6438249813240163E-2</v>
      </c>
    </row>
    <row r="409" spans="1:19" x14ac:dyDescent="0.25">
      <c r="A409" s="5" t="s">
        <v>22</v>
      </c>
      <c r="B409" s="5" t="s">
        <v>63</v>
      </c>
      <c r="C409" s="5" t="s">
        <v>27</v>
      </c>
      <c r="D409" s="5" t="s">
        <v>385</v>
      </c>
      <c r="E409" s="5" t="s">
        <v>384</v>
      </c>
      <c r="F409" s="5" t="s">
        <v>45</v>
      </c>
      <c r="G409" s="5" t="s">
        <v>383</v>
      </c>
      <c r="H409" s="5" t="s">
        <v>88</v>
      </c>
      <c r="I409" s="5" t="s">
        <v>15</v>
      </c>
      <c r="J409" s="15">
        <v>1700</v>
      </c>
      <c r="K409" s="7">
        <v>22</v>
      </c>
      <c r="L409" s="7">
        <f t="shared" si="95"/>
        <v>77.272727272727266</v>
      </c>
      <c r="M409" s="5" t="s">
        <v>10</v>
      </c>
      <c r="N409" s="5">
        <v>4</v>
      </c>
      <c r="O409" s="6">
        <f t="shared" si="96"/>
        <v>6.344266528925619</v>
      </c>
      <c r="P409" s="6">
        <f t="shared" si="97"/>
        <v>0.65980371900826429</v>
      </c>
      <c r="Q409" s="10">
        <f t="shared" si="98"/>
        <v>1.3745910812672174E-2</v>
      </c>
      <c r="R409" s="10">
        <f t="shared" si="99"/>
        <v>6.3559897650201369E-2</v>
      </c>
      <c r="S409" s="10">
        <f t="shared" si="100"/>
        <v>7.7305808462873549E-2</v>
      </c>
    </row>
    <row r="410" spans="1:19" x14ac:dyDescent="0.25">
      <c r="A410" s="5" t="s">
        <v>22</v>
      </c>
      <c r="B410" s="5" t="s">
        <v>63</v>
      </c>
      <c r="C410" s="5" t="s">
        <v>27</v>
      </c>
      <c r="D410" s="5" t="s">
        <v>385</v>
      </c>
      <c r="E410" s="5" t="s">
        <v>384</v>
      </c>
      <c r="F410" s="5" t="s">
        <v>45</v>
      </c>
      <c r="G410" s="5" t="s">
        <v>383</v>
      </c>
      <c r="H410" s="5" t="s">
        <v>83</v>
      </c>
      <c r="I410" s="5" t="s">
        <v>62</v>
      </c>
      <c r="J410" s="15">
        <v>1300</v>
      </c>
      <c r="K410" s="7">
        <v>28</v>
      </c>
      <c r="L410" s="7">
        <f t="shared" si="95"/>
        <v>46.428571428571431</v>
      </c>
      <c r="M410" s="5" t="s">
        <v>10</v>
      </c>
      <c r="N410" s="5">
        <v>4</v>
      </c>
      <c r="O410" s="6">
        <f t="shared" si="96"/>
        <v>1.751434948979592</v>
      </c>
      <c r="P410" s="6">
        <f t="shared" si="97"/>
        <v>0.18214923469387756</v>
      </c>
      <c r="Q410" s="10">
        <f t="shared" si="98"/>
        <v>3.7947757227891157E-3</v>
      </c>
      <c r="R410" s="10">
        <f t="shared" si="99"/>
        <v>2.4207092683528889E-2</v>
      </c>
      <c r="S410" s="10">
        <f t="shared" si="100"/>
        <v>2.8001868406318006E-2</v>
      </c>
    </row>
    <row r="411" spans="1:19" x14ac:dyDescent="0.25">
      <c r="A411" s="5" t="s">
        <v>8</v>
      </c>
      <c r="B411" s="5" t="s">
        <v>339</v>
      </c>
      <c r="C411" s="5" t="s">
        <v>27</v>
      </c>
      <c r="D411" s="5" t="s">
        <v>385</v>
      </c>
      <c r="E411" s="5" t="s">
        <v>384</v>
      </c>
      <c r="F411" s="5" t="s">
        <v>45</v>
      </c>
      <c r="G411" s="5" t="s">
        <v>383</v>
      </c>
      <c r="H411" s="5" t="s">
        <v>83</v>
      </c>
      <c r="I411" s="5" t="s">
        <v>341</v>
      </c>
      <c r="J411" s="15">
        <v>1103</v>
      </c>
      <c r="K411" s="7">
        <v>27.5</v>
      </c>
      <c r="L411" s="7">
        <f t="shared" si="95"/>
        <v>40.109090909090909</v>
      </c>
      <c r="M411" s="5" t="s">
        <v>10</v>
      </c>
      <c r="N411" s="5">
        <v>4</v>
      </c>
      <c r="O411" s="6">
        <f t="shared" si="96"/>
        <v>1.109024567768595</v>
      </c>
      <c r="P411" s="6">
        <f t="shared" si="97"/>
        <v>0.11533855504793387</v>
      </c>
      <c r="Q411" s="10">
        <f t="shared" si="98"/>
        <v>2.4028865634986222E-3</v>
      </c>
      <c r="R411" s="10">
        <f t="shared" si="99"/>
        <v>1.7183158637034863E-2</v>
      </c>
      <c r="S411" s="10">
        <f t="shared" si="100"/>
        <v>1.9586045200533485E-2</v>
      </c>
    </row>
    <row r="412" spans="1:19" x14ac:dyDescent="0.25">
      <c r="A412" s="5" t="s">
        <v>8</v>
      </c>
      <c r="B412" s="5" t="s">
        <v>369</v>
      </c>
      <c r="C412" s="5" t="s">
        <v>27</v>
      </c>
      <c r="D412" s="5" t="s">
        <v>385</v>
      </c>
      <c r="E412" s="5" t="s">
        <v>384</v>
      </c>
      <c r="F412" s="5" t="s">
        <v>45</v>
      </c>
      <c r="G412" s="5" t="s">
        <v>383</v>
      </c>
      <c r="H412" s="5" t="s">
        <v>83</v>
      </c>
      <c r="I412" s="5" t="s">
        <v>341</v>
      </c>
      <c r="J412" s="15">
        <v>1260</v>
      </c>
      <c r="K412" s="7">
        <v>29.9</v>
      </c>
      <c r="L412" s="7">
        <f t="shared" si="95"/>
        <v>42.140468227424748</v>
      </c>
      <c r="M412" s="5" t="s">
        <v>10</v>
      </c>
      <c r="N412" s="5">
        <v>4</v>
      </c>
      <c r="O412" s="6">
        <f t="shared" si="96"/>
        <v>1.3984575116609432</v>
      </c>
      <c r="P412" s="6">
        <f t="shared" si="97"/>
        <v>0.14543958121273809</v>
      </c>
      <c r="Q412" s="10">
        <f t="shared" si="98"/>
        <v>3.029991275265377E-3</v>
      </c>
      <c r="R412" s="10">
        <f t="shared" si="99"/>
        <v>2.0447211129455776E-2</v>
      </c>
      <c r="S412" s="10">
        <f t="shared" si="100"/>
        <v>2.3477202404721152E-2</v>
      </c>
    </row>
    <row r="413" spans="1:19" x14ac:dyDescent="0.25">
      <c r="A413" s="5" t="s">
        <v>8</v>
      </c>
      <c r="B413" s="5" t="s">
        <v>339</v>
      </c>
      <c r="C413" s="5" t="s">
        <v>27</v>
      </c>
      <c r="D413" s="5" t="s">
        <v>385</v>
      </c>
      <c r="E413" s="5" t="s">
        <v>384</v>
      </c>
      <c r="F413" s="5" t="s">
        <v>45</v>
      </c>
      <c r="G413" s="5" t="s">
        <v>383</v>
      </c>
      <c r="H413" s="5" t="s">
        <v>83</v>
      </c>
      <c r="I413" s="5" t="s">
        <v>340</v>
      </c>
      <c r="J413" s="15">
        <v>1023</v>
      </c>
      <c r="K413" s="7">
        <v>26.4</v>
      </c>
      <c r="L413" s="7">
        <f t="shared" si="95"/>
        <v>38.75</v>
      </c>
      <c r="M413" s="5" t="s">
        <v>10</v>
      </c>
      <c r="N413" s="5">
        <v>4</v>
      </c>
      <c r="O413" s="6">
        <f t="shared" si="96"/>
        <v>0.96006152343749995</v>
      </c>
      <c r="P413" s="6">
        <f t="shared" si="97"/>
        <v>9.9846398437499997E-2</v>
      </c>
      <c r="Q413" s="10">
        <f t="shared" si="98"/>
        <v>2.0801333007812498E-3</v>
      </c>
      <c r="R413" s="10">
        <f t="shared" si="99"/>
        <v>1.5421315518521045E-2</v>
      </c>
      <c r="S413" s="10">
        <f t="shared" si="100"/>
        <v>1.7501448819302295E-2</v>
      </c>
    </row>
    <row r="414" spans="1:19" x14ac:dyDescent="0.25">
      <c r="A414" s="5" t="s">
        <v>8</v>
      </c>
      <c r="B414" s="5" t="s">
        <v>339</v>
      </c>
      <c r="C414" s="5" t="s">
        <v>27</v>
      </c>
      <c r="D414" s="5" t="s">
        <v>385</v>
      </c>
      <c r="E414" s="5" t="s">
        <v>384</v>
      </c>
      <c r="F414" s="5" t="s">
        <v>45</v>
      </c>
      <c r="G414" s="5" t="s">
        <v>383</v>
      </c>
      <c r="H414" s="5" t="s">
        <v>83</v>
      </c>
      <c r="I414" s="5" t="s">
        <v>340</v>
      </c>
      <c r="J414" s="15">
        <v>1009</v>
      </c>
      <c r="K414" s="7">
        <v>22.1</v>
      </c>
      <c r="L414" s="7">
        <f t="shared" si="95"/>
        <v>45.656108597285062</v>
      </c>
      <c r="M414" s="5" t="s">
        <v>10</v>
      </c>
      <c r="N414" s="5">
        <v>4</v>
      </c>
      <c r="O414" s="6">
        <f t="shared" si="96"/>
        <v>1.314525359073319</v>
      </c>
      <c r="P414" s="6">
        <f t="shared" si="97"/>
        <v>0.13671063734362518</v>
      </c>
      <c r="Q414" s="10">
        <f t="shared" si="98"/>
        <v>2.8481382779921914E-3</v>
      </c>
      <c r="R414" s="10">
        <f t="shared" si="99"/>
        <v>1.9519732008710461E-2</v>
      </c>
      <c r="S414" s="10">
        <f t="shared" si="100"/>
        <v>2.2367870286702653E-2</v>
      </c>
    </row>
    <row r="415" spans="1:19" x14ac:dyDescent="0.25">
      <c r="A415" s="5" t="s">
        <v>8</v>
      </c>
      <c r="B415" s="5" t="s">
        <v>369</v>
      </c>
      <c r="C415" s="5" t="s">
        <v>27</v>
      </c>
      <c r="D415" s="5" t="s">
        <v>385</v>
      </c>
      <c r="E415" s="5" t="s">
        <v>384</v>
      </c>
      <c r="F415" s="5" t="s">
        <v>45</v>
      </c>
      <c r="G415" s="5" t="s">
        <v>383</v>
      </c>
      <c r="H415" s="5" t="s">
        <v>83</v>
      </c>
      <c r="I415" s="5" t="s">
        <v>340</v>
      </c>
      <c r="J415" s="15">
        <v>1340</v>
      </c>
      <c r="K415" s="7">
        <v>36.5</v>
      </c>
      <c r="L415" s="7">
        <f t="shared" si="95"/>
        <v>36.712328767123289</v>
      </c>
      <c r="M415" s="5" t="s">
        <v>10</v>
      </c>
      <c r="N415" s="5">
        <v>4</v>
      </c>
      <c r="O415" s="6">
        <f t="shared" si="96"/>
        <v>1.1287783824357291</v>
      </c>
      <c r="P415" s="6">
        <f t="shared" si="97"/>
        <v>0.11739295177331582</v>
      </c>
      <c r="Q415" s="10">
        <f t="shared" si="98"/>
        <v>2.4456864952774131E-3</v>
      </c>
      <c r="R415" s="10">
        <f t="shared" si="99"/>
        <v>1.7412199601379269E-2</v>
      </c>
      <c r="S415" s="10">
        <f t="shared" si="100"/>
        <v>1.9857886096656681E-2</v>
      </c>
    </row>
    <row r="416" spans="1:19" x14ac:dyDescent="0.25">
      <c r="J416" s="16">
        <f>AVERAGE(J279:J415)</f>
        <v>1169.1751824817518</v>
      </c>
      <c r="K416" s="12">
        <f t="shared" ref="K416:S416" si="101">AVERAGE(K279:K415)</f>
        <v>28.892700729927</v>
      </c>
      <c r="L416" s="12">
        <f t="shared" si="101"/>
        <v>41.084374768760263</v>
      </c>
      <c r="M416" s="11" t="e">
        <f t="shared" si="101"/>
        <v>#DIV/0!</v>
      </c>
      <c r="N416" s="11">
        <f t="shared" si="101"/>
        <v>4</v>
      </c>
      <c r="O416" s="13">
        <f t="shared" si="101"/>
        <v>1.3436481360646155</v>
      </c>
      <c r="P416" s="13">
        <f t="shared" si="101"/>
        <v>0.13973940615071992</v>
      </c>
      <c r="Q416" s="14">
        <f t="shared" si="101"/>
        <v>2.9112376281400006E-3</v>
      </c>
      <c r="R416" s="14">
        <f t="shared" si="101"/>
        <v>1.9293924315629509E-2</v>
      </c>
      <c r="S416" s="14">
        <f t="shared" si="101"/>
        <v>2.2205161943769511E-2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3"/>
  <sheetViews>
    <sheetView topLeftCell="S1" workbookViewId="0">
      <pane ySplit="1" topLeftCell="A89" activePane="bottomLeft" state="frozen"/>
      <selection pane="bottomLeft" activeCell="T1" sqref="T1:AE1048576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890</v>
      </c>
      <c r="K2" s="7">
        <v>19</v>
      </c>
      <c r="L2" s="7">
        <f>J2/K2</f>
        <v>46.842105263157897</v>
      </c>
      <c r="M2" s="5" t="s">
        <v>9</v>
      </c>
      <c r="N2" s="5">
        <v>4</v>
      </c>
      <c r="O2" s="6">
        <f>(J2*L2^2)/(1.6*10^6)</f>
        <v>1.2205141966759003</v>
      </c>
      <c r="P2" s="6">
        <f>(0.104*J2*L2^2)/(1.6*10^6)</f>
        <v>0.12693347645429362</v>
      </c>
      <c r="Q2" s="10">
        <f>(0.104*O2)/(12*N2)</f>
        <v>2.6444474261311172E-3</v>
      </c>
      <c r="R2" s="10">
        <f>0.0159*O2^0.75</f>
        <v>1.8463084224508496E-2</v>
      </c>
      <c r="S2" s="10">
        <f>Q2+R2</f>
        <v>2.1107531650639614E-2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850</v>
      </c>
      <c r="K3" s="7">
        <v>13</v>
      </c>
      <c r="L3" s="7">
        <f>J3/K3</f>
        <v>65.384615384615387</v>
      </c>
      <c r="M3" s="5" t="s">
        <v>9</v>
      </c>
      <c r="N3" s="5">
        <v>4</v>
      </c>
      <c r="O3" s="6">
        <f>(J3*L3^2)/(1.6*10^6)</f>
        <v>2.2711723372781067</v>
      </c>
      <c r="P3" s="6">
        <f>(0.104*J3*L3^2)/(1.6*10^6)</f>
        <v>0.23620192307692309</v>
      </c>
      <c r="Q3" s="10">
        <f>(0.104*O3)/(12*N3)</f>
        <v>4.9208733974358976E-3</v>
      </c>
      <c r="R3" s="10">
        <f>0.0159*O3^0.75</f>
        <v>2.9416072803725764E-2</v>
      </c>
      <c r="S3" s="10">
        <f>Q3+R3</f>
        <v>3.4336946201161664E-2</v>
      </c>
    </row>
    <row r="4" spans="1:19" x14ac:dyDescent="0.25">
      <c r="J4" s="16">
        <f>AVERAGE(J2:J3)</f>
        <v>870</v>
      </c>
      <c r="K4" s="12">
        <f t="shared" ref="K4:S4" si="0">AVERAGE(K2:K3)</f>
        <v>16</v>
      </c>
      <c r="L4" s="12">
        <f t="shared" si="0"/>
        <v>56.113360323886639</v>
      </c>
      <c r="M4" s="11" t="e">
        <f t="shared" si="0"/>
        <v>#DIV/0!</v>
      </c>
      <c r="N4" s="11">
        <f t="shared" si="0"/>
        <v>4</v>
      </c>
      <c r="O4" s="13">
        <f t="shared" si="0"/>
        <v>1.7458432669770034</v>
      </c>
      <c r="P4" s="13">
        <f t="shared" si="0"/>
        <v>0.18156769976560835</v>
      </c>
      <c r="Q4" s="14">
        <f t="shared" si="0"/>
        <v>3.7826604117835077E-3</v>
      </c>
      <c r="R4" s="14">
        <f t="shared" si="0"/>
        <v>2.393957851411713E-2</v>
      </c>
      <c r="S4" s="14">
        <f t="shared" si="0"/>
        <v>2.7722238925900637E-2</v>
      </c>
    </row>
    <row r="5" spans="1:19" x14ac:dyDescent="0.25">
      <c r="A5" s="5" t="s">
        <v>22</v>
      </c>
      <c r="B5" s="5" t="s">
        <v>63</v>
      </c>
      <c r="C5" s="5" t="s">
        <v>27</v>
      </c>
      <c r="D5" s="5" t="s">
        <v>389</v>
      </c>
      <c r="E5" s="5" t="s">
        <v>388</v>
      </c>
      <c r="F5" s="5" t="s">
        <v>28</v>
      </c>
      <c r="G5" s="5" t="s">
        <v>398</v>
      </c>
      <c r="H5" s="5" t="s">
        <v>133</v>
      </c>
      <c r="I5" s="5" t="s">
        <v>25</v>
      </c>
      <c r="J5" s="15">
        <v>1900</v>
      </c>
      <c r="K5" s="7">
        <v>50</v>
      </c>
      <c r="L5" s="7">
        <f>J5/K5</f>
        <v>38</v>
      </c>
      <c r="M5" s="5" t="s">
        <v>9</v>
      </c>
      <c r="N5" s="5">
        <v>4</v>
      </c>
      <c r="O5" s="6">
        <f>(J5*L5^2)/(1.6*10^6)</f>
        <v>1.71475</v>
      </c>
      <c r="P5" s="6">
        <f>(0.104*J5*L5^2)/(1.6*10^6)</f>
        <v>0.17833399999999996</v>
      </c>
      <c r="Q5" s="10">
        <f>(0.104*O5)/(12*N5)</f>
        <v>3.7152916666666667E-3</v>
      </c>
      <c r="R5" s="10">
        <f>0.0159*O5^0.75</f>
        <v>2.3825813226263679E-2</v>
      </c>
      <c r="S5" s="10">
        <f>Q5+R5</f>
        <v>2.7541104892930345E-2</v>
      </c>
    </row>
    <row r="7" spans="1:19" x14ac:dyDescent="0.25">
      <c r="A7" s="5" t="s">
        <v>8</v>
      </c>
      <c r="B7" s="5" t="s">
        <v>277</v>
      </c>
      <c r="C7" s="5" t="s">
        <v>27</v>
      </c>
      <c r="D7" s="5" t="s">
        <v>385</v>
      </c>
      <c r="E7" s="5" t="s">
        <v>387</v>
      </c>
      <c r="F7" s="5" t="s">
        <v>52</v>
      </c>
      <c r="G7" s="5" t="s">
        <v>386</v>
      </c>
      <c r="H7" s="5" t="s">
        <v>58</v>
      </c>
      <c r="I7" s="5" t="s">
        <v>278</v>
      </c>
      <c r="J7" s="15">
        <v>1640</v>
      </c>
      <c r="K7" s="7">
        <v>34.5</v>
      </c>
      <c r="L7" s="7">
        <f t="shared" ref="L7:L32" si="1">J7/K7</f>
        <v>47.536231884057969</v>
      </c>
      <c r="M7" s="5" t="s">
        <v>9</v>
      </c>
      <c r="N7" s="5">
        <v>4</v>
      </c>
      <c r="O7" s="6">
        <f t="shared" ref="O7:O32" si="2">(J7*L7^2)/(1.6*10^6)</f>
        <v>2.316185675278303</v>
      </c>
      <c r="P7" s="6">
        <f t="shared" ref="P7:P32" si="3">(0.104*J7*L7^2)/(1.6*10^6)</f>
        <v>0.24088331022894349</v>
      </c>
      <c r="Q7" s="10">
        <f t="shared" ref="Q7:Q32" si="4">(0.104*O7)/(12*N7)</f>
        <v>5.0184022964363225E-3</v>
      </c>
      <c r="R7" s="10">
        <f t="shared" ref="R7:R32" si="5">0.0159*O7^0.75</f>
        <v>2.9852255693463999E-2</v>
      </c>
      <c r="S7" s="10">
        <f t="shared" ref="S7:S32" si="6">Q7+R7</f>
        <v>3.4870657989900321E-2</v>
      </c>
    </row>
    <row r="8" spans="1:19" x14ac:dyDescent="0.25">
      <c r="A8" s="5" t="s">
        <v>8</v>
      </c>
      <c r="B8" s="5" t="s">
        <v>291</v>
      </c>
      <c r="C8" s="5" t="s">
        <v>27</v>
      </c>
      <c r="D8" s="5" t="s">
        <v>385</v>
      </c>
      <c r="E8" s="5" t="s">
        <v>387</v>
      </c>
      <c r="F8" s="5" t="s">
        <v>52</v>
      </c>
      <c r="G8" s="5" t="s">
        <v>386</v>
      </c>
      <c r="H8" s="5" t="s">
        <v>58</v>
      </c>
      <c r="I8" s="5" t="s">
        <v>278</v>
      </c>
      <c r="J8" s="15">
        <v>1650</v>
      </c>
      <c r="K8" s="7">
        <v>36.5</v>
      </c>
      <c r="L8" s="7">
        <f t="shared" si="1"/>
        <v>45.205479452054796</v>
      </c>
      <c r="M8" s="5" t="s">
        <v>9</v>
      </c>
      <c r="N8" s="5">
        <v>4</v>
      </c>
      <c r="O8" s="6">
        <f t="shared" si="2"/>
        <v>2.1073958528804653</v>
      </c>
      <c r="P8" s="6">
        <f t="shared" si="3"/>
        <v>0.2191691686995684</v>
      </c>
      <c r="Q8" s="10">
        <f t="shared" si="4"/>
        <v>4.5660243479076741E-3</v>
      </c>
      <c r="R8" s="10">
        <f t="shared" si="5"/>
        <v>2.7810366682914086E-2</v>
      </c>
      <c r="S8" s="10">
        <f t="shared" si="6"/>
        <v>3.2376391030821759E-2</v>
      </c>
    </row>
    <row r="9" spans="1:19" x14ac:dyDescent="0.25">
      <c r="A9" s="5" t="s">
        <v>8</v>
      </c>
      <c r="B9" s="5" t="s">
        <v>291</v>
      </c>
      <c r="C9" s="5" t="s">
        <v>27</v>
      </c>
      <c r="D9" s="5" t="s">
        <v>385</v>
      </c>
      <c r="E9" s="5" t="s">
        <v>387</v>
      </c>
      <c r="F9" s="5" t="s">
        <v>52</v>
      </c>
      <c r="G9" s="5" t="s">
        <v>386</v>
      </c>
      <c r="H9" s="5" t="s">
        <v>58</v>
      </c>
      <c r="I9" s="5" t="s">
        <v>257</v>
      </c>
      <c r="J9" s="15">
        <v>3200</v>
      </c>
      <c r="K9" s="7">
        <v>50</v>
      </c>
      <c r="L9" s="7">
        <f t="shared" si="1"/>
        <v>64</v>
      </c>
      <c r="M9" s="5" t="s">
        <v>9</v>
      </c>
      <c r="N9" s="5">
        <v>4</v>
      </c>
      <c r="O9" s="6">
        <f t="shared" si="2"/>
        <v>8.1920000000000002</v>
      </c>
      <c r="P9" s="6">
        <f t="shared" si="3"/>
        <v>0.85196800000000006</v>
      </c>
      <c r="Q9" s="10">
        <f t="shared" si="4"/>
        <v>1.7749333333333332E-2</v>
      </c>
      <c r="R9" s="10">
        <f t="shared" si="5"/>
        <v>7.6990932905730558E-2</v>
      </c>
      <c r="S9" s="10">
        <f t="shared" si="6"/>
        <v>9.4740266239063897E-2</v>
      </c>
    </row>
    <row r="10" spans="1:19" x14ac:dyDescent="0.25">
      <c r="A10" s="5" t="s">
        <v>8</v>
      </c>
      <c r="B10" s="5" t="s">
        <v>291</v>
      </c>
      <c r="C10" s="5" t="s">
        <v>27</v>
      </c>
      <c r="D10" s="5" t="s">
        <v>385</v>
      </c>
      <c r="E10" s="5" t="s">
        <v>387</v>
      </c>
      <c r="F10" s="5" t="s">
        <v>52</v>
      </c>
      <c r="G10" s="5" t="s">
        <v>386</v>
      </c>
      <c r="H10" s="5" t="s">
        <v>58</v>
      </c>
      <c r="I10" s="5" t="s">
        <v>292</v>
      </c>
      <c r="J10" s="15">
        <v>2200</v>
      </c>
      <c r="K10" s="7">
        <v>30.5</v>
      </c>
      <c r="L10" s="7">
        <f t="shared" si="1"/>
        <v>72.131147540983605</v>
      </c>
      <c r="M10" s="5" t="s">
        <v>9</v>
      </c>
      <c r="N10" s="5">
        <v>4</v>
      </c>
      <c r="O10" s="6">
        <f t="shared" si="2"/>
        <v>7.153990862671324</v>
      </c>
      <c r="P10" s="6">
        <f t="shared" si="3"/>
        <v>0.74401504971781773</v>
      </c>
      <c r="Q10" s="10">
        <f t="shared" si="4"/>
        <v>1.5500313535787867E-2</v>
      </c>
      <c r="R10" s="10">
        <f t="shared" si="5"/>
        <v>6.9551805788942461E-2</v>
      </c>
      <c r="S10" s="10">
        <f t="shared" si="6"/>
        <v>8.5052119324730335E-2</v>
      </c>
    </row>
    <row r="11" spans="1:19" x14ac:dyDescent="0.25">
      <c r="A11" s="5" t="s">
        <v>22</v>
      </c>
      <c r="B11" s="5" t="s">
        <v>26</v>
      </c>
      <c r="C11" s="5" t="s">
        <v>27</v>
      </c>
      <c r="D11" s="5" t="s">
        <v>385</v>
      </c>
      <c r="E11" s="5" t="s">
        <v>387</v>
      </c>
      <c r="F11" s="5" t="s">
        <v>52</v>
      </c>
      <c r="G11" s="5" t="s">
        <v>386</v>
      </c>
      <c r="H11" s="5" t="s">
        <v>58</v>
      </c>
      <c r="I11" s="5" t="s">
        <v>59</v>
      </c>
      <c r="J11" s="15">
        <v>1650</v>
      </c>
      <c r="K11" s="7">
        <v>33</v>
      </c>
      <c r="L11" s="7">
        <f t="shared" si="1"/>
        <v>50</v>
      </c>
      <c r="M11" s="5" t="s">
        <v>9</v>
      </c>
      <c r="N11" s="5">
        <v>4</v>
      </c>
      <c r="O11" s="6">
        <f t="shared" si="2"/>
        <v>2.578125</v>
      </c>
      <c r="P11" s="6">
        <f t="shared" si="3"/>
        <v>0.268125</v>
      </c>
      <c r="Q11" s="10">
        <f t="shared" si="4"/>
        <v>5.5859374999999998E-3</v>
      </c>
      <c r="R11" s="10">
        <f t="shared" si="5"/>
        <v>3.2350060856390632E-2</v>
      </c>
      <c r="S11" s="10">
        <f t="shared" si="6"/>
        <v>3.7935998356390631E-2</v>
      </c>
    </row>
    <row r="12" spans="1:19" x14ac:dyDescent="0.25">
      <c r="A12" s="5" t="s">
        <v>8</v>
      </c>
      <c r="B12" s="5" t="s">
        <v>291</v>
      </c>
      <c r="C12" s="5" t="s">
        <v>27</v>
      </c>
      <c r="D12" s="5" t="s">
        <v>385</v>
      </c>
      <c r="E12" s="5" t="s">
        <v>387</v>
      </c>
      <c r="F12" s="5" t="s">
        <v>52</v>
      </c>
      <c r="G12" s="5" t="s">
        <v>386</v>
      </c>
      <c r="H12" s="5" t="s">
        <v>58</v>
      </c>
      <c r="I12" s="5" t="s">
        <v>59</v>
      </c>
      <c r="J12" s="15">
        <v>1650</v>
      </c>
      <c r="K12" s="7">
        <v>33</v>
      </c>
      <c r="L12" s="7">
        <f t="shared" si="1"/>
        <v>50</v>
      </c>
      <c r="M12" s="5" t="s">
        <v>9</v>
      </c>
      <c r="N12" s="5">
        <v>4</v>
      </c>
      <c r="O12" s="6">
        <f t="shared" si="2"/>
        <v>2.578125</v>
      </c>
      <c r="P12" s="6">
        <f t="shared" si="3"/>
        <v>0.268125</v>
      </c>
      <c r="Q12" s="10">
        <f t="shared" si="4"/>
        <v>5.5859374999999998E-3</v>
      </c>
      <c r="R12" s="10">
        <f t="shared" si="5"/>
        <v>3.2350060856390632E-2</v>
      </c>
      <c r="S12" s="10">
        <f t="shared" si="6"/>
        <v>3.7935998356390631E-2</v>
      </c>
    </row>
    <row r="13" spans="1:19" x14ac:dyDescent="0.25">
      <c r="A13" s="5" t="s">
        <v>8</v>
      </c>
      <c r="B13" s="5" t="s">
        <v>291</v>
      </c>
      <c r="C13" s="5" t="s">
        <v>27</v>
      </c>
      <c r="D13" s="5" t="s">
        <v>385</v>
      </c>
      <c r="E13" s="5" t="s">
        <v>387</v>
      </c>
      <c r="F13" s="5" t="s">
        <v>52</v>
      </c>
      <c r="G13" s="5" t="s">
        <v>386</v>
      </c>
      <c r="H13" s="5" t="s">
        <v>58</v>
      </c>
      <c r="I13" s="5" t="s">
        <v>59</v>
      </c>
      <c r="J13" s="15">
        <v>1650</v>
      </c>
      <c r="K13" s="7">
        <v>28</v>
      </c>
      <c r="L13" s="7">
        <f t="shared" si="1"/>
        <v>58.928571428571431</v>
      </c>
      <c r="M13" s="5" t="s">
        <v>9</v>
      </c>
      <c r="N13" s="5">
        <v>4</v>
      </c>
      <c r="O13" s="6">
        <f t="shared" si="2"/>
        <v>3.581094547193878</v>
      </c>
      <c r="P13" s="6">
        <f t="shared" si="3"/>
        <v>0.37243383290816329</v>
      </c>
      <c r="Q13" s="10">
        <f t="shared" si="4"/>
        <v>7.7590381855867354E-3</v>
      </c>
      <c r="R13" s="10">
        <f t="shared" si="5"/>
        <v>4.1391290283335047E-2</v>
      </c>
      <c r="S13" s="10">
        <f t="shared" si="6"/>
        <v>4.9150328468921783E-2</v>
      </c>
    </row>
    <row r="14" spans="1:19" x14ac:dyDescent="0.25">
      <c r="A14" s="5" t="s">
        <v>8</v>
      </c>
      <c r="B14" s="5" t="s">
        <v>291</v>
      </c>
      <c r="C14" s="5" t="s">
        <v>27</v>
      </c>
      <c r="D14" s="5" t="s">
        <v>385</v>
      </c>
      <c r="E14" s="5" t="s">
        <v>387</v>
      </c>
      <c r="F14" s="5" t="s">
        <v>52</v>
      </c>
      <c r="G14" s="5" t="s">
        <v>386</v>
      </c>
      <c r="H14" s="5" t="s">
        <v>58</v>
      </c>
      <c r="I14" s="5" t="s">
        <v>59</v>
      </c>
      <c r="J14" s="15">
        <v>1650</v>
      </c>
      <c r="K14" s="7">
        <v>21</v>
      </c>
      <c r="L14" s="7">
        <f t="shared" si="1"/>
        <v>78.571428571428569</v>
      </c>
      <c r="M14" s="5" t="s">
        <v>9</v>
      </c>
      <c r="N14" s="5">
        <v>4</v>
      </c>
      <c r="O14" s="6">
        <f t="shared" si="2"/>
        <v>6.3663903061224483</v>
      </c>
      <c r="P14" s="6">
        <f t="shared" si="3"/>
        <v>0.66210459183673465</v>
      </c>
      <c r="Q14" s="10">
        <f t="shared" si="4"/>
        <v>1.3793845663265303E-2</v>
      </c>
      <c r="R14" s="10">
        <f t="shared" si="5"/>
        <v>6.3726060232505155E-2</v>
      </c>
      <c r="S14" s="10">
        <f t="shared" si="6"/>
        <v>7.7519905895770458E-2</v>
      </c>
    </row>
    <row r="15" spans="1:19" x14ac:dyDescent="0.25">
      <c r="A15" s="5" t="s">
        <v>8</v>
      </c>
      <c r="B15" s="5" t="s">
        <v>291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59</v>
      </c>
      <c r="J15" s="15">
        <v>1800</v>
      </c>
      <c r="K15" s="7">
        <v>35.5</v>
      </c>
      <c r="L15" s="7">
        <f t="shared" si="1"/>
        <v>50.70422535211268</v>
      </c>
      <c r="M15" s="5" t="s">
        <v>9</v>
      </c>
      <c r="N15" s="5">
        <v>4</v>
      </c>
      <c r="O15" s="6">
        <f t="shared" si="2"/>
        <v>2.8922832771275542</v>
      </c>
      <c r="P15" s="6">
        <f t="shared" si="3"/>
        <v>0.30079746082126563</v>
      </c>
      <c r="Q15" s="10">
        <f t="shared" si="4"/>
        <v>6.2666137671097003E-3</v>
      </c>
      <c r="R15" s="10">
        <f t="shared" si="5"/>
        <v>3.526368912472827E-2</v>
      </c>
      <c r="S15" s="10">
        <f t="shared" si="6"/>
        <v>4.153030289183797E-2</v>
      </c>
    </row>
    <row r="16" spans="1:19" x14ac:dyDescent="0.25">
      <c r="A16" s="5" t="s">
        <v>8</v>
      </c>
      <c r="B16" s="5" t="s">
        <v>319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59</v>
      </c>
      <c r="J16" s="15">
        <v>1850</v>
      </c>
      <c r="K16" s="7">
        <v>35</v>
      </c>
      <c r="L16" s="7">
        <f t="shared" si="1"/>
        <v>52.857142857142854</v>
      </c>
      <c r="M16" s="5" t="s">
        <v>9</v>
      </c>
      <c r="N16" s="5">
        <v>4</v>
      </c>
      <c r="O16" s="6">
        <f t="shared" si="2"/>
        <v>3.2304209183673462</v>
      </c>
      <c r="P16" s="6">
        <f t="shared" si="3"/>
        <v>0.33596377551020401</v>
      </c>
      <c r="Q16" s="10">
        <f t="shared" si="4"/>
        <v>6.9992453231292502E-3</v>
      </c>
      <c r="R16" s="10">
        <f t="shared" si="5"/>
        <v>3.8312585381453851E-2</v>
      </c>
      <c r="S16" s="10">
        <f t="shared" si="6"/>
        <v>4.5311830704583098E-2</v>
      </c>
    </row>
    <row r="17" spans="1:19" x14ac:dyDescent="0.25">
      <c r="A17" s="5" t="s">
        <v>8</v>
      </c>
      <c r="B17" s="5" t="s">
        <v>291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295</v>
      </c>
      <c r="J17" s="15">
        <v>2000</v>
      </c>
      <c r="K17" s="7">
        <v>35</v>
      </c>
      <c r="L17" s="7">
        <f t="shared" si="1"/>
        <v>57.142857142857146</v>
      </c>
      <c r="M17" s="5" t="s">
        <v>9</v>
      </c>
      <c r="N17" s="5">
        <v>4</v>
      </c>
      <c r="O17" s="6">
        <f t="shared" si="2"/>
        <v>4.0816326530612246</v>
      </c>
      <c r="P17" s="6">
        <f t="shared" si="3"/>
        <v>0.42448979591836739</v>
      </c>
      <c r="Q17" s="10">
        <f t="shared" si="4"/>
        <v>8.8435374149659855E-3</v>
      </c>
      <c r="R17" s="10">
        <f t="shared" si="5"/>
        <v>4.5658596864765109E-2</v>
      </c>
      <c r="S17" s="10">
        <f t="shared" si="6"/>
        <v>5.4502134279731093E-2</v>
      </c>
    </row>
    <row r="18" spans="1:19" x14ac:dyDescent="0.25">
      <c r="A18" s="5" t="s">
        <v>22</v>
      </c>
      <c r="B18" s="5" t="s">
        <v>26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60</v>
      </c>
      <c r="J18" s="15">
        <v>2050</v>
      </c>
      <c r="K18" s="7">
        <v>33.5</v>
      </c>
      <c r="L18" s="7">
        <f t="shared" si="1"/>
        <v>61.194029850746269</v>
      </c>
      <c r="M18" s="5" t="s">
        <v>9</v>
      </c>
      <c r="N18" s="5">
        <v>4</v>
      </c>
      <c r="O18" s="6">
        <f t="shared" si="2"/>
        <v>4.7979087770104698</v>
      </c>
      <c r="P18" s="6">
        <f t="shared" si="3"/>
        <v>0.4989825128090889</v>
      </c>
      <c r="Q18" s="10">
        <f t="shared" si="4"/>
        <v>1.0395469016856018E-2</v>
      </c>
      <c r="R18" s="10">
        <f t="shared" si="5"/>
        <v>5.1544948987063487E-2</v>
      </c>
      <c r="S18" s="10">
        <f t="shared" si="6"/>
        <v>6.1940418003919501E-2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60</v>
      </c>
      <c r="J19" s="15">
        <v>1900</v>
      </c>
      <c r="K19" s="7">
        <v>30</v>
      </c>
      <c r="L19" s="7">
        <f t="shared" si="1"/>
        <v>63.333333333333336</v>
      </c>
      <c r="M19" s="5" t="s">
        <v>9</v>
      </c>
      <c r="N19" s="5">
        <v>4</v>
      </c>
      <c r="O19" s="6">
        <f t="shared" si="2"/>
        <v>4.7631944444444452</v>
      </c>
      <c r="P19" s="6">
        <f t="shared" si="3"/>
        <v>0.49537222222222227</v>
      </c>
      <c r="Q19" s="10">
        <f t="shared" si="4"/>
        <v>1.0320254629629631E-2</v>
      </c>
      <c r="R19" s="10">
        <f t="shared" si="5"/>
        <v>5.1264987686204244E-2</v>
      </c>
      <c r="S19" s="10">
        <f t="shared" si="6"/>
        <v>6.1585242315833871E-2</v>
      </c>
    </row>
    <row r="20" spans="1:19" x14ac:dyDescent="0.25">
      <c r="A20" s="5" t="s">
        <v>8</v>
      </c>
      <c r="B20" s="5" t="s">
        <v>291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60</v>
      </c>
      <c r="J20" s="15">
        <v>2050</v>
      </c>
      <c r="K20" s="7">
        <v>33.5</v>
      </c>
      <c r="L20" s="7">
        <f t="shared" si="1"/>
        <v>61.194029850746269</v>
      </c>
      <c r="M20" s="5" t="s">
        <v>9</v>
      </c>
      <c r="N20" s="5">
        <v>4</v>
      </c>
      <c r="O20" s="6">
        <f t="shared" si="2"/>
        <v>4.7979087770104698</v>
      </c>
      <c r="P20" s="6">
        <f t="shared" si="3"/>
        <v>0.4989825128090889</v>
      </c>
      <c r="Q20" s="10">
        <f t="shared" si="4"/>
        <v>1.0395469016856018E-2</v>
      </c>
      <c r="R20" s="10">
        <f t="shared" si="5"/>
        <v>5.1544948987063487E-2</v>
      </c>
      <c r="S20" s="10">
        <f t="shared" si="6"/>
        <v>6.1940418003919501E-2</v>
      </c>
    </row>
    <row r="21" spans="1:19" x14ac:dyDescent="0.25">
      <c r="A21" s="5" t="s">
        <v>22</v>
      </c>
      <c r="B21" s="5" t="s">
        <v>26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61</v>
      </c>
      <c r="J21" s="15">
        <v>2550</v>
      </c>
      <c r="K21" s="7">
        <v>35</v>
      </c>
      <c r="L21" s="7">
        <f t="shared" si="1"/>
        <v>72.857142857142861</v>
      </c>
      <c r="M21" s="5" t="s">
        <v>9</v>
      </c>
      <c r="N21" s="5">
        <v>4</v>
      </c>
      <c r="O21" s="6">
        <f t="shared" si="2"/>
        <v>8.459885204081635</v>
      </c>
      <c r="P21" s="6">
        <f t="shared" si="3"/>
        <v>0.87982806122448998</v>
      </c>
      <c r="Q21" s="10">
        <f t="shared" si="4"/>
        <v>1.8329751275510207E-2</v>
      </c>
      <c r="R21" s="10">
        <f t="shared" si="5"/>
        <v>7.8871568346940854E-2</v>
      </c>
      <c r="S21" s="10">
        <f t="shared" si="6"/>
        <v>9.7201319622451057E-2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61</v>
      </c>
      <c r="J22" s="15">
        <v>2600</v>
      </c>
      <c r="K22" s="7">
        <v>35</v>
      </c>
      <c r="L22" s="7">
        <f t="shared" si="1"/>
        <v>74.285714285714292</v>
      </c>
      <c r="M22" s="5" t="s">
        <v>9</v>
      </c>
      <c r="N22" s="5">
        <v>4</v>
      </c>
      <c r="O22" s="6">
        <f t="shared" si="2"/>
        <v>8.9673469387755116</v>
      </c>
      <c r="P22" s="6">
        <f t="shared" si="3"/>
        <v>0.93260408163265329</v>
      </c>
      <c r="Q22" s="10">
        <f t="shared" si="4"/>
        <v>1.9429251700680276E-2</v>
      </c>
      <c r="R22" s="10">
        <f t="shared" si="5"/>
        <v>8.2393908285298398E-2</v>
      </c>
      <c r="S22" s="10">
        <f t="shared" si="6"/>
        <v>0.10182315998597867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61</v>
      </c>
      <c r="J23" s="15">
        <v>2350</v>
      </c>
      <c r="K23" s="7">
        <v>30</v>
      </c>
      <c r="L23" s="7">
        <f t="shared" si="1"/>
        <v>78.333333333333329</v>
      </c>
      <c r="M23" s="5" t="s">
        <v>9</v>
      </c>
      <c r="N23" s="5">
        <v>4</v>
      </c>
      <c r="O23" s="6">
        <f t="shared" si="2"/>
        <v>9.0124131944444432</v>
      </c>
      <c r="P23" s="6">
        <f t="shared" si="3"/>
        <v>0.93729097222222202</v>
      </c>
      <c r="Q23" s="10">
        <f t="shared" si="4"/>
        <v>1.9526895254629625E-2</v>
      </c>
      <c r="R23" s="10">
        <f t="shared" si="5"/>
        <v>8.2704272421860542E-2</v>
      </c>
      <c r="S23" s="10">
        <f t="shared" si="6"/>
        <v>0.10223116767649017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61</v>
      </c>
      <c r="J24" s="15">
        <v>2600</v>
      </c>
      <c r="K24" s="7">
        <v>30</v>
      </c>
      <c r="L24" s="7">
        <f t="shared" si="1"/>
        <v>86.666666666666671</v>
      </c>
      <c r="M24" s="5" t="s">
        <v>9</v>
      </c>
      <c r="N24" s="5">
        <v>4</v>
      </c>
      <c r="O24" s="6">
        <f t="shared" si="2"/>
        <v>12.205555555555557</v>
      </c>
      <c r="P24" s="6">
        <f t="shared" si="3"/>
        <v>1.2693777777777777</v>
      </c>
      <c r="Q24" s="10">
        <f t="shared" si="4"/>
        <v>2.6445370370370373E-2</v>
      </c>
      <c r="R24" s="10">
        <f t="shared" si="5"/>
        <v>0.10382819119660902</v>
      </c>
      <c r="S24" s="10">
        <f t="shared" si="6"/>
        <v>0.13027356156697939</v>
      </c>
    </row>
    <row r="25" spans="1:19" x14ac:dyDescent="0.25">
      <c r="A25" s="5" t="s">
        <v>8</v>
      </c>
      <c r="B25" s="5" t="s">
        <v>291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61</v>
      </c>
      <c r="J25" s="15">
        <v>2550</v>
      </c>
      <c r="K25" s="7">
        <v>35</v>
      </c>
      <c r="L25" s="7">
        <f t="shared" si="1"/>
        <v>72.857142857142861</v>
      </c>
      <c r="M25" s="5" t="s">
        <v>9</v>
      </c>
      <c r="N25" s="5">
        <v>4</v>
      </c>
      <c r="O25" s="6">
        <f t="shared" si="2"/>
        <v>8.459885204081635</v>
      </c>
      <c r="P25" s="6">
        <f t="shared" si="3"/>
        <v>0.87982806122448998</v>
      </c>
      <c r="Q25" s="10">
        <f t="shared" si="4"/>
        <v>1.8329751275510207E-2</v>
      </c>
      <c r="R25" s="10">
        <f t="shared" si="5"/>
        <v>7.8871568346940854E-2</v>
      </c>
      <c r="S25" s="10">
        <f t="shared" si="6"/>
        <v>9.7201319622451057E-2</v>
      </c>
    </row>
    <row r="26" spans="1:19" x14ac:dyDescent="0.25">
      <c r="A26" s="5" t="s">
        <v>8</v>
      </c>
      <c r="B26" s="5" t="s">
        <v>319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61</v>
      </c>
      <c r="J26" s="15">
        <v>2400</v>
      </c>
      <c r="K26" s="7">
        <v>30</v>
      </c>
      <c r="L26" s="7">
        <f t="shared" si="1"/>
        <v>80</v>
      </c>
      <c r="M26" s="5" t="s">
        <v>9</v>
      </c>
      <c r="N26" s="5">
        <v>4</v>
      </c>
      <c r="O26" s="6">
        <f t="shared" si="2"/>
        <v>9.6</v>
      </c>
      <c r="P26" s="6">
        <f t="shared" si="3"/>
        <v>0.99839999999999995</v>
      </c>
      <c r="Q26" s="10">
        <f t="shared" si="4"/>
        <v>2.0799999999999999E-2</v>
      </c>
      <c r="R26" s="10">
        <f t="shared" si="5"/>
        <v>8.671626204879955E-2</v>
      </c>
      <c r="S26" s="10">
        <f t="shared" si="6"/>
        <v>0.10751626204879955</v>
      </c>
    </row>
    <row r="27" spans="1:19" x14ac:dyDescent="0.25">
      <c r="A27" s="5" t="s">
        <v>22</v>
      </c>
      <c r="B27" s="5" t="s">
        <v>63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97</v>
      </c>
      <c r="I27" s="5" t="s">
        <v>61</v>
      </c>
      <c r="J27" s="15">
        <v>2600</v>
      </c>
      <c r="K27" s="7">
        <v>35</v>
      </c>
      <c r="L27" s="7">
        <f t="shared" si="1"/>
        <v>74.285714285714292</v>
      </c>
      <c r="M27" s="5" t="s">
        <v>9</v>
      </c>
      <c r="N27" s="5">
        <v>4</v>
      </c>
      <c r="O27" s="6">
        <f t="shared" si="2"/>
        <v>8.9673469387755116</v>
      </c>
      <c r="P27" s="6">
        <f t="shared" si="3"/>
        <v>0.93260408163265329</v>
      </c>
      <c r="Q27" s="10">
        <f t="shared" si="4"/>
        <v>1.9429251700680276E-2</v>
      </c>
      <c r="R27" s="10">
        <f t="shared" si="5"/>
        <v>8.2393908285298398E-2</v>
      </c>
      <c r="S27" s="10">
        <f t="shared" si="6"/>
        <v>0.10182315998597867</v>
      </c>
    </row>
    <row r="28" spans="1:19" x14ac:dyDescent="0.25">
      <c r="A28" s="5" t="s">
        <v>8</v>
      </c>
      <c r="B28" s="5" t="s">
        <v>287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102</v>
      </c>
      <c r="I28" s="5" t="s">
        <v>218</v>
      </c>
      <c r="J28" s="15">
        <v>2300</v>
      </c>
      <c r="K28" s="7">
        <v>35.700000000000003</v>
      </c>
      <c r="L28" s="7">
        <f t="shared" si="1"/>
        <v>64.425770308123248</v>
      </c>
      <c r="M28" s="5" t="s">
        <v>9</v>
      </c>
      <c r="N28" s="5">
        <v>4</v>
      </c>
      <c r="O28" s="6">
        <f t="shared" si="2"/>
        <v>5.9666023272053916</v>
      </c>
      <c r="P28" s="6">
        <f t="shared" si="3"/>
        <v>0.6205266420293607</v>
      </c>
      <c r="Q28" s="10">
        <f t="shared" si="4"/>
        <v>1.2927638375611681E-2</v>
      </c>
      <c r="R28" s="10">
        <f t="shared" si="5"/>
        <v>6.0700524564906364E-2</v>
      </c>
      <c r="S28" s="10">
        <f t="shared" si="6"/>
        <v>7.3628162940518049E-2</v>
      </c>
    </row>
    <row r="29" spans="1:19" x14ac:dyDescent="0.25">
      <c r="A29" s="5" t="s">
        <v>22</v>
      </c>
      <c r="B29" s="5" t="s">
        <v>63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98</v>
      </c>
      <c r="I29" s="5" t="s">
        <v>99</v>
      </c>
      <c r="J29" s="15">
        <v>2950</v>
      </c>
      <c r="K29" s="7">
        <v>38</v>
      </c>
      <c r="L29" s="7">
        <f t="shared" si="1"/>
        <v>77.631578947368425</v>
      </c>
      <c r="M29" s="5" t="s">
        <v>9</v>
      </c>
      <c r="N29" s="5">
        <v>4</v>
      </c>
      <c r="O29" s="6">
        <f t="shared" si="2"/>
        <v>11.111658154432133</v>
      </c>
      <c r="P29" s="6">
        <f t="shared" si="3"/>
        <v>1.155612448060942</v>
      </c>
      <c r="Q29" s="10">
        <f t="shared" si="4"/>
        <v>2.4075259334602955E-2</v>
      </c>
      <c r="R29" s="10">
        <f t="shared" si="5"/>
        <v>9.6767891534095082E-2</v>
      </c>
      <c r="S29" s="10">
        <f t="shared" si="6"/>
        <v>0.12084315086869804</v>
      </c>
    </row>
    <row r="30" spans="1:19" x14ac:dyDescent="0.25">
      <c r="A30" s="5" t="s">
        <v>8</v>
      </c>
      <c r="B30" s="5" t="s">
        <v>319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98</v>
      </c>
      <c r="I30" s="5" t="s">
        <v>99</v>
      </c>
      <c r="J30" s="15">
        <v>2300</v>
      </c>
      <c r="K30" s="7">
        <v>27.5</v>
      </c>
      <c r="L30" s="7">
        <f t="shared" si="1"/>
        <v>83.63636363636364</v>
      </c>
      <c r="M30" s="5" t="s">
        <v>9</v>
      </c>
      <c r="N30" s="5">
        <v>4</v>
      </c>
      <c r="O30" s="6">
        <f t="shared" si="2"/>
        <v>10.055371900826447</v>
      </c>
      <c r="P30" s="6">
        <f t="shared" si="3"/>
        <v>1.0457586776859504</v>
      </c>
      <c r="Q30" s="10">
        <f t="shared" si="4"/>
        <v>2.17866391184573E-2</v>
      </c>
      <c r="R30" s="10">
        <f t="shared" si="5"/>
        <v>8.9783333841978313E-2</v>
      </c>
      <c r="S30" s="10">
        <f t="shared" si="6"/>
        <v>0.11156997296043561</v>
      </c>
    </row>
    <row r="31" spans="1:19" x14ac:dyDescent="0.25">
      <c r="A31" s="5" t="s">
        <v>8</v>
      </c>
      <c r="B31" s="5" t="s">
        <v>319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98</v>
      </c>
      <c r="I31" s="5" t="s">
        <v>321</v>
      </c>
      <c r="J31" s="15">
        <v>2379</v>
      </c>
      <c r="K31" s="7">
        <v>28</v>
      </c>
      <c r="L31" s="7">
        <f t="shared" si="1"/>
        <v>84.964285714285708</v>
      </c>
      <c r="M31" s="5" t="s">
        <v>9</v>
      </c>
      <c r="N31" s="5">
        <v>4</v>
      </c>
      <c r="O31" s="6">
        <f t="shared" si="2"/>
        <v>10.733646316167091</v>
      </c>
      <c r="P31" s="6">
        <f t="shared" si="3"/>
        <v>1.1162992168813775</v>
      </c>
      <c r="Q31" s="10">
        <f t="shared" si="4"/>
        <v>2.3256233685028698E-2</v>
      </c>
      <c r="R31" s="10">
        <f t="shared" si="5"/>
        <v>9.4288252092691066E-2</v>
      </c>
      <c r="S31" s="10">
        <f t="shared" si="6"/>
        <v>0.11754448577771977</v>
      </c>
    </row>
    <row r="32" spans="1:19" x14ac:dyDescent="0.25">
      <c r="A32" s="5" t="s">
        <v>22</v>
      </c>
      <c r="B32" s="5" t="s">
        <v>63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100</v>
      </c>
      <c r="I32" s="5" t="s">
        <v>101</v>
      </c>
      <c r="J32" s="15">
        <v>2550</v>
      </c>
      <c r="K32" s="7">
        <v>41.5</v>
      </c>
      <c r="L32" s="7">
        <f t="shared" si="1"/>
        <v>61.445783132530117</v>
      </c>
      <c r="M32" s="5" t="s">
        <v>9</v>
      </c>
      <c r="N32" s="5">
        <v>4</v>
      </c>
      <c r="O32" s="6">
        <f t="shared" si="2"/>
        <v>6.0173374219770652</v>
      </c>
      <c r="P32" s="6">
        <f t="shared" si="3"/>
        <v>0.62580309188561467</v>
      </c>
      <c r="Q32" s="10">
        <f t="shared" si="4"/>
        <v>1.3037564414283642E-2</v>
      </c>
      <c r="R32" s="10">
        <f t="shared" si="5"/>
        <v>6.1087225180813873E-2</v>
      </c>
      <c r="S32" s="10">
        <f t="shared" si="6"/>
        <v>7.4124789595097509E-2</v>
      </c>
    </row>
    <row r="33" spans="1:19" x14ac:dyDescent="0.25">
      <c r="J33" s="16">
        <f>AVERAGE(J7:J32)</f>
        <v>2194.9615384615386</v>
      </c>
      <c r="K33" s="12">
        <f t="shared" ref="K33:S33" si="7">AVERAGE(K7:K32)</f>
        <v>33.450000000000003</v>
      </c>
      <c r="L33" s="12">
        <f t="shared" si="7"/>
        <v>66.314922049554625</v>
      </c>
      <c r="M33" s="11" t="e">
        <f t="shared" si="7"/>
        <v>#DIV/0!</v>
      </c>
      <c r="N33" s="11">
        <f t="shared" si="7"/>
        <v>4</v>
      </c>
      <c r="O33" s="13">
        <f t="shared" si="7"/>
        <v>6.4997578941342438</v>
      </c>
      <c r="P33" s="13">
        <f t="shared" si="7"/>
        <v>0.67597482098996164</v>
      </c>
      <c r="Q33" s="14">
        <f t="shared" si="7"/>
        <v>1.4082808770624197E-2</v>
      </c>
      <c r="R33" s="14">
        <f t="shared" si="7"/>
        <v>6.3308442172199358E-2</v>
      </c>
      <c r="S33" s="14">
        <f t="shared" si="7"/>
        <v>7.7391250942823536E-2</v>
      </c>
    </row>
    <row r="34" spans="1:19" x14ac:dyDescent="0.25">
      <c r="A34" s="5" t="s">
        <v>22</v>
      </c>
      <c r="B34" s="5" t="s">
        <v>63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394</v>
      </c>
      <c r="H34" s="5" t="s">
        <v>104</v>
      </c>
      <c r="I34" s="5" t="s">
        <v>105</v>
      </c>
      <c r="J34" s="15">
        <v>1150</v>
      </c>
      <c r="K34" s="7">
        <v>33.5</v>
      </c>
      <c r="L34" s="7">
        <f t="shared" ref="L34:L47" si="8">J34/K34</f>
        <v>34.328358208955223</v>
      </c>
      <c r="M34" s="5" t="s">
        <v>9</v>
      </c>
      <c r="N34" s="5">
        <v>4</v>
      </c>
      <c r="O34" s="6">
        <f t="shared" ref="O34:O47" si="9">(J34*L34^2)/(1.6*10^6)</f>
        <v>0.8470010024504343</v>
      </c>
      <c r="P34" s="6">
        <f t="shared" ref="P34:P47" si="10">(0.104*J34*L34^2)/(1.6*10^6)</f>
        <v>8.8088104254845159E-2</v>
      </c>
      <c r="Q34" s="10">
        <f t="shared" ref="Q34:Q47" si="11">(0.104*O34)/(12*N34)</f>
        <v>1.8351688386426075E-3</v>
      </c>
      <c r="R34" s="10">
        <f t="shared" ref="R34:R47" si="12">0.0159*O34^0.75</f>
        <v>1.4038156107889724E-2</v>
      </c>
      <c r="S34" s="10">
        <f t="shared" ref="S34:S47" si="13">Q34+R34</f>
        <v>1.5873324946532333E-2</v>
      </c>
    </row>
    <row r="35" spans="1:19" x14ac:dyDescent="0.25">
      <c r="A35" s="5" t="s">
        <v>22</v>
      </c>
      <c r="B35" s="5" t="s">
        <v>63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394</v>
      </c>
      <c r="H35" s="5" t="s">
        <v>110</v>
      </c>
      <c r="I35" s="5" t="s">
        <v>111</v>
      </c>
      <c r="J35" s="15">
        <v>3075</v>
      </c>
      <c r="K35" s="7">
        <v>36</v>
      </c>
      <c r="L35" s="7">
        <f t="shared" si="8"/>
        <v>85.416666666666671</v>
      </c>
      <c r="M35" s="5" t="s">
        <v>9</v>
      </c>
      <c r="N35" s="5">
        <v>4</v>
      </c>
      <c r="O35" s="6">
        <f t="shared" si="9"/>
        <v>14.022013346354168</v>
      </c>
      <c r="P35" s="6">
        <f t="shared" si="10"/>
        <v>1.4582893880208334</v>
      </c>
      <c r="Q35" s="10">
        <f t="shared" si="11"/>
        <v>3.0381028917100695E-2</v>
      </c>
      <c r="R35" s="10">
        <f t="shared" si="12"/>
        <v>0.11521390760074078</v>
      </c>
      <c r="S35" s="10">
        <f t="shared" si="13"/>
        <v>0.14559493651784147</v>
      </c>
    </row>
    <row r="36" spans="1:19" x14ac:dyDescent="0.25">
      <c r="A36" s="5" t="s">
        <v>8</v>
      </c>
      <c r="B36" s="5" t="s">
        <v>161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394</v>
      </c>
      <c r="H36" s="5" t="s">
        <v>110</v>
      </c>
      <c r="I36" s="5" t="s">
        <v>162</v>
      </c>
      <c r="J36" s="15">
        <v>2220</v>
      </c>
      <c r="K36" s="7">
        <v>45.5</v>
      </c>
      <c r="L36" s="7">
        <f t="shared" si="8"/>
        <v>48.791208791208788</v>
      </c>
      <c r="M36" s="5" t="s">
        <v>9</v>
      </c>
      <c r="N36" s="5">
        <v>4</v>
      </c>
      <c r="O36" s="6">
        <f t="shared" si="9"/>
        <v>3.3030576017389204</v>
      </c>
      <c r="P36" s="6">
        <f t="shared" si="10"/>
        <v>0.3435179905808477</v>
      </c>
      <c r="Q36" s="10">
        <f t="shared" si="11"/>
        <v>7.1566248037676604E-3</v>
      </c>
      <c r="R36" s="10">
        <f t="shared" si="12"/>
        <v>3.8956886034440183E-2</v>
      </c>
      <c r="S36" s="10">
        <f t="shared" si="13"/>
        <v>4.6113510838207847E-2</v>
      </c>
    </row>
    <row r="37" spans="1:19" x14ac:dyDescent="0.25">
      <c r="A37" s="5" t="s">
        <v>8</v>
      </c>
      <c r="B37" s="5" t="s">
        <v>161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394</v>
      </c>
      <c r="H37" s="5" t="s">
        <v>110</v>
      </c>
      <c r="I37" s="5" t="s">
        <v>162</v>
      </c>
      <c r="J37" s="15">
        <v>2035</v>
      </c>
      <c r="K37" s="7">
        <v>39.5</v>
      </c>
      <c r="L37" s="7">
        <f t="shared" si="8"/>
        <v>51.518987341772153</v>
      </c>
      <c r="M37" s="5" t="s">
        <v>9</v>
      </c>
      <c r="N37" s="5">
        <v>4</v>
      </c>
      <c r="O37" s="6">
        <f t="shared" si="9"/>
        <v>3.3758183283928864</v>
      </c>
      <c r="P37" s="6">
        <f t="shared" si="10"/>
        <v>0.35108510615286009</v>
      </c>
      <c r="Q37" s="10">
        <f t="shared" si="11"/>
        <v>7.3142730448512534E-3</v>
      </c>
      <c r="R37" s="10">
        <f t="shared" si="12"/>
        <v>3.9598745211520084E-2</v>
      </c>
      <c r="S37" s="10">
        <f t="shared" si="13"/>
        <v>4.6913018256371335E-2</v>
      </c>
    </row>
    <row r="38" spans="1:19" x14ac:dyDescent="0.25">
      <c r="A38" s="5" t="s">
        <v>22</v>
      </c>
      <c r="B38" s="5" t="s">
        <v>63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394</v>
      </c>
      <c r="H38" s="5" t="s">
        <v>56</v>
      </c>
      <c r="I38" s="5" t="s">
        <v>103</v>
      </c>
      <c r="J38" s="15">
        <v>1600</v>
      </c>
      <c r="K38" s="7">
        <v>36.5</v>
      </c>
      <c r="L38" s="7">
        <f t="shared" si="8"/>
        <v>43.835616438356162</v>
      </c>
      <c r="M38" s="5" t="s">
        <v>9</v>
      </c>
      <c r="N38" s="5">
        <v>4</v>
      </c>
      <c r="O38" s="6">
        <f t="shared" si="9"/>
        <v>1.9215612685306809</v>
      </c>
      <c r="P38" s="6">
        <f t="shared" si="10"/>
        <v>0.19984237192719084</v>
      </c>
      <c r="Q38" s="10">
        <f t="shared" si="11"/>
        <v>4.163382748483142E-3</v>
      </c>
      <c r="R38" s="10">
        <f t="shared" si="12"/>
        <v>2.5950026257178908E-2</v>
      </c>
      <c r="S38" s="10">
        <f t="shared" si="13"/>
        <v>3.0113409005662048E-2</v>
      </c>
    </row>
    <row r="39" spans="1:19" x14ac:dyDescent="0.25">
      <c r="A39" s="5" t="s">
        <v>8</v>
      </c>
      <c r="B39" s="5" t="s">
        <v>165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394</v>
      </c>
      <c r="H39" s="5" t="s">
        <v>56</v>
      </c>
      <c r="I39" s="5" t="s">
        <v>169</v>
      </c>
      <c r="J39" s="15">
        <v>1980</v>
      </c>
      <c r="K39" s="7">
        <v>32</v>
      </c>
      <c r="L39" s="7">
        <f t="shared" si="8"/>
        <v>61.875</v>
      </c>
      <c r="M39" s="5" t="s">
        <v>9</v>
      </c>
      <c r="N39" s="5">
        <v>4</v>
      </c>
      <c r="O39" s="6">
        <f t="shared" si="9"/>
        <v>4.7377880859374999</v>
      </c>
      <c r="P39" s="6">
        <f t="shared" si="10"/>
        <v>0.49272996093749999</v>
      </c>
      <c r="Q39" s="10">
        <f t="shared" si="11"/>
        <v>1.026520751953125E-2</v>
      </c>
      <c r="R39" s="10">
        <f t="shared" si="12"/>
        <v>5.1059769265745597E-2</v>
      </c>
      <c r="S39" s="10">
        <f t="shared" si="13"/>
        <v>6.1324976785276847E-2</v>
      </c>
    </row>
    <row r="40" spans="1:19" x14ac:dyDescent="0.25">
      <c r="A40" s="5" t="s">
        <v>22</v>
      </c>
      <c r="B40" s="5" t="s">
        <v>26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394</v>
      </c>
      <c r="H40" s="5" t="s">
        <v>56</v>
      </c>
      <c r="I40" s="5" t="s">
        <v>57</v>
      </c>
      <c r="J40" s="15">
        <v>1750</v>
      </c>
      <c r="K40" s="7">
        <v>28.5</v>
      </c>
      <c r="L40" s="7">
        <f t="shared" si="8"/>
        <v>61.403508771929822</v>
      </c>
      <c r="M40" s="5" t="s">
        <v>9</v>
      </c>
      <c r="N40" s="5">
        <v>4</v>
      </c>
      <c r="O40" s="6">
        <f t="shared" si="9"/>
        <v>4.1238650353955055</v>
      </c>
      <c r="P40" s="6">
        <f t="shared" si="10"/>
        <v>0.42888196368113263</v>
      </c>
      <c r="Q40" s="10">
        <f t="shared" si="11"/>
        <v>8.9350409100235947E-3</v>
      </c>
      <c r="R40" s="10">
        <f t="shared" si="12"/>
        <v>4.6012460418506596E-2</v>
      </c>
      <c r="S40" s="10">
        <f t="shared" si="13"/>
        <v>5.4947501328530192E-2</v>
      </c>
    </row>
    <row r="41" spans="1:19" x14ac:dyDescent="0.25">
      <c r="A41" s="5" t="s">
        <v>8</v>
      </c>
      <c r="B41" s="5" t="s">
        <v>187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394</v>
      </c>
      <c r="H41" s="5" t="s">
        <v>56</v>
      </c>
      <c r="I41" s="5" t="s">
        <v>57</v>
      </c>
      <c r="J41" s="15">
        <v>2120</v>
      </c>
      <c r="K41" s="7">
        <v>32.200000000000003</v>
      </c>
      <c r="L41" s="7">
        <f t="shared" si="8"/>
        <v>65.838509316770185</v>
      </c>
      <c r="M41" s="5" t="s">
        <v>9</v>
      </c>
      <c r="N41" s="5">
        <v>4</v>
      </c>
      <c r="O41" s="6">
        <f t="shared" si="9"/>
        <v>5.7434898344971259</v>
      </c>
      <c r="P41" s="6">
        <f t="shared" si="10"/>
        <v>0.59732294278770115</v>
      </c>
      <c r="Q41" s="10">
        <f t="shared" si="11"/>
        <v>1.2444227974743772E-2</v>
      </c>
      <c r="R41" s="10">
        <f t="shared" si="12"/>
        <v>5.89900843101481E-2</v>
      </c>
      <c r="S41" s="10">
        <f t="shared" si="13"/>
        <v>7.1434312284891874E-2</v>
      </c>
    </row>
    <row r="42" spans="1:19" x14ac:dyDescent="0.25">
      <c r="A42" s="5" t="s">
        <v>8</v>
      </c>
      <c r="B42" s="5" t="s">
        <v>187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394</v>
      </c>
      <c r="H42" s="5" t="s">
        <v>56</v>
      </c>
      <c r="I42" s="5" t="s">
        <v>57</v>
      </c>
      <c r="J42" s="15">
        <v>2070</v>
      </c>
      <c r="K42" s="7">
        <v>31.4</v>
      </c>
      <c r="L42" s="7">
        <f t="shared" si="8"/>
        <v>65.923566878980893</v>
      </c>
      <c r="M42" s="5" t="s">
        <v>9</v>
      </c>
      <c r="N42" s="5">
        <v>4</v>
      </c>
      <c r="O42" s="6">
        <f t="shared" si="9"/>
        <v>5.6225296918739085</v>
      </c>
      <c r="P42" s="6">
        <f t="shared" si="10"/>
        <v>0.58474308795488661</v>
      </c>
      <c r="Q42" s="10">
        <f t="shared" si="11"/>
        <v>1.2182147665726803E-2</v>
      </c>
      <c r="R42" s="10">
        <f t="shared" si="12"/>
        <v>5.8055843919859323E-2</v>
      </c>
      <c r="S42" s="10">
        <f t="shared" si="13"/>
        <v>7.0237991585586121E-2</v>
      </c>
    </row>
    <row r="43" spans="1:19" x14ac:dyDescent="0.25">
      <c r="A43" s="5" t="s">
        <v>8</v>
      </c>
      <c r="B43" s="5" t="s">
        <v>187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394</v>
      </c>
      <c r="H43" s="5" t="s">
        <v>56</v>
      </c>
      <c r="I43" s="5" t="s">
        <v>57</v>
      </c>
      <c r="J43" s="15">
        <v>2010</v>
      </c>
      <c r="K43" s="7">
        <v>31.4</v>
      </c>
      <c r="L43" s="7">
        <f t="shared" si="8"/>
        <v>64.012738853503194</v>
      </c>
      <c r="M43" s="5" t="s">
        <v>9</v>
      </c>
      <c r="N43" s="5">
        <v>4</v>
      </c>
      <c r="O43" s="6">
        <f t="shared" si="9"/>
        <v>5.1476486115055389</v>
      </c>
      <c r="P43" s="6">
        <f t="shared" si="10"/>
        <v>0.53535545559657605</v>
      </c>
      <c r="Q43" s="10">
        <f t="shared" si="11"/>
        <v>1.1153238658262002E-2</v>
      </c>
      <c r="R43" s="10">
        <f t="shared" si="12"/>
        <v>5.4338018137809183E-2</v>
      </c>
      <c r="S43" s="10">
        <f t="shared" si="13"/>
        <v>6.5491256796071179E-2</v>
      </c>
    </row>
    <row r="44" spans="1:19" x14ac:dyDescent="0.25">
      <c r="A44" s="5" t="s">
        <v>8</v>
      </c>
      <c r="B44" s="5" t="s">
        <v>187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394</v>
      </c>
      <c r="H44" s="5" t="s">
        <v>56</v>
      </c>
      <c r="I44" s="5" t="s">
        <v>57</v>
      </c>
      <c r="J44" s="15">
        <v>1990</v>
      </c>
      <c r="K44" s="7">
        <v>29.5</v>
      </c>
      <c r="L44" s="7">
        <f t="shared" si="8"/>
        <v>67.457627118644069</v>
      </c>
      <c r="M44" s="5" t="s">
        <v>9</v>
      </c>
      <c r="N44" s="5">
        <v>4</v>
      </c>
      <c r="O44" s="6">
        <f t="shared" si="9"/>
        <v>5.6597234989945413</v>
      </c>
      <c r="P44" s="6">
        <f t="shared" si="10"/>
        <v>0.58861124389543229</v>
      </c>
      <c r="Q44" s="10">
        <f t="shared" si="11"/>
        <v>1.2262734247821505E-2</v>
      </c>
      <c r="R44" s="10">
        <f t="shared" si="12"/>
        <v>5.8343641943083634E-2</v>
      </c>
      <c r="S44" s="10">
        <f t="shared" si="13"/>
        <v>7.0606376190905137E-2</v>
      </c>
    </row>
    <row r="45" spans="1:19" x14ac:dyDescent="0.25">
      <c r="A45" s="5" t="s">
        <v>22</v>
      </c>
      <c r="B45" s="5" t="s">
        <v>63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394</v>
      </c>
      <c r="H45" s="5" t="s">
        <v>56</v>
      </c>
      <c r="I45" s="5" t="s">
        <v>151</v>
      </c>
      <c r="J45" s="15">
        <v>3550</v>
      </c>
      <c r="K45" s="7">
        <v>33.5</v>
      </c>
      <c r="L45" s="7">
        <f t="shared" si="8"/>
        <v>105.97014925373135</v>
      </c>
      <c r="M45" s="5" t="s">
        <v>9</v>
      </c>
      <c r="N45" s="5">
        <v>4</v>
      </c>
      <c r="O45" s="6">
        <f t="shared" si="9"/>
        <v>24.91583593227891</v>
      </c>
      <c r="P45" s="6">
        <f t="shared" si="10"/>
        <v>2.5912469369570066</v>
      </c>
      <c r="Q45" s="10">
        <f t="shared" si="11"/>
        <v>5.3984311186604302E-2</v>
      </c>
      <c r="R45" s="10">
        <f t="shared" si="12"/>
        <v>0.1773183662256573</v>
      </c>
      <c r="S45" s="10">
        <f t="shared" si="13"/>
        <v>0.2313026774122616</v>
      </c>
    </row>
    <row r="46" spans="1:19" x14ac:dyDescent="0.25">
      <c r="A46" s="5" t="s">
        <v>8</v>
      </c>
      <c r="B46" s="5" t="s">
        <v>217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394</v>
      </c>
      <c r="H46" s="5" t="s">
        <v>56</v>
      </c>
      <c r="I46" s="5" t="s">
        <v>151</v>
      </c>
      <c r="J46" s="15">
        <v>3550</v>
      </c>
      <c r="K46" s="7">
        <v>33.5</v>
      </c>
      <c r="L46" s="7">
        <f t="shared" si="8"/>
        <v>105.97014925373135</v>
      </c>
      <c r="M46" s="5" t="s">
        <v>9</v>
      </c>
      <c r="N46" s="5">
        <v>4</v>
      </c>
      <c r="O46" s="6">
        <f t="shared" si="9"/>
        <v>24.91583593227891</v>
      </c>
      <c r="P46" s="6">
        <f t="shared" si="10"/>
        <v>2.5912469369570066</v>
      </c>
      <c r="Q46" s="10">
        <f t="shared" si="11"/>
        <v>5.3984311186604302E-2</v>
      </c>
      <c r="R46" s="10">
        <f t="shared" si="12"/>
        <v>0.1773183662256573</v>
      </c>
      <c r="S46" s="10">
        <f t="shared" si="13"/>
        <v>0.2313026774122616</v>
      </c>
    </row>
    <row r="47" spans="1:19" x14ac:dyDescent="0.25">
      <c r="A47" s="5" t="s">
        <v>22</v>
      </c>
      <c r="B47" s="5" t="s">
        <v>63</v>
      </c>
      <c r="C47" s="5" t="s">
        <v>27</v>
      </c>
      <c r="D47" s="5" t="s">
        <v>385</v>
      </c>
      <c r="E47" s="5" t="s">
        <v>387</v>
      </c>
      <c r="F47" s="5" t="s">
        <v>52</v>
      </c>
      <c r="G47" s="5" t="s">
        <v>394</v>
      </c>
      <c r="H47" s="5" t="s">
        <v>108</v>
      </c>
      <c r="I47" s="5" t="s">
        <v>109</v>
      </c>
      <c r="J47" s="15">
        <v>1600</v>
      </c>
      <c r="K47" s="7">
        <v>36</v>
      </c>
      <c r="L47" s="7">
        <f t="shared" si="8"/>
        <v>44.444444444444443</v>
      </c>
      <c r="M47" s="5" t="s">
        <v>9</v>
      </c>
      <c r="N47" s="5">
        <v>4</v>
      </c>
      <c r="O47" s="6">
        <f t="shared" si="9"/>
        <v>1.9753086419753083</v>
      </c>
      <c r="P47" s="6">
        <f t="shared" si="10"/>
        <v>0.20543209876543209</v>
      </c>
      <c r="Q47" s="10">
        <f t="shared" si="11"/>
        <v>4.2798353909465009E-3</v>
      </c>
      <c r="R47" s="10">
        <f t="shared" si="12"/>
        <v>2.6492524653412002E-2</v>
      </c>
      <c r="S47" s="10">
        <f t="shared" si="13"/>
        <v>3.0772360044358502E-2</v>
      </c>
    </row>
    <row r="48" spans="1:19" x14ac:dyDescent="0.25">
      <c r="J48" s="16">
        <f t="shared" ref="J48:S48" si="14">AVERAGE(J34:J47)</f>
        <v>2192.8571428571427</v>
      </c>
      <c r="K48" s="12">
        <f t="shared" si="14"/>
        <v>34.214285714285708</v>
      </c>
      <c r="L48" s="12">
        <f t="shared" si="14"/>
        <v>64.770466524192457</v>
      </c>
      <c r="M48" s="11" t="e">
        <f t="shared" si="14"/>
        <v>#DIV/0!</v>
      </c>
      <c r="N48" s="11">
        <f t="shared" si="14"/>
        <v>4</v>
      </c>
      <c r="O48" s="13">
        <f t="shared" si="14"/>
        <v>7.5936769151574524</v>
      </c>
      <c r="P48" s="13">
        <f t="shared" si="14"/>
        <v>0.7897423991763749</v>
      </c>
      <c r="Q48" s="14">
        <f t="shared" si="14"/>
        <v>1.6452966649507815E-2</v>
      </c>
      <c r="R48" s="14">
        <f t="shared" si="14"/>
        <v>6.7263342593689185E-2</v>
      </c>
      <c r="S48" s="14">
        <f t="shared" si="14"/>
        <v>8.3716309243197021E-2</v>
      </c>
    </row>
    <row r="49" spans="1:19" x14ac:dyDescent="0.25">
      <c r="A49" s="5" t="s">
        <v>22</v>
      </c>
      <c r="B49" s="5" t="s">
        <v>63</v>
      </c>
      <c r="C49" s="5" t="s">
        <v>27</v>
      </c>
      <c r="D49" s="5" t="s">
        <v>385</v>
      </c>
      <c r="E49" s="5" t="s">
        <v>387</v>
      </c>
      <c r="F49" s="5" t="s">
        <v>112</v>
      </c>
      <c r="G49" s="5" t="s">
        <v>395</v>
      </c>
      <c r="H49" s="5" t="s">
        <v>129</v>
      </c>
      <c r="I49" s="5" t="s">
        <v>130</v>
      </c>
      <c r="J49" s="15">
        <v>2560</v>
      </c>
      <c r="K49" s="7">
        <v>44</v>
      </c>
      <c r="L49" s="7">
        <f t="shared" ref="L49:L54" si="15">J49/K49</f>
        <v>58.18181818181818</v>
      </c>
      <c r="M49" s="5" t="s">
        <v>9</v>
      </c>
      <c r="N49" s="5">
        <v>4</v>
      </c>
      <c r="O49" s="6">
        <f t="shared" ref="O49:O54" si="16">(J49*L49^2)/(1.6*10^6)</f>
        <v>5.4161983471074375</v>
      </c>
      <c r="P49" s="6">
        <f t="shared" ref="P49:P54" si="17">(0.104*J49*L49^2)/(1.6*10^6)</f>
        <v>0.56328462809917346</v>
      </c>
      <c r="Q49" s="10">
        <f t="shared" ref="Q49:Q54" si="18">(0.104*O49)/(12*N49)</f>
        <v>1.173509641873278E-2</v>
      </c>
      <c r="R49" s="10">
        <f t="shared" ref="R49:R54" si="19">0.0159*O49^0.75</f>
        <v>5.6450532702040132E-2</v>
      </c>
      <c r="S49" s="10">
        <f t="shared" ref="S49:S54" si="20">Q49+R49</f>
        <v>6.8185629120772917E-2</v>
      </c>
    </row>
    <row r="50" spans="1:19" x14ac:dyDescent="0.25">
      <c r="A50" s="5" t="s">
        <v>22</v>
      </c>
      <c r="B50" s="5" t="s">
        <v>63</v>
      </c>
      <c r="C50" s="5" t="s">
        <v>27</v>
      </c>
      <c r="D50" s="5" t="s">
        <v>385</v>
      </c>
      <c r="E50" s="5" t="s">
        <v>387</v>
      </c>
      <c r="F50" s="5" t="s">
        <v>112</v>
      </c>
      <c r="G50" s="5" t="s">
        <v>395</v>
      </c>
      <c r="H50" s="5" t="s">
        <v>123</v>
      </c>
      <c r="I50" s="5" t="s">
        <v>124</v>
      </c>
      <c r="J50" s="15">
        <v>1700</v>
      </c>
      <c r="K50" s="7">
        <v>36.5</v>
      </c>
      <c r="L50" s="7">
        <f t="shared" si="15"/>
        <v>46.575342465753423</v>
      </c>
      <c r="M50" s="5" t="s">
        <v>9</v>
      </c>
      <c r="N50" s="5">
        <v>4</v>
      </c>
      <c r="O50" s="6">
        <f t="shared" si="16"/>
        <v>2.3048414336648522</v>
      </c>
      <c r="P50" s="6">
        <f t="shared" si="17"/>
        <v>0.23970350910114463</v>
      </c>
      <c r="Q50" s="10">
        <f t="shared" si="18"/>
        <v>4.9938231062738462E-3</v>
      </c>
      <c r="R50" s="10">
        <f t="shared" si="19"/>
        <v>2.974253037207969E-2</v>
      </c>
      <c r="S50" s="10">
        <f t="shared" si="20"/>
        <v>3.4736353478353535E-2</v>
      </c>
    </row>
    <row r="51" spans="1:19" x14ac:dyDescent="0.25">
      <c r="A51" s="5" t="s">
        <v>22</v>
      </c>
      <c r="B51" s="5" t="s">
        <v>63</v>
      </c>
      <c r="C51" s="5" t="s">
        <v>27</v>
      </c>
      <c r="D51" s="5" t="s">
        <v>385</v>
      </c>
      <c r="E51" s="5" t="s">
        <v>387</v>
      </c>
      <c r="F51" s="5" t="s">
        <v>112</v>
      </c>
      <c r="G51" s="5" t="s">
        <v>395</v>
      </c>
      <c r="H51" s="5" t="s">
        <v>127</v>
      </c>
      <c r="I51" s="5" t="s">
        <v>128</v>
      </c>
      <c r="J51" s="15">
        <v>2495</v>
      </c>
      <c r="K51" s="7">
        <v>37</v>
      </c>
      <c r="L51" s="7">
        <f t="shared" si="15"/>
        <v>67.432432432432435</v>
      </c>
      <c r="M51" s="5" t="s">
        <v>9</v>
      </c>
      <c r="N51" s="5">
        <v>4</v>
      </c>
      <c r="O51" s="6">
        <f t="shared" si="16"/>
        <v>7.090685434167276</v>
      </c>
      <c r="P51" s="6">
        <f t="shared" si="17"/>
        <v>0.73743128515339662</v>
      </c>
      <c r="Q51" s="10">
        <f t="shared" si="18"/>
        <v>1.5363151774029096E-2</v>
      </c>
      <c r="R51" s="10">
        <f t="shared" si="19"/>
        <v>6.9089697094163655E-2</v>
      </c>
      <c r="S51" s="10">
        <f t="shared" si="20"/>
        <v>8.4452848868192751E-2</v>
      </c>
    </row>
    <row r="52" spans="1:19" x14ac:dyDescent="0.25">
      <c r="A52" s="5" t="s">
        <v>8</v>
      </c>
      <c r="B52" s="5" t="s">
        <v>239</v>
      </c>
      <c r="C52" s="5" t="s">
        <v>27</v>
      </c>
      <c r="D52" s="5" t="s">
        <v>385</v>
      </c>
      <c r="E52" s="5" t="s">
        <v>387</v>
      </c>
      <c r="F52" s="5" t="s">
        <v>112</v>
      </c>
      <c r="G52" s="5" t="s">
        <v>395</v>
      </c>
      <c r="H52" s="5" t="s">
        <v>127</v>
      </c>
      <c r="I52" s="5" t="s">
        <v>240</v>
      </c>
      <c r="J52" s="15">
        <v>3180</v>
      </c>
      <c r="K52" s="7">
        <v>49.3</v>
      </c>
      <c r="L52" s="7">
        <f t="shared" si="15"/>
        <v>64.503042596348891</v>
      </c>
      <c r="M52" s="5" t="s">
        <v>9</v>
      </c>
      <c r="N52" s="5">
        <v>4</v>
      </c>
      <c r="O52" s="6">
        <f t="shared" si="16"/>
        <v>8.2692769770704686</v>
      </c>
      <c r="P52" s="6">
        <f t="shared" si="17"/>
        <v>0.86000480561532866</v>
      </c>
      <c r="Q52" s="10">
        <f t="shared" si="18"/>
        <v>1.7916766783652682E-2</v>
      </c>
      <c r="R52" s="10">
        <f t="shared" si="19"/>
        <v>7.7534997706638811E-2</v>
      </c>
      <c r="S52" s="10">
        <f t="shared" si="20"/>
        <v>9.5451764490291496E-2</v>
      </c>
    </row>
    <row r="53" spans="1:19" x14ac:dyDescent="0.25">
      <c r="A53" s="5" t="s">
        <v>8</v>
      </c>
      <c r="B53" s="5" t="s">
        <v>333</v>
      </c>
      <c r="C53" s="5" t="s">
        <v>27</v>
      </c>
      <c r="D53" s="5" t="s">
        <v>385</v>
      </c>
      <c r="E53" s="5" t="s">
        <v>387</v>
      </c>
      <c r="F53" s="5" t="s">
        <v>112</v>
      </c>
      <c r="G53" s="5" t="s">
        <v>395</v>
      </c>
      <c r="H53" s="5" t="s">
        <v>127</v>
      </c>
      <c r="I53" s="5" t="s">
        <v>240</v>
      </c>
      <c r="J53" s="15">
        <v>2290</v>
      </c>
      <c r="K53" s="7">
        <v>25.4</v>
      </c>
      <c r="L53" s="7">
        <f t="shared" si="15"/>
        <v>90.157480314960637</v>
      </c>
      <c r="M53" s="5" t="s">
        <v>9</v>
      </c>
      <c r="N53" s="5">
        <v>4</v>
      </c>
      <c r="O53" s="6">
        <f t="shared" si="16"/>
        <v>11.633731361212723</v>
      </c>
      <c r="P53" s="6">
        <f t="shared" si="17"/>
        <v>1.2099080615661233</v>
      </c>
      <c r="Q53" s="10">
        <f t="shared" si="18"/>
        <v>2.5206417949294232E-2</v>
      </c>
      <c r="R53" s="10">
        <f t="shared" si="19"/>
        <v>0.10015817386585321</v>
      </c>
      <c r="S53" s="10">
        <f t="shared" si="20"/>
        <v>0.12536459181514745</v>
      </c>
    </row>
    <row r="54" spans="1:19" x14ac:dyDescent="0.25">
      <c r="A54" s="5" t="s">
        <v>8</v>
      </c>
      <c r="B54" s="5" t="s">
        <v>333</v>
      </c>
      <c r="C54" s="5" t="s">
        <v>27</v>
      </c>
      <c r="D54" s="5" t="s">
        <v>385</v>
      </c>
      <c r="E54" s="5" t="s">
        <v>387</v>
      </c>
      <c r="F54" s="5" t="s">
        <v>112</v>
      </c>
      <c r="G54" s="5" t="s">
        <v>395</v>
      </c>
      <c r="H54" s="5" t="s">
        <v>127</v>
      </c>
      <c r="I54" s="5" t="s">
        <v>334</v>
      </c>
      <c r="J54" s="15">
        <v>1900</v>
      </c>
      <c r="K54" s="7">
        <v>34.200000000000003</v>
      </c>
      <c r="L54" s="7">
        <f t="shared" si="15"/>
        <v>55.55555555555555</v>
      </c>
      <c r="M54" s="5" t="s">
        <v>9</v>
      </c>
      <c r="N54" s="5">
        <v>4</v>
      </c>
      <c r="O54" s="6">
        <f t="shared" si="16"/>
        <v>3.6651234567901225</v>
      </c>
      <c r="P54" s="6">
        <f t="shared" si="17"/>
        <v>0.38117283950617276</v>
      </c>
      <c r="Q54" s="10">
        <f t="shared" si="18"/>
        <v>7.9411008230452652E-3</v>
      </c>
      <c r="R54" s="10">
        <f t="shared" si="19"/>
        <v>4.2117596577025559E-2</v>
      </c>
      <c r="S54" s="10">
        <f t="shared" si="20"/>
        <v>5.0058697400070823E-2</v>
      </c>
    </row>
    <row r="55" spans="1:19" x14ac:dyDescent="0.25">
      <c r="J55" s="16">
        <f>AVERAGE(J49:J54)</f>
        <v>2354.1666666666665</v>
      </c>
      <c r="K55" s="12">
        <f t="shared" ref="K55:S55" si="21">AVERAGE(K49:K54)</f>
        <v>37.733333333333341</v>
      </c>
      <c r="L55" s="12">
        <f t="shared" si="21"/>
        <v>63.734278591144857</v>
      </c>
      <c r="M55" s="11" t="e">
        <f t="shared" si="21"/>
        <v>#DIV/0!</v>
      </c>
      <c r="N55" s="11">
        <f t="shared" si="21"/>
        <v>4</v>
      </c>
      <c r="O55" s="13">
        <f t="shared" si="21"/>
        <v>6.3966428350021465</v>
      </c>
      <c r="P55" s="13">
        <f t="shared" si="21"/>
        <v>0.66525085484022328</v>
      </c>
      <c r="Q55" s="14">
        <f t="shared" si="21"/>
        <v>1.3859392809171318E-2</v>
      </c>
      <c r="R55" s="14">
        <f t="shared" si="21"/>
        <v>6.2515588052966836E-2</v>
      </c>
      <c r="S55" s="14">
        <f t="shared" si="21"/>
        <v>7.6374980862138175E-2</v>
      </c>
    </row>
    <row r="56" spans="1:19" x14ac:dyDescent="0.25">
      <c r="A56" s="5" t="s">
        <v>8</v>
      </c>
      <c r="B56" s="5" t="s">
        <v>350</v>
      </c>
      <c r="C56" s="5" t="s">
        <v>27</v>
      </c>
      <c r="D56" s="5" t="s">
        <v>385</v>
      </c>
      <c r="E56" s="5" t="s">
        <v>387</v>
      </c>
      <c r="F56" s="5" t="s">
        <v>112</v>
      </c>
      <c r="G56" s="5" t="s">
        <v>391</v>
      </c>
      <c r="H56" s="5" t="s">
        <v>53</v>
      </c>
      <c r="I56" s="5" t="s">
        <v>349</v>
      </c>
      <c r="J56" s="15">
        <v>2700</v>
      </c>
      <c r="K56" s="7">
        <v>40.5</v>
      </c>
      <c r="L56" s="7">
        <f t="shared" ref="L56:L69" si="22">J56/K56</f>
        <v>66.666666666666671</v>
      </c>
      <c r="M56" s="5" t="s">
        <v>9</v>
      </c>
      <c r="N56" s="5">
        <v>4</v>
      </c>
      <c r="O56" s="6">
        <f t="shared" ref="O56:O69" si="23">(J56*L56^2)/(1.6*10^6)</f>
        <v>7.5000000000000009</v>
      </c>
      <c r="P56" s="6">
        <f t="shared" ref="P56:P69" si="24">(0.104*J56*L56^2)/(1.6*10^6)</f>
        <v>0.78000000000000014</v>
      </c>
      <c r="Q56" s="10">
        <f t="shared" ref="Q56:Q69" si="25">(0.104*O56)/(12*N56)</f>
        <v>1.6250000000000001E-2</v>
      </c>
      <c r="R56" s="10">
        <f t="shared" ref="R56:R69" si="26">0.0159*O56^0.75</f>
        <v>7.2059803226958916E-2</v>
      </c>
      <c r="S56" s="10">
        <f t="shared" ref="S56:S69" si="27">Q56+R56</f>
        <v>8.8309803226958916E-2</v>
      </c>
    </row>
    <row r="57" spans="1:19" x14ac:dyDescent="0.25">
      <c r="A57" s="5" t="s">
        <v>8</v>
      </c>
      <c r="B57" s="5" t="s">
        <v>347</v>
      </c>
      <c r="C57" s="5" t="s">
        <v>27</v>
      </c>
      <c r="D57" s="5" t="s">
        <v>385</v>
      </c>
      <c r="E57" s="5" t="s">
        <v>387</v>
      </c>
      <c r="F57" s="5" t="s">
        <v>112</v>
      </c>
      <c r="G57" s="5" t="s">
        <v>391</v>
      </c>
      <c r="H57" s="5" t="s">
        <v>53</v>
      </c>
      <c r="I57" s="5" t="s">
        <v>349</v>
      </c>
      <c r="J57" s="15">
        <v>2500</v>
      </c>
      <c r="K57" s="7">
        <v>31</v>
      </c>
      <c r="L57" s="7">
        <f t="shared" si="22"/>
        <v>80.645161290322577</v>
      </c>
      <c r="M57" s="5" t="s">
        <v>9</v>
      </c>
      <c r="N57" s="5">
        <v>4</v>
      </c>
      <c r="O57" s="6">
        <f t="shared" si="23"/>
        <v>10.161940686784598</v>
      </c>
      <c r="P57" s="6">
        <f t="shared" si="24"/>
        <v>1.0568418314255983</v>
      </c>
      <c r="Q57" s="10">
        <f t="shared" si="25"/>
        <v>2.2017538154699964E-2</v>
      </c>
      <c r="R57" s="10">
        <f t="shared" si="26"/>
        <v>9.0496048477232735E-2</v>
      </c>
      <c r="S57" s="10">
        <f t="shared" si="27"/>
        <v>0.1125135866319327</v>
      </c>
    </row>
    <row r="58" spans="1:19" x14ac:dyDescent="0.25">
      <c r="A58" s="5" t="s">
        <v>22</v>
      </c>
      <c r="B58" s="5" t="s">
        <v>63</v>
      </c>
      <c r="C58" s="5" t="s">
        <v>27</v>
      </c>
      <c r="D58" s="5" t="s">
        <v>385</v>
      </c>
      <c r="E58" s="5" t="s">
        <v>387</v>
      </c>
      <c r="F58" s="5" t="s">
        <v>112</v>
      </c>
      <c r="G58" s="5" t="s">
        <v>391</v>
      </c>
      <c r="H58" s="5" t="s">
        <v>53</v>
      </c>
      <c r="I58" s="5" t="s">
        <v>145</v>
      </c>
      <c r="J58" s="15">
        <v>2200</v>
      </c>
      <c r="K58" s="7">
        <v>42.5</v>
      </c>
      <c r="L58" s="7">
        <f t="shared" si="22"/>
        <v>51.764705882352942</v>
      </c>
      <c r="M58" s="5" t="s">
        <v>9</v>
      </c>
      <c r="N58" s="5">
        <v>4</v>
      </c>
      <c r="O58" s="6">
        <f t="shared" si="23"/>
        <v>3.6844290657439451</v>
      </c>
      <c r="P58" s="6">
        <f t="shared" si="24"/>
        <v>0.38318062283737025</v>
      </c>
      <c r="Q58" s="10">
        <f t="shared" si="25"/>
        <v>7.9829296424452131E-3</v>
      </c>
      <c r="R58" s="10">
        <f t="shared" si="26"/>
        <v>4.2283874397514749E-2</v>
      </c>
      <c r="S58" s="10">
        <f t="shared" si="27"/>
        <v>5.0266804039959964E-2</v>
      </c>
    </row>
    <row r="59" spans="1:19" x14ac:dyDescent="0.25">
      <c r="A59" s="5" t="s">
        <v>8</v>
      </c>
      <c r="B59" s="5" t="s">
        <v>303</v>
      </c>
      <c r="C59" s="5" t="s">
        <v>27</v>
      </c>
      <c r="D59" s="5" t="s">
        <v>385</v>
      </c>
      <c r="E59" s="5" t="s">
        <v>387</v>
      </c>
      <c r="F59" s="5" t="s">
        <v>112</v>
      </c>
      <c r="G59" s="5" t="s">
        <v>391</v>
      </c>
      <c r="H59" s="5" t="s">
        <v>53</v>
      </c>
      <c r="I59" s="5" t="s">
        <v>305</v>
      </c>
      <c r="J59" s="15">
        <v>2710</v>
      </c>
      <c r="K59" s="7">
        <v>38</v>
      </c>
      <c r="L59" s="7">
        <f t="shared" si="22"/>
        <v>71.315789473684205</v>
      </c>
      <c r="M59" s="5" t="s">
        <v>9</v>
      </c>
      <c r="N59" s="5">
        <v>4</v>
      </c>
      <c r="O59" s="6">
        <f t="shared" si="23"/>
        <v>8.6143139716066468</v>
      </c>
      <c r="P59" s="6">
        <f t="shared" si="24"/>
        <v>0.8958886530470912</v>
      </c>
      <c r="Q59" s="10">
        <f t="shared" si="25"/>
        <v>1.8664346938481065E-2</v>
      </c>
      <c r="R59" s="10">
        <f t="shared" si="26"/>
        <v>7.9948928370579042E-2</v>
      </c>
      <c r="S59" s="10">
        <f t="shared" si="27"/>
        <v>9.8613275309060111E-2</v>
      </c>
    </row>
    <row r="60" spans="1:19" x14ac:dyDescent="0.25">
      <c r="A60" s="5" t="s">
        <v>8</v>
      </c>
      <c r="B60" s="5" t="s">
        <v>303</v>
      </c>
      <c r="C60" s="5" t="s">
        <v>27</v>
      </c>
      <c r="D60" s="5" t="s">
        <v>385</v>
      </c>
      <c r="E60" s="5" t="s">
        <v>387</v>
      </c>
      <c r="F60" s="5" t="s">
        <v>112</v>
      </c>
      <c r="G60" s="5" t="s">
        <v>391</v>
      </c>
      <c r="H60" s="5" t="s">
        <v>53</v>
      </c>
      <c r="I60" s="5" t="s">
        <v>305</v>
      </c>
      <c r="J60" s="15">
        <v>2500</v>
      </c>
      <c r="K60" s="7">
        <v>35</v>
      </c>
      <c r="L60" s="7">
        <f t="shared" si="22"/>
        <v>71.428571428571431</v>
      </c>
      <c r="M60" s="5" t="s">
        <v>9</v>
      </c>
      <c r="N60" s="5">
        <v>4</v>
      </c>
      <c r="O60" s="6">
        <f t="shared" si="23"/>
        <v>7.9719387755102051</v>
      </c>
      <c r="P60" s="6">
        <f t="shared" si="24"/>
        <v>0.82908163265306123</v>
      </c>
      <c r="Q60" s="10">
        <f t="shared" si="25"/>
        <v>1.7272534013605446E-2</v>
      </c>
      <c r="R60" s="10">
        <f t="shared" si="26"/>
        <v>7.5434512896593864E-2</v>
      </c>
      <c r="S60" s="10">
        <f t="shared" si="27"/>
        <v>9.2707046910199306E-2</v>
      </c>
    </row>
    <row r="61" spans="1:19" x14ac:dyDescent="0.25">
      <c r="A61" s="5" t="s">
        <v>8</v>
      </c>
      <c r="B61" s="5" t="s">
        <v>228</v>
      </c>
      <c r="C61" s="5" t="s">
        <v>27</v>
      </c>
      <c r="D61" s="5" t="s">
        <v>385</v>
      </c>
      <c r="E61" s="5" t="s">
        <v>387</v>
      </c>
      <c r="F61" s="5" t="s">
        <v>112</v>
      </c>
      <c r="G61" s="5" t="s">
        <v>391</v>
      </c>
      <c r="H61" s="5" t="s">
        <v>53</v>
      </c>
      <c r="I61" s="5" t="s">
        <v>230</v>
      </c>
      <c r="J61" s="15">
        <v>2600</v>
      </c>
      <c r="K61" s="7">
        <v>39.5</v>
      </c>
      <c r="L61" s="7">
        <f t="shared" si="22"/>
        <v>65.822784810126578</v>
      </c>
      <c r="M61" s="5" t="s">
        <v>9</v>
      </c>
      <c r="N61" s="5">
        <v>4</v>
      </c>
      <c r="O61" s="6">
        <f t="shared" si="23"/>
        <v>7.0405383752603745</v>
      </c>
      <c r="P61" s="6">
        <f t="shared" si="24"/>
        <v>0.73221599102707891</v>
      </c>
      <c r="Q61" s="10">
        <f t="shared" si="25"/>
        <v>1.5254499813064143E-2</v>
      </c>
      <c r="R61" s="10">
        <f t="shared" si="26"/>
        <v>6.8722907763020355E-2</v>
      </c>
      <c r="S61" s="10">
        <f t="shared" si="27"/>
        <v>8.3977407576084503E-2</v>
      </c>
    </row>
    <row r="62" spans="1:19" x14ac:dyDescent="0.25">
      <c r="A62" s="5" t="s">
        <v>8</v>
      </c>
      <c r="B62" s="5" t="s">
        <v>284</v>
      </c>
      <c r="C62" s="5" t="s">
        <v>27</v>
      </c>
      <c r="D62" s="5" t="s">
        <v>385</v>
      </c>
      <c r="E62" s="5" t="s">
        <v>387</v>
      </c>
      <c r="F62" s="5" t="s">
        <v>112</v>
      </c>
      <c r="G62" s="5" t="s">
        <v>391</v>
      </c>
      <c r="H62" s="5" t="s">
        <v>53</v>
      </c>
      <c r="I62" s="5" t="s">
        <v>285</v>
      </c>
      <c r="J62" s="15">
        <v>3000</v>
      </c>
      <c r="K62" s="7">
        <v>46.3</v>
      </c>
      <c r="L62" s="7">
        <f t="shared" si="22"/>
        <v>64.794816414686835</v>
      </c>
      <c r="M62" s="5" t="s">
        <v>9</v>
      </c>
      <c r="N62" s="5">
        <v>4</v>
      </c>
      <c r="O62" s="6">
        <f t="shared" si="23"/>
        <v>7.8719404391493191</v>
      </c>
      <c r="P62" s="6">
        <f t="shared" si="24"/>
        <v>0.81868180567152926</v>
      </c>
      <c r="Q62" s="10">
        <f t="shared" si="25"/>
        <v>1.7055870951490189E-2</v>
      </c>
      <c r="R62" s="10">
        <f t="shared" si="26"/>
        <v>7.4723718195041214E-2</v>
      </c>
      <c r="S62" s="10">
        <f t="shared" si="27"/>
        <v>9.1779589146531407E-2</v>
      </c>
    </row>
    <row r="63" spans="1:19" x14ac:dyDescent="0.25">
      <c r="A63" s="5" t="s">
        <v>8</v>
      </c>
      <c r="B63" s="5" t="s">
        <v>303</v>
      </c>
      <c r="C63" s="5" t="s">
        <v>27</v>
      </c>
      <c r="D63" s="5" t="s">
        <v>385</v>
      </c>
      <c r="E63" s="5" t="s">
        <v>387</v>
      </c>
      <c r="F63" s="5" t="s">
        <v>112</v>
      </c>
      <c r="G63" s="5" t="s">
        <v>391</v>
      </c>
      <c r="H63" s="5" t="s">
        <v>53</v>
      </c>
      <c r="I63" s="5" t="s">
        <v>304</v>
      </c>
      <c r="J63" s="15">
        <v>2330</v>
      </c>
      <c r="K63" s="7">
        <v>32</v>
      </c>
      <c r="L63" s="7">
        <f t="shared" si="22"/>
        <v>72.8125</v>
      </c>
      <c r="M63" s="5" t="s">
        <v>9</v>
      </c>
      <c r="N63" s="5">
        <v>4</v>
      </c>
      <c r="O63" s="6">
        <f t="shared" si="23"/>
        <v>7.7205426025390622</v>
      </c>
      <c r="P63" s="6">
        <f t="shared" si="24"/>
        <v>0.80293643066406251</v>
      </c>
      <c r="Q63" s="10">
        <f t="shared" si="25"/>
        <v>1.6727842305501301E-2</v>
      </c>
      <c r="R63" s="10">
        <f t="shared" si="26"/>
        <v>7.3643257759382366E-2</v>
      </c>
      <c r="S63" s="10">
        <f t="shared" si="27"/>
        <v>9.0371100064883664E-2</v>
      </c>
    </row>
    <row r="64" spans="1:19" x14ac:dyDescent="0.25">
      <c r="A64" s="5" t="s">
        <v>22</v>
      </c>
      <c r="B64" s="5" t="s">
        <v>63</v>
      </c>
      <c r="C64" s="5" t="s">
        <v>27</v>
      </c>
      <c r="D64" s="5" t="s">
        <v>385</v>
      </c>
      <c r="E64" s="5" t="s">
        <v>387</v>
      </c>
      <c r="F64" s="5" t="s">
        <v>112</v>
      </c>
      <c r="G64" s="5" t="s">
        <v>391</v>
      </c>
      <c r="H64" s="5" t="s">
        <v>53</v>
      </c>
      <c r="I64" s="5" t="s">
        <v>147</v>
      </c>
      <c r="J64" s="15">
        <v>2200</v>
      </c>
      <c r="K64" s="7">
        <v>33</v>
      </c>
      <c r="L64" s="7">
        <f t="shared" si="22"/>
        <v>66.666666666666671</v>
      </c>
      <c r="M64" s="5" t="s">
        <v>9</v>
      </c>
      <c r="N64" s="5">
        <v>4</v>
      </c>
      <c r="O64" s="6">
        <f t="shared" si="23"/>
        <v>6.1111111111111125</v>
      </c>
      <c r="P64" s="6">
        <f t="shared" si="24"/>
        <v>0.63555555555555565</v>
      </c>
      <c r="Q64" s="10">
        <f t="shared" si="25"/>
        <v>1.3240740740740742E-2</v>
      </c>
      <c r="R64" s="10">
        <f t="shared" si="26"/>
        <v>6.1799827002558427E-2</v>
      </c>
      <c r="S64" s="10">
        <f t="shared" si="27"/>
        <v>7.5040567743299175E-2</v>
      </c>
    </row>
    <row r="65" spans="1:19" x14ac:dyDescent="0.25">
      <c r="A65" s="5" t="s">
        <v>8</v>
      </c>
      <c r="B65" s="5" t="s">
        <v>228</v>
      </c>
      <c r="C65" s="5" t="s">
        <v>27</v>
      </c>
      <c r="D65" s="5" t="s">
        <v>385</v>
      </c>
      <c r="E65" s="5" t="s">
        <v>387</v>
      </c>
      <c r="F65" s="5" t="s">
        <v>112</v>
      </c>
      <c r="G65" s="5" t="s">
        <v>391</v>
      </c>
      <c r="H65" s="5" t="s">
        <v>53</v>
      </c>
      <c r="I65" s="5" t="s">
        <v>229</v>
      </c>
      <c r="J65" s="15">
        <v>2100</v>
      </c>
      <c r="K65" s="7">
        <v>34</v>
      </c>
      <c r="L65" s="7">
        <f t="shared" si="22"/>
        <v>61.764705882352942</v>
      </c>
      <c r="M65" s="5" t="s">
        <v>9</v>
      </c>
      <c r="N65" s="5">
        <v>4</v>
      </c>
      <c r="O65" s="6">
        <f t="shared" si="23"/>
        <v>5.0070285467128031</v>
      </c>
      <c r="P65" s="6">
        <f t="shared" si="24"/>
        <v>0.52073096885813142</v>
      </c>
      <c r="Q65" s="10">
        <f t="shared" si="25"/>
        <v>1.0848561851211073E-2</v>
      </c>
      <c r="R65" s="10">
        <f t="shared" si="26"/>
        <v>5.3220895151738591E-2</v>
      </c>
      <c r="S65" s="10">
        <f t="shared" si="27"/>
        <v>6.4069457002949665E-2</v>
      </c>
    </row>
    <row r="66" spans="1:19" x14ac:dyDescent="0.25">
      <c r="A66" s="5" t="s">
        <v>22</v>
      </c>
      <c r="B66" s="5" t="s">
        <v>26</v>
      </c>
      <c r="C66" s="5" t="s">
        <v>27</v>
      </c>
      <c r="D66" s="5" t="s">
        <v>385</v>
      </c>
      <c r="E66" s="5" t="s">
        <v>387</v>
      </c>
      <c r="F66" s="5" t="s">
        <v>112</v>
      </c>
      <c r="G66" s="5" t="s">
        <v>391</v>
      </c>
      <c r="H66" s="5" t="s">
        <v>53</v>
      </c>
      <c r="I66" s="5" t="s">
        <v>55</v>
      </c>
      <c r="J66" s="15">
        <v>3400</v>
      </c>
      <c r="K66" s="7">
        <v>37.5</v>
      </c>
      <c r="L66" s="7">
        <f t="shared" si="22"/>
        <v>90.666666666666671</v>
      </c>
      <c r="M66" s="5" t="s">
        <v>9</v>
      </c>
      <c r="N66" s="5">
        <v>4</v>
      </c>
      <c r="O66" s="6">
        <f t="shared" si="23"/>
        <v>17.468444444444447</v>
      </c>
      <c r="P66" s="6">
        <f t="shared" si="24"/>
        <v>1.8167182222222222</v>
      </c>
      <c r="Q66" s="10">
        <f t="shared" si="25"/>
        <v>3.7848296296296303E-2</v>
      </c>
      <c r="R66" s="10">
        <f t="shared" si="26"/>
        <v>0.13585880775908216</v>
      </c>
      <c r="S66" s="10">
        <f t="shared" si="27"/>
        <v>0.17370710405537845</v>
      </c>
    </row>
    <row r="67" spans="1:19" x14ac:dyDescent="0.25">
      <c r="A67" s="5" t="s">
        <v>8</v>
      </c>
      <c r="B67" s="5" t="s">
        <v>372</v>
      </c>
      <c r="C67" s="5" t="s">
        <v>27</v>
      </c>
      <c r="D67" s="5" t="s">
        <v>385</v>
      </c>
      <c r="E67" s="5" t="s">
        <v>387</v>
      </c>
      <c r="F67" s="5" t="s">
        <v>112</v>
      </c>
      <c r="G67" s="5" t="s">
        <v>391</v>
      </c>
      <c r="H67" s="5" t="s">
        <v>53</v>
      </c>
      <c r="I67" s="5" t="s">
        <v>374</v>
      </c>
      <c r="J67" s="15">
        <v>3460</v>
      </c>
      <c r="K67" s="7">
        <v>50.7</v>
      </c>
      <c r="L67" s="7">
        <f t="shared" si="22"/>
        <v>68.244575936883621</v>
      </c>
      <c r="M67" s="5" t="s">
        <v>9</v>
      </c>
      <c r="N67" s="5">
        <v>4</v>
      </c>
      <c r="O67" s="6">
        <f t="shared" si="23"/>
        <v>10.071459138140973</v>
      </c>
      <c r="P67" s="6">
        <f t="shared" si="24"/>
        <v>1.0474317503666613</v>
      </c>
      <c r="Q67" s="10">
        <f t="shared" si="25"/>
        <v>2.1821494799305442E-2</v>
      </c>
      <c r="R67" s="10">
        <f t="shared" si="26"/>
        <v>8.9891043220326733E-2</v>
      </c>
      <c r="S67" s="10">
        <f t="shared" si="27"/>
        <v>0.11171253801963217</v>
      </c>
    </row>
    <row r="68" spans="1:19" x14ac:dyDescent="0.25">
      <c r="A68" s="5" t="s">
        <v>22</v>
      </c>
      <c r="B68" s="5" t="s">
        <v>63</v>
      </c>
      <c r="C68" s="5" t="s">
        <v>27</v>
      </c>
      <c r="D68" s="5" t="s">
        <v>385</v>
      </c>
      <c r="E68" s="5" t="s">
        <v>387</v>
      </c>
      <c r="F68" s="5" t="s">
        <v>112</v>
      </c>
      <c r="G68" s="5" t="s">
        <v>391</v>
      </c>
      <c r="H68" s="5" t="s">
        <v>53</v>
      </c>
      <c r="I68" s="5" t="s">
        <v>114</v>
      </c>
      <c r="J68" s="15">
        <v>1700</v>
      </c>
      <c r="K68" s="7">
        <v>28</v>
      </c>
      <c r="L68" s="7">
        <f t="shared" si="22"/>
        <v>60.714285714285715</v>
      </c>
      <c r="M68" s="5" t="s">
        <v>9</v>
      </c>
      <c r="N68" s="5">
        <v>4</v>
      </c>
      <c r="O68" s="6">
        <f t="shared" si="23"/>
        <v>3.9166135204081631</v>
      </c>
      <c r="P68" s="6">
        <f t="shared" si="24"/>
        <v>0.40732780612244895</v>
      </c>
      <c r="Q68" s="10">
        <f t="shared" si="25"/>
        <v>8.4859959608843526E-3</v>
      </c>
      <c r="R68" s="10">
        <f t="shared" si="26"/>
        <v>4.4267007423098879E-2</v>
      </c>
      <c r="S68" s="10">
        <f t="shared" si="27"/>
        <v>5.2753003383983234E-2</v>
      </c>
    </row>
    <row r="69" spans="1:19" x14ac:dyDescent="0.25">
      <c r="A69" s="5" t="s">
        <v>22</v>
      </c>
      <c r="B69" s="5" t="s">
        <v>63</v>
      </c>
      <c r="C69" s="5" t="s">
        <v>27</v>
      </c>
      <c r="D69" s="5" t="s">
        <v>385</v>
      </c>
      <c r="E69" s="5" t="s">
        <v>387</v>
      </c>
      <c r="F69" s="5" t="s">
        <v>112</v>
      </c>
      <c r="G69" s="5" t="s">
        <v>391</v>
      </c>
      <c r="H69" s="5" t="s">
        <v>115</v>
      </c>
      <c r="I69" s="5" t="s">
        <v>116</v>
      </c>
      <c r="J69" s="15">
        <v>750</v>
      </c>
      <c r="K69" s="7">
        <v>23</v>
      </c>
      <c r="L69" s="7">
        <f t="shared" si="22"/>
        <v>32.608695652173914</v>
      </c>
      <c r="M69" s="5" t="s">
        <v>9</v>
      </c>
      <c r="N69" s="5">
        <v>4</v>
      </c>
      <c r="O69" s="6">
        <f t="shared" si="23"/>
        <v>0.49843454631379974</v>
      </c>
      <c r="P69" s="6">
        <f t="shared" si="24"/>
        <v>5.1837192816635173E-2</v>
      </c>
      <c r="Q69" s="10">
        <f t="shared" si="25"/>
        <v>1.0799415170132329E-3</v>
      </c>
      <c r="R69" s="10">
        <f t="shared" si="26"/>
        <v>9.431987704294223E-3</v>
      </c>
      <c r="S69" s="10">
        <f t="shared" si="27"/>
        <v>1.0511929221307456E-2</v>
      </c>
    </row>
    <row r="70" spans="1:19" x14ac:dyDescent="0.25">
      <c r="J70" s="16">
        <f>AVERAGE(J56:J69)</f>
        <v>2439.2857142857142</v>
      </c>
      <c r="K70" s="12">
        <f t="shared" ref="K70:S70" si="28">AVERAGE(K56:K69)</f>
        <v>36.5</v>
      </c>
      <c r="L70" s="12">
        <f t="shared" si="28"/>
        <v>66.136899463245754</v>
      </c>
      <c r="M70" s="11" t="e">
        <f t="shared" si="28"/>
        <v>#DIV/0!</v>
      </c>
      <c r="N70" s="11">
        <f t="shared" si="28"/>
        <v>4</v>
      </c>
      <c r="O70" s="13">
        <f t="shared" si="28"/>
        <v>7.4027668016946757</v>
      </c>
      <c r="P70" s="13">
        <f t="shared" si="28"/>
        <v>0.7698877473762461</v>
      </c>
      <c r="Q70" s="14">
        <f t="shared" si="28"/>
        <v>1.6039328070338463E-2</v>
      </c>
      <c r="R70" s="14">
        <f t="shared" si="28"/>
        <v>6.9413044239101579E-2</v>
      </c>
      <c r="S70" s="14">
        <f t="shared" si="28"/>
        <v>8.5452372309440042E-2</v>
      </c>
    </row>
    <row r="71" spans="1:19" x14ac:dyDescent="0.25">
      <c r="A71" s="5" t="s">
        <v>8</v>
      </c>
      <c r="B71" s="5" t="s">
        <v>372</v>
      </c>
      <c r="C71" s="5" t="s">
        <v>27</v>
      </c>
      <c r="D71" s="5" t="s">
        <v>385</v>
      </c>
      <c r="E71" s="5" t="s">
        <v>384</v>
      </c>
      <c r="F71" s="5" t="s">
        <v>91</v>
      </c>
      <c r="G71" s="5" t="s">
        <v>393</v>
      </c>
      <c r="H71" s="5" t="s">
        <v>92</v>
      </c>
      <c r="I71" s="5" t="s">
        <v>373</v>
      </c>
      <c r="J71" s="15">
        <v>2510</v>
      </c>
      <c r="K71" s="7">
        <v>41.4</v>
      </c>
      <c r="L71" s="7">
        <f t="shared" ref="L71:L76" si="29">J71/K71</f>
        <v>60.628019323671502</v>
      </c>
      <c r="M71" s="5" t="s">
        <v>9</v>
      </c>
      <c r="N71" s="5">
        <v>4</v>
      </c>
      <c r="O71" s="6">
        <f t="shared" ref="O71:O76" si="30">(J71*L71^2)/(1.6*10^6)</f>
        <v>5.7663433656561418</v>
      </c>
      <c r="P71" s="6">
        <f t="shared" ref="P71:P76" si="31">(0.104*J71*L71^2)/(1.6*10^6)</f>
        <v>0.59969971002823874</v>
      </c>
      <c r="Q71" s="10">
        <f t="shared" ref="Q71:Q76" si="32">(0.104*O71)/(12*N71)</f>
        <v>1.249374395892164E-2</v>
      </c>
      <c r="R71" s="10">
        <f t="shared" ref="R71:R76" si="33">0.0159*O71^0.75</f>
        <v>5.9166039480103155E-2</v>
      </c>
      <c r="S71" s="10">
        <f t="shared" ref="S71:S76" si="34">Q71+R71</f>
        <v>7.1659783439024793E-2</v>
      </c>
    </row>
    <row r="72" spans="1:19" x14ac:dyDescent="0.25">
      <c r="A72" s="5" t="s">
        <v>22</v>
      </c>
      <c r="B72" s="5" t="s">
        <v>63</v>
      </c>
      <c r="C72" s="5" t="s">
        <v>27</v>
      </c>
      <c r="D72" s="5" t="s">
        <v>385</v>
      </c>
      <c r="E72" s="5" t="s">
        <v>384</v>
      </c>
      <c r="F72" s="5" t="s">
        <v>91</v>
      </c>
      <c r="G72" s="5" t="s">
        <v>393</v>
      </c>
      <c r="H72" s="5" t="s">
        <v>92</v>
      </c>
      <c r="I72" s="5" t="s">
        <v>19</v>
      </c>
      <c r="J72" s="15">
        <v>1585</v>
      </c>
      <c r="K72" s="7">
        <v>66</v>
      </c>
      <c r="L72" s="7">
        <f t="shared" si="29"/>
        <v>24.015151515151516</v>
      </c>
      <c r="M72" s="5" t="s">
        <v>9</v>
      </c>
      <c r="N72" s="5">
        <v>4</v>
      </c>
      <c r="O72" s="6">
        <f t="shared" si="30"/>
        <v>0.57132068196166208</v>
      </c>
      <c r="P72" s="6">
        <f t="shared" si="31"/>
        <v>5.941735092401286E-2</v>
      </c>
      <c r="Q72" s="10">
        <f t="shared" si="32"/>
        <v>1.2378614775836012E-3</v>
      </c>
      <c r="R72" s="10">
        <f t="shared" si="33"/>
        <v>1.0448575464998765E-2</v>
      </c>
      <c r="S72" s="10">
        <f t="shared" si="34"/>
        <v>1.1686436942582366E-2</v>
      </c>
    </row>
    <row r="73" spans="1:19" x14ac:dyDescent="0.25">
      <c r="A73" s="5" t="s">
        <v>8</v>
      </c>
      <c r="B73" s="5" t="s">
        <v>308</v>
      </c>
      <c r="C73" s="5" t="s">
        <v>27</v>
      </c>
      <c r="D73" s="5" t="s">
        <v>385</v>
      </c>
      <c r="E73" s="5" t="s">
        <v>384</v>
      </c>
      <c r="F73" s="5" t="s">
        <v>91</v>
      </c>
      <c r="G73" s="5" t="s">
        <v>393</v>
      </c>
      <c r="H73" s="5" t="s">
        <v>92</v>
      </c>
      <c r="I73" s="5" t="s">
        <v>309</v>
      </c>
      <c r="J73" s="15">
        <v>1215</v>
      </c>
      <c r="K73" s="7">
        <v>41</v>
      </c>
      <c r="L73" s="7">
        <f t="shared" si="29"/>
        <v>29.634146341463413</v>
      </c>
      <c r="M73" s="5" t="s">
        <v>9</v>
      </c>
      <c r="N73" s="5">
        <v>4</v>
      </c>
      <c r="O73" s="6">
        <f t="shared" si="30"/>
        <v>0.66686993419095775</v>
      </c>
      <c r="P73" s="6">
        <f t="shared" si="31"/>
        <v>6.9354473155859603E-2</v>
      </c>
      <c r="Q73" s="10">
        <f t="shared" si="32"/>
        <v>1.4448848574137418E-3</v>
      </c>
      <c r="R73" s="10">
        <f t="shared" si="33"/>
        <v>1.1733510805087846E-2</v>
      </c>
      <c r="S73" s="10">
        <f t="shared" si="34"/>
        <v>1.3178395662501587E-2</v>
      </c>
    </row>
    <row r="74" spans="1:19" x14ac:dyDescent="0.25">
      <c r="A74" s="5" t="s">
        <v>22</v>
      </c>
      <c r="B74" s="5" t="s">
        <v>63</v>
      </c>
      <c r="C74" s="5" t="s">
        <v>27</v>
      </c>
      <c r="D74" s="5" t="s">
        <v>385</v>
      </c>
      <c r="E74" s="5" t="s">
        <v>384</v>
      </c>
      <c r="F74" s="5" t="s">
        <v>91</v>
      </c>
      <c r="G74" s="5" t="s">
        <v>393</v>
      </c>
      <c r="H74" s="5" t="s">
        <v>93</v>
      </c>
      <c r="I74" s="5" t="s">
        <v>94</v>
      </c>
      <c r="J74" s="15">
        <v>2400</v>
      </c>
      <c r="K74" s="7">
        <v>30</v>
      </c>
      <c r="L74" s="7">
        <f t="shared" si="29"/>
        <v>80</v>
      </c>
      <c r="M74" s="5" t="s">
        <v>9</v>
      </c>
      <c r="N74" s="5">
        <v>4</v>
      </c>
      <c r="O74" s="6">
        <f t="shared" si="30"/>
        <v>9.6</v>
      </c>
      <c r="P74" s="6">
        <f t="shared" si="31"/>
        <v>0.99839999999999995</v>
      </c>
      <c r="Q74" s="10">
        <f t="shared" si="32"/>
        <v>2.0799999999999999E-2</v>
      </c>
      <c r="R74" s="10">
        <f t="shared" si="33"/>
        <v>8.671626204879955E-2</v>
      </c>
      <c r="S74" s="10">
        <f t="shared" si="34"/>
        <v>0.10751626204879955</v>
      </c>
    </row>
    <row r="75" spans="1:19" x14ac:dyDescent="0.25">
      <c r="A75" s="5" t="s">
        <v>8</v>
      </c>
      <c r="B75" s="5" t="s">
        <v>336</v>
      </c>
      <c r="C75" s="5" t="s">
        <v>27</v>
      </c>
      <c r="D75" s="5" t="s">
        <v>385</v>
      </c>
      <c r="E75" s="5" t="s">
        <v>384</v>
      </c>
      <c r="F75" s="5" t="s">
        <v>91</v>
      </c>
      <c r="G75" s="5" t="s">
        <v>393</v>
      </c>
      <c r="H75" s="5" t="s">
        <v>93</v>
      </c>
      <c r="I75" s="5" t="s">
        <v>94</v>
      </c>
      <c r="J75" s="15">
        <v>2840</v>
      </c>
      <c r="K75" s="7">
        <v>30</v>
      </c>
      <c r="L75" s="7">
        <f t="shared" si="29"/>
        <v>94.666666666666671</v>
      </c>
      <c r="M75" s="5" t="s">
        <v>9</v>
      </c>
      <c r="N75" s="5">
        <v>4</v>
      </c>
      <c r="O75" s="6">
        <f t="shared" si="30"/>
        <v>15.907155555555557</v>
      </c>
      <c r="P75" s="6">
        <f t="shared" si="31"/>
        <v>1.6543441777777783</v>
      </c>
      <c r="Q75" s="10">
        <f t="shared" si="32"/>
        <v>3.4465503703703708E-2</v>
      </c>
      <c r="R75" s="10">
        <f t="shared" si="33"/>
        <v>0.12664601248462076</v>
      </c>
      <c r="S75" s="10">
        <f t="shared" si="34"/>
        <v>0.16111151618832448</v>
      </c>
    </row>
    <row r="76" spans="1:19" x14ac:dyDescent="0.25">
      <c r="A76" s="5" t="s">
        <v>8</v>
      </c>
      <c r="B76" s="5" t="s">
        <v>336</v>
      </c>
      <c r="C76" s="5" t="s">
        <v>27</v>
      </c>
      <c r="D76" s="5" t="s">
        <v>385</v>
      </c>
      <c r="E76" s="5" t="s">
        <v>384</v>
      </c>
      <c r="F76" s="5" t="s">
        <v>91</v>
      </c>
      <c r="G76" s="5" t="s">
        <v>393</v>
      </c>
      <c r="H76" s="5" t="s">
        <v>93</v>
      </c>
      <c r="I76" s="5" t="s">
        <v>338</v>
      </c>
      <c r="J76" s="15">
        <v>2620</v>
      </c>
      <c r="K76" s="7">
        <v>30.5</v>
      </c>
      <c r="L76" s="7">
        <f t="shared" si="29"/>
        <v>85.901639344262293</v>
      </c>
      <c r="M76" s="5" t="s">
        <v>9</v>
      </c>
      <c r="N76" s="5">
        <v>4</v>
      </c>
      <c r="O76" s="6">
        <f t="shared" si="30"/>
        <v>12.083262563826928</v>
      </c>
      <c r="P76" s="6">
        <f t="shared" si="31"/>
        <v>1.2566593066380003</v>
      </c>
      <c r="Q76" s="10">
        <f t="shared" si="32"/>
        <v>2.6180402221625012E-2</v>
      </c>
      <c r="R76" s="10">
        <f t="shared" si="33"/>
        <v>0.10304698364299147</v>
      </c>
      <c r="S76" s="10">
        <f t="shared" si="34"/>
        <v>0.12922738586461649</v>
      </c>
    </row>
    <row r="77" spans="1:19" x14ac:dyDescent="0.25">
      <c r="J77" s="16">
        <f>AVERAGE(J71:J76)</f>
        <v>2195</v>
      </c>
      <c r="K77" s="12">
        <f t="shared" ref="K77:S77" si="35">AVERAGE(K71:K76)</f>
        <v>39.81666666666667</v>
      </c>
      <c r="L77" s="12">
        <f t="shared" si="35"/>
        <v>62.47427053186923</v>
      </c>
      <c r="M77" s="11" t="e">
        <f t="shared" si="35"/>
        <v>#DIV/0!</v>
      </c>
      <c r="N77" s="11">
        <f t="shared" si="35"/>
        <v>4</v>
      </c>
      <c r="O77" s="13">
        <f t="shared" si="35"/>
        <v>7.4324920168652078</v>
      </c>
      <c r="P77" s="13">
        <f t="shared" si="35"/>
        <v>0.77297916975398151</v>
      </c>
      <c r="Q77" s="14">
        <f t="shared" si="35"/>
        <v>1.6103732703207949E-2</v>
      </c>
      <c r="R77" s="14">
        <f t="shared" si="35"/>
        <v>6.6292897321100261E-2</v>
      </c>
      <c r="S77" s="14">
        <f t="shared" si="35"/>
        <v>8.2396630024308207E-2</v>
      </c>
    </row>
    <row r="78" spans="1:19" x14ac:dyDescent="0.25">
      <c r="A78" s="5" t="s">
        <v>8</v>
      </c>
      <c r="B78" s="5" t="s">
        <v>165</v>
      </c>
      <c r="C78" s="5" t="s">
        <v>27</v>
      </c>
      <c r="D78" s="5" t="s">
        <v>385</v>
      </c>
      <c r="E78" s="5" t="s">
        <v>384</v>
      </c>
      <c r="F78" s="5" t="s">
        <v>30</v>
      </c>
      <c r="G78" s="5" t="s">
        <v>397</v>
      </c>
      <c r="H78" s="5" t="s">
        <v>36</v>
      </c>
      <c r="I78" s="5" t="s">
        <v>173</v>
      </c>
      <c r="J78" s="15">
        <v>3000</v>
      </c>
      <c r="K78" s="7">
        <v>21.5</v>
      </c>
      <c r="L78" s="7">
        <f t="shared" ref="L78:L97" si="36">J78/K78</f>
        <v>139.53488372093022</v>
      </c>
      <c r="M78" s="5" t="s">
        <v>9</v>
      </c>
      <c r="N78" s="5">
        <v>4</v>
      </c>
      <c r="O78" s="6">
        <f t="shared" ref="O78:O97" si="37">(J78*L78^2)/(1.6*10^6)</f>
        <v>36.50621957815035</v>
      </c>
      <c r="P78" s="6">
        <f t="shared" ref="P78:P97" si="38">(0.104*J78*L78^2)/(1.6*10^6)</f>
        <v>3.7966468361276364</v>
      </c>
      <c r="Q78" s="10">
        <f t="shared" ref="Q78:Q97" si="39">(0.104*O78)/(12*N78)</f>
        <v>7.9096809085992426E-2</v>
      </c>
      <c r="R78" s="10">
        <f t="shared" ref="R78:R97" si="40">0.0159*O78^0.75</f>
        <v>0.23614147442789565</v>
      </c>
      <c r="S78" s="10">
        <f t="shared" ref="S78:S97" si="41">Q78+R78</f>
        <v>0.31523828351388805</v>
      </c>
    </row>
    <row r="79" spans="1:19" x14ac:dyDescent="0.25">
      <c r="A79" s="5" t="s">
        <v>8</v>
      </c>
      <c r="B79" s="5" t="s">
        <v>165</v>
      </c>
      <c r="C79" s="5" t="s">
        <v>27</v>
      </c>
      <c r="D79" s="5" t="s">
        <v>385</v>
      </c>
      <c r="E79" s="5" t="s">
        <v>384</v>
      </c>
      <c r="F79" s="5" t="s">
        <v>30</v>
      </c>
      <c r="G79" s="5" t="s">
        <v>397</v>
      </c>
      <c r="H79" s="5" t="s">
        <v>36</v>
      </c>
      <c r="I79" s="5" t="s">
        <v>174</v>
      </c>
      <c r="J79" s="15">
        <v>4700</v>
      </c>
      <c r="K79" s="7">
        <v>37</v>
      </c>
      <c r="L79" s="7">
        <f t="shared" si="36"/>
        <v>127.02702702702703</v>
      </c>
      <c r="M79" s="5" t="s">
        <v>9</v>
      </c>
      <c r="N79" s="5">
        <v>4</v>
      </c>
      <c r="O79" s="6">
        <f t="shared" si="37"/>
        <v>47.399105186267356</v>
      </c>
      <c r="P79" s="6">
        <f t="shared" si="38"/>
        <v>4.9295069393718043</v>
      </c>
      <c r="Q79" s="10">
        <f t="shared" si="39"/>
        <v>0.10269806123691261</v>
      </c>
      <c r="R79" s="10">
        <f t="shared" si="40"/>
        <v>0.28722664908804313</v>
      </c>
      <c r="S79" s="10">
        <f t="shared" si="41"/>
        <v>0.38992471032495574</v>
      </c>
    </row>
    <row r="80" spans="1:19" x14ac:dyDescent="0.25">
      <c r="A80" s="5" t="s">
        <v>22</v>
      </c>
      <c r="B80" s="5" t="s">
        <v>26</v>
      </c>
      <c r="C80" s="5" t="s">
        <v>27</v>
      </c>
      <c r="D80" s="5" t="s">
        <v>385</v>
      </c>
      <c r="E80" s="5" t="s">
        <v>384</v>
      </c>
      <c r="F80" s="5" t="s">
        <v>30</v>
      </c>
      <c r="G80" s="5" t="s">
        <v>397</v>
      </c>
      <c r="H80" s="5" t="s">
        <v>36</v>
      </c>
      <c r="I80" s="5" t="s">
        <v>18</v>
      </c>
      <c r="J80" s="15">
        <v>1850</v>
      </c>
      <c r="K80" s="7">
        <v>29</v>
      </c>
      <c r="L80" s="7">
        <f t="shared" si="36"/>
        <v>63.793103448275865</v>
      </c>
      <c r="M80" s="5" t="s">
        <v>9</v>
      </c>
      <c r="N80" s="5">
        <v>4</v>
      </c>
      <c r="O80" s="6">
        <f t="shared" si="37"/>
        <v>4.7054288049940549</v>
      </c>
      <c r="P80" s="6">
        <f t="shared" si="38"/>
        <v>0.48936459571938168</v>
      </c>
      <c r="Q80" s="10">
        <f t="shared" si="39"/>
        <v>1.0195095744153785E-2</v>
      </c>
      <c r="R80" s="10">
        <f t="shared" si="40"/>
        <v>5.0797990133562676E-2</v>
      </c>
      <c r="S80" s="10">
        <f t="shared" si="41"/>
        <v>6.0993085877716458E-2</v>
      </c>
    </row>
    <row r="81" spans="1:19" x14ac:dyDescent="0.25">
      <c r="A81" s="5" t="s">
        <v>8</v>
      </c>
      <c r="B81" s="5" t="s">
        <v>165</v>
      </c>
      <c r="C81" s="5" t="s">
        <v>27</v>
      </c>
      <c r="D81" s="5" t="s">
        <v>385</v>
      </c>
      <c r="E81" s="5" t="s">
        <v>384</v>
      </c>
      <c r="F81" s="5" t="s">
        <v>30</v>
      </c>
      <c r="G81" s="5" t="s">
        <v>397</v>
      </c>
      <c r="H81" s="5" t="s">
        <v>36</v>
      </c>
      <c r="I81" s="5" t="s">
        <v>18</v>
      </c>
      <c r="J81" s="15">
        <v>1600</v>
      </c>
      <c r="K81" s="7">
        <v>29</v>
      </c>
      <c r="L81" s="7">
        <f t="shared" si="36"/>
        <v>55.172413793103445</v>
      </c>
      <c r="M81" s="5" t="s">
        <v>9</v>
      </c>
      <c r="N81" s="5">
        <v>4</v>
      </c>
      <c r="O81" s="6">
        <f t="shared" si="37"/>
        <v>3.0439952437574314</v>
      </c>
      <c r="P81" s="6">
        <f t="shared" si="38"/>
        <v>0.31657550535077283</v>
      </c>
      <c r="Q81" s="10">
        <f t="shared" si="39"/>
        <v>6.5953230281411007E-3</v>
      </c>
      <c r="R81" s="10">
        <f t="shared" si="40"/>
        <v>3.6642078556231465E-2</v>
      </c>
      <c r="S81" s="10">
        <f t="shared" si="41"/>
        <v>4.3237401584372566E-2</v>
      </c>
    </row>
    <row r="82" spans="1:19" x14ac:dyDescent="0.25">
      <c r="A82" s="5" t="s">
        <v>8</v>
      </c>
      <c r="B82" s="5" t="s">
        <v>165</v>
      </c>
      <c r="C82" s="5" t="s">
        <v>27</v>
      </c>
      <c r="D82" s="5" t="s">
        <v>385</v>
      </c>
      <c r="E82" s="5" t="s">
        <v>384</v>
      </c>
      <c r="F82" s="5" t="s">
        <v>30</v>
      </c>
      <c r="G82" s="5" t="s">
        <v>397</v>
      </c>
      <c r="H82" s="5" t="s">
        <v>36</v>
      </c>
      <c r="I82" s="5" t="s">
        <v>180</v>
      </c>
      <c r="J82" s="15">
        <v>3850</v>
      </c>
      <c r="K82" s="7">
        <v>31</v>
      </c>
      <c r="L82" s="7">
        <f t="shared" si="36"/>
        <v>124.19354838709677</v>
      </c>
      <c r="M82" s="5" t="s">
        <v>9</v>
      </c>
      <c r="N82" s="5">
        <v>4</v>
      </c>
      <c r="O82" s="6">
        <f t="shared" si="37"/>
        <v>37.114090140478666</v>
      </c>
      <c r="P82" s="6">
        <f t="shared" si="38"/>
        <v>3.8598653746097806</v>
      </c>
      <c r="Q82" s="10">
        <f t="shared" si="39"/>
        <v>8.0413861971037101E-2</v>
      </c>
      <c r="R82" s="10">
        <f t="shared" si="40"/>
        <v>0.23908439899747766</v>
      </c>
      <c r="S82" s="10">
        <f t="shared" si="41"/>
        <v>0.31949826096851475</v>
      </c>
    </row>
    <row r="83" spans="1:19" x14ac:dyDescent="0.25">
      <c r="A83" s="5" t="s">
        <v>8</v>
      </c>
      <c r="B83" s="5" t="s">
        <v>165</v>
      </c>
      <c r="C83" s="5" t="s">
        <v>27</v>
      </c>
      <c r="D83" s="5" t="s">
        <v>385</v>
      </c>
      <c r="E83" s="5" t="s">
        <v>384</v>
      </c>
      <c r="F83" s="5" t="s">
        <v>30</v>
      </c>
      <c r="G83" s="5" t="s">
        <v>397</v>
      </c>
      <c r="H83" s="5" t="s">
        <v>36</v>
      </c>
      <c r="I83" s="5" t="s">
        <v>71</v>
      </c>
      <c r="J83" s="15">
        <v>2850</v>
      </c>
      <c r="K83" s="7">
        <v>31.5</v>
      </c>
      <c r="L83" s="7">
        <f t="shared" si="36"/>
        <v>90.476190476190482</v>
      </c>
      <c r="M83" s="5" t="s">
        <v>9</v>
      </c>
      <c r="N83" s="5">
        <v>4</v>
      </c>
      <c r="O83" s="6">
        <f t="shared" si="37"/>
        <v>14.5812074829932</v>
      </c>
      <c r="P83" s="6">
        <f t="shared" si="38"/>
        <v>1.5164455782312927</v>
      </c>
      <c r="Q83" s="10">
        <f t="shared" si="39"/>
        <v>3.1592616213151931E-2</v>
      </c>
      <c r="R83" s="10">
        <f t="shared" si="40"/>
        <v>0.11864303331746644</v>
      </c>
      <c r="S83" s="10">
        <f t="shared" si="41"/>
        <v>0.15023564953061835</v>
      </c>
    </row>
    <row r="84" spans="1:19" x14ac:dyDescent="0.25">
      <c r="A84" s="5" t="s">
        <v>22</v>
      </c>
      <c r="B84" s="5" t="s">
        <v>26</v>
      </c>
      <c r="C84" s="5" t="s">
        <v>27</v>
      </c>
      <c r="D84" s="5" t="s">
        <v>385</v>
      </c>
      <c r="E84" s="5" t="s">
        <v>384</v>
      </c>
      <c r="F84" s="5" t="s">
        <v>30</v>
      </c>
      <c r="G84" s="5" t="s">
        <v>397</v>
      </c>
      <c r="H84" s="5" t="s">
        <v>36</v>
      </c>
      <c r="I84" s="5" t="s">
        <v>37</v>
      </c>
      <c r="J84" s="15">
        <v>3100</v>
      </c>
      <c r="K84" s="7">
        <v>36</v>
      </c>
      <c r="L84" s="7">
        <f t="shared" si="36"/>
        <v>86.111111111111114</v>
      </c>
      <c r="M84" s="5" t="s">
        <v>9</v>
      </c>
      <c r="N84" s="5">
        <v>4</v>
      </c>
      <c r="O84" s="6">
        <f t="shared" si="37"/>
        <v>14.366801697530866</v>
      </c>
      <c r="P84" s="6">
        <f t="shared" si="38"/>
        <v>1.4941473765432098</v>
      </c>
      <c r="Q84" s="10">
        <f t="shared" si="39"/>
        <v>3.1128070344650208E-2</v>
      </c>
      <c r="R84" s="10">
        <f t="shared" si="40"/>
        <v>0.11733219553044927</v>
      </c>
      <c r="S84" s="10">
        <f t="shared" si="41"/>
        <v>0.14846026587509947</v>
      </c>
    </row>
    <row r="85" spans="1:19" x14ac:dyDescent="0.25">
      <c r="A85" s="5" t="s">
        <v>8</v>
      </c>
      <c r="B85" s="5" t="s">
        <v>165</v>
      </c>
      <c r="C85" s="5" t="s">
        <v>27</v>
      </c>
      <c r="D85" s="5" t="s">
        <v>385</v>
      </c>
      <c r="E85" s="5" t="s">
        <v>384</v>
      </c>
      <c r="F85" s="5" t="s">
        <v>30</v>
      </c>
      <c r="G85" s="5" t="s">
        <v>397</v>
      </c>
      <c r="H85" s="5" t="s">
        <v>36</v>
      </c>
      <c r="I85" s="5" t="s">
        <v>37</v>
      </c>
      <c r="J85" s="15">
        <v>3000</v>
      </c>
      <c r="K85" s="7">
        <v>34</v>
      </c>
      <c r="L85" s="7">
        <f t="shared" si="36"/>
        <v>88.235294117647058</v>
      </c>
      <c r="M85" s="5" t="s">
        <v>9</v>
      </c>
      <c r="N85" s="5">
        <v>4</v>
      </c>
      <c r="O85" s="6">
        <f t="shared" si="37"/>
        <v>14.597750865051902</v>
      </c>
      <c r="P85" s="6">
        <f t="shared" si="38"/>
        <v>1.5181660899653979</v>
      </c>
      <c r="Q85" s="10">
        <f t="shared" si="39"/>
        <v>3.1628460207612452E-2</v>
      </c>
      <c r="R85" s="10">
        <f t="shared" si="40"/>
        <v>0.11874397551321185</v>
      </c>
      <c r="S85" s="10">
        <f t="shared" si="41"/>
        <v>0.15037243572082432</v>
      </c>
    </row>
    <row r="86" spans="1:19" x14ac:dyDescent="0.25">
      <c r="A86" s="5" t="s">
        <v>8</v>
      </c>
      <c r="B86" s="5" t="s">
        <v>165</v>
      </c>
      <c r="C86" s="5" t="s">
        <v>27</v>
      </c>
      <c r="D86" s="5" t="s">
        <v>385</v>
      </c>
      <c r="E86" s="5" t="s">
        <v>384</v>
      </c>
      <c r="F86" s="5" t="s">
        <v>30</v>
      </c>
      <c r="G86" s="5" t="s">
        <v>397</v>
      </c>
      <c r="H86" s="5" t="s">
        <v>36</v>
      </c>
      <c r="I86" s="5" t="s">
        <v>182</v>
      </c>
      <c r="J86" s="15">
        <v>1450</v>
      </c>
      <c r="K86" s="7">
        <v>32</v>
      </c>
      <c r="L86" s="7">
        <f t="shared" si="36"/>
        <v>45.3125</v>
      </c>
      <c r="M86" s="5" t="s">
        <v>9</v>
      </c>
      <c r="N86" s="5">
        <v>4</v>
      </c>
      <c r="O86" s="6">
        <f t="shared" si="37"/>
        <v>1.8607330322265625</v>
      </c>
      <c r="P86" s="6">
        <f t="shared" si="38"/>
        <v>0.19351623535156245</v>
      </c>
      <c r="Q86" s="10">
        <f t="shared" si="39"/>
        <v>4.031588236490885E-3</v>
      </c>
      <c r="R86" s="10">
        <f t="shared" si="40"/>
        <v>2.5331457284123761E-2</v>
      </c>
      <c r="S86" s="10">
        <f t="shared" si="41"/>
        <v>2.9363045520614646E-2</v>
      </c>
    </row>
    <row r="87" spans="1:19" x14ac:dyDescent="0.25">
      <c r="A87" s="5" t="s">
        <v>8</v>
      </c>
      <c r="B87" s="5" t="s">
        <v>165</v>
      </c>
      <c r="C87" s="5" t="s">
        <v>27</v>
      </c>
      <c r="D87" s="5" t="s">
        <v>385</v>
      </c>
      <c r="E87" s="5" t="s">
        <v>384</v>
      </c>
      <c r="F87" s="5" t="s">
        <v>30</v>
      </c>
      <c r="G87" s="5" t="s">
        <v>397</v>
      </c>
      <c r="H87" s="5" t="s">
        <v>36</v>
      </c>
      <c r="I87" s="5" t="s">
        <v>184</v>
      </c>
      <c r="J87" s="15">
        <v>5250</v>
      </c>
      <c r="K87" s="7">
        <v>42.5</v>
      </c>
      <c r="L87" s="7">
        <f t="shared" si="36"/>
        <v>123.52941176470588</v>
      </c>
      <c r="M87" s="5" t="s">
        <v>9</v>
      </c>
      <c r="N87" s="5">
        <v>4</v>
      </c>
      <c r="O87" s="6">
        <f t="shared" si="37"/>
        <v>50.070285467128031</v>
      </c>
      <c r="P87" s="6">
        <f t="shared" si="38"/>
        <v>5.207309688581315</v>
      </c>
      <c r="Q87" s="10">
        <f t="shared" si="39"/>
        <v>0.10848561851211073</v>
      </c>
      <c r="R87" s="10">
        <f t="shared" si="40"/>
        <v>0.29928308707445306</v>
      </c>
      <c r="S87" s="10">
        <f t="shared" si="41"/>
        <v>0.40776870558656381</v>
      </c>
    </row>
    <row r="88" spans="1:19" x14ac:dyDescent="0.25">
      <c r="A88" s="5" t="s">
        <v>8</v>
      </c>
      <c r="B88" s="5" t="s">
        <v>165</v>
      </c>
      <c r="C88" s="5" t="s">
        <v>27</v>
      </c>
      <c r="D88" s="5" t="s">
        <v>385</v>
      </c>
      <c r="E88" s="5" t="s">
        <v>384</v>
      </c>
      <c r="F88" s="5" t="s">
        <v>30</v>
      </c>
      <c r="G88" s="5" t="s">
        <v>397</v>
      </c>
      <c r="H88" s="5" t="s">
        <v>36</v>
      </c>
      <c r="I88" s="5" t="s">
        <v>185</v>
      </c>
      <c r="J88" s="15">
        <v>3800</v>
      </c>
      <c r="K88" s="7">
        <v>19.5</v>
      </c>
      <c r="L88" s="7">
        <f t="shared" si="36"/>
        <v>194.87179487179486</v>
      </c>
      <c r="M88" s="5" t="s">
        <v>9</v>
      </c>
      <c r="N88" s="5">
        <v>4</v>
      </c>
      <c r="O88" s="6">
        <f t="shared" si="37"/>
        <v>90.190664036817864</v>
      </c>
      <c r="P88" s="6">
        <f t="shared" si="38"/>
        <v>9.3798290598290581</v>
      </c>
      <c r="Q88" s="10">
        <f t="shared" si="39"/>
        <v>0.19541310541310539</v>
      </c>
      <c r="R88" s="10">
        <f t="shared" si="40"/>
        <v>0.4653377789945094</v>
      </c>
      <c r="S88" s="10">
        <f t="shared" si="41"/>
        <v>0.66075088440761476</v>
      </c>
    </row>
    <row r="89" spans="1:19" x14ac:dyDescent="0.25">
      <c r="A89" s="5" t="s">
        <v>22</v>
      </c>
      <c r="B89" s="5" t="s">
        <v>26</v>
      </c>
      <c r="C89" s="5" t="s">
        <v>27</v>
      </c>
      <c r="D89" s="5" t="s">
        <v>385</v>
      </c>
      <c r="E89" s="5" t="s">
        <v>384</v>
      </c>
      <c r="F89" s="5" t="s">
        <v>30</v>
      </c>
      <c r="G89" s="5" t="s">
        <v>397</v>
      </c>
      <c r="H89" s="5" t="s">
        <v>36</v>
      </c>
      <c r="I89" s="5" t="s">
        <v>39</v>
      </c>
      <c r="J89" s="15">
        <v>1950</v>
      </c>
      <c r="K89" s="7">
        <v>38.5</v>
      </c>
      <c r="L89" s="7">
        <f t="shared" si="36"/>
        <v>50.649350649350652</v>
      </c>
      <c r="M89" s="5" t="s">
        <v>9</v>
      </c>
      <c r="N89" s="5">
        <v>4</v>
      </c>
      <c r="O89" s="6">
        <f t="shared" si="37"/>
        <v>3.1265285039635695</v>
      </c>
      <c r="P89" s="6">
        <f t="shared" si="38"/>
        <v>0.3251589644122112</v>
      </c>
      <c r="Q89" s="10">
        <f t="shared" si="39"/>
        <v>6.7741450919210668E-3</v>
      </c>
      <c r="R89" s="10">
        <f t="shared" si="40"/>
        <v>3.7384701610242169E-2</v>
      </c>
      <c r="S89" s="10">
        <f t="shared" si="41"/>
        <v>4.4158846702163232E-2</v>
      </c>
    </row>
    <row r="90" spans="1:19" x14ac:dyDescent="0.25">
      <c r="A90" s="5" t="s">
        <v>22</v>
      </c>
      <c r="B90" s="5" t="s">
        <v>63</v>
      </c>
      <c r="C90" s="5" t="s">
        <v>27</v>
      </c>
      <c r="D90" s="5" t="s">
        <v>385</v>
      </c>
      <c r="E90" s="5" t="s">
        <v>384</v>
      </c>
      <c r="F90" s="5" t="s">
        <v>30</v>
      </c>
      <c r="G90" s="5" t="s">
        <v>397</v>
      </c>
      <c r="H90" s="5" t="s">
        <v>36</v>
      </c>
      <c r="I90" s="5" t="s">
        <v>39</v>
      </c>
      <c r="J90" s="15">
        <v>1950</v>
      </c>
      <c r="K90" s="7">
        <v>38.5</v>
      </c>
      <c r="L90" s="7">
        <f t="shared" si="36"/>
        <v>50.649350649350652</v>
      </c>
      <c r="M90" s="5" t="s">
        <v>9</v>
      </c>
      <c r="N90" s="5">
        <v>4</v>
      </c>
      <c r="O90" s="6">
        <f t="shared" si="37"/>
        <v>3.1265285039635695</v>
      </c>
      <c r="P90" s="6">
        <f t="shared" si="38"/>
        <v>0.3251589644122112</v>
      </c>
      <c r="Q90" s="10">
        <f t="shared" si="39"/>
        <v>6.7741450919210668E-3</v>
      </c>
      <c r="R90" s="10">
        <f t="shared" si="40"/>
        <v>3.7384701610242169E-2</v>
      </c>
      <c r="S90" s="10">
        <f t="shared" si="41"/>
        <v>4.4158846702163232E-2</v>
      </c>
    </row>
    <row r="91" spans="1:19" x14ac:dyDescent="0.25">
      <c r="A91" s="5" t="s">
        <v>8</v>
      </c>
      <c r="B91" s="5" t="s">
        <v>165</v>
      </c>
      <c r="C91" s="5" t="s">
        <v>27</v>
      </c>
      <c r="D91" s="5" t="s">
        <v>385</v>
      </c>
      <c r="E91" s="5" t="s">
        <v>384</v>
      </c>
      <c r="F91" s="5" t="s">
        <v>30</v>
      </c>
      <c r="G91" s="5" t="s">
        <v>397</v>
      </c>
      <c r="H91" s="5" t="s">
        <v>36</v>
      </c>
      <c r="I91" s="5" t="s">
        <v>39</v>
      </c>
      <c r="J91" s="15">
        <v>1800</v>
      </c>
      <c r="K91" s="7">
        <v>38</v>
      </c>
      <c r="L91" s="7">
        <f t="shared" si="36"/>
        <v>47.368421052631582</v>
      </c>
      <c r="M91" s="5" t="s">
        <v>9</v>
      </c>
      <c r="N91" s="5">
        <v>4</v>
      </c>
      <c r="O91" s="6">
        <f t="shared" si="37"/>
        <v>2.5242382271468147</v>
      </c>
      <c r="P91" s="6">
        <f t="shared" si="38"/>
        <v>0.2625207756232687</v>
      </c>
      <c r="Q91" s="10">
        <f t="shared" si="39"/>
        <v>5.4691828254847643E-3</v>
      </c>
      <c r="R91" s="10">
        <f t="shared" si="40"/>
        <v>3.1841599745227871E-2</v>
      </c>
      <c r="S91" s="10">
        <f t="shared" si="41"/>
        <v>3.7310782570712638E-2</v>
      </c>
    </row>
    <row r="92" spans="1:19" x14ac:dyDescent="0.25">
      <c r="A92" s="5" t="s">
        <v>8</v>
      </c>
      <c r="B92" s="5" t="s">
        <v>165</v>
      </c>
      <c r="C92" s="5" t="s">
        <v>27</v>
      </c>
      <c r="D92" s="5" t="s">
        <v>385</v>
      </c>
      <c r="E92" s="5" t="s">
        <v>384</v>
      </c>
      <c r="F92" s="5" t="s">
        <v>30</v>
      </c>
      <c r="G92" s="5" t="s">
        <v>397</v>
      </c>
      <c r="H92" s="5" t="s">
        <v>36</v>
      </c>
      <c r="I92" s="5" t="s">
        <v>39</v>
      </c>
      <c r="J92" s="15">
        <v>1850</v>
      </c>
      <c r="K92" s="7">
        <v>38.5</v>
      </c>
      <c r="L92" s="7">
        <f t="shared" si="36"/>
        <v>48.051948051948052</v>
      </c>
      <c r="M92" s="5" t="s">
        <v>9</v>
      </c>
      <c r="N92" s="5">
        <v>4</v>
      </c>
      <c r="O92" s="6">
        <f t="shared" si="37"/>
        <v>2.6697693540226006</v>
      </c>
      <c r="P92" s="6">
        <f t="shared" si="38"/>
        <v>0.27765601281835045</v>
      </c>
      <c r="Q92" s="10">
        <f t="shared" si="39"/>
        <v>5.7845002670489677E-3</v>
      </c>
      <c r="R92" s="10">
        <f t="shared" si="40"/>
        <v>3.3208742598630749E-2</v>
      </c>
      <c r="S92" s="10">
        <f t="shared" si="41"/>
        <v>3.899324286567972E-2</v>
      </c>
    </row>
    <row r="93" spans="1:19" x14ac:dyDescent="0.25">
      <c r="A93" s="5" t="s">
        <v>8</v>
      </c>
      <c r="B93" s="5" t="s">
        <v>165</v>
      </c>
      <c r="C93" s="5" t="s">
        <v>27</v>
      </c>
      <c r="D93" s="5" t="s">
        <v>385</v>
      </c>
      <c r="E93" s="5" t="s">
        <v>384</v>
      </c>
      <c r="F93" s="5" t="s">
        <v>30</v>
      </c>
      <c r="G93" s="5" t="s">
        <v>397</v>
      </c>
      <c r="H93" s="5" t="s">
        <v>36</v>
      </c>
      <c r="I93" s="5" t="s">
        <v>186</v>
      </c>
      <c r="J93" s="15">
        <v>1250</v>
      </c>
      <c r="K93" s="7">
        <v>34</v>
      </c>
      <c r="L93" s="7">
        <f t="shared" si="36"/>
        <v>36.764705882352942</v>
      </c>
      <c r="M93" s="5" t="s">
        <v>9</v>
      </c>
      <c r="N93" s="5">
        <v>4</v>
      </c>
      <c r="O93" s="6">
        <f t="shared" si="37"/>
        <v>1.0559715614186851</v>
      </c>
      <c r="P93" s="6">
        <f t="shared" si="38"/>
        <v>0.10982104238754326</v>
      </c>
      <c r="Q93" s="10">
        <f t="shared" si="39"/>
        <v>2.2879383830738177E-3</v>
      </c>
      <c r="R93" s="10">
        <f t="shared" si="40"/>
        <v>1.65628966155872E-2</v>
      </c>
      <c r="S93" s="10">
        <f t="shared" si="41"/>
        <v>1.8850834998661019E-2</v>
      </c>
    </row>
    <row r="94" spans="1:19" x14ac:dyDescent="0.25">
      <c r="A94" s="5" t="s">
        <v>8</v>
      </c>
      <c r="B94" s="5" t="s">
        <v>220</v>
      </c>
      <c r="C94" s="5" t="s">
        <v>27</v>
      </c>
      <c r="D94" s="5" t="s">
        <v>385</v>
      </c>
      <c r="E94" s="5" t="s">
        <v>384</v>
      </c>
      <c r="F94" s="5" t="s">
        <v>30</v>
      </c>
      <c r="G94" s="5" t="s">
        <v>397</v>
      </c>
      <c r="H94" s="5" t="s">
        <v>64</v>
      </c>
      <c r="I94" s="5" t="s">
        <v>221</v>
      </c>
      <c r="J94" s="15">
        <v>4675</v>
      </c>
      <c r="K94" s="7">
        <v>30</v>
      </c>
      <c r="L94" s="7">
        <f t="shared" si="36"/>
        <v>155.83333333333334</v>
      </c>
      <c r="M94" s="5" t="s">
        <v>9</v>
      </c>
      <c r="N94" s="5">
        <v>4</v>
      </c>
      <c r="O94" s="6">
        <f t="shared" si="37"/>
        <v>70.954893663194454</v>
      </c>
      <c r="P94" s="6">
        <f t="shared" si="38"/>
        <v>7.3793089409722228</v>
      </c>
      <c r="Q94" s="10">
        <f t="shared" si="39"/>
        <v>0.15373560293692132</v>
      </c>
      <c r="R94" s="10">
        <f t="shared" si="40"/>
        <v>0.38871731788170716</v>
      </c>
      <c r="S94" s="10">
        <f t="shared" si="41"/>
        <v>0.5424529208186285</v>
      </c>
    </row>
    <row r="95" spans="1:19" x14ac:dyDescent="0.25">
      <c r="A95" s="5" t="s">
        <v>8</v>
      </c>
      <c r="B95" s="5" t="s">
        <v>220</v>
      </c>
      <c r="C95" s="5" t="s">
        <v>27</v>
      </c>
      <c r="D95" s="5" t="s">
        <v>385</v>
      </c>
      <c r="E95" s="5" t="s">
        <v>384</v>
      </c>
      <c r="F95" s="5" t="s">
        <v>30</v>
      </c>
      <c r="G95" s="5" t="s">
        <v>397</v>
      </c>
      <c r="H95" s="5" t="s">
        <v>64</v>
      </c>
      <c r="I95" s="5" t="s">
        <v>222</v>
      </c>
      <c r="J95" s="15">
        <v>7318</v>
      </c>
      <c r="K95" s="7">
        <v>42</v>
      </c>
      <c r="L95" s="7">
        <f t="shared" si="36"/>
        <v>174.23809523809524</v>
      </c>
      <c r="M95" s="5" t="s">
        <v>9</v>
      </c>
      <c r="N95" s="5">
        <v>4</v>
      </c>
      <c r="O95" s="6">
        <f t="shared" si="37"/>
        <v>138.85408214002268</v>
      </c>
      <c r="P95" s="6">
        <f t="shared" si="38"/>
        <v>14.440824542562359</v>
      </c>
      <c r="Q95" s="10">
        <f t="shared" si="39"/>
        <v>0.30085051130338247</v>
      </c>
      <c r="R95" s="10">
        <f t="shared" si="40"/>
        <v>0.64315568574253767</v>
      </c>
      <c r="S95" s="10">
        <f t="shared" si="41"/>
        <v>0.94400619704592015</v>
      </c>
    </row>
    <row r="96" spans="1:19" x14ac:dyDescent="0.25">
      <c r="A96" s="5" t="s">
        <v>8</v>
      </c>
      <c r="B96" s="5" t="s">
        <v>220</v>
      </c>
      <c r="C96" s="5" t="s">
        <v>27</v>
      </c>
      <c r="D96" s="5" t="s">
        <v>385</v>
      </c>
      <c r="E96" s="5" t="s">
        <v>384</v>
      </c>
      <c r="F96" s="5" t="s">
        <v>30</v>
      </c>
      <c r="G96" s="5" t="s">
        <v>397</v>
      </c>
      <c r="H96" s="5" t="s">
        <v>64</v>
      </c>
      <c r="I96" s="5" t="s">
        <v>222</v>
      </c>
      <c r="J96" s="15">
        <v>7175</v>
      </c>
      <c r="K96" s="7">
        <v>38</v>
      </c>
      <c r="L96" s="7">
        <f t="shared" si="36"/>
        <v>188.81578947368422</v>
      </c>
      <c r="M96" s="5" t="s">
        <v>9</v>
      </c>
      <c r="N96" s="5">
        <v>4</v>
      </c>
      <c r="O96" s="6">
        <f t="shared" si="37"/>
        <v>159.87425743377773</v>
      </c>
      <c r="P96" s="6">
        <f t="shared" si="38"/>
        <v>16.626922773112884</v>
      </c>
      <c r="Q96" s="10">
        <f t="shared" si="39"/>
        <v>0.34639422443985174</v>
      </c>
      <c r="R96" s="10">
        <f t="shared" si="40"/>
        <v>0.71487651439725008</v>
      </c>
      <c r="S96" s="10">
        <f t="shared" si="41"/>
        <v>1.0612707388371019</v>
      </c>
    </row>
    <row r="97" spans="1:19" x14ac:dyDescent="0.25">
      <c r="A97" s="5" t="s">
        <v>8</v>
      </c>
      <c r="B97" s="5" t="s">
        <v>220</v>
      </c>
      <c r="C97" s="5" t="s">
        <v>27</v>
      </c>
      <c r="D97" s="5" t="s">
        <v>385</v>
      </c>
      <c r="E97" s="5" t="s">
        <v>384</v>
      </c>
      <c r="F97" s="5" t="s">
        <v>30</v>
      </c>
      <c r="G97" s="5" t="s">
        <v>397</v>
      </c>
      <c r="H97" s="5" t="s">
        <v>64</v>
      </c>
      <c r="I97" s="5" t="s">
        <v>223</v>
      </c>
      <c r="J97" s="15">
        <v>2448</v>
      </c>
      <c r="K97" s="7">
        <v>17</v>
      </c>
      <c r="L97" s="7">
        <f t="shared" si="36"/>
        <v>144</v>
      </c>
      <c r="M97" s="5" t="s">
        <v>9</v>
      </c>
      <c r="N97" s="5">
        <v>4</v>
      </c>
      <c r="O97" s="6">
        <f t="shared" si="37"/>
        <v>31.72608</v>
      </c>
      <c r="P97" s="6">
        <f t="shared" si="38"/>
        <v>3.2995123199999994</v>
      </c>
      <c r="Q97" s="10">
        <f t="shared" si="39"/>
        <v>6.8739839999999997E-2</v>
      </c>
      <c r="R97" s="10">
        <f t="shared" si="40"/>
        <v>0.21254918085556765</v>
      </c>
      <c r="S97" s="10">
        <f t="shared" si="41"/>
        <v>0.28128902085556762</v>
      </c>
    </row>
    <row r="98" spans="1:19" x14ac:dyDescent="0.25">
      <c r="J98" s="16">
        <f t="shared" ref="J98:S98" si="42">AVERAGE(J78:J97)</f>
        <v>3243.3</v>
      </c>
      <c r="K98" s="12">
        <f t="shared" si="42"/>
        <v>32.875</v>
      </c>
      <c r="L98" s="12">
        <f t="shared" si="42"/>
        <v>101.73141365243147</v>
      </c>
      <c r="M98" s="11" t="e">
        <f t="shared" si="42"/>
        <v>#DIV/0!</v>
      </c>
      <c r="N98" s="11">
        <f t="shared" si="42"/>
        <v>4</v>
      </c>
      <c r="O98" s="13">
        <f t="shared" si="42"/>
        <v>36.417431546145323</v>
      </c>
      <c r="P98" s="13">
        <f t="shared" si="42"/>
        <v>3.7874128807991134</v>
      </c>
      <c r="Q98" s="14">
        <f t="shared" si="42"/>
        <v>7.8904435016648206E-2</v>
      </c>
      <c r="R98" s="14">
        <f t="shared" si="42"/>
        <v>0.2055122729987208</v>
      </c>
      <c r="S98" s="14">
        <f t="shared" si="42"/>
        <v>0.28441670801536906</v>
      </c>
    </row>
    <row r="99" spans="1:19" x14ac:dyDescent="0.25">
      <c r="A99" s="5" t="s">
        <v>22</v>
      </c>
      <c r="B99" s="5" t="s">
        <v>26</v>
      </c>
      <c r="C99" s="5" t="s">
        <v>27</v>
      </c>
      <c r="D99" s="5" t="s">
        <v>385</v>
      </c>
      <c r="E99" s="5" t="s">
        <v>384</v>
      </c>
      <c r="F99" s="5" t="s">
        <v>30</v>
      </c>
      <c r="G99" s="5" t="s">
        <v>392</v>
      </c>
      <c r="H99" s="5" t="s">
        <v>31</v>
      </c>
      <c r="I99" s="5" t="s">
        <v>33</v>
      </c>
      <c r="J99" s="15">
        <v>1250</v>
      </c>
      <c r="K99" s="7">
        <v>25</v>
      </c>
      <c r="L99" s="7">
        <f t="shared" ref="L99:L139" si="43">J99/K99</f>
        <v>50</v>
      </c>
      <c r="M99" s="5" t="s">
        <v>9</v>
      </c>
      <c r="N99" s="5">
        <v>4</v>
      </c>
      <c r="O99" s="6">
        <f t="shared" ref="O99:O139" si="44">(J99*L99^2)/(1.6*10^6)</f>
        <v>1.953125</v>
      </c>
      <c r="P99" s="6">
        <f t="shared" ref="P99:P139" si="45">(0.104*J99*L99^2)/(1.6*10^6)</f>
        <v>0.203125</v>
      </c>
      <c r="Q99" s="10">
        <f t="shared" ref="Q99:Q139" si="46">(0.104*O99)/(12*N99)</f>
        <v>4.231770833333333E-3</v>
      </c>
      <c r="R99" s="10">
        <f t="shared" ref="R99:R139" si="47">0.0159*O99^0.75</f>
        <v>2.6269067326101514E-2</v>
      </c>
      <c r="S99" s="10">
        <f t="shared" ref="S99:S139" si="48">Q99+R99</f>
        <v>3.0500838159434846E-2</v>
      </c>
    </row>
    <row r="100" spans="1:19" x14ac:dyDescent="0.25">
      <c r="A100" s="5" t="s">
        <v>22</v>
      </c>
      <c r="B100" s="5" t="s">
        <v>63</v>
      </c>
      <c r="C100" s="5" t="s">
        <v>27</v>
      </c>
      <c r="D100" s="5" t="s">
        <v>385</v>
      </c>
      <c r="E100" s="5" t="s">
        <v>384</v>
      </c>
      <c r="F100" s="5" t="s">
        <v>30</v>
      </c>
      <c r="G100" s="5" t="s">
        <v>392</v>
      </c>
      <c r="H100" s="5" t="s">
        <v>31</v>
      </c>
      <c r="I100" s="5" t="s">
        <v>33</v>
      </c>
      <c r="J100" s="15">
        <v>1050</v>
      </c>
      <c r="K100" s="7">
        <v>24.5</v>
      </c>
      <c r="L100" s="7">
        <f t="shared" si="43"/>
        <v>42.857142857142854</v>
      </c>
      <c r="M100" s="5" t="s">
        <v>9</v>
      </c>
      <c r="N100" s="5">
        <v>4</v>
      </c>
      <c r="O100" s="6">
        <f t="shared" si="44"/>
        <v>1.2053571428571428</v>
      </c>
      <c r="P100" s="6">
        <f t="shared" si="45"/>
        <v>0.12535714285714283</v>
      </c>
      <c r="Q100" s="10">
        <f t="shared" si="46"/>
        <v>2.6116071428571425E-3</v>
      </c>
      <c r="R100" s="10">
        <f t="shared" si="47"/>
        <v>1.8290851916478671E-2</v>
      </c>
      <c r="S100" s="10">
        <f t="shared" si="48"/>
        <v>2.0902459059335812E-2</v>
      </c>
    </row>
    <row r="101" spans="1:19" x14ac:dyDescent="0.25">
      <c r="A101" s="5" t="s">
        <v>8</v>
      </c>
      <c r="B101" s="5" t="s">
        <v>287</v>
      </c>
      <c r="C101" s="5" t="s">
        <v>27</v>
      </c>
      <c r="D101" s="5" t="s">
        <v>385</v>
      </c>
      <c r="E101" s="5" t="s">
        <v>384</v>
      </c>
      <c r="F101" s="5" t="s">
        <v>30</v>
      </c>
      <c r="G101" s="5" t="s">
        <v>392</v>
      </c>
      <c r="H101" s="5" t="s">
        <v>31</v>
      </c>
      <c r="I101" s="5" t="s">
        <v>33</v>
      </c>
      <c r="J101" s="15">
        <v>1000</v>
      </c>
      <c r="K101" s="7">
        <v>26.5</v>
      </c>
      <c r="L101" s="7">
        <f t="shared" si="43"/>
        <v>37.735849056603776</v>
      </c>
      <c r="M101" s="5" t="s">
        <v>9</v>
      </c>
      <c r="N101" s="5">
        <v>4</v>
      </c>
      <c r="O101" s="6">
        <f t="shared" si="44"/>
        <v>0.88999644001424005</v>
      </c>
      <c r="P101" s="6">
        <f t="shared" si="45"/>
        <v>9.2559629761480952E-2</v>
      </c>
      <c r="Q101" s="10">
        <f t="shared" si="46"/>
        <v>1.9283256200308535E-3</v>
      </c>
      <c r="R101" s="10">
        <f t="shared" si="47"/>
        <v>1.4569287935358966E-2</v>
      </c>
      <c r="S101" s="10">
        <f t="shared" si="48"/>
        <v>1.6497613555389819E-2</v>
      </c>
    </row>
    <row r="102" spans="1:19" x14ac:dyDescent="0.25">
      <c r="A102" s="5" t="s">
        <v>22</v>
      </c>
      <c r="B102" s="5" t="s">
        <v>63</v>
      </c>
      <c r="C102" s="5" t="s">
        <v>27</v>
      </c>
      <c r="D102" s="5" t="s">
        <v>385</v>
      </c>
      <c r="E102" s="5" t="s">
        <v>384</v>
      </c>
      <c r="F102" s="5" t="s">
        <v>30</v>
      </c>
      <c r="G102" s="5" t="s">
        <v>392</v>
      </c>
      <c r="H102" s="5" t="s">
        <v>31</v>
      </c>
      <c r="I102" s="5" t="s">
        <v>141</v>
      </c>
      <c r="J102" s="15">
        <v>3070</v>
      </c>
      <c r="K102" s="7">
        <v>32.5</v>
      </c>
      <c r="L102" s="7">
        <f t="shared" si="43"/>
        <v>94.461538461538467</v>
      </c>
      <c r="M102" s="5" t="s">
        <v>9</v>
      </c>
      <c r="N102" s="5">
        <v>4</v>
      </c>
      <c r="O102" s="6">
        <f t="shared" si="44"/>
        <v>17.120972189349114</v>
      </c>
      <c r="P102" s="6">
        <f t="shared" si="45"/>
        <v>1.7805811076923079</v>
      </c>
      <c r="Q102" s="10">
        <f t="shared" si="46"/>
        <v>3.7095439743589746E-2</v>
      </c>
      <c r="R102" s="10">
        <f t="shared" si="47"/>
        <v>0.13382690699889258</v>
      </c>
      <c r="S102" s="10">
        <f t="shared" si="48"/>
        <v>0.17092234674248233</v>
      </c>
    </row>
    <row r="103" spans="1:19" x14ac:dyDescent="0.25">
      <c r="A103" s="5" t="s">
        <v>8</v>
      </c>
      <c r="B103" s="5" t="s">
        <v>370</v>
      </c>
      <c r="C103" s="5" t="s">
        <v>27</v>
      </c>
      <c r="D103" s="5" t="s">
        <v>385</v>
      </c>
      <c r="E103" s="5" t="s">
        <v>384</v>
      </c>
      <c r="F103" s="5" t="s">
        <v>30</v>
      </c>
      <c r="G103" s="5" t="s">
        <v>392</v>
      </c>
      <c r="H103" s="5" t="s">
        <v>34</v>
      </c>
      <c r="I103" s="5" t="s">
        <v>371</v>
      </c>
      <c r="J103" s="15">
        <v>799</v>
      </c>
      <c r="K103" s="7">
        <v>21.8</v>
      </c>
      <c r="L103" s="7">
        <f t="shared" si="43"/>
        <v>36.651376146788991</v>
      </c>
      <c r="M103" s="5" t="s">
        <v>9</v>
      </c>
      <c r="N103" s="5">
        <v>4</v>
      </c>
      <c r="O103" s="6">
        <f t="shared" si="44"/>
        <v>0.67082210961829813</v>
      </c>
      <c r="P103" s="6">
        <f t="shared" si="45"/>
        <v>6.9765499400302994E-2</v>
      </c>
      <c r="Q103" s="10">
        <f t="shared" si="46"/>
        <v>1.4534479041729794E-3</v>
      </c>
      <c r="R103" s="10">
        <f t="shared" si="47"/>
        <v>1.1785625867435959E-2</v>
      </c>
      <c r="S103" s="10">
        <f t="shared" si="48"/>
        <v>1.3239073771608939E-2</v>
      </c>
    </row>
    <row r="104" spans="1:19" x14ac:dyDescent="0.25">
      <c r="A104" s="5" t="s">
        <v>8</v>
      </c>
      <c r="B104" s="5" t="s">
        <v>370</v>
      </c>
      <c r="C104" s="5" t="s">
        <v>27</v>
      </c>
      <c r="D104" s="5" t="s">
        <v>385</v>
      </c>
      <c r="E104" s="5" t="s">
        <v>384</v>
      </c>
      <c r="F104" s="5" t="s">
        <v>30</v>
      </c>
      <c r="G104" s="5" t="s">
        <v>392</v>
      </c>
      <c r="H104" s="5" t="s">
        <v>34</v>
      </c>
      <c r="I104" s="5" t="s">
        <v>371</v>
      </c>
      <c r="J104" s="15">
        <v>695</v>
      </c>
      <c r="K104" s="7">
        <v>19.5</v>
      </c>
      <c r="L104" s="7">
        <f t="shared" si="43"/>
        <v>35.641025641025642</v>
      </c>
      <c r="M104" s="5" t="s">
        <v>9</v>
      </c>
      <c r="N104" s="5">
        <v>4</v>
      </c>
      <c r="O104" s="6">
        <f t="shared" si="44"/>
        <v>0.55177905161078245</v>
      </c>
      <c r="P104" s="6">
        <f t="shared" si="45"/>
        <v>5.7385021367521369E-2</v>
      </c>
      <c r="Q104" s="10">
        <f t="shared" si="46"/>
        <v>1.1955212784900285E-3</v>
      </c>
      <c r="R104" s="10">
        <f t="shared" si="47"/>
        <v>1.0179373052067059E-2</v>
      </c>
      <c r="S104" s="10">
        <f t="shared" si="48"/>
        <v>1.1374894330557089E-2</v>
      </c>
    </row>
    <row r="105" spans="1:19" x14ac:dyDescent="0.25">
      <c r="A105" s="5" t="s">
        <v>8</v>
      </c>
      <c r="B105" s="5" t="s">
        <v>270</v>
      </c>
      <c r="C105" s="5" t="s">
        <v>27</v>
      </c>
      <c r="D105" s="5" t="s">
        <v>385</v>
      </c>
      <c r="E105" s="5" t="s">
        <v>384</v>
      </c>
      <c r="F105" s="5" t="s">
        <v>30</v>
      </c>
      <c r="G105" s="5" t="s">
        <v>392</v>
      </c>
      <c r="H105" s="5" t="s">
        <v>34</v>
      </c>
      <c r="I105" s="5" t="s">
        <v>274</v>
      </c>
      <c r="J105" s="15">
        <v>3450</v>
      </c>
      <c r="K105" s="7">
        <v>45</v>
      </c>
      <c r="L105" s="7">
        <f t="shared" si="43"/>
        <v>76.666666666666671</v>
      </c>
      <c r="M105" s="5" t="s">
        <v>9</v>
      </c>
      <c r="N105" s="5">
        <v>4</v>
      </c>
      <c r="O105" s="6">
        <f t="shared" si="44"/>
        <v>12.673958333333335</v>
      </c>
      <c r="P105" s="6">
        <f t="shared" si="45"/>
        <v>1.3180916666666669</v>
      </c>
      <c r="Q105" s="10">
        <f t="shared" si="46"/>
        <v>2.7460243055555559E-2</v>
      </c>
      <c r="R105" s="10">
        <f t="shared" si="47"/>
        <v>0.10680247834350282</v>
      </c>
      <c r="S105" s="10">
        <f t="shared" si="48"/>
        <v>0.13426272139905837</v>
      </c>
    </row>
    <row r="106" spans="1:19" x14ac:dyDescent="0.25">
      <c r="A106" s="5" t="s">
        <v>8</v>
      </c>
      <c r="B106" s="5" t="s">
        <v>270</v>
      </c>
      <c r="C106" s="5" t="s">
        <v>27</v>
      </c>
      <c r="D106" s="5" t="s">
        <v>385</v>
      </c>
      <c r="E106" s="5" t="s">
        <v>384</v>
      </c>
      <c r="F106" s="5" t="s">
        <v>30</v>
      </c>
      <c r="G106" s="5" t="s">
        <v>392</v>
      </c>
      <c r="H106" s="5" t="s">
        <v>34</v>
      </c>
      <c r="I106" s="5" t="s">
        <v>271</v>
      </c>
      <c r="J106" s="15">
        <v>3400</v>
      </c>
      <c r="K106" s="7">
        <v>38</v>
      </c>
      <c r="L106" s="7">
        <f t="shared" si="43"/>
        <v>89.473684210526315</v>
      </c>
      <c r="M106" s="5" t="s">
        <v>9</v>
      </c>
      <c r="N106" s="5">
        <v>4</v>
      </c>
      <c r="O106" s="6">
        <f t="shared" si="44"/>
        <v>17.011772853185594</v>
      </c>
      <c r="P106" s="6">
        <f t="shared" si="45"/>
        <v>1.7692243767313018</v>
      </c>
      <c r="Q106" s="10">
        <f t="shared" si="46"/>
        <v>3.6858841181902115E-2</v>
      </c>
      <c r="R106" s="10">
        <f t="shared" si="47"/>
        <v>0.13318622383409978</v>
      </c>
      <c r="S106" s="10">
        <f t="shared" si="48"/>
        <v>0.17004506501600189</v>
      </c>
    </row>
    <row r="107" spans="1:19" x14ac:dyDescent="0.25">
      <c r="A107" s="5" t="s">
        <v>8</v>
      </c>
      <c r="B107" s="5" t="s">
        <v>270</v>
      </c>
      <c r="C107" s="5" t="s">
        <v>27</v>
      </c>
      <c r="D107" s="5" t="s">
        <v>385</v>
      </c>
      <c r="E107" s="5" t="s">
        <v>384</v>
      </c>
      <c r="F107" s="5" t="s">
        <v>30</v>
      </c>
      <c r="G107" s="5" t="s">
        <v>392</v>
      </c>
      <c r="H107" s="5" t="s">
        <v>34</v>
      </c>
      <c r="I107" s="5" t="s">
        <v>276</v>
      </c>
      <c r="J107" s="15">
        <v>1900</v>
      </c>
      <c r="K107" s="7">
        <v>29.8</v>
      </c>
      <c r="L107" s="7">
        <f t="shared" si="43"/>
        <v>63.758389261744966</v>
      </c>
      <c r="M107" s="5" t="s">
        <v>9</v>
      </c>
      <c r="N107" s="5">
        <v>4</v>
      </c>
      <c r="O107" s="6">
        <f t="shared" si="44"/>
        <v>4.8273444889869825</v>
      </c>
      <c r="P107" s="6">
        <f t="shared" si="45"/>
        <v>0.50204382685464621</v>
      </c>
      <c r="Q107" s="10">
        <f t="shared" si="46"/>
        <v>1.0459246392805129E-2</v>
      </c>
      <c r="R107" s="10">
        <f t="shared" si="47"/>
        <v>5.1781943123725895E-2</v>
      </c>
      <c r="S107" s="10">
        <f t="shared" si="48"/>
        <v>6.2241189516531022E-2</v>
      </c>
    </row>
    <row r="108" spans="1:19" x14ac:dyDescent="0.25">
      <c r="A108" s="5" t="s">
        <v>8</v>
      </c>
      <c r="B108" s="5" t="s">
        <v>270</v>
      </c>
      <c r="C108" s="5" t="s">
        <v>27</v>
      </c>
      <c r="D108" s="5" t="s">
        <v>385</v>
      </c>
      <c r="E108" s="5" t="s">
        <v>384</v>
      </c>
      <c r="F108" s="5" t="s">
        <v>30</v>
      </c>
      <c r="G108" s="5" t="s">
        <v>392</v>
      </c>
      <c r="H108" s="5" t="s">
        <v>34</v>
      </c>
      <c r="I108" s="5" t="s">
        <v>275</v>
      </c>
      <c r="J108" s="15">
        <v>2390</v>
      </c>
      <c r="K108" s="7">
        <v>31.7</v>
      </c>
      <c r="L108" s="7">
        <f t="shared" si="43"/>
        <v>75.394321766561518</v>
      </c>
      <c r="M108" s="5" t="s">
        <v>9</v>
      </c>
      <c r="N108" s="5">
        <v>4</v>
      </c>
      <c r="O108" s="6">
        <f t="shared" si="44"/>
        <v>8.4909287334932184</v>
      </c>
      <c r="P108" s="6">
        <f t="shared" si="45"/>
        <v>0.88305658828329481</v>
      </c>
      <c r="Q108" s="10">
        <f t="shared" si="46"/>
        <v>1.8397012255901974E-2</v>
      </c>
      <c r="R108" s="10">
        <f t="shared" si="47"/>
        <v>7.9088533214020734E-2</v>
      </c>
      <c r="S108" s="10">
        <f t="shared" si="48"/>
        <v>9.7485545469922705E-2</v>
      </c>
    </row>
    <row r="109" spans="1:19" x14ac:dyDescent="0.25">
      <c r="A109" s="5" t="s">
        <v>8</v>
      </c>
      <c r="B109" s="5" t="s">
        <v>270</v>
      </c>
      <c r="C109" s="5" t="s">
        <v>27</v>
      </c>
      <c r="D109" s="5" t="s">
        <v>385</v>
      </c>
      <c r="E109" s="5" t="s">
        <v>384</v>
      </c>
      <c r="F109" s="5" t="s">
        <v>30</v>
      </c>
      <c r="G109" s="5" t="s">
        <v>392</v>
      </c>
      <c r="H109" s="5" t="s">
        <v>34</v>
      </c>
      <c r="I109" s="5" t="s">
        <v>272</v>
      </c>
      <c r="J109" s="15">
        <v>3180</v>
      </c>
      <c r="K109" s="7">
        <v>35</v>
      </c>
      <c r="L109" s="7">
        <f t="shared" si="43"/>
        <v>90.857142857142861</v>
      </c>
      <c r="M109" s="5" t="s">
        <v>9</v>
      </c>
      <c r="N109" s="5">
        <v>4</v>
      </c>
      <c r="O109" s="6">
        <f t="shared" si="44"/>
        <v>16.406853061224488</v>
      </c>
      <c r="P109" s="6">
        <f t="shared" si="45"/>
        <v>1.706312718367347</v>
      </c>
      <c r="Q109" s="10">
        <f t="shared" si="46"/>
        <v>3.554818163265306E-2</v>
      </c>
      <c r="R109" s="10">
        <f t="shared" si="47"/>
        <v>0.12961823122752753</v>
      </c>
      <c r="S109" s="10">
        <f t="shared" si="48"/>
        <v>0.16516641286018058</v>
      </c>
    </row>
    <row r="110" spans="1:19" x14ac:dyDescent="0.25">
      <c r="A110" s="5" t="s">
        <v>8</v>
      </c>
      <c r="B110" s="5" t="s">
        <v>270</v>
      </c>
      <c r="C110" s="5" t="s">
        <v>27</v>
      </c>
      <c r="D110" s="5" t="s">
        <v>385</v>
      </c>
      <c r="E110" s="5" t="s">
        <v>384</v>
      </c>
      <c r="F110" s="5" t="s">
        <v>30</v>
      </c>
      <c r="G110" s="5" t="s">
        <v>392</v>
      </c>
      <c r="H110" s="5" t="s">
        <v>34</v>
      </c>
      <c r="I110" s="5" t="s">
        <v>272</v>
      </c>
      <c r="J110" s="15">
        <v>3510</v>
      </c>
      <c r="K110" s="7">
        <v>38.200000000000003</v>
      </c>
      <c r="L110" s="7">
        <f t="shared" si="43"/>
        <v>91.8848167539267</v>
      </c>
      <c r="M110" s="5" t="s">
        <v>9</v>
      </c>
      <c r="N110" s="5">
        <v>4</v>
      </c>
      <c r="O110" s="6">
        <f t="shared" si="44"/>
        <v>18.52143538759902</v>
      </c>
      <c r="P110" s="6">
        <f t="shared" si="45"/>
        <v>1.9262292803102978</v>
      </c>
      <c r="Q110" s="10">
        <f t="shared" si="46"/>
        <v>4.0129776673131209E-2</v>
      </c>
      <c r="R110" s="10">
        <f t="shared" si="47"/>
        <v>0.14195578806050616</v>
      </c>
      <c r="S110" s="10">
        <f t="shared" si="48"/>
        <v>0.18208556473363735</v>
      </c>
    </row>
    <row r="111" spans="1:19" x14ac:dyDescent="0.25">
      <c r="A111" s="5" t="s">
        <v>8</v>
      </c>
      <c r="B111" s="5" t="s">
        <v>357</v>
      </c>
      <c r="C111" s="5" t="s">
        <v>27</v>
      </c>
      <c r="D111" s="5" t="s">
        <v>385</v>
      </c>
      <c r="E111" s="5" t="s">
        <v>384</v>
      </c>
      <c r="F111" s="5" t="s">
        <v>30</v>
      </c>
      <c r="G111" s="5" t="s">
        <v>392</v>
      </c>
      <c r="H111" s="5" t="s">
        <v>34</v>
      </c>
      <c r="I111" s="5" t="s">
        <v>318</v>
      </c>
      <c r="J111" s="15">
        <v>1800</v>
      </c>
      <c r="K111" s="7">
        <v>32</v>
      </c>
      <c r="L111" s="7">
        <f t="shared" si="43"/>
        <v>56.25</v>
      </c>
      <c r="M111" s="5" t="s">
        <v>9</v>
      </c>
      <c r="N111" s="5">
        <v>4</v>
      </c>
      <c r="O111" s="6">
        <f t="shared" si="44"/>
        <v>3.5595703125</v>
      </c>
      <c r="P111" s="6">
        <f t="shared" si="45"/>
        <v>0.37019531249999998</v>
      </c>
      <c r="Q111" s="10">
        <f t="shared" si="46"/>
        <v>7.71240234375E-3</v>
      </c>
      <c r="R111" s="10">
        <f t="shared" si="47"/>
        <v>4.1204562411128992E-2</v>
      </c>
      <c r="S111" s="10">
        <f t="shared" si="48"/>
        <v>4.8916964754878993E-2</v>
      </c>
    </row>
    <row r="112" spans="1:19" x14ac:dyDescent="0.25">
      <c r="A112" s="5" t="s">
        <v>22</v>
      </c>
      <c r="B112" s="5" t="s">
        <v>26</v>
      </c>
      <c r="C112" s="5" t="s">
        <v>27</v>
      </c>
      <c r="D112" s="5" t="s">
        <v>385</v>
      </c>
      <c r="E112" s="5" t="s">
        <v>384</v>
      </c>
      <c r="F112" s="5" t="s">
        <v>30</v>
      </c>
      <c r="G112" s="5" t="s">
        <v>392</v>
      </c>
      <c r="H112" s="5" t="s">
        <v>34</v>
      </c>
      <c r="I112" s="5" t="s">
        <v>35</v>
      </c>
      <c r="J112" s="15">
        <v>2500</v>
      </c>
      <c r="K112" s="7">
        <v>29.5</v>
      </c>
      <c r="L112" s="7">
        <f t="shared" si="43"/>
        <v>84.745762711864401</v>
      </c>
      <c r="M112" s="5" t="s">
        <v>9</v>
      </c>
      <c r="N112" s="5">
        <v>4</v>
      </c>
      <c r="O112" s="6">
        <f t="shared" si="44"/>
        <v>11.221631715024417</v>
      </c>
      <c r="P112" s="6">
        <f t="shared" si="45"/>
        <v>1.1670496983625394</v>
      </c>
      <c r="Q112" s="10">
        <f t="shared" si="46"/>
        <v>2.4313535382552903E-2</v>
      </c>
      <c r="R112" s="10">
        <f t="shared" si="47"/>
        <v>9.7485300079983322E-2</v>
      </c>
      <c r="S112" s="10">
        <f t="shared" si="48"/>
        <v>0.12179883546253623</v>
      </c>
    </row>
    <row r="113" spans="1:19" x14ac:dyDescent="0.25">
      <c r="A113" s="5" t="s">
        <v>8</v>
      </c>
      <c r="B113" s="5" t="s">
        <v>366</v>
      </c>
      <c r="C113" s="5" t="s">
        <v>27</v>
      </c>
      <c r="D113" s="5" t="s">
        <v>385</v>
      </c>
      <c r="E113" s="5" t="s">
        <v>384</v>
      </c>
      <c r="F113" s="5" t="s">
        <v>30</v>
      </c>
      <c r="G113" s="5" t="s">
        <v>392</v>
      </c>
      <c r="H113" s="5" t="s">
        <v>232</v>
      </c>
      <c r="I113" s="5" t="s">
        <v>367</v>
      </c>
      <c r="J113" s="15">
        <v>2530</v>
      </c>
      <c r="K113" s="7">
        <v>31.5</v>
      </c>
      <c r="L113" s="7">
        <f t="shared" si="43"/>
        <v>80.317460317460316</v>
      </c>
      <c r="M113" s="5" t="s">
        <v>9</v>
      </c>
      <c r="N113" s="5">
        <v>4</v>
      </c>
      <c r="O113" s="6">
        <f t="shared" si="44"/>
        <v>10.200476820357773</v>
      </c>
      <c r="P113" s="6">
        <f t="shared" si="45"/>
        <v>1.0608495893172085</v>
      </c>
      <c r="Q113" s="10">
        <f t="shared" si="46"/>
        <v>2.2101033110775173E-2</v>
      </c>
      <c r="R113" s="10">
        <f t="shared" si="47"/>
        <v>9.07533111467419E-2</v>
      </c>
      <c r="S113" s="10">
        <f t="shared" si="48"/>
        <v>0.11285434425751707</v>
      </c>
    </row>
    <row r="114" spans="1:19" x14ac:dyDescent="0.25">
      <c r="A114" s="5" t="s">
        <v>8</v>
      </c>
      <c r="B114" s="5" t="s">
        <v>346</v>
      </c>
      <c r="C114" s="5" t="s">
        <v>27</v>
      </c>
      <c r="D114" s="5" t="s">
        <v>385</v>
      </c>
      <c r="E114" s="5" t="s">
        <v>384</v>
      </c>
      <c r="F114" s="5" t="s">
        <v>30</v>
      </c>
      <c r="G114" s="5" t="s">
        <v>392</v>
      </c>
      <c r="H114" s="5" t="s">
        <v>232</v>
      </c>
      <c r="I114" s="5" t="s">
        <v>345</v>
      </c>
      <c r="J114" s="15">
        <v>3230</v>
      </c>
      <c r="K114" s="7">
        <v>33</v>
      </c>
      <c r="L114" s="7">
        <f t="shared" si="43"/>
        <v>97.878787878787875</v>
      </c>
      <c r="M114" s="5" t="s">
        <v>9</v>
      </c>
      <c r="N114" s="5">
        <v>4</v>
      </c>
      <c r="O114" s="6">
        <f t="shared" si="44"/>
        <v>19.340144054178143</v>
      </c>
      <c r="P114" s="6">
        <f t="shared" si="45"/>
        <v>2.0113749816345265</v>
      </c>
      <c r="Q114" s="10">
        <f t="shared" si="46"/>
        <v>4.1903645450719312E-2</v>
      </c>
      <c r="R114" s="10">
        <f t="shared" si="47"/>
        <v>0.14663643809535123</v>
      </c>
      <c r="S114" s="10">
        <f t="shared" si="48"/>
        <v>0.18854008354607055</v>
      </c>
    </row>
    <row r="115" spans="1:19" x14ac:dyDescent="0.25">
      <c r="A115" s="5" t="s">
        <v>8</v>
      </c>
      <c r="B115" s="5" t="s">
        <v>346</v>
      </c>
      <c r="C115" s="5" t="s">
        <v>27</v>
      </c>
      <c r="D115" s="5" t="s">
        <v>385</v>
      </c>
      <c r="E115" s="5" t="s">
        <v>384</v>
      </c>
      <c r="F115" s="5" t="s">
        <v>30</v>
      </c>
      <c r="G115" s="5" t="s">
        <v>392</v>
      </c>
      <c r="H115" s="5" t="s">
        <v>232</v>
      </c>
      <c r="I115" s="5" t="s">
        <v>345</v>
      </c>
      <c r="J115" s="15">
        <v>2950</v>
      </c>
      <c r="K115" s="7">
        <v>27.5</v>
      </c>
      <c r="L115" s="7">
        <f t="shared" si="43"/>
        <v>107.27272727272727</v>
      </c>
      <c r="M115" s="5" t="s">
        <v>9</v>
      </c>
      <c r="N115" s="5">
        <v>4</v>
      </c>
      <c r="O115" s="6">
        <f t="shared" si="44"/>
        <v>21.216838842975204</v>
      </c>
      <c r="P115" s="6">
        <f t="shared" si="45"/>
        <v>2.2065512396694213</v>
      </c>
      <c r="Q115" s="10">
        <f t="shared" si="46"/>
        <v>4.5969817493112936E-2</v>
      </c>
      <c r="R115" s="10">
        <f t="shared" si="47"/>
        <v>0.15718374523111669</v>
      </c>
      <c r="S115" s="10">
        <f t="shared" si="48"/>
        <v>0.20315356272422963</v>
      </c>
    </row>
    <row r="116" spans="1:19" x14ac:dyDescent="0.25">
      <c r="A116" s="5" t="s">
        <v>8</v>
      </c>
      <c r="B116" s="5" t="s">
        <v>344</v>
      </c>
      <c r="C116" s="5" t="s">
        <v>27</v>
      </c>
      <c r="D116" s="5" t="s">
        <v>385</v>
      </c>
      <c r="E116" s="5" t="s">
        <v>384</v>
      </c>
      <c r="F116" s="5" t="s">
        <v>30</v>
      </c>
      <c r="G116" s="5" t="s">
        <v>392</v>
      </c>
      <c r="H116" s="5" t="s">
        <v>232</v>
      </c>
      <c r="I116" s="5" t="s">
        <v>345</v>
      </c>
      <c r="J116" s="15">
        <v>3320</v>
      </c>
      <c r="K116" s="7">
        <v>30.8</v>
      </c>
      <c r="L116" s="7">
        <f t="shared" si="43"/>
        <v>107.79220779220779</v>
      </c>
      <c r="M116" s="5" t="s">
        <v>9</v>
      </c>
      <c r="N116" s="5">
        <v>4</v>
      </c>
      <c r="O116" s="6">
        <f t="shared" si="44"/>
        <v>24.109757125990889</v>
      </c>
      <c r="P116" s="6">
        <f t="shared" si="45"/>
        <v>2.5074147411030521</v>
      </c>
      <c r="Q116" s="10">
        <f t="shared" si="46"/>
        <v>5.2237807106313594E-2</v>
      </c>
      <c r="R116" s="10">
        <f t="shared" si="47"/>
        <v>0.17299826631519027</v>
      </c>
      <c r="S116" s="10">
        <f t="shared" si="48"/>
        <v>0.22523607342150387</v>
      </c>
    </row>
    <row r="117" spans="1:19" x14ac:dyDescent="0.25">
      <c r="A117" s="5" t="s">
        <v>8</v>
      </c>
      <c r="B117" s="5" t="s">
        <v>231</v>
      </c>
      <c r="C117" s="5" t="s">
        <v>27</v>
      </c>
      <c r="D117" s="5" t="s">
        <v>385</v>
      </c>
      <c r="E117" s="5" t="s">
        <v>384</v>
      </c>
      <c r="F117" s="5" t="s">
        <v>30</v>
      </c>
      <c r="G117" s="5" t="s">
        <v>392</v>
      </c>
      <c r="H117" s="5" t="s">
        <v>232</v>
      </c>
      <c r="I117" s="5" t="s">
        <v>67</v>
      </c>
      <c r="J117" s="15">
        <v>2290</v>
      </c>
      <c r="K117" s="7">
        <v>29</v>
      </c>
      <c r="L117" s="7">
        <f t="shared" si="43"/>
        <v>78.965517241379317</v>
      </c>
      <c r="M117" s="5" t="s">
        <v>9</v>
      </c>
      <c r="N117" s="5">
        <v>4</v>
      </c>
      <c r="O117" s="6">
        <f t="shared" si="44"/>
        <v>8.9246351070154581</v>
      </c>
      <c r="P117" s="6">
        <f t="shared" si="45"/>
        <v>0.9281620511296077</v>
      </c>
      <c r="Q117" s="10">
        <f t="shared" si="46"/>
        <v>1.9336709398533491E-2</v>
      </c>
      <c r="R117" s="10">
        <f t="shared" si="47"/>
        <v>8.2099398588030822E-2</v>
      </c>
      <c r="S117" s="10">
        <f t="shared" si="48"/>
        <v>0.10143610798656431</v>
      </c>
    </row>
    <row r="118" spans="1:19" x14ac:dyDescent="0.25">
      <c r="A118" s="5" t="s">
        <v>8</v>
      </c>
      <c r="B118" s="5" t="s">
        <v>366</v>
      </c>
      <c r="C118" s="5" t="s">
        <v>27</v>
      </c>
      <c r="D118" s="5" t="s">
        <v>385</v>
      </c>
      <c r="E118" s="5" t="s">
        <v>384</v>
      </c>
      <c r="F118" s="5" t="s">
        <v>30</v>
      </c>
      <c r="G118" s="5" t="s">
        <v>392</v>
      </c>
      <c r="H118" s="5" t="s">
        <v>232</v>
      </c>
      <c r="I118" s="5" t="s">
        <v>368</v>
      </c>
      <c r="J118" s="15">
        <v>2450</v>
      </c>
      <c r="K118" s="7">
        <v>30.5</v>
      </c>
      <c r="L118" s="7">
        <f t="shared" si="43"/>
        <v>80.327868852459019</v>
      </c>
      <c r="M118" s="5" t="s">
        <v>9</v>
      </c>
      <c r="N118" s="5">
        <v>4</v>
      </c>
      <c r="O118" s="6">
        <f t="shared" si="44"/>
        <v>9.880492475141093</v>
      </c>
      <c r="P118" s="6">
        <f t="shared" si="45"/>
        <v>1.0275712174146734</v>
      </c>
      <c r="Q118" s="10">
        <f t="shared" si="46"/>
        <v>2.1407733696139034E-2</v>
      </c>
      <c r="R118" s="10">
        <f t="shared" si="47"/>
        <v>8.8609659587763734E-2</v>
      </c>
      <c r="S118" s="10">
        <f t="shared" si="48"/>
        <v>0.11001739328390277</v>
      </c>
    </row>
    <row r="119" spans="1:19" x14ac:dyDescent="0.25">
      <c r="A119" s="5" t="s">
        <v>8</v>
      </c>
      <c r="B119" s="5" t="s">
        <v>366</v>
      </c>
      <c r="C119" s="5" t="s">
        <v>27</v>
      </c>
      <c r="D119" s="5" t="s">
        <v>385</v>
      </c>
      <c r="E119" s="5" t="s">
        <v>384</v>
      </c>
      <c r="F119" s="5" t="s">
        <v>30</v>
      </c>
      <c r="G119" s="5" t="s">
        <v>392</v>
      </c>
      <c r="H119" s="5" t="s">
        <v>232</v>
      </c>
      <c r="I119" s="5" t="s">
        <v>368</v>
      </c>
      <c r="J119" s="15">
        <v>2753</v>
      </c>
      <c r="K119" s="7">
        <v>32.799999999999997</v>
      </c>
      <c r="L119" s="7">
        <f t="shared" si="43"/>
        <v>83.932926829268297</v>
      </c>
      <c r="M119" s="5" t="s">
        <v>9</v>
      </c>
      <c r="N119" s="5">
        <v>4</v>
      </c>
      <c r="O119" s="6">
        <f t="shared" si="44"/>
        <v>12.121349234667795</v>
      </c>
      <c r="P119" s="6">
        <f t="shared" si="45"/>
        <v>1.2606203204054509</v>
      </c>
      <c r="Q119" s="10">
        <f t="shared" si="46"/>
        <v>2.6262923341780223E-2</v>
      </c>
      <c r="R119" s="10">
        <f t="shared" si="47"/>
        <v>0.10329049231083934</v>
      </c>
      <c r="S119" s="10">
        <f t="shared" si="48"/>
        <v>0.12955341565261957</v>
      </c>
    </row>
    <row r="120" spans="1:19" x14ac:dyDescent="0.25">
      <c r="A120" s="5" t="s">
        <v>8</v>
      </c>
      <c r="B120" s="5" t="s">
        <v>366</v>
      </c>
      <c r="C120" s="5" t="s">
        <v>27</v>
      </c>
      <c r="D120" s="5" t="s">
        <v>385</v>
      </c>
      <c r="E120" s="5" t="s">
        <v>384</v>
      </c>
      <c r="F120" s="5" t="s">
        <v>30</v>
      </c>
      <c r="G120" s="5" t="s">
        <v>392</v>
      </c>
      <c r="H120" s="5" t="s">
        <v>232</v>
      </c>
      <c r="I120" s="5" t="s">
        <v>35</v>
      </c>
      <c r="J120" s="15">
        <v>2748</v>
      </c>
      <c r="K120" s="7">
        <v>36.6</v>
      </c>
      <c r="L120" s="7">
        <f t="shared" si="43"/>
        <v>75.081967213114751</v>
      </c>
      <c r="M120" s="5" t="s">
        <v>9</v>
      </c>
      <c r="N120" s="5">
        <v>4</v>
      </c>
      <c r="O120" s="6">
        <f t="shared" si="44"/>
        <v>9.6820658425154509</v>
      </c>
      <c r="P120" s="6">
        <f t="shared" si="45"/>
        <v>1.0069348476216069</v>
      </c>
      <c r="Q120" s="10">
        <f t="shared" si="46"/>
        <v>2.0977809325450143E-2</v>
      </c>
      <c r="R120" s="10">
        <f t="shared" si="47"/>
        <v>8.7271642179623674E-2</v>
      </c>
      <c r="S120" s="10">
        <f t="shared" si="48"/>
        <v>0.10824945150507381</v>
      </c>
    </row>
    <row r="121" spans="1:19" x14ac:dyDescent="0.25">
      <c r="A121" s="5" t="s">
        <v>22</v>
      </c>
      <c r="B121" s="5" t="s">
        <v>63</v>
      </c>
      <c r="C121" s="5" t="s">
        <v>27</v>
      </c>
      <c r="D121" s="5" t="s">
        <v>385</v>
      </c>
      <c r="E121" s="5" t="s">
        <v>384</v>
      </c>
      <c r="F121" s="5" t="s">
        <v>30</v>
      </c>
      <c r="G121" s="5" t="s">
        <v>392</v>
      </c>
      <c r="H121" s="5" t="s">
        <v>66</v>
      </c>
      <c r="I121" s="5" t="s">
        <v>67</v>
      </c>
      <c r="J121" s="15">
        <v>2280</v>
      </c>
      <c r="K121" s="7">
        <v>29</v>
      </c>
      <c r="L121" s="7">
        <f t="shared" si="43"/>
        <v>78.620689655172413</v>
      </c>
      <c r="M121" s="5" t="s">
        <v>9</v>
      </c>
      <c r="N121" s="5">
        <v>4</v>
      </c>
      <c r="O121" s="6">
        <f t="shared" si="44"/>
        <v>8.8082282996432824</v>
      </c>
      <c r="P121" s="6">
        <f t="shared" si="45"/>
        <v>0.91605574316290117</v>
      </c>
      <c r="Q121" s="10">
        <f t="shared" si="46"/>
        <v>1.908449464922711E-2</v>
      </c>
      <c r="R121" s="10">
        <f t="shared" si="47"/>
        <v>8.1294945871818847E-2</v>
      </c>
      <c r="S121" s="10">
        <f t="shared" si="48"/>
        <v>0.10037944052104596</v>
      </c>
    </row>
    <row r="122" spans="1:19" x14ac:dyDescent="0.25">
      <c r="A122" s="5" t="s">
        <v>8</v>
      </c>
      <c r="B122" s="5" t="s">
        <v>241</v>
      </c>
      <c r="C122" s="5" t="s">
        <v>27</v>
      </c>
      <c r="D122" s="5" t="s">
        <v>385</v>
      </c>
      <c r="E122" s="5" t="s">
        <v>384</v>
      </c>
      <c r="F122" s="5" t="s">
        <v>30</v>
      </c>
      <c r="G122" s="5" t="s">
        <v>392</v>
      </c>
      <c r="H122" s="5" t="s">
        <v>40</v>
      </c>
      <c r="I122" s="5" t="s">
        <v>190</v>
      </c>
      <c r="J122" s="15">
        <v>2720</v>
      </c>
      <c r="K122" s="7">
        <v>30.3</v>
      </c>
      <c r="L122" s="7">
        <f t="shared" si="43"/>
        <v>89.768976897689768</v>
      </c>
      <c r="M122" s="5" t="s">
        <v>9</v>
      </c>
      <c r="N122" s="5">
        <v>4</v>
      </c>
      <c r="O122" s="6">
        <f t="shared" si="44"/>
        <v>13.69939766253853</v>
      </c>
      <c r="P122" s="6">
        <f t="shared" si="45"/>
        <v>1.4247373569040074</v>
      </c>
      <c r="Q122" s="10">
        <f t="shared" si="46"/>
        <v>2.9682028268833482E-2</v>
      </c>
      <c r="R122" s="10">
        <f t="shared" si="47"/>
        <v>0.11322002036146131</v>
      </c>
      <c r="S122" s="10">
        <f t="shared" si="48"/>
        <v>0.14290204863029479</v>
      </c>
    </row>
    <row r="123" spans="1:19" x14ac:dyDescent="0.25">
      <c r="A123" s="5" t="s">
        <v>8</v>
      </c>
      <c r="B123" s="5" t="s">
        <v>241</v>
      </c>
      <c r="C123" s="5" t="s">
        <v>27</v>
      </c>
      <c r="D123" s="5" t="s">
        <v>385</v>
      </c>
      <c r="E123" s="5" t="s">
        <v>384</v>
      </c>
      <c r="F123" s="5" t="s">
        <v>30</v>
      </c>
      <c r="G123" s="5" t="s">
        <v>392</v>
      </c>
      <c r="H123" s="5" t="s">
        <v>40</v>
      </c>
      <c r="I123" s="5" t="s">
        <v>258</v>
      </c>
      <c r="J123" s="15">
        <v>2320</v>
      </c>
      <c r="K123" s="7">
        <v>27.8</v>
      </c>
      <c r="L123" s="7">
        <f t="shared" si="43"/>
        <v>83.453237410071935</v>
      </c>
      <c r="M123" s="5" t="s">
        <v>9</v>
      </c>
      <c r="N123" s="5">
        <v>4</v>
      </c>
      <c r="O123" s="6">
        <f t="shared" si="44"/>
        <v>10.098442109621653</v>
      </c>
      <c r="P123" s="6">
        <f t="shared" si="45"/>
        <v>1.050237979400652</v>
      </c>
      <c r="Q123" s="10">
        <f t="shared" si="46"/>
        <v>2.1879957904180247E-2</v>
      </c>
      <c r="R123" s="10">
        <f t="shared" si="47"/>
        <v>9.0071606634706189E-2</v>
      </c>
      <c r="S123" s="10">
        <f t="shared" si="48"/>
        <v>0.11195156453888644</v>
      </c>
    </row>
    <row r="124" spans="1:19" x14ac:dyDescent="0.25">
      <c r="A124" s="5" t="s">
        <v>8</v>
      </c>
      <c r="B124" s="5" t="s">
        <v>241</v>
      </c>
      <c r="C124" s="5" t="s">
        <v>27</v>
      </c>
      <c r="D124" s="5" t="s">
        <v>385</v>
      </c>
      <c r="E124" s="5" t="s">
        <v>384</v>
      </c>
      <c r="F124" s="5" t="s">
        <v>30</v>
      </c>
      <c r="G124" s="5" t="s">
        <v>392</v>
      </c>
      <c r="H124" s="5" t="s">
        <v>40</v>
      </c>
      <c r="I124" s="5" t="s">
        <v>251</v>
      </c>
      <c r="J124" s="15">
        <v>1810</v>
      </c>
      <c r="K124" s="7">
        <v>26.5</v>
      </c>
      <c r="L124" s="7">
        <f t="shared" si="43"/>
        <v>68.301886792452834</v>
      </c>
      <c r="M124" s="5" t="s">
        <v>9</v>
      </c>
      <c r="N124" s="5">
        <v>4</v>
      </c>
      <c r="O124" s="6">
        <f t="shared" si="44"/>
        <v>5.2774483802064802</v>
      </c>
      <c r="P124" s="6">
        <f t="shared" si="45"/>
        <v>0.54885463154147374</v>
      </c>
      <c r="Q124" s="10">
        <f t="shared" si="46"/>
        <v>1.1434471490447374E-2</v>
      </c>
      <c r="R124" s="10">
        <f t="shared" si="47"/>
        <v>5.536242690304656E-2</v>
      </c>
      <c r="S124" s="10">
        <f t="shared" si="48"/>
        <v>6.6796898393493939E-2</v>
      </c>
    </row>
    <row r="125" spans="1:19" x14ac:dyDescent="0.25">
      <c r="A125" s="5" t="s">
        <v>8</v>
      </c>
      <c r="B125" s="5" t="s">
        <v>241</v>
      </c>
      <c r="C125" s="5" t="s">
        <v>27</v>
      </c>
      <c r="D125" s="5" t="s">
        <v>385</v>
      </c>
      <c r="E125" s="5" t="s">
        <v>384</v>
      </c>
      <c r="F125" s="5" t="s">
        <v>30</v>
      </c>
      <c r="G125" s="5" t="s">
        <v>392</v>
      </c>
      <c r="H125" s="5" t="s">
        <v>40</v>
      </c>
      <c r="I125" s="5" t="s">
        <v>261</v>
      </c>
      <c r="J125" s="15">
        <v>2450</v>
      </c>
      <c r="K125" s="7">
        <v>28</v>
      </c>
      <c r="L125" s="7">
        <f t="shared" si="43"/>
        <v>87.5</v>
      </c>
      <c r="M125" s="5" t="s">
        <v>9</v>
      </c>
      <c r="N125" s="5">
        <v>4</v>
      </c>
      <c r="O125" s="6">
        <f t="shared" si="44"/>
        <v>11.7236328125</v>
      </c>
      <c r="P125" s="6">
        <f t="shared" si="45"/>
        <v>1.2192578124999998</v>
      </c>
      <c r="Q125" s="10">
        <f t="shared" si="46"/>
        <v>2.5401204427083334E-2</v>
      </c>
      <c r="R125" s="10">
        <f t="shared" si="47"/>
        <v>0.10073810572305898</v>
      </c>
      <c r="S125" s="10">
        <f t="shared" si="48"/>
        <v>0.12613931015014232</v>
      </c>
    </row>
    <row r="126" spans="1:19" x14ac:dyDescent="0.25">
      <c r="A126" s="5" t="s">
        <v>8</v>
      </c>
      <c r="B126" s="5" t="s">
        <v>241</v>
      </c>
      <c r="C126" s="5" t="s">
        <v>27</v>
      </c>
      <c r="D126" s="5" t="s">
        <v>385</v>
      </c>
      <c r="E126" s="5" t="s">
        <v>384</v>
      </c>
      <c r="F126" s="5" t="s">
        <v>30</v>
      </c>
      <c r="G126" s="5" t="s">
        <v>392</v>
      </c>
      <c r="H126" s="5" t="s">
        <v>40</v>
      </c>
      <c r="I126" s="5" t="s">
        <v>243</v>
      </c>
      <c r="J126" s="15">
        <v>4550</v>
      </c>
      <c r="K126" s="7">
        <v>36</v>
      </c>
      <c r="L126" s="7">
        <f t="shared" si="43"/>
        <v>126.38888888888889</v>
      </c>
      <c r="M126" s="5" t="s">
        <v>9</v>
      </c>
      <c r="N126" s="5">
        <v>4</v>
      </c>
      <c r="O126" s="6">
        <f t="shared" si="44"/>
        <v>45.426492573302461</v>
      </c>
      <c r="P126" s="6">
        <f t="shared" si="45"/>
        <v>4.7243552276234562</v>
      </c>
      <c r="Q126" s="10">
        <f t="shared" si="46"/>
        <v>9.8424067242155341E-2</v>
      </c>
      <c r="R126" s="10">
        <f t="shared" si="47"/>
        <v>0.27821403095946923</v>
      </c>
      <c r="S126" s="10">
        <f t="shared" si="48"/>
        <v>0.37663809820162458</v>
      </c>
    </row>
    <row r="127" spans="1:19" x14ac:dyDescent="0.25">
      <c r="A127" s="5" t="s">
        <v>22</v>
      </c>
      <c r="B127" s="5" t="s">
        <v>63</v>
      </c>
      <c r="C127" s="5" t="s">
        <v>27</v>
      </c>
      <c r="D127" s="5" t="s">
        <v>385</v>
      </c>
      <c r="E127" s="5" t="s">
        <v>384</v>
      </c>
      <c r="F127" s="5" t="s">
        <v>30</v>
      </c>
      <c r="G127" s="5" t="s">
        <v>392</v>
      </c>
      <c r="H127" s="5" t="s">
        <v>40</v>
      </c>
      <c r="I127" s="5" t="s">
        <v>65</v>
      </c>
      <c r="J127" s="15">
        <v>2330</v>
      </c>
      <c r="K127" s="7">
        <v>27.5</v>
      </c>
      <c r="L127" s="7">
        <f t="shared" si="43"/>
        <v>84.727272727272734</v>
      </c>
      <c r="M127" s="5" t="s">
        <v>9</v>
      </c>
      <c r="N127" s="5">
        <v>4</v>
      </c>
      <c r="O127" s="6">
        <f t="shared" si="44"/>
        <v>10.453997520661158</v>
      </c>
      <c r="P127" s="6">
        <f t="shared" si="45"/>
        <v>1.0872157421487605</v>
      </c>
      <c r="Q127" s="10">
        <f t="shared" si="46"/>
        <v>2.2650327961432504E-2</v>
      </c>
      <c r="R127" s="10">
        <f t="shared" si="47"/>
        <v>9.2439783335974496E-2</v>
      </c>
      <c r="S127" s="10">
        <f t="shared" si="48"/>
        <v>0.115090111297407</v>
      </c>
    </row>
    <row r="128" spans="1:19" x14ac:dyDescent="0.25">
      <c r="A128" s="5" t="s">
        <v>22</v>
      </c>
      <c r="B128" s="5" t="s">
        <v>26</v>
      </c>
      <c r="C128" s="5" t="s">
        <v>27</v>
      </c>
      <c r="D128" s="5" t="s">
        <v>385</v>
      </c>
      <c r="E128" s="5" t="s">
        <v>384</v>
      </c>
      <c r="F128" s="5" t="s">
        <v>30</v>
      </c>
      <c r="G128" s="5" t="s">
        <v>392</v>
      </c>
      <c r="H128" s="5" t="s">
        <v>40</v>
      </c>
      <c r="I128" s="5" t="s">
        <v>42</v>
      </c>
      <c r="J128" s="15">
        <v>2100</v>
      </c>
      <c r="K128" s="7">
        <v>36</v>
      </c>
      <c r="L128" s="7">
        <f t="shared" si="43"/>
        <v>58.333333333333336</v>
      </c>
      <c r="M128" s="5" t="s">
        <v>9</v>
      </c>
      <c r="N128" s="5">
        <v>4</v>
      </c>
      <c r="O128" s="6">
        <f t="shared" si="44"/>
        <v>4.466145833333333</v>
      </c>
      <c r="P128" s="6">
        <f t="shared" si="45"/>
        <v>0.46447916666666667</v>
      </c>
      <c r="Q128" s="10">
        <f t="shared" si="46"/>
        <v>9.6766493055555538E-3</v>
      </c>
      <c r="R128" s="10">
        <f t="shared" si="47"/>
        <v>4.8848001391821147E-2</v>
      </c>
      <c r="S128" s="10">
        <f t="shared" si="48"/>
        <v>5.8524650697376703E-2</v>
      </c>
    </row>
    <row r="129" spans="1:19" x14ac:dyDescent="0.25">
      <c r="A129" s="5" t="s">
        <v>8</v>
      </c>
      <c r="B129" s="5" t="s">
        <v>241</v>
      </c>
      <c r="C129" s="5" t="s">
        <v>27</v>
      </c>
      <c r="D129" s="5" t="s">
        <v>385</v>
      </c>
      <c r="E129" s="5" t="s">
        <v>384</v>
      </c>
      <c r="F129" s="5" t="s">
        <v>30</v>
      </c>
      <c r="G129" s="5" t="s">
        <v>392</v>
      </c>
      <c r="H129" s="5" t="s">
        <v>40</v>
      </c>
      <c r="I129" s="5" t="s">
        <v>42</v>
      </c>
      <c r="J129" s="15">
        <v>2200</v>
      </c>
      <c r="K129" s="7">
        <v>36.5</v>
      </c>
      <c r="L129" s="7">
        <f t="shared" si="43"/>
        <v>60.273972602739725</v>
      </c>
      <c r="M129" s="5" t="s">
        <v>9</v>
      </c>
      <c r="N129" s="5">
        <v>4</v>
      </c>
      <c r="O129" s="6">
        <f t="shared" si="44"/>
        <v>4.995308688309251</v>
      </c>
      <c r="P129" s="6">
        <f t="shared" si="45"/>
        <v>0.51951210358416211</v>
      </c>
      <c r="Q129" s="10">
        <f t="shared" si="46"/>
        <v>1.0823168824670043E-2</v>
      </c>
      <c r="R129" s="10">
        <f t="shared" si="47"/>
        <v>5.3127437920794114E-2</v>
      </c>
      <c r="S129" s="10">
        <f t="shared" si="48"/>
        <v>6.3950606745464156E-2</v>
      </c>
    </row>
    <row r="130" spans="1:19" x14ac:dyDescent="0.25">
      <c r="A130" s="5" t="s">
        <v>8</v>
      </c>
      <c r="B130" s="5" t="s">
        <v>241</v>
      </c>
      <c r="C130" s="5" t="s">
        <v>27</v>
      </c>
      <c r="D130" s="5" t="s">
        <v>385</v>
      </c>
      <c r="E130" s="5" t="s">
        <v>384</v>
      </c>
      <c r="F130" s="5" t="s">
        <v>30</v>
      </c>
      <c r="G130" s="5" t="s">
        <v>392</v>
      </c>
      <c r="H130" s="5" t="s">
        <v>40</v>
      </c>
      <c r="I130" s="5" t="s">
        <v>259</v>
      </c>
      <c r="J130" s="15">
        <v>2340</v>
      </c>
      <c r="K130" s="7">
        <v>34.200000000000003</v>
      </c>
      <c r="L130" s="7">
        <f t="shared" si="43"/>
        <v>68.421052631578945</v>
      </c>
      <c r="M130" s="5" t="s">
        <v>9</v>
      </c>
      <c r="N130" s="5">
        <v>4</v>
      </c>
      <c r="O130" s="6">
        <f t="shared" si="44"/>
        <v>6.8466066481994456</v>
      </c>
      <c r="P130" s="6">
        <f t="shared" si="45"/>
        <v>0.71204709141274225</v>
      </c>
      <c r="Q130" s="10">
        <f t="shared" si="46"/>
        <v>1.4834314404432133E-2</v>
      </c>
      <c r="R130" s="10">
        <f t="shared" si="47"/>
        <v>6.7298232379061906E-2</v>
      </c>
      <c r="S130" s="10">
        <f t="shared" si="48"/>
        <v>8.2132546783494034E-2</v>
      </c>
    </row>
    <row r="131" spans="1:19" x14ac:dyDescent="0.25">
      <c r="A131" s="5" t="s">
        <v>8</v>
      </c>
      <c r="B131" s="5" t="s">
        <v>241</v>
      </c>
      <c r="C131" s="5" t="s">
        <v>27</v>
      </c>
      <c r="D131" s="5" t="s">
        <v>385</v>
      </c>
      <c r="E131" s="5" t="s">
        <v>384</v>
      </c>
      <c r="F131" s="5" t="s">
        <v>30</v>
      </c>
      <c r="G131" s="5" t="s">
        <v>392</v>
      </c>
      <c r="H131" s="5" t="s">
        <v>40</v>
      </c>
      <c r="I131" s="5" t="s">
        <v>50</v>
      </c>
      <c r="J131" s="15">
        <v>1915</v>
      </c>
      <c r="K131" s="7">
        <v>30</v>
      </c>
      <c r="L131" s="7">
        <f t="shared" si="43"/>
        <v>63.833333333333336</v>
      </c>
      <c r="M131" s="5" t="s">
        <v>9</v>
      </c>
      <c r="N131" s="5">
        <v>4</v>
      </c>
      <c r="O131" s="6">
        <f t="shared" si="44"/>
        <v>4.8768999131944453</v>
      </c>
      <c r="P131" s="6">
        <f t="shared" si="45"/>
        <v>0.50719759097222228</v>
      </c>
      <c r="Q131" s="10">
        <f t="shared" si="46"/>
        <v>1.0566616478587964E-2</v>
      </c>
      <c r="R131" s="10">
        <f t="shared" si="47"/>
        <v>5.2180111939267297E-2</v>
      </c>
      <c r="S131" s="10">
        <f t="shared" si="48"/>
        <v>6.2746728417855266E-2</v>
      </c>
    </row>
    <row r="132" spans="1:19" x14ac:dyDescent="0.25">
      <c r="A132" s="5" t="s">
        <v>8</v>
      </c>
      <c r="B132" s="5" t="s">
        <v>241</v>
      </c>
      <c r="C132" s="5" t="s">
        <v>27</v>
      </c>
      <c r="D132" s="5" t="s">
        <v>385</v>
      </c>
      <c r="E132" s="5" t="s">
        <v>384</v>
      </c>
      <c r="F132" s="5" t="s">
        <v>30</v>
      </c>
      <c r="G132" s="5" t="s">
        <v>392</v>
      </c>
      <c r="H132" s="5" t="s">
        <v>40</v>
      </c>
      <c r="I132" s="5" t="s">
        <v>262</v>
      </c>
      <c r="J132" s="15">
        <v>2100</v>
      </c>
      <c r="K132" s="7">
        <v>32</v>
      </c>
      <c r="L132" s="7">
        <f t="shared" si="43"/>
        <v>65.625</v>
      </c>
      <c r="M132" s="5" t="s">
        <v>9</v>
      </c>
      <c r="N132" s="5">
        <v>4</v>
      </c>
      <c r="O132" s="6">
        <f t="shared" si="44"/>
        <v>5.6524658203125</v>
      </c>
      <c r="P132" s="6">
        <f t="shared" si="45"/>
        <v>0.58785644531249992</v>
      </c>
      <c r="Q132" s="10">
        <f t="shared" si="46"/>
        <v>1.2247009277343748E-2</v>
      </c>
      <c r="R132" s="10">
        <f t="shared" si="47"/>
        <v>5.8287520740768706E-2</v>
      </c>
      <c r="S132" s="10">
        <f t="shared" si="48"/>
        <v>7.0534530018112454E-2</v>
      </c>
    </row>
    <row r="133" spans="1:19" x14ac:dyDescent="0.25">
      <c r="A133" s="5" t="s">
        <v>22</v>
      </c>
      <c r="B133" s="5" t="s">
        <v>26</v>
      </c>
      <c r="C133" s="5" t="s">
        <v>27</v>
      </c>
      <c r="D133" s="5" t="s">
        <v>385</v>
      </c>
      <c r="E133" s="5" t="s">
        <v>384</v>
      </c>
      <c r="F133" s="5" t="s">
        <v>30</v>
      </c>
      <c r="G133" s="5" t="s">
        <v>392</v>
      </c>
      <c r="H133" s="5" t="s">
        <v>40</v>
      </c>
      <c r="I133" s="5" t="s">
        <v>43</v>
      </c>
      <c r="J133" s="15">
        <v>2200</v>
      </c>
      <c r="K133" s="7">
        <v>36</v>
      </c>
      <c r="L133" s="7">
        <f t="shared" si="43"/>
        <v>61.111111111111114</v>
      </c>
      <c r="M133" s="5" t="s">
        <v>9</v>
      </c>
      <c r="N133" s="5">
        <v>4</v>
      </c>
      <c r="O133" s="6">
        <f t="shared" si="44"/>
        <v>5.1350308641975309</v>
      </c>
      <c r="P133" s="6">
        <f t="shared" si="45"/>
        <v>0.53404320987654319</v>
      </c>
      <c r="Q133" s="10">
        <f t="shared" si="46"/>
        <v>1.1125900205761317E-2</v>
      </c>
      <c r="R133" s="10">
        <f t="shared" si="47"/>
        <v>5.4238093824659765E-2</v>
      </c>
      <c r="S133" s="10">
        <f t="shared" si="48"/>
        <v>6.5363994030421077E-2</v>
      </c>
    </row>
    <row r="134" spans="1:19" x14ac:dyDescent="0.25">
      <c r="A134" s="5" t="s">
        <v>8</v>
      </c>
      <c r="B134" s="5" t="s">
        <v>241</v>
      </c>
      <c r="C134" s="5" t="s">
        <v>27</v>
      </c>
      <c r="D134" s="5" t="s">
        <v>385</v>
      </c>
      <c r="E134" s="5" t="s">
        <v>384</v>
      </c>
      <c r="F134" s="5" t="s">
        <v>30</v>
      </c>
      <c r="G134" s="5" t="s">
        <v>392</v>
      </c>
      <c r="H134" s="5" t="s">
        <v>40</v>
      </c>
      <c r="I134" s="5" t="s">
        <v>43</v>
      </c>
      <c r="J134" s="15">
        <v>2200</v>
      </c>
      <c r="K134" s="7">
        <v>33</v>
      </c>
      <c r="L134" s="7">
        <f t="shared" si="43"/>
        <v>66.666666666666671</v>
      </c>
      <c r="M134" s="5" t="s">
        <v>9</v>
      </c>
      <c r="N134" s="5">
        <v>4</v>
      </c>
      <c r="O134" s="6">
        <f t="shared" si="44"/>
        <v>6.1111111111111125</v>
      </c>
      <c r="P134" s="6">
        <f t="shared" si="45"/>
        <v>0.63555555555555565</v>
      </c>
      <c r="Q134" s="10">
        <f t="shared" si="46"/>
        <v>1.3240740740740742E-2</v>
      </c>
      <c r="R134" s="10">
        <f t="shared" si="47"/>
        <v>6.1799827002558427E-2</v>
      </c>
      <c r="S134" s="10">
        <f t="shared" si="48"/>
        <v>7.5040567743299175E-2</v>
      </c>
    </row>
    <row r="135" spans="1:19" x14ac:dyDescent="0.25">
      <c r="A135" s="5" t="s">
        <v>8</v>
      </c>
      <c r="B135" s="5" t="s">
        <v>241</v>
      </c>
      <c r="C135" s="5" t="s">
        <v>27</v>
      </c>
      <c r="D135" s="5" t="s">
        <v>385</v>
      </c>
      <c r="E135" s="5" t="s">
        <v>384</v>
      </c>
      <c r="F135" s="5" t="s">
        <v>30</v>
      </c>
      <c r="G135" s="5" t="s">
        <v>392</v>
      </c>
      <c r="H135" s="5" t="s">
        <v>40</v>
      </c>
      <c r="I135" s="5" t="s">
        <v>263</v>
      </c>
      <c r="J135" s="15">
        <v>2340</v>
      </c>
      <c r="K135" s="7">
        <v>42.5</v>
      </c>
      <c r="L135" s="7">
        <f t="shared" si="43"/>
        <v>55.058823529411768</v>
      </c>
      <c r="M135" s="5" t="s">
        <v>9</v>
      </c>
      <c r="N135" s="5">
        <v>4</v>
      </c>
      <c r="O135" s="6">
        <f t="shared" si="44"/>
        <v>4.4335307958477514</v>
      </c>
      <c r="P135" s="6">
        <f t="shared" si="45"/>
        <v>0.46108720276816617</v>
      </c>
      <c r="Q135" s="10">
        <f t="shared" si="46"/>
        <v>9.6059833910034607E-3</v>
      </c>
      <c r="R135" s="10">
        <f t="shared" si="47"/>
        <v>4.8580213759297074E-2</v>
      </c>
      <c r="S135" s="10">
        <f t="shared" si="48"/>
        <v>5.8186197150300531E-2</v>
      </c>
    </row>
    <row r="136" spans="1:19" x14ac:dyDescent="0.25">
      <c r="A136" s="5" t="s">
        <v>22</v>
      </c>
      <c r="B136" s="5" t="s">
        <v>26</v>
      </c>
      <c r="C136" s="5" t="s">
        <v>27</v>
      </c>
      <c r="D136" s="5" t="s">
        <v>385</v>
      </c>
      <c r="E136" s="5" t="s">
        <v>384</v>
      </c>
      <c r="F136" s="5" t="s">
        <v>30</v>
      </c>
      <c r="G136" s="5" t="s">
        <v>392</v>
      </c>
      <c r="H136" s="5" t="s">
        <v>40</v>
      </c>
      <c r="I136" s="5" t="s">
        <v>44</v>
      </c>
      <c r="J136" s="15">
        <v>3100</v>
      </c>
      <c r="K136" s="7">
        <v>40</v>
      </c>
      <c r="L136" s="7">
        <f t="shared" si="43"/>
        <v>77.5</v>
      </c>
      <c r="M136" s="5" t="s">
        <v>9</v>
      </c>
      <c r="N136" s="5">
        <v>4</v>
      </c>
      <c r="O136" s="6">
        <f t="shared" si="44"/>
        <v>11.637109375</v>
      </c>
      <c r="P136" s="6">
        <f t="shared" si="45"/>
        <v>1.2102593749999999</v>
      </c>
      <c r="Q136" s="10">
        <f t="shared" si="46"/>
        <v>2.5213736979166665E-2</v>
      </c>
      <c r="R136" s="10">
        <f t="shared" si="47"/>
        <v>0.10017998480100093</v>
      </c>
      <c r="S136" s="10">
        <f t="shared" si="48"/>
        <v>0.12539372178016761</v>
      </c>
    </row>
    <row r="137" spans="1:19" x14ac:dyDescent="0.25">
      <c r="A137" s="5" t="s">
        <v>8</v>
      </c>
      <c r="B137" s="5" t="s">
        <v>241</v>
      </c>
      <c r="C137" s="5" t="s">
        <v>27</v>
      </c>
      <c r="D137" s="5" t="s">
        <v>385</v>
      </c>
      <c r="E137" s="5" t="s">
        <v>384</v>
      </c>
      <c r="F137" s="5" t="s">
        <v>30</v>
      </c>
      <c r="G137" s="5" t="s">
        <v>392</v>
      </c>
      <c r="H137" s="5" t="s">
        <v>40</v>
      </c>
      <c r="I137" s="5" t="s">
        <v>44</v>
      </c>
      <c r="J137" s="15">
        <v>3100</v>
      </c>
      <c r="K137" s="7">
        <v>42.5</v>
      </c>
      <c r="L137" s="7">
        <f t="shared" si="43"/>
        <v>72.941176470588232</v>
      </c>
      <c r="M137" s="5" t="s">
        <v>9</v>
      </c>
      <c r="N137" s="5">
        <v>4</v>
      </c>
      <c r="O137" s="6">
        <f t="shared" si="44"/>
        <v>10.308304498269894</v>
      </c>
      <c r="P137" s="6">
        <f t="shared" si="45"/>
        <v>1.072063667820069</v>
      </c>
      <c r="Q137" s="10">
        <f t="shared" si="46"/>
        <v>2.2334659746251439E-2</v>
      </c>
      <c r="R137" s="10">
        <f t="shared" si="47"/>
        <v>9.1471869100578224E-2</v>
      </c>
      <c r="S137" s="10">
        <f t="shared" si="48"/>
        <v>0.11380652884682967</v>
      </c>
    </row>
    <row r="138" spans="1:19" x14ac:dyDescent="0.25">
      <c r="A138" s="5" t="s">
        <v>8</v>
      </c>
      <c r="B138" s="5" t="s">
        <v>241</v>
      </c>
      <c r="C138" s="5" t="s">
        <v>27</v>
      </c>
      <c r="D138" s="5" t="s">
        <v>385</v>
      </c>
      <c r="E138" s="5" t="s">
        <v>384</v>
      </c>
      <c r="F138" s="5" t="s">
        <v>30</v>
      </c>
      <c r="G138" s="5" t="s">
        <v>392</v>
      </c>
      <c r="H138" s="5" t="s">
        <v>40</v>
      </c>
      <c r="I138" s="5" t="s">
        <v>247</v>
      </c>
      <c r="J138" s="15">
        <v>2470</v>
      </c>
      <c r="K138" s="7">
        <v>33.5</v>
      </c>
      <c r="L138" s="7">
        <f t="shared" si="43"/>
        <v>73.731343283582092</v>
      </c>
      <c r="M138" s="5" t="s">
        <v>9</v>
      </c>
      <c r="N138" s="5">
        <v>4</v>
      </c>
      <c r="O138" s="6">
        <f t="shared" si="44"/>
        <v>8.3923050790822025</v>
      </c>
      <c r="P138" s="6">
        <f t="shared" si="45"/>
        <v>0.87279972822454899</v>
      </c>
      <c r="Q138" s="10">
        <f t="shared" si="46"/>
        <v>1.8183327671344771E-2</v>
      </c>
      <c r="R138" s="10">
        <f t="shared" si="47"/>
        <v>7.8398557442714095E-2</v>
      </c>
      <c r="S138" s="10">
        <f t="shared" si="48"/>
        <v>9.6581885114058866E-2</v>
      </c>
    </row>
    <row r="139" spans="1:19" x14ac:dyDescent="0.25">
      <c r="A139" s="5" t="s">
        <v>8</v>
      </c>
      <c r="B139" s="5" t="s">
        <v>241</v>
      </c>
      <c r="C139" s="5" t="s">
        <v>27</v>
      </c>
      <c r="D139" s="5" t="s">
        <v>385</v>
      </c>
      <c r="E139" s="5" t="s">
        <v>384</v>
      </c>
      <c r="F139" s="5" t="s">
        <v>30</v>
      </c>
      <c r="G139" s="5" t="s">
        <v>392</v>
      </c>
      <c r="H139" s="5" t="s">
        <v>40</v>
      </c>
      <c r="I139" s="5" t="s">
        <v>245</v>
      </c>
      <c r="J139" s="15">
        <v>1200</v>
      </c>
      <c r="K139" s="7">
        <v>18</v>
      </c>
      <c r="L139" s="7">
        <f t="shared" si="43"/>
        <v>66.666666666666671</v>
      </c>
      <c r="M139" s="5" t="s">
        <v>9</v>
      </c>
      <c r="N139" s="5">
        <v>4</v>
      </c>
      <c r="O139" s="6">
        <f t="shared" si="44"/>
        <v>3.3333333333333339</v>
      </c>
      <c r="P139" s="6">
        <f t="shared" si="45"/>
        <v>0.34666666666666673</v>
      </c>
      <c r="Q139" s="10">
        <f t="shared" si="46"/>
        <v>7.2222222222222236E-3</v>
      </c>
      <c r="R139" s="10">
        <f t="shared" si="47"/>
        <v>3.9224388638091127E-2</v>
      </c>
      <c r="S139" s="10">
        <f t="shared" si="48"/>
        <v>4.6446610860313348E-2</v>
      </c>
    </row>
    <row r="140" spans="1:19" x14ac:dyDescent="0.25">
      <c r="J140" s="16">
        <f>AVERAGE(J99:J139)</f>
        <v>2390</v>
      </c>
      <c r="K140" s="12">
        <f t="shared" ref="K140:S140" si="49">AVERAGE(K99:K139)</f>
        <v>31.707317073170731</v>
      </c>
      <c r="L140" s="12">
        <f t="shared" si="49"/>
        <v>74.313917360719472</v>
      </c>
      <c r="M140" s="11" t="e">
        <f t="shared" si="49"/>
        <v>#DIV/0!</v>
      </c>
      <c r="N140" s="11">
        <f t="shared" si="49"/>
        <v>4</v>
      </c>
      <c r="O140" s="13">
        <f t="shared" si="49"/>
        <v>10.055051161958602</v>
      </c>
      <c r="P140" s="13">
        <f t="shared" si="49"/>
        <v>1.045725320843695</v>
      </c>
      <c r="Q140" s="14">
        <f t="shared" si="49"/>
        <v>2.178594418424365E-2</v>
      </c>
      <c r="R140" s="14">
        <f t="shared" si="49"/>
        <v>8.5118592331113074E-2</v>
      </c>
      <c r="S140" s="14">
        <f t="shared" si="49"/>
        <v>0.10690453651535674</v>
      </c>
    </row>
    <row r="141" spans="1:19" x14ac:dyDescent="0.25">
      <c r="A141" s="5" t="s">
        <v>22</v>
      </c>
      <c r="B141" s="5" t="s">
        <v>63</v>
      </c>
      <c r="C141" s="5" t="s">
        <v>27</v>
      </c>
      <c r="D141" s="5" t="s">
        <v>385</v>
      </c>
      <c r="E141" s="5" t="s">
        <v>384</v>
      </c>
      <c r="F141" s="5" t="s">
        <v>45</v>
      </c>
      <c r="G141" s="5" t="s">
        <v>390</v>
      </c>
      <c r="H141" s="5" t="s">
        <v>79</v>
      </c>
      <c r="I141" s="5" t="s">
        <v>80</v>
      </c>
      <c r="J141" s="15">
        <v>1225</v>
      </c>
      <c r="K141" s="7">
        <v>45</v>
      </c>
      <c r="L141" s="7">
        <f t="shared" ref="L141:L162" si="50">J141/K141</f>
        <v>27.222222222222221</v>
      </c>
      <c r="M141" s="5" t="s">
        <v>9</v>
      </c>
      <c r="N141" s="5">
        <v>4</v>
      </c>
      <c r="O141" s="6">
        <f t="shared" ref="O141:O162" si="51">(J141*L141^2)/(1.6*10^6)</f>
        <v>0.5673659336419753</v>
      </c>
      <c r="P141" s="6">
        <f t="shared" ref="P141:P162" si="52">(0.104*J141*L141^2)/(1.6*10^6)</f>
        <v>5.900605709876542E-2</v>
      </c>
      <c r="Q141" s="10">
        <f t="shared" ref="Q141:Q162" si="53">(0.104*O141)/(12*N141)</f>
        <v>1.2292928562242797E-3</v>
      </c>
      <c r="R141" s="10">
        <f t="shared" ref="R141:R162" si="54">0.0159*O141^0.75</f>
        <v>1.0394283700610837E-2</v>
      </c>
      <c r="S141" s="10">
        <f t="shared" ref="S141:S162" si="55">Q141+R141</f>
        <v>1.1623576556835116E-2</v>
      </c>
    </row>
    <row r="142" spans="1:19" x14ac:dyDescent="0.25">
      <c r="A142" s="5" t="s">
        <v>22</v>
      </c>
      <c r="B142" s="5" t="s">
        <v>63</v>
      </c>
      <c r="C142" s="5" t="s">
        <v>27</v>
      </c>
      <c r="D142" s="5" t="s">
        <v>385</v>
      </c>
      <c r="E142" s="5" t="s">
        <v>384</v>
      </c>
      <c r="F142" s="5" t="s">
        <v>45</v>
      </c>
      <c r="G142" s="5" t="s">
        <v>390</v>
      </c>
      <c r="H142" s="5" t="s">
        <v>75</v>
      </c>
      <c r="I142" s="5" t="s">
        <v>76</v>
      </c>
      <c r="J142" s="15">
        <v>1450</v>
      </c>
      <c r="K142" s="7">
        <v>48.5</v>
      </c>
      <c r="L142" s="7">
        <f t="shared" si="50"/>
        <v>29.896907216494846</v>
      </c>
      <c r="M142" s="5" t="s">
        <v>9</v>
      </c>
      <c r="N142" s="5">
        <v>4</v>
      </c>
      <c r="O142" s="6">
        <f t="shared" si="51"/>
        <v>0.81002896163247951</v>
      </c>
      <c r="P142" s="6">
        <f t="shared" si="52"/>
        <v>8.4243012009777865E-2</v>
      </c>
      <c r="Q142" s="10">
        <f t="shared" si="53"/>
        <v>1.7550627502037055E-3</v>
      </c>
      <c r="R142" s="10">
        <f t="shared" si="54"/>
        <v>1.3576022042751284E-2</v>
      </c>
      <c r="S142" s="10">
        <f t="shared" si="55"/>
        <v>1.5331084792954988E-2</v>
      </c>
    </row>
    <row r="143" spans="1:19" x14ac:dyDescent="0.25">
      <c r="A143" s="5" t="s">
        <v>8</v>
      </c>
      <c r="B143" s="5" t="s">
        <v>206</v>
      </c>
      <c r="C143" s="5" t="s">
        <v>27</v>
      </c>
      <c r="D143" s="5" t="s">
        <v>385</v>
      </c>
      <c r="E143" s="5" t="s">
        <v>384</v>
      </c>
      <c r="F143" s="5" t="s">
        <v>45</v>
      </c>
      <c r="G143" s="5" t="s">
        <v>390</v>
      </c>
      <c r="H143" s="5" t="s">
        <v>46</v>
      </c>
      <c r="I143" s="5" t="s">
        <v>207</v>
      </c>
      <c r="J143" s="15">
        <v>1100</v>
      </c>
      <c r="K143" s="7">
        <v>32</v>
      </c>
      <c r="L143" s="7">
        <f t="shared" si="50"/>
        <v>34.375</v>
      </c>
      <c r="M143" s="5" t="s">
        <v>9</v>
      </c>
      <c r="N143" s="5">
        <v>4</v>
      </c>
      <c r="O143" s="6">
        <f t="shared" si="51"/>
        <v>0.8123779296875</v>
      </c>
      <c r="P143" s="6">
        <f t="shared" si="52"/>
        <v>8.4487304687500001E-2</v>
      </c>
      <c r="Q143" s="10">
        <f t="shared" si="53"/>
        <v>1.7601521809895834E-3</v>
      </c>
      <c r="R143" s="10">
        <f t="shared" si="54"/>
        <v>1.3605537743536752E-2</v>
      </c>
      <c r="S143" s="10">
        <f t="shared" si="55"/>
        <v>1.5365689924526336E-2</v>
      </c>
    </row>
    <row r="144" spans="1:19" x14ac:dyDescent="0.25">
      <c r="A144" s="5" t="s">
        <v>8</v>
      </c>
      <c r="B144" s="5" t="s">
        <v>209</v>
      </c>
      <c r="C144" s="5" t="s">
        <v>27</v>
      </c>
      <c r="D144" s="5" t="s">
        <v>385</v>
      </c>
      <c r="E144" s="5" t="s">
        <v>384</v>
      </c>
      <c r="F144" s="5" t="s">
        <v>45</v>
      </c>
      <c r="G144" s="5" t="s">
        <v>390</v>
      </c>
      <c r="H144" s="5" t="s">
        <v>46</v>
      </c>
      <c r="I144" s="5" t="s">
        <v>207</v>
      </c>
      <c r="J144" s="15">
        <v>1580</v>
      </c>
      <c r="K144" s="7">
        <v>52.7</v>
      </c>
      <c r="L144" s="7">
        <f t="shared" si="50"/>
        <v>29.981024667931688</v>
      </c>
      <c r="M144" s="5" t="s">
        <v>9</v>
      </c>
      <c r="N144" s="5">
        <v>4</v>
      </c>
      <c r="O144" s="6">
        <f t="shared" si="51"/>
        <v>0.88762606713738934</v>
      </c>
      <c r="P144" s="6">
        <f t="shared" si="52"/>
        <v>9.231311098228849E-2</v>
      </c>
      <c r="Q144" s="10">
        <f t="shared" si="53"/>
        <v>1.9231898121310103E-3</v>
      </c>
      <c r="R144" s="10">
        <f t="shared" si="54"/>
        <v>1.4540175890565775E-2</v>
      </c>
      <c r="S144" s="10">
        <f t="shared" si="55"/>
        <v>1.6463365702696783E-2</v>
      </c>
    </row>
    <row r="145" spans="1:19" x14ac:dyDescent="0.25">
      <c r="A145" s="5" t="s">
        <v>22</v>
      </c>
      <c r="B145" s="5" t="s">
        <v>26</v>
      </c>
      <c r="C145" s="5" t="s">
        <v>27</v>
      </c>
      <c r="D145" s="5" t="s">
        <v>385</v>
      </c>
      <c r="E145" s="5" t="s">
        <v>384</v>
      </c>
      <c r="F145" s="5" t="s">
        <v>45</v>
      </c>
      <c r="G145" s="5" t="s">
        <v>390</v>
      </c>
      <c r="H145" s="5" t="s">
        <v>46</v>
      </c>
      <c r="I145" s="5" t="s">
        <v>16</v>
      </c>
      <c r="J145" s="15">
        <v>1350</v>
      </c>
      <c r="K145" s="7">
        <v>35</v>
      </c>
      <c r="L145" s="7">
        <f t="shared" si="50"/>
        <v>38.571428571428569</v>
      </c>
      <c r="M145" s="5" t="s">
        <v>9</v>
      </c>
      <c r="N145" s="5">
        <v>4</v>
      </c>
      <c r="O145" s="6">
        <f t="shared" si="51"/>
        <v>1.2552933673469386</v>
      </c>
      <c r="P145" s="6">
        <f t="shared" si="52"/>
        <v>0.13055051020408162</v>
      </c>
      <c r="Q145" s="10">
        <f t="shared" si="53"/>
        <v>2.719802295918367E-3</v>
      </c>
      <c r="R145" s="10">
        <f t="shared" si="54"/>
        <v>1.8856281365180333E-2</v>
      </c>
      <c r="S145" s="10">
        <f t="shared" si="55"/>
        <v>2.1576083661098699E-2</v>
      </c>
    </row>
    <row r="146" spans="1:19" x14ac:dyDescent="0.25">
      <c r="A146" s="5" t="s">
        <v>22</v>
      </c>
      <c r="B146" s="5" t="s">
        <v>26</v>
      </c>
      <c r="C146" s="5" t="s">
        <v>27</v>
      </c>
      <c r="D146" s="5" t="s">
        <v>385</v>
      </c>
      <c r="E146" s="5" t="s">
        <v>384</v>
      </c>
      <c r="F146" s="5" t="s">
        <v>45</v>
      </c>
      <c r="G146" s="5" t="s">
        <v>390</v>
      </c>
      <c r="H146" s="5" t="s">
        <v>46</v>
      </c>
      <c r="I146" s="5" t="s">
        <v>47</v>
      </c>
      <c r="J146" s="15">
        <v>1150</v>
      </c>
      <c r="K146" s="7">
        <v>30</v>
      </c>
      <c r="L146" s="7">
        <f t="shared" si="50"/>
        <v>38.333333333333336</v>
      </c>
      <c r="M146" s="5" t="s">
        <v>9</v>
      </c>
      <c r="N146" s="5">
        <v>4</v>
      </c>
      <c r="O146" s="6">
        <f t="shared" si="51"/>
        <v>1.0561631944444445</v>
      </c>
      <c r="P146" s="6">
        <f t="shared" si="52"/>
        <v>0.10984097222222222</v>
      </c>
      <c r="Q146" s="10">
        <f t="shared" si="53"/>
        <v>2.288353587962963E-3</v>
      </c>
      <c r="R146" s="10">
        <f t="shared" si="54"/>
        <v>1.6565150885101746E-2</v>
      </c>
      <c r="S146" s="10">
        <f t="shared" si="55"/>
        <v>1.8853504473064709E-2</v>
      </c>
    </row>
    <row r="147" spans="1:19" x14ac:dyDescent="0.25">
      <c r="A147" s="5" t="s">
        <v>8</v>
      </c>
      <c r="B147" s="5" t="s">
        <v>202</v>
      </c>
      <c r="C147" s="5" t="s">
        <v>27</v>
      </c>
      <c r="D147" s="5" t="s">
        <v>385</v>
      </c>
      <c r="E147" s="5" t="s">
        <v>384</v>
      </c>
      <c r="F147" s="5" t="s">
        <v>45</v>
      </c>
      <c r="G147" s="5" t="s">
        <v>390</v>
      </c>
      <c r="H147" s="5" t="s">
        <v>46</v>
      </c>
      <c r="I147" s="5" t="s">
        <v>203</v>
      </c>
      <c r="J147" s="15">
        <v>1220</v>
      </c>
      <c r="K147" s="7">
        <v>29.6</v>
      </c>
      <c r="L147" s="7">
        <f t="shared" si="50"/>
        <v>41.216216216216218</v>
      </c>
      <c r="M147" s="5" t="s">
        <v>9</v>
      </c>
      <c r="N147" s="5">
        <v>4</v>
      </c>
      <c r="O147" s="6">
        <f t="shared" si="51"/>
        <v>1.2953170653761872</v>
      </c>
      <c r="P147" s="6">
        <f t="shared" si="52"/>
        <v>0.13471297479912345</v>
      </c>
      <c r="Q147" s="10">
        <f t="shared" si="53"/>
        <v>2.8065203083150717E-3</v>
      </c>
      <c r="R147" s="10">
        <f t="shared" si="54"/>
        <v>1.930541712752341E-2</v>
      </c>
      <c r="S147" s="10">
        <f t="shared" si="55"/>
        <v>2.2111937435838482E-2</v>
      </c>
    </row>
    <row r="148" spans="1:19" x14ac:dyDescent="0.25">
      <c r="A148" s="5" t="s">
        <v>8</v>
      </c>
      <c r="B148" s="5" t="s">
        <v>204</v>
      </c>
      <c r="C148" s="5" t="s">
        <v>27</v>
      </c>
      <c r="D148" s="5" t="s">
        <v>385</v>
      </c>
      <c r="E148" s="5" t="s">
        <v>384</v>
      </c>
      <c r="F148" s="5" t="s">
        <v>45</v>
      </c>
      <c r="G148" s="5" t="s">
        <v>390</v>
      </c>
      <c r="H148" s="5" t="s">
        <v>46</v>
      </c>
      <c r="I148" s="5" t="s">
        <v>203</v>
      </c>
      <c r="J148" s="15">
        <v>850</v>
      </c>
      <c r="K148" s="7">
        <v>32</v>
      </c>
      <c r="L148" s="7">
        <f t="shared" si="50"/>
        <v>26.5625</v>
      </c>
      <c r="M148" s="5" t="s">
        <v>9</v>
      </c>
      <c r="N148" s="5">
        <v>4</v>
      </c>
      <c r="O148" s="6">
        <f t="shared" si="51"/>
        <v>0.3748321533203125</v>
      </c>
      <c r="P148" s="6">
        <f t="shared" si="52"/>
        <v>3.8982543945312496E-2</v>
      </c>
      <c r="Q148" s="10">
        <f t="shared" si="53"/>
        <v>8.1213633219401034E-4</v>
      </c>
      <c r="R148" s="10">
        <f t="shared" si="54"/>
        <v>7.6168385941915153E-3</v>
      </c>
      <c r="S148" s="10">
        <f t="shared" si="55"/>
        <v>8.4289749263855261E-3</v>
      </c>
    </row>
    <row r="149" spans="1:19" x14ac:dyDescent="0.25">
      <c r="A149" s="5" t="s">
        <v>8</v>
      </c>
      <c r="B149" s="5" t="s">
        <v>201</v>
      </c>
      <c r="C149" s="5" t="s">
        <v>27</v>
      </c>
      <c r="D149" s="5" t="s">
        <v>385</v>
      </c>
      <c r="E149" s="5" t="s">
        <v>384</v>
      </c>
      <c r="F149" s="5" t="s">
        <v>45</v>
      </c>
      <c r="G149" s="5" t="s">
        <v>390</v>
      </c>
      <c r="H149" s="5" t="s">
        <v>46</v>
      </c>
      <c r="I149" s="5" t="s">
        <v>203</v>
      </c>
      <c r="J149" s="15">
        <v>965</v>
      </c>
      <c r="K149" s="7">
        <v>26.5</v>
      </c>
      <c r="L149" s="7">
        <f t="shared" si="50"/>
        <v>36.415094339622641</v>
      </c>
      <c r="M149" s="5" t="s">
        <v>9</v>
      </c>
      <c r="N149" s="5">
        <v>4</v>
      </c>
      <c r="O149" s="6">
        <f t="shared" si="51"/>
        <v>0.79977939213243143</v>
      </c>
      <c r="P149" s="6">
        <f t="shared" si="52"/>
        <v>8.3177056781772868E-2</v>
      </c>
      <c r="Q149" s="10">
        <f t="shared" si="53"/>
        <v>1.732855349620268E-3</v>
      </c>
      <c r="R149" s="10">
        <f t="shared" si="54"/>
        <v>1.3446980696864171E-2</v>
      </c>
      <c r="S149" s="10">
        <f t="shared" si="55"/>
        <v>1.517983604648444E-2</v>
      </c>
    </row>
    <row r="150" spans="1:19" x14ac:dyDescent="0.25">
      <c r="A150" s="5" t="s">
        <v>22</v>
      </c>
      <c r="B150" s="5" t="s">
        <v>26</v>
      </c>
      <c r="C150" s="5" t="s">
        <v>27</v>
      </c>
      <c r="D150" s="5" t="s">
        <v>385</v>
      </c>
      <c r="E150" s="5" t="s">
        <v>384</v>
      </c>
      <c r="F150" s="5" t="s">
        <v>45</v>
      </c>
      <c r="G150" s="5" t="s">
        <v>390</v>
      </c>
      <c r="H150" s="5" t="s">
        <v>46</v>
      </c>
      <c r="I150" s="5" t="s">
        <v>11</v>
      </c>
      <c r="J150" s="15">
        <v>1450</v>
      </c>
      <c r="K150" s="7">
        <v>29</v>
      </c>
      <c r="L150" s="7">
        <f t="shared" si="50"/>
        <v>50</v>
      </c>
      <c r="M150" s="5" t="s">
        <v>9</v>
      </c>
      <c r="N150" s="5">
        <v>4</v>
      </c>
      <c r="O150" s="6">
        <f t="shared" si="51"/>
        <v>2.265625</v>
      </c>
      <c r="P150" s="6">
        <f t="shared" si="52"/>
        <v>0.23562499999999997</v>
      </c>
      <c r="Q150" s="10">
        <f t="shared" si="53"/>
        <v>4.9088541666666664E-3</v>
      </c>
      <c r="R150" s="10">
        <f t="shared" si="54"/>
        <v>2.9362169777582138E-2</v>
      </c>
      <c r="S150" s="10">
        <f t="shared" si="55"/>
        <v>3.4271023944248802E-2</v>
      </c>
    </row>
    <row r="151" spans="1:19" x14ac:dyDescent="0.25">
      <c r="A151" s="5" t="s">
        <v>8</v>
      </c>
      <c r="B151" s="5" t="s">
        <v>339</v>
      </c>
      <c r="C151" s="5" t="s">
        <v>27</v>
      </c>
      <c r="D151" s="5" t="s">
        <v>385</v>
      </c>
      <c r="E151" s="5" t="s">
        <v>384</v>
      </c>
      <c r="F151" s="5" t="s">
        <v>45</v>
      </c>
      <c r="G151" s="5" t="s">
        <v>390</v>
      </c>
      <c r="H151" s="5" t="s">
        <v>46</v>
      </c>
      <c r="I151" s="5" t="s">
        <v>216</v>
      </c>
      <c r="J151" s="15">
        <v>801</v>
      </c>
      <c r="K151" s="7">
        <v>28.6</v>
      </c>
      <c r="L151" s="7">
        <f t="shared" si="50"/>
        <v>28.006993006993007</v>
      </c>
      <c r="M151" s="5" t="s">
        <v>9</v>
      </c>
      <c r="N151" s="5">
        <v>4</v>
      </c>
      <c r="O151" s="6">
        <f t="shared" si="51"/>
        <v>0.39268607343268619</v>
      </c>
      <c r="P151" s="6">
        <f t="shared" si="52"/>
        <v>4.0839351636999366E-2</v>
      </c>
      <c r="Q151" s="10">
        <f t="shared" si="53"/>
        <v>8.5081982577081994E-4</v>
      </c>
      <c r="R151" s="10">
        <f t="shared" si="54"/>
        <v>7.8873524666107624E-3</v>
      </c>
      <c r="S151" s="10">
        <f t="shared" si="55"/>
        <v>8.7381722923815831E-3</v>
      </c>
    </row>
    <row r="152" spans="1:19" x14ac:dyDescent="0.25">
      <c r="A152" s="5" t="s">
        <v>22</v>
      </c>
      <c r="B152" s="5" t="s">
        <v>63</v>
      </c>
      <c r="C152" s="5" t="s">
        <v>27</v>
      </c>
      <c r="D152" s="5" t="s">
        <v>385</v>
      </c>
      <c r="E152" s="5" t="s">
        <v>384</v>
      </c>
      <c r="F152" s="5" t="s">
        <v>45</v>
      </c>
      <c r="G152" s="5" t="s">
        <v>390</v>
      </c>
      <c r="H152" s="5" t="s">
        <v>46</v>
      </c>
      <c r="I152" s="5" t="s">
        <v>152</v>
      </c>
      <c r="J152" s="15">
        <v>1900</v>
      </c>
      <c r="K152" s="7">
        <v>49.5</v>
      </c>
      <c r="L152" s="7">
        <f t="shared" si="50"/>
        <v>38.383838383838381</v>
      </c>
      <c r="M152" s="5" t="s">
        <v>9</v>
      </c>
      <c r="N152" s="5">
        <v>4</v>
      </c>
      <c r="O152" s="6">
        <f t="shared" si="51"/>
        <v>1.7495663707784919</v>
      </c>
      <c r="P152" s="6">
        <f t="shared" si="52"/>
        <v>0.18195490256096314</v>
      </c>
      <c r="Q152" s="10">
        <f t="shared" si="53"/>
        <v>3.7907271366867321E-3</v>
      </c>
      <c r="R152" s="10">
        <f t="shared" si="54"/>
        <v>2.4187720476462712E-2</v>
      </c>
      <c r="S152" s="10">
        <f t="shared" si="55"/>
        <v>2.7978447613149444E-2</v>
      </c>
    </row>
    <row r="153" spans="1:19" x14ac:dyDescent="0.25">
      <c r="A153" s="5" t="s">
        <v>8</v>
      </c>
      <c r="B153" s="5" t="s">
        <v>375</v>
      </c>
      <c r="C153" s="5" t="s">
        <v>27</v>
      </c>
      <c r="D153" s="5" t="s">
        <v>385</v>
      </c>
      <c r="E153" s="5" t="s">
        <v>384</v>
      </c>
      <c r="F153" s="5" t="s">
        <v>45</v>
      </c>
      <c r="G153" s="5" t="s">
        <v>390</v>
      </c>
      <c r="H153" s="5" t="s">
        <v>46</v>
      </c>
      <c r="I153" s="5" t="s">
        <v>152</v>
      </c>
      <c r="J153" s="15">
        <v>1900</v>
      </c>
      <c r="K153" s="7">
        <v>50</v>
      </c>
      <c r="L153" s="7">
        <f t="shared" si="50"/>
        <v>38</v>
      </c>
      <c r="M153" s="5" t="s">
        <v>9</v>
      </c>
      <c r="N153" s="5">
        <v>4</v>
      </c>
      <c r="O153" s="6">
        <f t="shared" si="51"/>
        <v>1.71475</v>
      </c>
      <c r="P153" s="6">
        <f t="shared" si="52"/>
        <v>0.17833399999999996</v>
      </c>
      <c r="Q153" s="10">
        <f t="shared" si="53"/>
        <v>3.7152916666666667E-3</v>
      </c>
      <c r="R153" s="10">
        <f t="shared" si="54"/>
        <v>2.3825813226263679E-2</v>
      </c>
      <c r="S153" s="10">
        <f t="shared" si="55"/>
        <v>2.7541104892930345E-2</v>
      </c>
    </row>
    <row r="154" spans="1:19" x14ac:dyDescent="0.25">
      <c r="A154" s="5" t="s">
        <v>22</v>
      </c>
      <c r="B154" s="5" t="s">
        <v>26</v>
      </c>
      <c r="C154" s="5" t="s">
        <v>27</v>
      </c>
      <c r="D154" s="5" t="s">
        <v>385</v>
      </c>
      <c r="E154" s="5" t="s">
        <v>384</v>
      </c>
      <c r="F154" s="5" t="s">
        <v>45</v>
      </c>
      <c r="G154" s="5" t="s">
        <v>390</v>
      </c>
      <c r="H154" s="5" t="s">
        <v>46</v>
      </c>
      <c r="I154" s="5" t="s">
        <v>48</v>
      </c>
      <c r="J154" s="15">
        <v>1150</v>
      </c>
      <c r="K154" s="7">
        <v>34</v>
      </c>
      <c r="L154" s="7">
        <f t="shared" si="50"/>
        <v>33.823529411764703</v>
      </c>
      <c r="M154" s="5" t="s">
        <v>9</v>
      </c>
      <c r="N154" s="5">
        <v>4</v>
      </c>
      <c r="O154" s="6">
        <f t="shared" si="51"/>
        <v>0.8222723832179929</v>
      </c>
      <c r="P154" s="6">
        <f t="shared" si="52"/>
        <v>8.5516327854671254E-2</v>
      </c>
      <c r="Q154" s="10">
        <f t="shared" si="53"/>
        <v>1.7815901636389845E-3</v>
      </c>
      <c r="R154" s="10">
        <f t="shared" si="54"/>
        <v>1.3729632180540055E-2</v>
      </c>
      <c r="S154" s="10">
        <f t="shared" si="55"/>
        <v>1.5511222344179039E-2</v>
      </c>
    </row>
    <row r="155" spans="1:19" x14ac:dyDescent="0.25">
      <c r="A155" s="5" t="s">
        <v>22</v>
      </c>
      <c r="B155" s="5" t="s">
        <v>26</v>
      </c>
      <c r="C155" s="5" t="s">
        <v>27</v>
      </c>
      <c r="D155" s="5" t="s">
        <v>385</v>
      </c>
      <c r="E155" s="5" t="s">
        <v>384</v>
      </c>
      <c r="F155" s="5" t="s">
        <v>45</v>
      </c>
      <c r="G155" s="5" t="s">
        <v>390</v>
      </c>
      <c r="H155" s="5" t="s">
        <v>46</v>
      </c>
      <c r="I155" s="5" t="s">
        <v>49</v>
      </c>
      <c r="J155" s="15">
        <v>1400</v>
      </c>
      <c r="K155" s="7">
        <v>37.5</v>
      </c>
      <c r="L155" s="7">
        <f t="shared" si="50"/>
        <v>37.333333333333336</v>
      </c>
      <c r="M155" s="5" t="s">
        <v>9</v>
      </c>
      <c r="N155" s="5">
        <v>4</v>
      </c>
      <c r="O155" s="6">
        <f t="shared" si="51"/>
        <v>1.2195555555555557</v>
      </c>
      <c r="P155" s="6">
        <f t="shared" si="52"/>
        <v>0.1268337777777778</v>
      </c>
      <c r="Q155" s="10">
        <f t="shared" si="53"/>
        <v>2.6423703703703709E-3</v>
      </c>
      <c r="R155" s="10">
        <f t="shared" si="54"/>
        <v>1.8452206917572135E-2</v>
      </c>
      <c r="S155" s="10">
        <f t="shared" si="55"/>
        <v>2.1094577287942506E-2</v>
      </c>
    </row>
    <row r="156" spans="1:19" x14ac:dyDescent="0.25">
      <c r="A156" s="5" t="s">
        <v>22</v>
      </c>
      <c r="B156" s="5" t="s">
        <v>26</v>
      </c>
      <c r="C156" s="5" t="s">
        <v>27</v>
      </c>
      <c r="D156" s="5" t="s">
        <v>385</v>
      </c>
      <c r="E156" s="5" t="s">
        <v>384</v>
      </c>
      <c r="F156" s="5" t="s">
        <v>45</v>
      </c>
      <c r="G156" s="5" t="s">
        <v>390</v>
      </c>
      <c r="H156" s="5" t="s">
        <v>46</v>
      </c>
      <c r="I156" s="5" t="s">
        <v>50</v>
      </c>
      <c r="J156" s="15">
        <v>1650</v>
      </c>
      <c r="K156" s="7">
        <v>30</v>
      </c>
      <c r="L156" s="7">
        <f t="shared" si="50"/>
        <v>55</v>
      </c>
      <c r="M156" s="5" t="s">
        <v>9</v>
      </c>
      <c r="N156" s="5">
        <v>4</v>
      </c>
      <c r="O156" s="6">
        <f t="shared" si="51"/>
        <v>3.1195312500000001</v>
      </c>
      <c r="P156" s="6">
        <f t="shared" si="52"/>
        <v>0.32443125</v>
      </c>
      <c r="Q156" s="10">
        <f t="shared" si="53"/>
        <v>6.7589843749999998E-3</v>
      </c>
      <c r="R156" s="10">
        <f t="shared" si="54"/>
        <v>3.7321933071527903E-2</v>
      </c>
      <c r="S156" s="10">
        <f t="shared" si="55"/>
        <v>4.4080917446527902E-2</v>
      </c>
    </row>
    <row r="157" spans="1:19" x14ac:dyDescent="0.25">
      <c r="A157" s="5" t="s">
        <v>8</v>
      </c>
      <c r="B157" s="5" t="s">
        <v>233</v>
      </c>
      <c r="C157" s="5" t="s">
        <v>27</v>
      </c>
      <c r="D157" s="5" t="s">
        <v>385</v>
      </c>
      <c r="E157" s="5" t="s">
        <v>384</v>
      </c>
      <c r="F157" s="5" t="s">
        <v>45</v>
      </c>
      <c r="G157" s="5" t="s">
        <v>390</v>
      </c>
      <c r="H157" s="5" t="s">
        <v>46</v>
      </c>
      <c r="I157" s="5" t="s">
        <v>234</v>
      </c>
      <c r="J157" s="15">
        <v>1350</v>
      </c>
      <c r="K157" s="7">
        <v>40</v>
      </c>
      <c r="L157" s="7">
        <f t="shared" si="50"/>
        <v>33.75</v>
      </c>
      <c r="M157" s="5" t="s">
        <v>9</v>
      </c>
      <c r="N157" s="5">
        <v>4</v>
      </c>
      <c r="O157" s="6">
        <f t="shared" si="51"/>
        <v>0.96108398437499998</v>
      </c>
      <c r="P157" s="6">
        <f t="shared" si="52"/>
        <v>9.9952734375000005E-2</v>
      </c>
      <c r="Q157" s="10">
        <f t="shared" si="53"/>
        <v>2.0823486328124998E-3</v>
      </c>
      <c r="R157" s="10">
        <f t="shared" si="54"/>
        <v>1.5433631599993865E-2</v>
      </c>
      <c r="S157" s="10">
        <f t="shared" si="55"/>
        <v>1.7515980232806365E-2</v>
      </c>
    </row>
    <row r="158" spans="1:19" x14ac:dyDescent="0.25">
      <c r="A158" s="5" t="s">
        <v>22</v>
      </c>
      <c r="B158" s="5" t="s">
        <v>26</v>
      </c>
      <c r="C158" s="5" t="s">
        <v>27</v>
      </c>
      <c r="D158" s="5" t="s">
        <v>385</v>
      </c>
      <c r="E158" s="5" t="s">
        <v>384</v>
      </c>
      <c r="F158" s="5" t="s">
        <v>45</v>
      </c>
      <c r="G158" s="5" t="s">
        <v>390</v>
      </c>
      <c r="H158" s="5" t="s">
        <v>46</v>
      </c>
      <c r="I158" s="5" t="s">
        <v>51</v>
      </c>
      <c r="J158" s="15">
        <v>1400</v>
      </c>
      <c r="K158" s="7">
        <v>40</v>
      </c>
      <c r="L158" s="7">
        <f t="shared" si="50"/>
        <v>35</v>
      </c>
      <c r="M158" s="5" t="s">
        <v>9</v>
      </c>
      <c r="N158" s="5">
        <v>4</v>
      </c>
      <c r="O158" s="6">
        <f t="shared" si="51"/>
        <v>1.0718749999999999</v>
      </c>
      <c r="P158" s="6">
        <f t="shared" si="52"/>
        <v>0.111475</v>
      </c>
      <c r="Q158" s="10">
        <f t="shared" si="53"/>
        <v>2.322395833333333E-3</v>
      </c>
      <c r="R158" s="10">
        <f t="shared" si="54"/>
        <v>1.6749630490436755E-2</v>
      </c>
      <c r="S158" s="10">
        <f t="shared" si="55"/>
        <v>1.9072026323770089E-2</v>
      </c>
    </row>
    <row r="159" spans="1:19" x14ac:dyDescent="0.25">
      <c r="A159" s="5" t="s">
        <v>8</v>
      </c>
      <c r="B159" s="5" t="s">
        <v>192</v>
      </c>
      <c r="C159" s="5" t="s">
        <v>27</v>
      </c>
      <c r="D159" s="5" t="s">
        <v>385</v>
      </c>
      <c r="E159" s="5" t="s">
        <v>384</v>
      </c>
      <c r="F159" s="5" t="s">
        <v>45</v>
      </c>
      <c r="G159" s="5" t="s">
        <v>390</v>
      </c>
      <c r="H159" s="5" t="s">
        <v>46</v>
      </c>
      <c r="I159" s="5" t="s">
        <v>213</v>
      </c>
      <c r="J159" s="15">
        <v>960</v>
      </c>
      <c r="K159" s="7">
        <v>25.9</v>
      </c>
      <c r="L159" s="7">
        <f t="shared" si="50"/>
        <v>37.06563706563707</v>
      </c>
      <c r="M159" s="5" t="s">
        <v>9</v>
      </c>
      <c r="N159" s="5">
        <v>4</v>
      </c>
      <c r="O159" s="6">
        <f t="shared" si="51"/>
        <v>0.82431687064891723</v>
      </c>
      <c r="P159" s="6">
        <f t="shared" si="52"/>
        <v>8.5728954547487371E-2</v>
      </c>
      <c r="Q159" s="10">
        <f t="shared" si="53"/>
        <v>1.7860198864059873E-3</v>
      </c>
      <c r="R159" s="10">
        <f t="shared" si="54"/>
        <v>1.3755227116500256E-2</v>
      </c>
      <c r="S159" s="10">
        <f t="shared" si="55"/>
        <v>1.5541247002906242E-2</v>
      </c>
    </row>
    <row r="160" spans="1:19" x14ac:dyDescent="0.25">
      <c r="A160" s="5" t="s">
        <v>22</v>
      </c>
      <c r="B160" s="5" t="s">
        <v>63</v>
      </c>
      <c r="C160" s="5" t="s">
        <v>27</v>
      </c>
      <c r="D160" s="5" t="s">
        <v>385</v>
      </c>
      <c r="E160" s="5" t="s">
        <v>384</v>
      </c>
      <c r="F160" s="5" t="s">
        <v>45</v>
      </c>
      <c r="G160" s="5" t="s">
        <v>390</v>
      </c>
      <c r="H160" s="5" t="s">
        <v>46</v>
      </c>
      <c r="I160" s="5" t="s">
        <v>153</v>
      </c>
      <c r="J160" s="15">
        <v>1620</v>
      </c>
      <c r="K160" s="7">
        <v>41</v>
      </c>
      <c r="L160" s="7">
        <f t="shared" si="50"/>
        <v>39.512195121951223</v>
      </c>
      <c r="M160" s="5" t="s">
        <v>9</v>
      </c>
      <c r="N160" s="5">
        <v>4</v>
      </c>
      <c r="O160" s="6">
        <f t="shared" si="51"/>
        <v>1.5807287328970852</v>
      </c>
      <c r="P160" s="6">
        <f t="shared" si="52"/>
        <v>0.16439578822129686</v>
      </c>
      <c r="Q160" s="10">
        <f t="shared" si="53"/>
        <v>3.424912254610351E-3</v>
      </c>
      <c r="R160" s="10">
        <f t="shared" si="54"/>
        <v>2.241507183266496E-2</v>
      </c>
      <c r="S160" s="10">
        <f t="shared" si="55"/>
        <v>2.5839984087275312E-2</v>
      </c>
    </row>
    <row r="161" spans="1:19" x14ac:dyDescent="0.25">
      <c r="A161" s="5" t="s">
        <v>8</v>
      </c>
      <c r="B161" s="5" t="s">
        <v>375</v>
      </c>
      <c r="C161" s="5" t="s">
        <v>27</v>
      </c>
      <c r="D161" s="5" t="s">
        <v>385</v>
      </c>
      <c r="E161" s="5" t="s">
        <v>384</v>
      </c>
      <c r="F161" s="5" t="s">
        <v>45</v>
      </c>
      <c r="G161" s="5" t="s">
        <v>390</v>
      </c>
      <c r="H161" s="5" t="s">
        <v>46</v>
      </c>
      <c r="I161" s="5" t="s">
        <v>153</v>
      </c>
      <c r="J161" s="15">
        <v>1570</v>
      </c>
      <c r="K161" s="7">
        <v>41.7</v>
      </c>
      <c r="L161" s="7">
        <f t="shared" si="50"/>
        <v>37.649880095923258</v>
      </c>
      <c r="M161" s="5" t="s">
        <v>9</v>
      </c>
      <c r="N161" s="5">
        <v>4</v>
      </c>
      <c r="O161" s="6">
        <f t="shared" si="51"/>
        <v>1.3909350936516971</v>
      </c>
      <c r="P161" s="6">
        <f t="shared" si="52"/>
        <v>0.14465724973977651</v>
      </c>
      <c r="Q161" s="10">
        <f t="shared" si="53"/>
        <v>3.01369270291201E-3</v>
      </c>
      <c r="R161" s="10">
        <f t="shared" si="54"/>
        <v>2.0364665116242991E-2</v>
      </c>
      <c r="S161" s="10">
        <f t="shared" si="55"/>
        <v>2.3378357819155003E-2</v>
      </c>
    </row>
    <row r="162" spans="1:19" x14ac:dyDescent="0.25">
      <c r="A162" s="5" t="s">
        <v>22</v>
      </c>
      <c r="B162" s="5" t="s">
        <v>63</v>
      </c>
      <c r="C162" s="5" t="s">
        <v>27</v>
      </c>
      <c r="D162" s="5" t="s">
        <v>385</v>
      </c>
      <c r="E162" s="5" t="s">
        <v>384</v>
      </c>
      <c r="F162" s="5" t="s">
        <v>45</v>
      </c>
      <c r="G162" s="5" t="s">
        <v>390</v>
      </c>
      <c r="H162" s="5" t="s">
        <v>74</v>
      </c>
      <c r="I162" s="5" t="s">
        <v>24</v>
      </c>
      <c r="J162" s="15">
        <v>1200</v>
      </c>
      <c r="K162" s="7">
        <v>33</v>
      </c>
      <c r="L162" s="7">
        <f t="shared" si="50"/>
        <v>36.363636363636367</v>
      </c>
      <c r="M162" s="5" t="s">
        <v>9</v>
      </c>
      <c r="N162" s="5">
        <v>4</v>
      </c>
      <c r="O162" s="6">
        <f t="shared" si="51"/>
        <v>0.99173553719008278</v>
      </c>
      <c r="P162" s="6">
        <f t="shared" si="52"/>
        <v>0.10314049586776862</v>
      </c>
      <c r="Q162" s="10">
        <f t="shared" si="53"/>
        <v>2.1487603305785125E-3</v>
      </c>
      <c r="R162" s="10">
        <f t="shared" si="54"/>
        <v>1.5801344117068697E-2</v>
      </c>
      <c r="S162" s="10">
        <f t="shared" si="55"/>
        <v>1.7950104447647209E-2</v>
      </c>
    </row>
    <row r="163" spans="1:19" x14ac:dyDescent="0.25">
      <c r="J163" s="16">
        <f>AVERAGE(J141:J162)</f>
        <v>1329.1363636363637</v>
      </c>
      <c r="K163" s="12">
        <f t="shared" ref="K163:S163" si="56">AVERAGE(K141:K162)</f>
        <v>36.88636363636364</v>
      </c>
      <c r="L163" s="12">
        <f t="shared" si="56"/>
        <v>36.475580425014854</v>
      </c>
      <c r="M163" s="11" t="e">
        <f t="shared" si="56"/>
        <v>#DIV/0!</v>
      </c>
      <c r="N163" s="11">
        <f t="shared" si="56"/>
        <v>4</v>
      </c>
      <c r="O163" s="13">
        <f t="shared" si="56"/>
        <v>1.1801566325666895</v>
      </c>
      <c r="P163" s="13">
        <f t="shared" si="56"/>
        <v>0.1227362897869357</v>
      </c>
      <c r="Q163" s="14">
        <f t="shared" si="56"/>
        <v>2.5570060372278273E-3</v>
      </c>
      <c r="R163" s="14">
        <f t="shared" si="56"/>
        <v>1.7599685747081484E-2</v>
      </c>
      <c r="S163" s="14">
        <f t="shared" si="56"/>
        <v>2.0156691784309316E-2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0"/>
  <sheetViews>
    <sheetView topLeftCell="G1" workbookViewId="0">
      <pane ySplit="1" topLeftCell="A182" activePane="bottomLeft" state="frozen"/>
      <selection pane="bottomLeft" activeCell="G193" sqref="A193:XFD193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407</v>
      </c>
      <c r="H2" s="5" t="s">
        <v>29</v>
      </c>
      <c r="I2" s="5" t="s">
        <v>23</v>
      </c>
      <c r="J2" s="15">
        <v>905</v>
      </c>
      <c r="K2" s="7">
        <v>17.5</v>
      </c>
      <c r="L2" s="7">
        <f>J2/K2</f>
        <v>51.714285714285715</v>
      </c>
      <c r="M2" s="5" t="s">
        <v>10</v>
      </c>
      <c r="N2" s="5">
        <v>4</v>
      </c>
      <c r="O2" s="6">
        <f>(J2*L2^2)/(1.6*10^6)</f>
        <v>1.5126890306122449</v>
      </c>
      <c r="P2" s="6">
        <f>(0.104*J2*L2^2)/(1.6*10^6)</f>
        <v>0.15731965918367344</v>
      </c>
      <c r="Q2" s="10">
        <f>(0.104*O2)/(12*N2)</f>
        <v>3.2774928996598639E-3</v>
      </c>
      <c r="R2" s="10">
        <f>0.0159*O2^0.75</f>
        <v>2.16874937766043E-2</v>
      </c>
      <c r="S2" s="10">
        <f>Q2+R2</f>
        <v>2.4964986676264164E-2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407</v>
      </c>
      <c r="H3" s="5" t="s">
        <v>29</v>
      </c>
      <c r="I3" s="5" t="s">
        <v>13</v>
      </c>
      <c r="J3" s="15">
        <v>1000</v>
      </c>
      <c r="K3" s="7">
        <v>18</v>
      </c>
      <c r="L3" s="7">
        <f>J3/K3</f>
        <v>55.555555555555557</v>
      </c>
      <c r="M3" s="5" t="s">
        <v>10</v>
      </c>
      <c r="N3" s="5">
        <v>4</v>
      </c>
      <c r="O3" s="6">
        <f>(J3*L3^2)/(1.6*10^6)</f>
        <v>1.9290123456790123</v>
      </c>
      <c r="P3" s="6">
        <f>(0.104*J3*L3^2)/(1.6*10^6)</f>
        <v>0.20061728395061729</v>
      </c>
      <c r="Q3" s="10">
        <f>(0.104*O3)/(12*N3)</f>
        <v>4.1795267489711926E-3</v>
      </c>
      <c r="R3" s="10">
        <f>0.0159*O3^0.75</f>
        <v>2.602545791867154E-2</v>
      </c>
      <c r="S3" s="10">
        <f>Q3+R3</f>
        <v>3.0204984667642733E-2</v>
      </c>
    </row>
    <row r="4" spans="1:19" x14ac:dyDescent="0.25">
      <c r="A4" s="5" t="s">
        <v>8</v>
      </c>
      <c r="B4" s="5" t="s">
        <v>322</v>
      </c>
      <c r="C4" s="5" t="s">
        <v>27</v>
      </c>
      <c r="D4" s="5" t="s">
        <v>389</v>
      </c>
      <c r="E4" s="5" t="s">
        <v>388</v>
      </c>
      <c r="F4" s="5" t="s">
        <v>135</v>
      </c>
      <c r="G4" s="5" t="s">
        <v>407</v>
      </c>
      <c r="H4" s="5" t="s">
        <v>29</v>
      </c>
      <c r="I4" s="5" t="s">
        <v>13</v>
      </c>
      <c r="J4" s="15">
        <v>1100</v>
      </c>
      <c r="K4" s="7">
        <v>34</v>
      </c>
      <c r="L4" s="7">
        <f>J4/K4</f>
        <v>32.352941176470587</v>
      </c>
      <c r="M4" s="5" t="s">
        <v>10</v>
      </c>
      <c r="N4" s="5">
        <v>4</v>
      </c>
      <c r="O4" s="6">
        <f>(J4*L4^2)/(1.6*10^6)</f>
        <v>0.71961505190311426</v>
      </c>
      <c r="P4" s="6">
        <f>(0.104*J4*L4^2)/(1.6*10^6)</f>
        <v>7.4839965397923869E-2</v>
      </c>
      <c r="Q4" s="10">
        <f>(0.104*O4)/(12*N4)</f>
        <v>1.559165945790081E-3</v>
      </c>
      <c r="R4" s="10">
        <f>0.0159*O4^0.75</f>
        <v>1.2422880378669576E-2</v>
      </c>
      <c r="S4" s="10">
        <f>Q4+R4</f>
        <v>1.3982046324459657E-2</v>
      </c>
    </row>
    <row r="5" spans="1:19" x14ac:dyDescent="0.25">
      <c r="J5" s="16">
        <f>AVERAGE(J2:J4)</f>
        <v>1001.6666666666666</v>
      </c>
      <c r="K5" s="12">
        <f t="shared" ref="K5:S5" si="0">AVERAGE(K2:K4)</f>
        <v>23.166666666666668</v>
      </c>
      <c r="L5" s="12">
        <f t="shared" si="0"/>
        <v>46.540927482103946</v>
      </c>
      <c r="M5" s="11" t="e">
        <f t="shared" si="0"/>
        <v>#DIV/0!</v>
      </c>
      <c r="N5" s="11">
        <f t="shared" si="0"/>
        <v>4</v>
      </c>
      <c r="O5" s="13">
        <f t="shared" si="0"/>
        <v>1.3871054760647903</v>
      </c>
      <c r="P5" s="13">
        <f t="shared" si="0"/>
        <v>0.14425896951073819</v>
      </c>
      <c r="Q5" s="14">
        <f t="shared" si="0"/>
        <v>3.0053951981403788E-3</v>
      </c>
      <c r="R5" s="14">
        <f t="shared" si="0"/>
        <v>2.0045277357981808E-2</v>
      </c>
      <c r="S5" s="14">
        <f t="shared" si="0"/>
        <v>2.3050672556122184E-2</v>
      </c>
    </row>
    <row r="6" spans="1:19" x14ac:dyDescent="0.25">
      <c r="A6" s="5" t="s">
        <v>22</v>
      </c>
      <c r="B6" s="5" t="s">
        <v>63</v>
      </c>
      <c r="C6" s="5" t="s">
        <v>27</v>
      </c>
      <c r="D6" s="5" t="s">
        <v>389</v>
      </c>
      <c r="E6" s="5" t="s">
        <v>388</v>
      </c>
      <c r="F6" s="5" t="s">
        <v>28</v>
      </c>
      <c r="G6" s="5" t="s">
        <v>398</v>
      </c>
      <c r="H6" s="5" t="s">
        <v>133</v>
      </c>
      <c r="I6" s="5" t="s">
        <v>134</v>
      </c>
      <c r="J6" s="15">
        <v>1075</v>
      </c>
      <c r="K6" s="7">
        <v>42</v>
      </c>
      <c r="L6" s="7">
        <f>J6/K6</f>
        <v>25.595238095238095</v>
      </c>
      <c r="M6" s="5" t="s">
        <v>10</v>
      </c>
      <c r="N6" s="5">
        <v>4</v>
      </c>
      <c r="O6" s="6">
        <f>(J6*L6^2)/(1.6*10^6)</f>
        <v>0.44015620571145125</v>
      </c>
      <c r="P6" s="6">
        <f>(0.104*J6*L6^2)/(1.6*10^6)</f>
        <v>4.577624539399093E-2</v>
      </c>
      <c r="Q6" s="10">
        <f>(0.104*O6)/(12*N6)</f>
        <v>9.5367177904147771E-4</v>
      </c>
      <c r="R6" s="10">
        <f>0.0159*O6^0.75</f>
        <v>8.5921578355539034E-3</v>
      </c>
      <c r="S6" s="10">
        <f>Q6+R6</f>
        <v>9.5458296145953803E-3</v>
      </c>
    </row>
    <row r="7" spans="1:19" x14ac:dyDescent="0.25">
      <c r="A7" s="5" t="s">
        <v>22</v>
      </c>
      <c r="B7" s="5" t="s">
        <v>63</v>
      </c>
      <c r="C7" s="5" t="s">
        <v>27</v>
      </c>
      <c r="D7" s="5" t="s">
        <v>389</v>
      </c>
      <c r="E7" s="5" t="s">
        <v>388</v>
      </c>
      <c r="F7" s="5" t="s">
        <v>28</v>
      </c>
      <c r="G7" s="5" t="s">
        <v>398</v>
      </c>
      <c r="H7" s="5" t="s">
        <v>133</v>
      </c>
      <c r="I7" s="5" t="s">
        <v>25</v>
      </c>
      <c r="J7" s="15">
        <v>2100</v>
      </c>
      <c r="K7" s="7">
        <v>49</v>
      </c>
      <c r="L7" s="7">
        <f>J7/K7</f>
        <v>42.857142857142854</v>
      </c>
      <c r="M7" s="5" t="s">
        <v>10</v>
      </c>
      <c r="N7" s="5">
        <v>4</v>
      </c>
      <c r="O7" s="6">
        <f>(J7*L7^2)/(1.6*10^6)</f>
        <v>2.4107142857142856</v>
      </c>
      <c r="P7" s="6">
        <f>(0.104*J7*L7^2)/(1.6*10^6)</f>
        <v>0.25071428571428567</v>
      </c>
      <c r="Q7" s="10">
        <f>(0.104*O7)/(12*N7)</f>
        <v>5.223214285714285E-3</v>
      </c>
      <c r="R7" s="10">
        <f>0.0159*O7^0.75</f>
        <v>3.0761423617006903E-2</v>
      </c>
      <c r="S7" s="10">
        <f>Q7+R7</f>
        <v>3.5984637902721189E-2</v>
      </c>
    </row>
    <row r="8" spans="1:19" x14ac:dyDescent="0.25">
      <c r="J8" s="16">
        <f>AVERAGE(J6:J7)</f>
        <v>1587.5</v>
      </c>
      <c r="K8" s="12">
        <f t="shared" ref="K8:S8" si="1">AVERAGE(K6:K7)</f>
        <v>45.5</v>
      </c>
      <c r="L8" s="12">
        <f t="shared" si="1"/>
        <v>34.226190476190474</v>
      </c>
      <c r="M8" s="11" t="e">
        <f t="shared" si="1"/>
        <v>#DIV/0!</v>
      </c>
      <c r="N8" s="11">
        <f t="shared" si="1"/>
        <v>4</v>
      </c>
      <c r="O8" s="13">
        <f t="shared" si="1"/>
        <v>1.4254352457128685</v>
      </c>
      <c r="P8" s="13">
        <f t="shared" si="1"/>
        <v>0.14824526555413831</v>
      </c>
      <c r="Q8" s="14">
        <f t="shared" si="1"/>
        <v>3.0884430323778814E-3</v>
      </c>
      <c r="R8" s="14">
        <f t="shared" si="1"/>
        <v>1.9676790726280403E-2</v>
      </c>
      <c r="S8" s="14">
        <f t="shared" si="1"/>
        <v>2.2765233758658285E-2</v>
      </c>
    </row>
    <row r="9" spans="1:19" x14ac:dyDescent="0.25">
      <c r="A9" s="5" t="s">
        <v>22</v>
      </c>
      <c r="B9" s="5" t="s">
        <v>63</v>
      </c>
      <c r="C9" s="5" t="s">
        <v>27</v>
      </c>
      <c r="D9" s="5" t="s">
        <v>389</v>
      </c>
      <c r="E9" s="5" t="s">
        <v>396</v>
      </c>
      <c r="F9" s="5" t="s">
        <v>136</v>
      </c>
      <c r="G9" s="5" t="s">
        <v>399</v>
      </c>
      <c r="H9" s="5" t="s">
        <v>137</v>
      </c>
      <c r="I9" s="5" t="s">
        <v>138</v>
      </c>
      <c r="J9" s="15">
        <v>1110</v>
      </c>
      <c r="K9" s="7">
        <v>29</v>
      </c>
      <c r="L9" s="7">
        <f t="shared" ref="L9:L14" si="2">J9/K9</f>
        <v>38.275862068965516</v>
      </c>
      <c r="M9" s="5" t="s">
        <v>10</v>
      </c>
      <c r="N9" s="5">
        <v>4</v>
      </c>
      <c r="O9" s="6">
        <f t="shared" ref="O9:O14" si="3">(J9*L9^2)/(1.6*10^6)</f>
        <v>1.0163726218787157</v>
      </c>
      <c r="P9" s="6">
        <f t="shared" ref="P9:P14" si="4">(0.104*J9*L9^2)/(1.6*10^6)</f>
        <v>0.10570275267538644</v>
      </c>
      <c r="Q9" s="10">
        <f t="shared" ref="Q9:Q14" si="5">(0.104*O9)/(12*N9)</f>
        <v>2.202140680737217E-3</v>
      </c>
      <c r="R9" s="10">
        <f t="shared" ref="R9:R14" si="6">0.0159*O9^0.75</f>
        <v>1.609484663594286E-2</v>
      </c>
      <c r="S9" s="10">
        <f t="shared" ref="S9:S14" si="7">Q9+R9</f>
        <v>1.8296987316680079E-2</v>
      </c>
    </row>
    <row r="10" spans="1:19" x14ac:dyDescent="0.25">
      <c r="A10" s="5" t="s">
        <v>22</v>
      </c>
      <c r="B10" s="5" t="s">
        <v>63</v>
      </c>
      <c r="C10" s="5" t="s">
        <v>27</v>
      </c>
      <c r="D10" s="5" t="s">
        <v>389</v>
      </c>
      <c r="E10" s="5" t="s">
        <v>396</v>
      </c>
      <c r="F10" s="5" t="s">
        <v>136</v>
      </c>
      <c r="G10" s="5" t="s">
        <v>399</v>
      </c>
      <c r="H10" s="5" t="s">
        <v>139</v>
      </c>
      <c r="I10" s="5" t="s">
        <v>17</v>
      </c>
      <c r="J10" s="15">
        <v>935</v>
      </c>
      <c r="K10" s="7">
        <v>26</v>
      </c>
      <c r="L10" s="7">
        <f t="shared" si="2"/>
        <v>35.96153846153846</v>
      </c>
      <c r="M10" s="5" t="s">
        <v>10</v>
      </c>
      <c r="N10" s="5">
        <v>4</v>
      </c>
      <c r="O10" s="6">
        <f t="shared" si="3"/>
        <v>0.75573259522928993</v>
      </c>
      <c r="P10" s="6">
        <f t="shared" si="4"/>
        <v>7.8596189903846134E-2</v>
      </c>
      <c r="Q10" s="10">
        <f t="shared" si="5"/>
        <v>1.6374206229967947E-3</v>
      </c>
      <c r="R10" s="10">
        <f t="shared" si="6"/>
        <v>1.2887635362542798E-2</v>
      </c>
      <c r="S10" s="10">
        <f t="shared" si="7"/>
        <v>1.4525055985539593E-2</v>
      </c>
    </row>
    <row r="11" spans="1:19" x14ac:dyDescent="0.25">
      <c r="A11" s="5" t="s">
        <v>8</v>
      </c>
      <c r="B11" s="5" t="s">
        <v>224</v>
      </c>
      <c r="C11" s="5" t="s">
        <v>27</v>
      </c>
      <c r="D11" s="5" t="s">
        <v>389</v>
      </c>
      <c r="E11" s="5" t="s">
        <v>396</v>
      </c>
      <c r="F11" s="5" t="s">
        <v>136</v>
      </c>
      <c r="G11" s="5" t="s">
        <v>399</v>
      </c>
      <c r="H11" s="5" t="s">
        <v>139</v>
      </c>
      <c r="I11" s="5" t="s">
        <v>17</v>
      </c>
      <c r="J11" s="15">
        <v>800</v>
      </c>
      <c r="K11" s="7">
        <v>25.3</v>
      </c>
      <c r="L11" s="7">
        <f t="shared" si="2"/>
        <v>31.620553359683793</v>
      </c>
      <c r="M11" s="5" t="s">
        <v>10</v>
      </c>
      <c r="N11" s="5">
        <v>4</v>
      </c>
      <c r="O11" s="6">
        <f t="shared" si="3"/>
        <v>0.49992969738630499</v>
      </c>
      <c r="P11" s="6">
        <f t="shared" si="4"/>
        <v>5.1992688528175721E-2</v>
      </c>
      <c r="Q11" s="10">
        <f t="shared" si="5"/>
        <v>1.0831810110036608E-3</v>
      </c>
      <c r="R11" s="10">
        <f t="shared" si="6"/>
        <v>9.4531995646547125E-3</v>
      </c>
      <c r="S11" s="10">
        <f t="shared" si="7"/>
        <v>1.0536380575658373E-2</v>
      </c>
    </row>
    <row r="12" spans="1:19" x14ac:dyDescent="0.25">
      <c r="A12" s="5" t="s">
        <v>22</v>
      </c>
      <c r="B12" s="5" t="s">
        <v>63</v>
      </c>
      <c r="C12" s="5" t="s">
        <v>27</v>
      </c>
      <c r="D12" s="5" t="s">
        <v>389</v>
      </c>
      <c r="E12" s="5" t="s">
        <v>396</v>
      </c>
      <c r="F12" s="5" t="s">
        <v>136</v>
      </c>
      <c r="G12" s="5" t="s">
        <v>399</v>
      </c>
      <c r="H12" s="5" t="s">
        <v>139</v>
      </c>
      <c r="I12" s="5" t="s">
        <v>140</v>
      </c>
      <c r="J12" s="15">
        <v>940</v>
      </c>
      <c r="K12" s="7">
        <v>26.5</v>
      </c>
      <c r="L12" s="7">
        <f t="shared" si="2"/>
        <v>35.471698113207545</v>
      </c>
      <c r="M12" s="5" t="s">
        <v>10</v>
      </c>
      <c r="N12" s="5">
        <v>4</v>
      </c>
      <c r="O12" s="6">
        <f t="shared" si="3"/>
        <v>0.73921680313278748</v>
      </c>
      <c r="P12" s="6">
        <f t="shared" si="4"/>
        <v>7.6878547525809887E-2</v>
      </c>
      <c r="Q12" s="10">
        <f t="shared" si="5"/>
        <v>1.6016364067877062E-3</v>
      </c>
      <c r="R12" s="10">
        <f t="shared" si="6"/>
        <v>1.2675818060723713E-2</v>
      </c>
      <c r="S12" s="10">
        <f t="shared" si="7"/>
        <v>1.4277454467511419E-2</v>
      </c>
    </row>
    <row r="13" spans="1:19" x14ac:dyDescent="0.25">
      <c r="A13" s="5" t="s">
        <v>8</v>
      </c>
      <c r="B13" s="5" t="s">
        <v>224</v>
      </c>
      <c r="C13" s="5" t="s">
        <v>27</v>
      </c>
      <c r="D13" s="5" t="s">
        <v>389</v>
      </c>
      <c r="E13" s="5" t="s">
        <v>396</v>
      </c>
      <c r="F13" s="5" t="s">
        <v>136</v>
      </c>
      <c r="G13" s="5" t="s">
        <v>399</v>
      </c>
      <c r="H13" s="5" t="s">
        <v>139</v>
      </c>
      <c r="I13" s="5" t="s">
        <v>140</v>
      </c>
      <c r="J13" s="15">
        <v>970</v>
      </c>
      <c r="K13" s="7">
        <v>26.7</v>
      </c>
      <c r="L13" s="7">
        <f t="shared" si="2"/>
        <v>36.329588014981276</v>
      </c>
      <c r="M13" s="5" t="s">
        <v>10</v>
      </c>
      <c r="N13" s="5">
        <v>4</v>
      </c>
      <c r="O13" s="6">
        <f t="shared" si="3"/>
        <v>0.80015237273632689</v>
      </c>
      <c r="P13" s="6">
        <f t="shared" si="4"/>
        <v>8.3215846764577994E-2</v>
      </c>
      <c r="Q13" s="10">
        <f t="shared" si="5"/>
        <v>1.7336634742620416E-3</v>
      </c>
      <c r="R13" s="10">
        <f t="shared" si="6"/>
        <v>1.3451683716266281E-2</v>
      </c>
      <c r="S13" s="10">
        <f t="shared" si="7"/>
        <v>1.5185347190528322E-2</v>
      </c>
    </row>
    <row r="14" spans="1:19" x14ac:dyDescent="0.25">
      <c r="A14" s="5" t="s">
        <v>8</v>
      </c>
      <c r="B14" s="5" t="s">
        <v>224</v>
      </c>
      <c r="C14" s="5" t="s">
        <v>27</v>
      </c>
      <c r="D14" s="5" t="s">
        <v>389</v>
      </c>
      <c r="E14" s="5" t="s">
        <v>396</v>
      </c>
      <c r="F14" s="5" t="s">
        <v>136</v>
      </c>
      <c r="G14" s="5" t="s">
        <v>399</v>
      </c>
      <c r="H14" s="5" t="s">
        <v>139</v>
      </c>
      <c r="I14" s="5" t="s">
        <v>225</v>
      </c>
      <c r="J14" s="15">
        <v>820</v>
      </c>
      <c r="K14" s="7">
        <v>19.8</v>
      </c>
      <c r="L14" s="7">
        <f t="shared" si="2"/>
        <v>41.414141414141412</v>
      </c>
      <c r="M14" s="5" t="s">
        <v>10</v>
      </c>
      <c r="N14" s="5">
        <v>4</v>
      </c>
      <c r="O14" s="6">
        <f t="shared" si="3"/>
        <v>0.87900469339863263</v>
      </c>
      <c r="P14" s="6">
        <f t="shared" si="4"/>
        <v>9.1416488113457803E-2</v>
      </c>
      <c r="Q14" s="10">
        <f t="shared" si="5"/>
        <v>1.9045101690303705E-3</v>
      </c>
      <c r="R14" s="10">
        <f t="shared" si="6"/>
        <v>1.4434126921592894E-2</v>
      </c>
      <c r="S14" s="10">
        <f t="shared" si="7"/>
        <v>1.6338637090623265E-2</v>
      </c>
    </row>
    <row r="15" spans="1:19" x14ac:dyDescent="0.25">
      <c r="J15" s="16">
        <f>AVERAGE(J9:J14)</f>
        <v>929.16666666666663</v>
      </c>
      <c r="K15" s="12">
        <f t="shared" ref="K15:S15" si="8">AVERAGE(K9:K14)</f>
        <v>25.55</v>
      </c>
      <c r="L15" s="12">
        <f t="shared" si="8"/>
        <v>36.512230238753006</v>
      </c>
      <c r="M15" s="11" t="e">
        <f t="shared" si="8"/>
        <v>#DIV/0!</v>
      </c>
      <c r="N15" s="11">
        <f t="shared" si="8"/>
        <v>4</v>
      </c>
      <c r="O15" s="13">
        <f t="shared" si="8"/>
        <v>0.78173479729367623</v>
      </c>
      <c r="P15" s="13">
        <f t="shared" si="8"/>
        <v>8.1300418918542325E-2</v>
      </c>
      <c r="Q15" s="14">
        <f t="shared" si="8"/>
        <v>1.6937587274696317E-3</v>
      </c>
      <c r="R15" s="14">
        <f t="shared" si="8"/>
        <v>1.3166218376953876E-2</v>
      </c>
      <c r="S15" s="14">
        <f t="shared" si="8"/>
        <v>1.4859977104423508E-2</v>
      </c>
    </row>
    <row r="16" spans="1:19" x14ac:dyDescent="0.25">
      <c r="A16" s="5" t="s">
        <v>8</v>
      </c>
      <c r="B16" s="5" t="s">
        <v>277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278</v>
      </c>
      <c r="J16" s="15">
        <v>1640</v>
      </c>
      <c r="K16" s="7">
        <v>30.3</v>
      </c>
      <c r="L16" s="7">
        <f t="shared" ref="L16:L52" si="9">J16/K16</f>
        <v>54.125412541254121</v>
      </c>
      <c r="M16" s="5" t="s">
        <v>10</v>
      </c>
      <c r="N16" s="5">
        <v>4</v>
      </c>
      <c r="O16" s="6">
        <f t="shared" ref="O16:O52" si="10">(J16*L16^2)/(1.6*10^6)</f>
        <v>3.0027992898299734</v>
      </c>
      <c r="P16" s="6">
        <f t="shared" ref="P16:P52" si="11">(0.104*J16*L16^2)/(1.6*10^6)</f>
        <v>0.31229112614231719</v>
      </c>
      <c r="Q16" s="10">
        <f t="shared" ref="Q16:Q52" si="12">(0.104*O16)/(12*N16)</f>
        <v>6.5060651279649417E-3</v>
      </c>
      <c r="R16" s="10">
        <f t="shared" ref="R16:R52" si="13">0.0159*O16^0.75</f>
        <v>3.6269523726956437E-2</v>
      </c>
      <c r="S16" s="10">
        <f t="shared" ref="S16:S52" si="14">Q16+R16</f>
        <v>4.277558885492138E-2</v>
      </c>
    </row>
    <row r="17" spans="1:19" x14ac:dyDescent="0.25">
      <c r="A17" s="5" t="s">
        <v>8</v>
      </c>
      <c r="B17" s="5" t="s">
        <v>291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278</v>
      </c>
      <c r="J17" s="15">
        <v>1650</v>
      </c>
      <c r="K17" s="7">
        <v>31</v>
      </c>
      <c r="L17" s="7">
        <f t="shared" si="9"/>
        <v>53.225806451612904</v>
      </c>
      <c r="M17" s="5" t="s">
        <v>10</v>
      </c>
      <c r="N17" s="5">
        <v>4</v>
      </c>
      <c r="O17" s="6">
        <f t="shared" si="10"/>
        <v>2.9215172996878254</v>
      </c>
      <c r="P17" s="6">
        <f t="shared" si="11"/>
        <v>0.30383779916753384</v>
      </c>
      <c r="Q17" s="10">
        <f t="shared" si="12"/>
        <v>6.3299541493236217E-3</v>
      </c>
      <c r="R17" s="10">
        <f t="shared" si="13"/>
        <v>3.5530676056027069E-2</v>
      </c>
      <c r="S17" s="10">
        <f t="shared" si="14"/>
        <v>4.1860630205350691E-2</v>
      </c>
    </row>
    <row r="18" spans="1:19" x14ac:dyDescent="0.25">
      <c r="A18" s="5" t="s">
        <v>8</v>
      </c>
      <c r="B18" s="5" t="s">
        <v>291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257</v>
      </c>
      <c r="J18" s="15">
        <v>3850</v>
      </c>
      <c r="K18" s="7">
        <v>49</v>
      </c>
      <c r="L18" s="7">
        <f t="shared" si="9"/>
        <v>78.571428571428569</v>
      </c>
      <c r="M18" s="5" t="s">
        <v>10</v>
      </c>
      <c r="N18" s="5">
        <v>4</v>
      </c>
      <c r="O18" s="6">
        <f t="shared" si="10"/>
        <v>14.854910714285714</v>
      </c>
      <c r="P18" s="6">
        <f t="shared" si="11"/>
        <v>1.5449107142857141</v>
      </c>
      <c r="Q18" s="10">
        <f t="shared" si="12"/>
        <v>3.2185639880952376E-2</v>
      </c>
      <c r="R18" s="10">
        <f t="shared" si="13"/>
        <v>0.12030942708411221</v>
      </c>
      <c r="S18" s="10">
        <f t="shared" si="14"/>
        <v>0.1524950669650646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292</v>
      </c>
      <c r="J19" s="15">
        <v>2300</v>
      </c>
      <c r="K19" s="7">
        <v>32.5</v>
      </c>
      <c r="L19" s="7">
        <f t="shared" si="9"/>
        <v>70.769230769230774</v>
      </c>
      <c r="M19" s="5" t="s">
        <v>10</v>
      </c>
      <c r="N19" s="5">
        <v>4</v>
      </c>
      <c r="O19" s="6">
        <f t="shared" si="10"/>
        <v>7.1994082840236695</v>
      </c>
      <c r="P19" s="6">
        <f t="shared" si="11"/>
        <v>0.74873846153846157</v>
      </c>
      <c r="Q19" s="10">
        <f t="shared" si="12"/>
        <v>1.5598717948717949E-2</v>
      </c>
      <c r="R19" s="10">
        <f t="shared" si="13"/>
        <v>6.9882708172427616E-2</v>
      </c>
      <c r="S19" s="10">
        <f t="shared" si="14"/>
        <v>8.5481426121145565E-2</v>
      </c>
    </row>
    <row r="20" spans="1:19" x14ac:dyDescent="0.25">
      <c r="A20" s="5" t="s">
        <v>8</v>
      </c>
      <c r="B20" s="5" t="s">
        <v>319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320</v>
      </c>
      <c r="J20" s="15">
        <v>2815</v>
      </c>
      <c r="K20" s="7">
        <v>31.3</v>
      </c>
      <c r="L20" s="7">
        <f t="shared" si="9"/>
        <v>89.936102236421718</v>
      </c>
      <c r="M20" s="5" t="s">
        <v>10</v>
      </c>
      <c r="N20" s="5">
        <v>4</v>
      </c>
      <c r="O20" s="6">
        <f t="shared" si="10"/>
        <v>14.23070906039155</v>
      </c>
      <c r="P20" s="6">
        <f t="shared" si="11"/>
        <v>1.4799937422807212</v>
      </c>
      <c r="Q20" s="10">
        <f t="shared" si="12"/>
        <v>3.0833202964181693E-2</v>
      </c>
      <c r="R20" s="10">
        <f t="shared" si="13"/>
        <v>0.11649761361336987</v>
      </c>
      <c r="S20" s="10">
        <f t="shared" si="14"/>
        <v>0.14733081657755157</v>
      </c>
    </row>
    <row r="21" spans="1:19" x14ac:dyDescent="0.25">
      <c r="A21" s="5" t="s">
        <v>22</v>
      </c>
      <c r="B21" s="5" t="s">
        <v>26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59</v>
      </c>
      <c r="J21" s="15">
        <v>1800</v>
      </c>
      <c r="K21" s="7">
        <v>32</v>
      </c>
      <c r="L21" s="7">
        <f t="shared" si="9"/>
        <v>56.25</v>
      </c>
      <c r="M21" s="5" t="s">
        <v>10</v>
      </c>
      <c r="N21" s="5">
        <v>4</v>
      </c>
      <c r="O21" s="6">
        <f t="shared" si="10"/>
        <v>3.5595703125</v>
      </c>
      <c r="P21" s="6">
        <f t="shared" si="11"/>
        <v>0.37019531249999998</v>
      </c>
      <c r="Q21" s="10">
        <f t="shared" si="12"/>
        <v>7.71240234375E-3</v>
      </c>
      <c r="R21" s="10">
        <f t="shared" si="13"/>
        <v>4.1204562411128992E-2</v>
      </c>
      <c r="S21" s="10">
        <f t="shared" si="14"/>
        <v>4.8916964754878993E-2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59</v>
      </c>
      <c r="J22" s="15">
        <v>1800</v>
      </c>
      <c r="K22" s="7">
        <v>32</v>
      </c>
      <c r="L22" s="7">
        <f t="shared" si="9"/>
        <v>56.25</v>
      </c>
      <c r="M22" s="5" t="s">
        <v>10</v>
      </c>
      <c r="N22" s="5">
        <v>4</v>
      </c>
      <c r="O22" s="6">
        <f t="shared" si="10"/>
        <v>3.5595703125</v>
      </c>
      <c r="P22" s="6">
        <f t="shared" si="11"/>
        <v>0.37019531249999998</v>
      </c>
      <c r="Q22" s="10">
        <f t="shared" si="12"/>
        <v>7.71240234375E-3</v>
      </c>
      <c r="R22" s="10">
        <f t="shared" si="13"/>
        <v>4.1204562411128992E-2</v>
      </c>
      <c r="S22" s="10">
        <f t="shared" si="14"/>
        <v>4.8916964754878993E-2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59</v>
      </c>
      <c r="J23" s="15">
        <v>1700</v>
      </c>
      <c r="K23" s="7">
        <v>28</v>
      </c>
      <c r="L23" s="7">
        <f t="shared" si="9"/>
        <v>60.714285714285715</v>
      </c>
      <c r="M23" s="5" t="s">
        <v>10</v>
      </c>
      <c r="N23" s="5">
        <v>4</v>
      </c>
      <c r="O23" s="6">
        <f t="shared" si="10"/>
        <v>3.9166135204081631</v>
      </c>
      <c r="P23" s="6">
        <f t="shared" si="11"/>
        <v>0.40732780612244895</v>
      </c>
      <c r="Q23" s="10">
        <f t="shared" si="12"/>
        <v>8.4859959608843526E-3</v>
      </c>
      <c r="R23" s="10">
        <f t="shared" si="13"/>
        <v>4.4267007423098879E-2</v>
      </c>
      <c r="S23" s="10">
        <f t="shared" si="14"/>
        <v>5.2753003383983234E-2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59</v>
      </c>
      <c r="J24" s="15">
        <v>1750</v>
      </c>
      <c r="K24" s="7">
        <v>22</v>
      </c>
      <c r="L24" s="7">
        <f t="shared" si="9"/>
        <v>79.545454545454547</v>
      </c>
      <c r="M24" s="5" t="s">
        <v>10</v>
      </c>
      <c r="N24" s="5">
        <v>4</v>
      </c>
      <c r="O24" s="6">
        <f t="shared" si="10"/>
        <v>6.9206805268595044</v>
      </c>
      <c r="P24" s="6">
        <f t="shared" si="11"/>
        <v>0.71975077479338845</v>
      </c>
      <c r="Q24" s="10">
        <f t="shared" si="12"/>
        <v>1.4994807808195593E-2</v>
      </c>
      <c r="R24" s="10">
        <f t="shared" si="13"/>
        <v>6.7843575117162297E-2</v>
      </c>
      <c r="S24" s="10">
        <f t="shared" si="14"/>
        <v>8.283838292535789E-2</v>
      </c>
    </row>
    <row r="25" spans="1:19" x14ac:dyDescent="0.25">
      <c r="A25" s="5" t="s">
        <v>8</v>
      </c>
      <c r="B25" s="5" t="s">
        <v>291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59</v>
      </c>
      <c r="J25" s="15">
        <v>1850</v>
      </c>
      <c r="K25" s="7">
        <v>29.5</v>
      </c>
      <c r="L25" s="7">
        <f t="shared" si="9"/>
        <v>62.711864406779661</v>
      </c>
      <c r="M25" s="5" t="s">
        <v>10</v>
      </c>
      <c r="N25" s="5">
        <v>4</v>
      </c>
      <c r="O25" s="6">
        <f t="shared" si="10"/>
        <v>4.5472744900890554</v>
      </c>
      <c r="P25" s="6">
        <f t="shared" si="11"/>
        <v>0.47291654696926166</v>
      </c>
      <c r="Q25" s="10">
        <f t="shared" si="12"/>
        <v>9.8524280618596197E-3</v>
      </c>
      <c r="R25" s="10">
        <f t="shared" si="13"/>
        <v>4.9512003714677087E-2</v>
      </c>
      <c r="S25" s="10">
        <f t="shared" si="14"/>
        <v>5.9364431776536705E-2</v>
      </c>
    </row>
    <row r="26" spans="1:19" x14ac:dyDescent="0.25">
      <c r="A26" s="5" t="s">
        <v>8</v>
      </c>
      <c r="B26" s="5" t="s">
        <v>319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59</v>
      </c>
      <c r="J26" s="15">
        <v>1870</v>
      </c>
      <c r="K26" s="7">
        <v>29.2</v>
      </c>
      <c r="L26" s="7">
        <f t="shared" si="9"/>
        <v>64.041095890410958</v>
      </c>
      <c r="M26" s="5" t="s">
        <v>10</v>
      </c>
      <c r="N26" s="5">
        <v>4</v>
      </c>
      <c r="O26" s="6">
        <f t="shared" si="10"/>
        <v>4.7933499190748732</v>
      </c>
      <c r="P26" s="6">
        <f t="shared" si="11"/>
        <v>0.49850839158378674</v>
      </c>
      <c r="Q26" s="10">
        <f t="shared" si="12"/>
        <v>1.0385591491328892E-2</v>
      </c>
      <c r="R26" s="10">
        <f t="shared" si="13"/>
        <v>5.1508212041113E-2</v>
      </c>
      <c r="S26" s="10">
        <f t="shared" si="14"/>
        <v>6.1893803532441893E-2</v>
      </c>
    </row>
    <row r="27" spans="1:19" x14ac:dyDescent="0.25">
      <c r="A27" s="5" t="s">
        <v>8</v>
      </c>
      <c r="B27" s="5" t="s">
        <v>291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58</v>
      </c>
      <c r="I27" s="5" t="s">
        <v>293</v>
      </c>
      <c r="J27" s="15">
        <v>2500</v>
      </c>
      <c r="K27" s="7">
        <v>32.5</v>
      </c>
      <c r="L27" s="7">
        <f t="shared" si="9"/>
        <v>76.92307692307692</v>
      </c>
      <c r="M27" s="5" t="s">
        <v>10</v>
      </c>
      <c r="N27" s="5">
        <v>4</v>
      </c>
      <c r="O27" s="6">
        <f t="shared" si="10"/>
        <v>9.2455621301775128</v>
      </c>
      <c r="P27" s="6">
        <f t="shared" si="11"/>
        <v>0.96153846153846145</v>
      </c>
      <c r="Q27" s="10">
        <f t="shared" si="12"/>
        <v>2.0032051282051277E-2</v>
      </c>
      <c r="R27" s="10">
        <f t="shared" si="13"/>
        <v>8.4303793099258367E-2</v>
      </c>
      <c r="S27" s="10">
        <f t="shared" si="14"/>
        <v>0.10433584438130965</v>
      </c>
    </row>
    <row r="28" spans="1:19" x14ac:dyDescent="0.25">
      <c r="A28" s="5" t="s">
        <v>8</v>
      </c>
      <c r="B28" s="5" t="s">
        <v>311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58</v>
      </c>
      <c r="I28" s="5" t="s">
        <v>293</v>
      </c>
      <c r="J28" s="15">
        <v>2700</v>
      </c>
      <c r="K28" s="7">
        <v>34</v>
      </c>
      <c r="L28" s="7">
        <f t="shared" si="9"/>
        <v>79.411764705882348</v>
      </c>
      <c r="M28" s="5" t="s">
        <v>10</v>
      </c>
      <c r="N28" s="5">
        <v>4</v>
      </c>
      <c r="O28" s="6">
        <f t="shared" si="10"/>
        <v>10.641760380622838</v>
      </c>
      <c r="P28" s="6">
        <f t="shared" si="11"/>
        <v>1.106743079584775</v>
      </c>
      <c r="Q28" s="10">
        <f t="shared" si="12"/>
        <v>2.3057147491349479E-2</v>
      </c>
      <c r="R28" s="10">
        <f t="shared" si="13"/>
        <v>9.3682232382394676E-2</v>
      </c>
      <c r="S28" s="10">
        <f t="shared" si="14"/>
        <v>0.11673937987374415</v>
      </c>
    </row>
    <row r="29" spans="1:19" x14ac:dyDescent="0.25">
      <c r="A29" s="5" t="s">
        <v>8</v>
      </c>
      <c r="B29" s="5" t="s">
        <v>291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58</v>
      </c>
      <c r="I29" s="5" t="s">
        <v>294</v>
      </c>
      <c r="J29" s="15">
        <v>1800</v>
      </c>
      <c r="K29" s="7">
        <v>30</v>
      </c>
      <c r="L29" s="7">
        <f t="shared" si="9"/>
        <v>60</v>
      </c>
      <c r="M29" s="5" t="s">
        <v>10</v>
      </c>
      <c r="N29" s="5">
        <v>4</v>
      </c>
      <c r="O29" s="6">
        <f t="shared" si="10"/>
        <v>4.05</v>
      </c>
      <c r="P29" s="6">
        <f t="shared" si="11"/>
        <v>0.42120000000000002</v>
      </c>
      <c r="Q29" s="10">
        <f t="shared" si="12"/>
        <v>8.7749999999999998E-3</v>
      </c>
      <c r="R29" s="10">
        <f t="shared" si="13"/>
        <v>4.5392948339503428E-2</v>
      </c>
      <c r="S29" s="10">
        <f t="shared" si="14"/>
        <v>5.4167948339503426E-2</v>
      </c>
    </row>
    <row r="30" spans="1:19" x14ac:dyDescent="0.25">
      <c r="A30" s="5" t="s">
        <v>8</v>
      </c>
      <c r="B30" s="5" t="s">
        <v>299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58</v>
      </c>
      <c r="I30" s="5" t="s">
        <v>294</v>
      </c>
      <c r="J30" s="15">
        <v>1973</v>
      </c>
      <c r="K30" s="7">
        <v>28.4</v>
      </c>
      <c r="L30" s="7">
        <f t="shared" si="9"/>
        <v>69.471830985915503</v>
      </c>
      <c r="M30" s="5" t="s">
        <v>10</v>
      </c>
      <c r="N30" s="5">
        <v>4</v>
      </c>
      <c r="O30" s="6">
        <f t="shared" si="10"/>
        <v>5.9514747174729736</v>
      </c>
      <c r="P30" s="6">
        <f t="shared" si="11"/>
        <v>0.61895337061718914</v>
      </c>
      <c r="Q30" s="10">
        <f t="shared" si="12"/>
        <v>1.2894861887858109E-2</v>
      </c>
      <c r="R30" s="10">
        <f t="shared" si="13"/>
        <v>6.0585063731535917E-2</v>
      </c>
      <c r="S30" s="10">
        <f t="shared" si="14"/>
        <v>7.3479925619394024E-2</v>
      </c>
    </row>
    <row r="31" spans="1:19" x14ac:dyDescent="0.25">
      <c r="A31" s="5" t="s">
        <v>8</v>
      </c>
      <c r="B31" s="5" t="s">
        <v>291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58</v>
      </c>
      <c r="I31" s="5" t="s">
        <v>295</v>
      </c>
      <c r="J31" s="15">
        <v>2000</v>
      </c>
      <c r="K31" s="7">
        <v>27</v>
      </c>
      <c r="L31" s="7">
        <f t="shared" si="9"/>
        <v>74.074074074074076</v>
      </c>
      <c r="M31" s="5" t="s">
        <v>10</v>
      </c>
      <c r="N31" s="5">
        <v>4</v>
      </c>
      <c r="O31" s="6">
        <f t="shared" si="10"/>
        <v>6.8587105624142675</v>
      </c>
      <c r="P31" s="6">
        <f t="shared" si="11"/>
        <v>0.71330589849108383</v>
      </c>
      <c r="Q31" s="10">
        <f t="shared" si="12"/>
        <v>1.486053955189758E-2</v>
      </c>
      <c r="R31" s="10">
        <f t="shared" si="13"/>
        <v>6.7387443596961277E-2</v>
      </c>
      <c r="S31" s="10">
        <f t="shared" si="14"/>
        <v>8.2247983148858853E-2</v>
      </c>
    </row>
    <row r="32" spans="1:19" x14ac:dyDescent="0.25">
      <c r="A32" s="5" t="s">
        <v>22</v>
      </c>
      <c r="B32" s="5" t="s">
        <v>26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58</v>
      </c>
      <c r="I32" s="5" t="s">
        <v>60</v>
      </c>
      <c r="J32" s="15">
        <v>2600</v>
      </c>
      <c r="K32" s="7">
        <v>34</v>
      </c>
      <c r="L32" s="7">
        <f t="shared" si="9"/>
        <v>76.470588235294116</v>
      </c>
      <c r="M32" s="5" t="s">
        <v>10</v>
      </c>
      <c r="N32" s="5">
        <v>4</v>
      </c>
      <c r="O32" s="6">
        <f t="shared" si="10"/>
        <v>9.5025951557093435</v>
      </c>
      <c r="P32" s="6">
        <f t="shared" si="11"/>
        <v>0.98826989619377159</v>
      </c>
      <c r="Q32" s="10">
        <f t="shared" si="12"/>
        <v>2.0588956170703578E-2</v>
      </c>
      <c r="R32" s="10">
        <f t="shared" si="13"/>
        <v>8.6055532182463049E-2</v>
      </c>
      <c r="S32" s="10">
        <f t="shared" si="14"/>
        <v>0.10664448835316663</v>
      </c>
    </row>
    <row r="33" spans="1:19" x14ac:dyDescent="0.25">
      <c r="A33" s="5" t="s">
        <v>8</v>
      </c>
      <c r="B33" s="5" t="s">
        <v>291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386</v>
      </c>
      <c r="H33" s="5" t="s">
        <v>58</v>
      </c>
      <c r="I33" s="5" t="s">
        <v>60</v>
      </c>
      <c r="J33" s="15">
        <v>2050</v>
      </c>
      <c r="K33" s="7">
        <v>29</v>
      </c>
      <c r="L33" s="7">
        <f t="shared" si="9"/>
        <v>70.689655172413794</v>
      </c>
      <c r="M33" s="5" t="s">
        <v>10</v>
      </c>
      <c r="N33" s="5">
        <v>4</v>
      </c>
      <c r="O33" s="6">
        <f t="shared" si="10"/>
        <v>6.4024412901307972</v>
      </c>
      <c r="P33" s="6">
        <f t="shared" si="11"/>
        <v>0.66585389417360286</v>
      </c>
      <c r="Q33" s="10">
        <f t="shared" si="12"/>
        <v>1.3871956128616726E-2</v>
      </c>
      <c r="R33" s="10">
        <f t="shared" si="13"/>
        <v>6.3996515472610566E-2</v>
      </c>
      <c r="S33" s="10">
        <f t="shared" si="14"/>
        <v>7.7868471601227285E-2</v>
      </c>
    </row>
    <row r="34" spans="1:19" x14ac:dyDescent="0.25">
      <c r="A34" s="5" t="s">
        <v>8</v>
      </c>
      <c r="B34" s="5" t="s">
        <v>291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386</v>
      </c>
      <c r="H34" s="5" t="s">
        <v>58</v>
      </c>
      <c r="I34" s="5" t="s">
        <v>60</v>
      </c>
      <c r="J34" s="15">
        <v>2600</v>
      </c>
      <c r="K34" s="7">
        <v>34</v>
      </c>
      <c r="L34" s="7">
        <f t="shared" si="9"/>
        <v>76.470588235294116</v>
      </c>
      <c r="M34" s="5" t="s">
        <v>10</v>
      </c>
      <c r="N34" s="5">
        <v>4</v>
      </c>
      <c r="O34" s="6">
        <f t="shared" si="10"/>
        <v>9.5025951557093435</v>
      </c>
      <c r="P34" s="6">
        <f t="shared" si="11"/>
        <v>0.98826989619377159</v>
      </c>
      <c r="Q34" s="10">
        <f t="shared" si="12"/>
        <v>2.0588956170703578E-2</v>
      </c>
      <c r="R34" s="10">
        <f t="shared" si="13"/>
        <v>8.6055532182463049E-2</v>
      </c>
      <c r="S34" s="10">
        <f t="shared" si="14"/>
        <v>0.10664448835316663</v>
      </c>
    </row>
    <row r="35" spans="1:19" x14ac:dyDescent="0.25">
      <c r="A35" s="5" t="s">
        <v>22</v>
      </c>
      <c r="B35" s="5" t="s">
        <v>26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386</v>
      </c>
      <c r="H35" s="5" t="s">
        <v>58</v>
      </c>
      <c r="I35" s="5" t="s">
        <v>61</v>
      </c>
      <c r="J35" s="15">
        <v>3100</v>
      </c>
      <c r="K35" s="7">
        <v>32.5</v>
      </c>
      <c r="L35" s="7">
        <f t="shared" si="9"/>
        <v>95.384615384615387</v>
      </c>
      <c r="M35" s="5" t="s">
        <v>10</v>
      </c>
      <c r="N35" s="5">
        <v>4</v>
      </c>
      <c r="O35" s="6">
        <f t="shared" si="10"/>
        <v>17.627810650887572</v>
      </c>
      <c r="P35" s="6">
        <f t="shared" si="11"/>
        <v>1.8332923076923076</v>
      </c>
      <c r="Q35" s="10">
        <f t="shared" si="12"/>
        <v>3.8193589743589738E-2</v>
      </c>
      <c r="R35" s="10">
        <f t="shared" si="13"/>
        <v>0.13678734086635241</v>
      </c>
      <c r="S35" s="10">
        <f t="shared" si="14"/>
        <v>0.17498093060994216</v>
      </c>
    </row>
    <row r="36" spans="1:19" x14ac:dyDescent="0.25">
      <c r="A36" s="5" t="s">
        <v>8</v>
      </c>
      <c r="B36" s="5" t="s">
        <v>291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386</v>
      </c>
      <c r="H36" s="5" t="s">
        <v>58</v>
      </c>
      <c r="I36" s="5" t="s">
        <v>61</v>
      </c>
      <c r="J36" s="15">
        <v>2800</v>
      </c>
      <c r="K36" s="7">
        <v>40</v>
      </c>
      <c r="L36" s="7">
        <f t="shared" si="9"/>
        <v>70</v>
      </c>
      <c r="M36" s="5" t="s">
        <v>10</v>
      </c>
      <c r="N36" s="5">
        <v>4</v>
      </c>
      <c r="O36" s="6">
        <f t="shared" si="10"/>
        <v>8.5749999999999993</v>
      </c>
      <c r="P36" s="6">
        <f t="shared" si="11"/>
        <v>0.89180000000000004</v>
      </c>
      <c r="Q36" s="10">
        <f t="shared" si="12"/>
        <v>1.8579166666666664E-2</v>
      </c>
      <c r="R36" s="10">
        <f t="shared" si="13"/>
        <v>7.9675119011575646E-2</v>
      </c>
      <c r="S36" s="10">
        <f t="shared" si="14"/>
        <v>9.8254285678242306E-2</v>
      </c>
    </row>
    <row r="37" spans="1:19" x14ac:dyDescent="0.25">
      <c r="A37" s="5" t="s">
        <v>8</v>
      </c>
      <c r="B37" s="5" t="s">
        <v>291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386</v>
      </c>
      <c r="H37" s="5" t="s">
        <v>58</v>
      </c>
      <c r="I37" s="5" t="s">
        <v>61</v>
      </c>
      <c r="J37" s="15">
        <v>2450</v>
      </c>
      <c r="K37" s="7">
        <v>29.1</v>
      </c>
      <c r="L37" s="7">
        <f t="shared" si="9"/>
        <v>84.192439862542955</v>
      </c>
      <c r="M37" s="5" t="s">
        <v>10</v>
      </c>
      <c r="N37" s="5">
        <v>4</v>
      </c>
      <c r="O37" s="6">
        <f t="shared" si="10"/>
        <v>10.854061861574614</v>
      </c>
      <c r="P37" s="6">
        <f t="shared" si="11"/>
        <v>1.1288224336037598</v>
      </c>
      <c r="Q37" s="10">
        <f t="shared" si="12"/>
        <v>2.3517134033411661E-2</v>
      </c>
      <c r="R37" s="10">
        <f t="shared" si="13"/>
        <v>9.508047521319099E-2</v>
      </c>
      <c r="S37" s="10">
        <f t="shared" si="14"/>
        <v>0.11859760924660265</v>
      </c>
    </row>
    <row r="38" spans="1:19" x14ac:dyDescent="0.25">
      <c r="A38" s="5" t="s">
        <v>8</v>
      </c>
      <c r="B38" s="5" t="s">
        <v>291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386</v>
      </c>
      <c r="H38" s="5" t="s">
        <v>58</v>
      </c>
      <c r="I38" s="5" t="s">
        <v>61</v>
      </c>
      <c r="J38" s="15">
        <v>3200</v>
      </c>
      <c r="K38" s="7">
        <v>33.5</v>
      </c>
      <c r="L38" s="7">
        <f t="shared" si="9"/>
        <v>95.522388059701498</v>
      </c>
      <c r="M38" s="5" t="s">
        <v>10</v>
      </c>
      <c r="N38" s="5">
        <v>4</v>
      </c>
      <c r="O38" s="6">
        <f t="shared" si="10"/>
        <v>18.249053241256405</v>
      </c>
      <c r="P38" s="6">
        <f t="shared" si="11"/>
        <v>1.8979015370906662</v>
      </c>
      <c r="Q38" s="10">
        <f t="shared" si="12"/>
        <v>3.9539615356055539E-2</v>
      </c>
      <c r="R38" s="10">
        <f t="shared" si="13"/>
        <v>0.14038715662039813</v>
      </c>
      <c r="S38" s="10">
        <f t="shared" si="14"/>
        <v>0.17992677197645368</v>
      </c>
    </row>
    <row r="39" spans="1:19" x14ac:dyDescent="0.25">
      <c r="A39" s="5" t="s">
        <v>8</v>
      </c>
      <c r="B39" s="5" t="s">
        <v>291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386</v>
      </c>
      <c r="H39" s="5" t="s">
        <v>58</v>
      </c>
      <c r="I39" s="5" t="s">
        <v>61</v>
      </c>
      <c r="J39" s="15">
        <v>2550</v>
      </c>
      <c r="K39" s="7">
        <v>31</v>
      </c>
      <c r="L39" s="7">
        <f t="shared" si="9"/>
        <v>82.258064516129039</v>
      </c>
      <c r="M39" s="5" t="s">
        <v>10</v>
      </c>
      <c r="N39" s="5">
        <v>4</v>
      </c>
      <c r="O39" s="6">
        <f t="shared" si="10"/>
        <v>10.783932752341313</v>
      </c>
      <c r="P39" s="6">
        <f t="shared" si="11"/>
        <v>1.1215290062434964</v>
      </c>
      <c r="Q39" s="10">
        <f t="shared" si="12"/>
        <v>2.336518763007284E-2</v>
      </c>
      <c r="R39" s="10">
        <f t="shared" si="13"/>
        <v>9.4619359210078843E-2</v>
      </c>
      <c r="S39" s="10">
        <f t="shared" si="14"/>
        <v>0.11798454684015168</v>
      </c>
    </row>
    <row r="40" spans="1:19" x14ac:dyDescent="0.25">
      <c r="A40" s="5" t="s">
        <v>8</v>
      </c>
      <c r="B40" s="5" t="s">
        <v>291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386</v>
      </c>
      <c r="H40" s="5" t="s">
        <v>58</v>
      </c>
      <c r="I40" s="5" t="s">
        <v>61</v>
      </c>
      <c r="J40" s="15">
        <v>2700</v>
      </c>
      <c r="K40" s="7">
        <v>29</v>
      </c>
      <c r="L40" s="7">
        <f t="shared" si="9"/>
        <v>93.103448275862064</v>
      </c>
      <c r="M40" s="5" t="s">
        <v>10</v>
      </c>
      <c r="N40" s="5">
        <v>4</v>
      </c>
      <c r="O40" s="6">
        <f t="shared" si="10"/>
        <v>14.627675386444706</v>
      </c>
      <c r="P40" s="6">
        <f t="shared" si="11"/>
        <v>1.5212782401902496</v>
      </c>
      <c r="Q40" s="10">
        <f t="shared" si="12"/>
        <v>3.1693296670630193E-2</v>
      </c>
      <c r="R40" s="10">
        <f t="shared" si="13"/>
        <v>0.11892649234015015</v>
      </c>
      <c r="S40" s="10">
        <f t="shared" si="14"/>
        <v>0.15061978901078035</v>
      </c>
    </row>
    <row r="41" spans="1:19" x14ac:dyDescent="0.25">
      <c r="A41" s="5" t="s">
        <v>8</v>
      </c>
      <c r="B41" s="5" t="s">
        <v>291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386</v>
      </c>
      <c r="H41" s="5" t="s">
        <v>58</v>
      </c>
      <c r="I41" s="5" t="s">
        <v>61</v>
      </c>
      <c r="J41" s="15">
        <v>2900</v>
      </c>
      <c r="K41" s="7">
        <v>29.5</v>
      </c>
      <c r="L41" s="7">
        <f t="shared" si="9"/>
        <v>98.305084745762713</v>
      </c>
      <c r="M41" s="5" t="s">
        <v>10</v>
      </c>
      <c r="N41" s="5">
        <v>4</v>
      </c>
      <c r="O41" s="6">
        <f t="shared" si="10"/>
        <v>17.515800057454758</v>
      </c>
      <c r="P41" s="6">
        <f t="shared" si="11"/>
        <v>1.8216432059752945</v>
      </c>
      <c r="Q41" s="10">
        <f t="shared" si="12"/>
        <v>3.7950900124485307E-2</v>
      </c>
      <c r="R41" s="10">
        <f t="shared" si="13"/>
        <v>0.13613494136615276</v>
      </c>
      <c r="S41" s="10">
        <f t="shared" si="14"/>
        <v>0.17408584149063805</v>
      </c>
    </row>
    <row r="42" spans="1:19" x14ac:dyDescent="0.25">
      <c r="A42" s="5" t="s">
        <v>8</v>
      </c>
      <c r="B42" s="5" t="s">
        <v>291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386</v>
      </c>
      <c r="H42" s="5" t="s">
        <v>58</v>
      </c>
      <c r="I42" s="5" t="s">
        <v>61</v>
      </c>
      <c r="J42" s="15">
        <v>3100</v>
      </c>
      <c r="K42" s="7">
        <v>32.5</v>
      </c>
      <c r="L42" s="7">
        <f t="shared" si="9"/>
        <v>95.384615384615387</v>
      </c>
      <c r="M42" s="5" t="s">
        <v>10</v>
      </c>
      <c r="N42" s="5">
        <v>4</v>
      </c>
      <c r="O42" s="6">
        <f t="shared" si="10"/>
        <v>17.627810650887572</v>
      </c>
      <c r="P42" s="6">
        <f t="shared" si="11"/>
        <v>1.8332923076923076</v>
      </c>
      <c r="Q42" s="10">
        <f t="shared" si="12"/>
        <v>3.8193589743589738E-2</v>
      </c>
      <c r="R42" s="10">
        <f t="shared" si="13"/>
        <v>0.13678734086635241</v>
      </c>
      <c r="S42" s="10">
        <f t="shared" si="14"/>
        <v>0.17498093060994216</v>
      </c>
    </row>
    <row r="43" spans="1:19" x14ac:dyDescent="0.25">
      <c r="A43" s="5" t="s">
        <v>8</v>
      </c>
      <c r="B43" s="5" t="s">
        <v>291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386</v>
      </c>
      <c r="H43" s="5" t="s">
        <v>58</v>
      </c>
      <c r="I43" s="5" t="s">
        <v>61</v>
      </c>
      <c r="J43" s="15">
        <v>2500</v>
      </c>
      <c r="K43" s="7">
        <v>34.5</v>
      </c>
      <c r="L43" s="7">
        <f t="shared" si="9"/>
        <v>72.463768115942031</v>
      </c>
      <c r="M43" s="5" t="s">
        <v>10</v>
      </c>
      <c r="N43" s="5">
        <v>4</v>
      </c>
      <c r="O43" s="6">
        <f t="shared" si="10"/>
        <v>8.2046838899390888</v>
      </c>
      <c r="P43" s="6">
        <f t="shared" si="11"/>
        <v>0.8532871245536654</v>
      </c>
      <c r="Q43" s="10">
        <f t="shared" si="12"/>
        <v>1.7776815094868025E-2</v>
      </c>
      <c r="R43" s="10">
        <f t="shared" si="13"/>
        <v>7.708032093428592E-2</v>
      </c>
      <c r="S43" s="10">
        <f t="shared" si="14"/>
        <v>9.4857136029153938E-2</v>
      </c>
    </row>
    <row r="44" spans="1:19" x14ac:dyDescent="0.25">
      <c r="A44" s="5" t="s">
        <v>8</v>
      </c>
      <c r="B44" s="5" t="s">
        <v>319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386</v>
      </c>
      <c r="H44" s="5" t="s">
        <v>58</v>
      </c>
      <c r="I44" s="5" t="s">
        <v>61</v>
      </c>
      <c r="J44" s="15">
        <v>2626</v>
      </c>
      <c r="K44" s="7">
        <v>31.5</v>
      </c>
      <c r="L44" s="7">
        <f t="shared" si="9"/>
        <v>83.365079365079367</v>
      </c>
      <c r="M44" s="5" t="s">
        <v>10</v>
      </c>
      <c r="N44" s="5">
        <v>4</v>
      </c>
      <c r="O44" s="6">
        <f t="shared" si="10"/>
        <v>11.406254960947342</v>
      </c>
      <c r="P44" s="6">
        <f t="shared" si="11"/>
        <v>1.1862505159385235</v>
      </c>
      <c r="Q44" s="10">
        <f t="shared" si="12"/>
        <v>2.4713552415385906E-2</v>
      </c>
      <c r="R44" s="10">
        <f t="shared" si="13"/>
        <v>9.8685746486399897E-2</v>
      </c>
      <c r="S44" s="10">
        <f t="shared" si="14"/>
        <v>0.1233992989017858</v>
      </c>
    </row>
    <row r="45" spans="1:19" x14ac:dyDescent="0.25">
      <c r="A45" s="5" t="s">
        <v>22</v>
      </c>
      <c r="B45" s="5" t="s">
        <v>63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386</v>
      </c>
      <c r="H45" s="5" t="s">
        <v>97</v>
      </c>
      <c r="I45" s="5" t="s">
        <v>61</v>
      </c>
      <c r="J45" s="15">
        <v>3200</v>
      </c>
      <c r="K45" s="7">
        <v>33.5</v>
      </c>
      <c r="L45" s="7">
        <f t="shared" si="9"/>
        <v>95.522388059701498</v>
      </c>
      <c r="M45" s="5" t="s">
        <v>10</v>
      </c>
      <c r="N45" s="5">
        <v>4</v>
      </c>
      <c r="O45" s="6">
        <f t="shared" si="10"/>
        <v>18.249053241256405</v>
      </c>
      <c r="P45" s="6">
        <f t="shared" si="11"/>
        <v>1.8979015370906662</v>
      </c>
      <c r="Q45" s="10">
        <f t="shared" si="12"/>
        <v>3.9539615356055539E-2</v>
      </c>
      <c r="R45" s="10">
        <f t="shared" si="13"/>
        <v>0.14038715662039813</v>
      </c>
      <c r="S45" s="10">
        <f t="shared" si="14"/>
        <v>0.17992677197645368</v>
      </c>
    </row>
    <row r="46" spans="1:19" x14ac:dyDescent="0.25">
      <c r="A46" s="5" t="s">
        <v>8</v>
      </c>
      <c r="B46" s="5" t="s">
        <v>287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386</v>
      </c>
      <c r="H46" s="5" t="s">
        <v>102</v>
      </c>
      <c r="I46" s="5" t="s">
        <v>218</v>
      </c>
      <c r="J46" s="15">
        <v>2600</v>
      </c>
      <c r="K46" s="7">
        <v>37.1</v>
      </c>
      <c r="L46" s="7">
        <f t="shared" si="9"/>
        <v>70.080862533692724</v>
      </c>
      <c r="M46" s="5" t="s">
        <v>10</v>
      </c>
      <c r="N46" s="5">
        <v>4</v>
      </c>
      <c r="O46" s="6">
        <f t="shared" si="10"/>
        <v>7.9809068518827972</v>
      </c>
      <c r="P46" s="6">
        <f t="shared" si="11"/>
        <v>0.83001431259581082</v>
      </c>
      <c r="Q46" s="10">
        <f t="shared" si="12"/>
        <v>1.729196484574606E-2</v>
      </c>
      <c r="R46" s="10">
        <f t="shared" si="13"/>
        <v>7.5498149303652243E-2</v>
      </c>
      <c r="S46" s="10">
        <f t="shared" si="14"/>
        <v>9.2790114149398306E-2</v>
      </c>
    </row>
    <row r="47" spans="1:19" x14ac:dyDescent="0.25">
      <c r="A47" s="5" t="s">
        <v>22</v>
      </c>
      <c r="B47" s="5" t="s">
        <v>63</v>
      </c>
      <c r="C47" s="5" t="s">
        <v>27</v>
      </c>
      <c r="D47" s="5" t="s">
        <v>385</v>
      </c>
      <c r="E47" s="5" t="s">
        <v>387</v>
      </c>
      <c r="F47" s="5" t="s">
        <v>52</v>
      </c>
      <c r="G47" s="5" t="s">
        <v>386</v>
      </c>
      <c r="H47" s="5" t="s">
        <v>102</v>
      </c>
      <c r="I47" s="5" t="s">
        <v>73</v>
      </c>
      <c r="J47" s="15">
        <v>2190</v>
      </c>
      <c r="K47" s="7">
        <v>26.5</v>
      </c>
      <c r="L47" s="7">
        <f t="shared" si="9"/>
        <v>82.64150943396227</v>
      </c>
      <c r="M47" s="5" t="s">
        <v>10</v>
      </c>
      <c r="N47" s="5">
        <v>4</v>
      </c>
      <c r="O47" s="6">
        <f t="shared" si="10"/>
        <v>9.34804111783553</v>
      </c>
      <c r="P47" s="6">
        <f t="shared" si="11"/>
        <v>0.97219627625489502</v>
      </c>
      <c r="Q47" s="10">
        <f t="shared" si="12"/>
        <v>2.0254089088643647E-2</v>
      </c>
      <c r="R47" s="10">
        <f t="shared" si="13"/>
        <v>8.5003652032378002E-2</v>
      </c>
      <c r="S47" s="10">
        <f t="shared" si="14"/>
        <v>0.10525774112102165</v>
      </c>
    </row>
    <row r="48" spans="1:19" x14ac:dyDescent="0.25">
      <c r="A48" s="5" t="s">
        <v>8</v>
      </c>
      <c r="B48" s="5" t="s">
        <v>287</v>
      </c>
      <c r="C48" s="5" t="s">
        <v>27</v>
      </c>
      <c r="D48" s="5" t="s">
        <v>385</v>
      </c>
      <c r="E48" s="5" t="s">
        <v>387</v>
      </c>
      <c r="F48" s="5" t="s">
        <v>52</v>
      </c>
      <c r="G48" s="5" t="s">
        <v>386</v>
      </c>
      <c r="H48" s="5" t="s">
        <v>102</v>
      </c>
      <c r="I48" s="5" t="s">
        <v>288</v>
      </c>
      <c r="J48" s="15">
        <v>2300</v>
      </c>
      <c r="K48" s="7">
        <v>33.700000000000003</v>
      </c>
      <c r="L48" s="7">
        <f t="shared" si="9"/>
        <v>68.249258160237389</v>
      </c>
      <c r="M48" s="5" t="s">
        <v>10</v>
      </c>
      <c r="N48" s="5">
        <v>4</v>
      </c>
      <c r="O48" s="6">
        <f t="shared" si="10"/>
        <v>6.6958192816701745</v>
      </c>
      <c r="P48" s="6">
        <f t="shared" si="11"/>
        <v>0.69636520529369805</v>
      </c>
      <c r="Q48" s="10">
        <f t="shared" si="12"/>
        <v>1.4507608443618711E-2</v>
      </c>
      <c r="R48" s="10">
        <f t="shared" si="13"/>
        <v>6.6183528454387561E-2</v>
      </c>
      <c r="S48" s="10">
        <f t="shared" si="14"/>
        <v>8.0691136898006277E-2</v>
      </c>
    </row>
    <row r="49" spans="1:19" x14ac:dyDescent="0.25">
      <c r="A49" s="5" t="s">
        <v>22</v>
      </c>
      <c r="B49" s="5" t="s">
        <v>63</v>
      </c>
      <c r="C49" s="5" t="s">
        <v>27</v>
      </c>
      <c r="D49" s="5" t="s">
        <v>385</v>
      </c>
      <c r="E49" s="5" t="s">
        <v>387</v>
      </c>
      <c r="F49" s="5" t="s">
        <v>52</v>
      </c>
      <c r="G49" s="5" t="s">
        <v>386</v>
      </c>
      <c r="H49" s="5" t="s">
        <v>98</v>
      </c>
      <c r="I49" s="5" t="s">
        <v>99</v>
      </c>
      <c r="J49" s="15">
        <v>2450</v>
      </c>
      <c r="K49" s="7">
        <v>31</v>
      </c>
      <c r="L49" s="7">
        <f t="shared" si="9"/>
        <v>79.032258064516128</v>
      </c>
      <c r="M49" s="5" t="s">
        <v>10</v>
      </c>
      <c r="N49" s="5">
        <v>4</v>
      </c>
      <c r="O49" s="6">
        <f t="shared" si="10"/>
        <v>9.5643372788761702</v>
      </c>
      <c r="P49" s="6">
        <f t="shared" si="11"/>
        <v>0.99469107700312165</v>
      </c>
      <c r="Q49" s="10">
        <f t="shared" si="12"/>
        <v>2.0722730770898368E-2</v>
      </c>
      <c r="R49" s="10">
        <f t="shared" si="13"/>
        <v>8.6474545162582434E-2</v>
      </c>
      <c r="S49" s="10">
        <f t="shared" si="14"/>
        <v>0.1071972759334808</v>
      </c>
    </row>
    <row r="50" spans="1:19" x14ac:dyDescent="0.25">
      <c r="A50" s="5" t="s">
        <v>8</v>
      </c>
      <c r="B50" s="5" t="s">
        <v>319</v>
      </c>
      <c r="C50" s="5" t="s">
        <v>27</v>
      </c>
      <c r="D50" s="5" t="s">
        <v>385</v>
      </c>
      <c r="E50" s="5" t="s">
        <v>387</v>
      </c>
      <c r="F50" s="5" t="s">
        <v>52</v>
      </c>
      <c r="G50" s="5" t="s">
        <v>386</v>
      </c>
      <c r="H50" s="5" t="s">
        <v>98</v>
      </c>
      <c r="I50" s="5" t="s">
        <v>99</v>
      </c>
      <c r="J50" s="15">
        <v>2431</v>
      </c>
      <c r="K50" s="7">
        <v>31</v>
      </c>
      <c r="L50" s="7">
        <f t="shared" si="9"/>
        <v>78.41935483870968</v>
      </c>
      <c r="M50" s="5" t="s">
        <v>10</v>
      </c>
      <c r="N50" s="5">
        <v>4</v>
      </c>
      <c r="O50" s="6">
        <f t="shared" si="10"/>
        <v>9.3435412272372531</v>
      </c>
      <c r="P50" s="6">
        <f t="shared" si="11"/>
        <v>0.97172828763267438</v>
      </c>
      <c r="Q50" s="10">
        <f t="shared" si="12"/>
        <v>2.0244339325680715E-2</v>
      </c>
      <c r="R50" s="10">
        <f t="shared" si="13"/>
        <v>8.497296136544169E-2</v>
      </c>
      <c r="S50" s="10">
        <f t="shared" si="14"/>
        <v>0.10521730069112241</v>
      </c>
    </row>
    <row r="51" spans="1:19" x14ac:dyDescent="0.25">
      <c r="A51" s="5" t="s">
        <v>8</v>
      </c>
      <c r="B51" s="5" t="s">
        <v>319</v>
      </c>
      <c r="C51" s="5" t="s">
        <v>27</v>
      </c>
      <c r="D51" s="5" t="s">
        <v>385</v>
      </c>
      <c r="E51" s="5" t="s">
        <v>387</v>
      </c>
      <c r="F51" s="5" t="s">
        <v>52</v>
      </c>
      <c r="G51" s="5" t="s">
        <v>386</v>
      </c>
      <c r="H51" s="5" t="s">
        <v>98</v>
      </c>
      <c r="I51" s="5" t="s">
        <v>321</v>
      </c>
      <c r="J51" s="15">
        <v>2650</v>
      </c>
      <c r="K51" s="7">
        <v>28</v>
      </c>
      <c r="L51" s="7">
        <f t="shared" si="9"/>
        <v>94.642857142857139</v>
      </c>
      <c r="M51" s="5" t="s">
        <v>10</v>
      </c>
      <c r="N51" s="5">
        <v>4</v>
      </c>
      <c r="O51" s="6">
        <f t="shared" si="10"/>
        <v>14.835479113520405</v>
      </c>
      <c r="P51" s="6">
        <f t="shared" si="11"/>
        <v>1.5428898278061218</v>
      </c>
      <c r="Q51" s="10">
        <f t="shared" si="12"/>
        <v>3.2143538079294209E-2</v>
      </c>
      <c r="R51" s="10">
        <f t="shared" si="13"/>
        <v>0.12019137585847466</v>
      </c>
      <c r="S51" s="10">
        <f t="shared" si="14"/>
        <v>0.15233491393776888</v>
      </c>
    </row>
    <row r="52" spans="1:19" x14ac:dyDescent="0.25">
      <c r="A52" s="5" t="s">
        <v>22</v>
      </c>
      <c r="B52" s="5" t="s">
        <v>63</v>
      </c>
      <c r="C52" s="5" t="s">
        <v>27</v>
      </c>
      <c r="D52" s="5" t="s">
        <v>385</v>
      </c>
      <c r="E52" s="5" t="s">
        <v>387</v>
      </c>
      <c r="F52" s="5" t="s">
        <v>52</v>
      </c>
      <c r="G52" s="5" t="s">
        <v>386</v>
      </c>
      <c r="H52" s="5" t="s">
        <v>100</v>
      </c>
      <c r="I52" s="5" t="s">
        <v>101</v>
      </c>
      <c r="J52" s="15">
        <v>2700</v>
      </c>
      <c r="K52" s="7">
        <v>41</v>
      </c>
      <c r="L52" s="7">
        <f t="shared" si="9"/>
        <v>65.853658536585371</v>
      </c>
      <c r="M52" s="5" t="s">
        <v>10</v>
      </c>
      <c r="N52" s="5">
        <v>4</v>
      </c>
      <c r="O52" s="6">
        <f t="shared" si="10"/>
        <v>7.3181885782272476</v>
      </c>
      <c r="P52" s="6">
        <f t="shared" si="11"/>
        <v>0.76109161213563381</v>
      </c>
      <c r="Q52" s="10">
        <f t="shared" si="12"/>
        <v>1.5856075252825702E-2</v>
      </c>
      <c r="R52" s="10">
        <f t="shared" si="13"/>
        <v>7.0745663102872419E-2</v>
      </c>
      <c r="S52" s="10">
        <f t="shared" si="14"/>
        <v>8.6601738355698121E-2</v>
      </c>
    </row>
    <row r="53" spans="1:19" x14ac:dyDescent="0.25">
      <c r="J53" s="16">
        <f>AVERAGE(J16:J52)</f>
        <v>2424.1891891891892</v>
      </c>
      <c r="K53" s="12">
        <f t="shared" ref="K53:S53" si="15">AVERAGE(K16:K52)</f>
        <v>31.908108108108113</v>
      </c>
      <c r="L53" s="12">
        <f t="shared" si="15"/>
        <v>76.056051619982242</v>
      </c>
      <c r="M53" s="11" t="e">
        <f t="shared" si="15"/>
        <v>#DIV/0!</v>
      </c>
      <c r="N53" s="11">
        <f t="shared" si="15"/>
        <v>4</v>
      </c>
      <c r="O53" s="13">
        <f t="shared" si="15"/>
        <v>9.4721349530845096</v>
      </c>
      <c r="P53" s="13">
        <f t="shared" si="15"/>
        <v>0.98510203512078875</v>
      </c>
      <c r="Q53" s="14">
        <f t="shared" si="15"/>
        <v>2.052295906501643E-2</v>
      </c>
      <c r="R53" s="14">
        <f t="shared" si="15"/>
        <v>8.3921898853338284E-2</v>
      </c>
      <c r="S53" s="14">
        <f t="shared" si="15"/>
        <v>0.10444485791835471</v>
      </c>
    </row>
    <row r="54" spans="1:19" x14ac:dyDescent="0.25">
      <c r="A54" s="5" t="s">
        <v>22</v>
      </c>
      <c r="B54" s="5" t="s">
        <v>63</v>
      </c>
      <c r="C54" s="5" t="s">
        <v>27</v>
      </c>
      <c r="D54" s="5" t="s">
        <v>385</v>
      </c>
      <c r="E54" s="5" t="s">
        <v>387</v>
      </c>
      <c r="F54" s="5" t="s">
        <v>52</v>
      </c>
      <c r="G54" s="5" t="s">
        <v>394</v>
      </c>
      <c r="H54" s="5" t="s">
        <v>104</v>
      </c>
      <c r="I54" s="5" t="s">
        <v>105</v>
      </c>
      <c r="J54" s="15">
        <v>1050</v>
      </c>
      <c r="K54" s="7">
        <v>35</v>
      </c>
      <c r="L54" s="7">
        <f t="shared" ref="L54:L80" si="16">J54/K54</f>
        <v>30</v>
      </c>
      <c r="M54" s="5" t="s">
        <v>10</v>
      </c>
      <c r="N54" s="5">
        <v>4</v>
      </c>
      <c r="O54" s="6">
        <f t="shared" ref="O54:O80" si="17">(J54*L54^2)/(1.6*10^6)</f>
        <v>0.59062499999999996</v>
      </c>
      <c r="P54" s="6">
        <f t="shared" ref="P54:P80" si="18">(0.104*J54*L54^2)/(1.6*10^6)</f>
        <v>6.1424999999999993E-2</v>
      </c>
      <c r="Q54" s="10">
        <f t="shared" ref="Q54:Q80" si="19">(0.104*O54)/(12*N54)</f>
        <v>1.2796874999999998E-3</v>
      </c>
      <c r="R54" s="10">
        <f t="shared" ref="R54:R80" si="20">0.0159*O54^0.75</f>
        <v>1.0712257254840325E-2</v>
      </c>
      <c r="S54" s="10">
        <f t="shared" ref="S54:S80" si="21">Q54+R54</f>
        <v>1.1991944754840325E-2</v>
      </c>
    </row>
    <row r="55" spans="1:19" x14ac:dyDescent="0.25">
      <c r="A55" s="5" t="s">
        <v>8</v>
      </c>
      <c r="B55" s="5" t="s">
        <v>161</v>
      </c>
      <c r="C55" s="5" t="s">
        <v>27</v>
      </c>
      <c r="D55" s="5" t="s">
        <v>385</v>
      </c>
      <c r="E55" s="5" t="s">
        <v>387</v>
      </c>
      <c r="F55" s="5" t="s">
        <v>52</v>
      </c>
      <c r="G55" s="5" t="s">
        <v>394</v>
      </c>
      <c r="H55" s="5" t="s">
        <v>104</v>
      </c>
      <c r="I55" s="5" t="s">
        <v>105</v>
      </c>
      <c r="J55" s="15">
        <v>920</v>
      </c>
      <c r="K55" s="7">
        <v>27</v>
      </c>
      <c r="L55" s="7">
        <f t="shared" si="16"/>
        <v>34.074074074074076</v>
      </c>
      <c r="M55" s="5" t="s">
        <v>10</v>
      </c>
      <c r="N55" s="5">
        <v>4</v>
      </c>
      <c r="O55" s="6">
        <f t="shared" si="17"/>
        <v>0.66759945130315512</v>
      </c>
      <c r="P55" s="6">
        <f t="shared" si="18"/>
        <v>6.9430342935528119E-2</v>
      </c>
      <c r="Q55" s="10">
        <f t="shared" si="19"/>
        <v>1.4464654778235028E-3</v>
      </c>
      <c r="R55" s="10">
        <f t="shared" si="20"/>
        <v>1.1743136325585789E-2</v>
      </c>
      <c r="S55" s="10">
        <f t="shared" si="21"/>
        <v>1.3189601803409291E-2</v>
      </c>
    </row>
    <row r="56" spans="1:19" x14ac:dyDescent="0.25">
      <c r="A56" s="5" t="s">
        <v>22</v>
      </c>
      <c r="B56" s="5" t="s">
        <v>63</v>
      </c>
      <c r="C56" s="5" t="s">
        <v>27</v>
      </c>
      <c r="D56" s="5" t="s">
        <v>385</v>
      </c>
      <c r="E56" s="5" t="s">
        <v>387</v>
      </c>
      <c r="F56" s="5" t="s">
        <v>52</v>
      </c>
      <c r="G56" s="5" t="s">
        <v>394</v>
      </c>
      <c r="H56" s="5" t="s">
        <v>110</v>
      </c>
      <c r="I56" s="5" t="s">
        <v>111</v>
      </c>
      <c r="J56" s="15">
        <v>3420</v>
      </c>
      <c r="K56" s="7">
        <v>39.5</v>
      </c>
      <c r="L56" s="7">
        <f t="shared" si="16"/>
        <v>86.582278481012665</v>
      </c>
      <c r="M56" s="5" t="s">
        <v>10</v>
      </c>
      <c r="N56" s="5">
        <v>4</v>
      </c>
      <c r="O56" s="6">
        <f t="shared" si="17"/>
        <v>16.023749399134758</v>
      </c>
      <c r="P56" s="6">
        <f t="shared" si="18"/>
        <v>1.6664699375100145</v>
      </c>
      <c r="Q56" s="10">
        <f t="shared" si="19"/>
        <v>3.4718123698125304E-2</v>
      </c>
      <c r="R56" s="10">
        <f t="shared" si="20"/>
        <v>0.1273415795347296</v>
      </c>
      <c r="S56" s="10">
        <f t="shared" si="21"/>
        <v>0.1620597032328549</v>
      </c>
    </row>
    <row r="57" spans="1:19" x14ac:dyDescent="0.25">
      <c r="A57" s="5" t="s">
        <v>8</v>
      </c>
      <c r="B57" s="5" t="s">
        <v>161</v>
      </c>
      <c r="C57" s="5" t="s">
        <v>27</v>
      </c>
      <c r="D57" s="5" t="s">
        <v>385</v>
      </c>
      <c r="E57" s="5" t="s">
        <v>387</v>
      </c>
      <c r="F57" s="5" t="s">
        <v>52</v>
      </c>
      <c r="G57" s="5" t="s">
        <v>394</v>
      </c>
      <c r="H57" s="5" t="s">
        <v>110</v>
      </c>
      <c r="I57" s="5" t="s">
        <v>162</v>
      </c>
      <c r="J57" s="15">
        <v>2300</v>
      </c>
      <c r="K57" s="7">
        <v>44</v>
      </c>
      <c r="L57" s="7">
        <f t="shared" si="16"/>
        <v>52.272727272727273</v>
      </c>
      <c r="M57" s="5" t="s">
        <v>10</v>
      </c>
      <c r="N57" s="5">
        <v>4</v>
      </c>
      <c r="O57" s="6">
        <f t="shared" si="17"/>
        <v>3.9278796487603307</v>
      </c>
      <c r="P57" s="6">
        <f t="shared" si="18"/>
        <v>0.4084994834710744</v>
      </c>
      <c r="Q57" s="10">
        <f t="shared" si="19"/>
        <v>8.5104059056473839E-3</v>
      </c>
      <c r="R57" s="10">
        <f t="shared" si="20"/>
        <v>4.4362473572488702E-2</v>
      </c>
      <c r="S57" s="10">
        <f t="shared" si="21"/>
        <v>5.2872879478136084E-2</v>
      </c>
    </row>
    <row r="58" spans="1:19" x14ac:dyDescent="0.25">
      <c r="A58" s="5" t="s">
        <v>8</v>
      </c>
      <c r="B58" s="5" t="s">
        <v>161</v>
      </c>
      <c r="C58" s="5" t="s">
        <v>27</v>
      </c>
      <c r="D58" s="5" t="s">
        <v>385</v>
      </c>
      <c r="E58" s="5" t="s">
        <v>387</v>
      </c>
      <c r="F58" s="5" t="s">
        <v>52</v>
      </c>
      <c r="G58" s="5" t="s">
        <v>394</v>
      </c>
      <c r="H58" s="5" t="s">
        <v>110</v>
      </c>
      <c r="I58" s="5" t="s">
        <v>162</v>
      </c>
      <c r="J58" s="15">
        <v>2630</v>
      </c>
      <c r="K58" s="7">
        <v>45</v>
      </c>
      <c r="L58" s="7">
        <f t="shared" si="16"/>
        <v>58.444444444444443</v>
      </c>
      <c r="M58" s="5" t="s">
        <v>10</v>
      </c>
      <c r="N58" s="5">
        <v>4</v>
      </c>
      <c r="O58" s="6">
        <f t="shared" si="17"/>
        <v>5.6146441358024681</v>
      </c>
      <c r="P58" s="6">
        <f t="shared" si="18"/>
        <v>0.58392299012345672</v>
      </c>
      <c r="Q58" s="10">
        <f t="shared" si="19"/>
        <v>1.2165062294238679E-2</v>
      </c>
      <c r="R58" s="10">
        <f t="shared" si="20"/>
        <v>5.799476604086666E-2</v>
      </c>
      <c r="S58" s="10">
        <f t="shared" si="21"/>
        <v>7.015982833510534E-2</v>
      </c>
    </row>
    <row r="59" spans="1:19" x14ac:dyDescent="0.25">
      <c r="A59" s="5" t="s">
        <v>22</v>
      </c>
      <c r="B59" s="5" t="s">
        <v>63</v>
      </c>
      <c r="C59" s="5" t="s">
        <v>27</v>
      </c>
      <c r="D59" s="5" t="s">
        <v>385</v>
      </c>
      <c r="E59" s="5" t="s">
        <v>387</v>
      </c>
      <c r="F59" s="5" t="s">
        <v>52</v>
      </c>
      <c r="G59" s="5" t="s">
        <v>394</v>
      </c>
      <c r="H59" s="5" t="s">
        <v>56</v>
      </c>
      <c r="I59" s="5" t="s">
        <v>148</v>
      </c>
      <c r="J59" s="15">
        <v>2950</v>
      </c>
      <c r="K59" s="7">
        <v>29.5</v>
      </c>
      <c r="L59" s="7">
        <f t="shared" si="16"/>
        <v>100</v>
      </c>
      <c r="M59" s="5" t="s">
        <v>10</v>
      </c>
      <c r="N59" s="5">
        <v>4</v>
      </c>
      <c r="O59" s="6">
        <f t="shared" si="17"/>
        <v>18.4375</v>
      </c>
      <c r="P59" s="6">
        <f t="shared" si="18"/>
        <v>1.9175</v>
      </c>
      <c r="Q59" s="10">
        <f t="shared" si="19"/>
        <v>3.9947916666666666E-2</v>
      </c>
      <c r="R59" s="10">
        <f t="shared" si="20"/>
        <v>0.14147302810302484</v>
      </c>
      <c r="S59" s="10">
        <f t="shared" si="21"/>
        <v>0.18142094476969151</v>
      </c>
    </row>
    <row r="60" spans="1:19" x14ac:dyDescent="0.25">
      <c r="A60" s="5" t="s">
        <v>22</v>
      </c>
      <c r="B60" s="5" t="s">
        <v>63</v>
      </c>
      <c r="C60" s="5" t="s">
        <v>27</v>
      </c>
      <c r="D60" s="5" t="s">
        <v>385</v>
      </c>
      <c r="E60" s="5" t="s">
        <v>387</v>
      </c>
      <c r="F60" s="5" t="s">
        <v>52</v>
      </c>
      <c r="G60" s="5" t="s">
        <v>394</v>
      </c>
      <c r="H60" s="5" t="s">
        <v>56</v>
      </c>
      <c r="I60" s="5" t="s">
        <v>149</v>
      </c>
      <c r="J60" s="15">
        <v>2150</v>
      </c>
      <c r="K60" s="7">
        <v>39</v>
      </c>
      <c r="L60" s="7">
        <f t="shared" si="16"/>
        <v>55.128205128205131</v>
      </c>
      <c r="M60" s="5" t="s">
        <v>10</v>
      </c>
      <c r="N60" s="5">
        <v>4</v>
      </c>
      <c r="O60" s="6">
        <f t="shared" si="17"/>
        <v>4.083816157133465</v>
      </c>
      <c r="P60" s="6">
        <f t="shared" si="18"/>
        <v>0.42471688034188038</v>
      </c>
      <c r="Q60" s="10">
        <f t="shared" si="19"/>
        <v>8.84826834045584E-3</v>
      </c>
      <c r="R60" s="10">
        <f t="shared" si="20"/>
        <v>4.5676914730833268E-2</v>
      </c>
      <c r="S60" s="10">
        <f t="shared" si="21"/>
        <v>5.4525183071289104E-2</v>
      </c>
    </row>
    <row r="61" spans="1:19" x14ac:dyDescent="0.25">
      <c r="A61" s="5" t="s">
        <v>22</v>
      </c>
      <c r="B61" s="5" t="s">
        <v>63</v>
      </c>
      <c r="C61" s="5" t="s">
        <v>27</v>
      </c>
      <c r="D61" s="5" t="s">
        <v>385</v>
      </c>
      <c r="E61" s="5" t="s">
        <v>387</v>
      </c>
      <c r="F61" s="5" t="s">
        <v>52</v>
      </c>
      <c r="G61" s="5" t="s">
        <v>394</v>
      </c>
      <c r="H61" s="5" t="s">
        <v>56</v>
      </c>
      <c r="I61" s="5" t="s">
        <v>103</v>
      </c>
      <c r="J61" s="15">
        <v>1650</v>
      </c>
      <c r="K61" s="7">
        <v>30.5</v>
      </c>
      <c r="L61" s="7">
        <f t="shared" si="16"/>
        <v>54.098360655737707</v>
      </c>
      <c r="M61" s="5" t="s">
        <v>10</v>
      </c>
      <c r="N61" s="5">
        <v>4</v>
      </c>
      <c r="O61" s="6">
        <f t="shared" si="17"/>
        <v>3.0180898951894655</v>
      </c>
      <c r="P61" s="6">
        <f t="shared" si="18"/>
        <v>0.31388134909970439</v>
      </c>
      <c r="Q61" s="10">
        <f t="shared" si="19"/>
        <v>6.5391947729105081E-3</v>
      </c>
      <c r="R61" s="10">
        <f t="shared" si="20"/>
        <v>3.6407952239914915E-2</v>
      </c>
      <c r="S61" s="10">
        <f t="shared" si="21"/>
        <v>4.2947147012825426E-2</v>
      </c>
    </row>
    <row r="62" spans="1:19" x14ac:dyDescent="0.25">
      <c r="A62" s="5" t="s">
        <v>8</v>
      </c>
      <c r="B62" s="5" t="s">
        <v>329</v>
      </c>
      <c r="C62" s="5" t="s">
        <v>27</v>
      </c>
      <c r="D62" s="5" t="s">
        <v>385</v>
      </c>
      <c r="E62" s="5" t="s">
        <v>387</v>
      </c>
      <c r="F62" s="5" t="s">
        <v>52</v>
      </c>
      <c r="G62" s="5" t="s">
        <v>394</v>
      </c>
      <c r="H62" s="5" t="s">
        <v>56</v>
      </c>
      <c r="I62" s="5" t="s">
        <v>103</v>
      </c>
      <c r="J62" s="15">
        <v>1260</v>
      </c>
      <c r="K62" s="7">
        <v>34</v>
      </c>
      <c r="L62" s="7">
        <f t="shared" si="16"/>
        <v>37.058823529411768</v>
      </c>
      <c r="M62" s="5" t="s">
        <v>10</v>
      </c>
      <c r="N62" s="5">
        <v>4</v>
      </c>
      <c r="O62" s="6">
        <f t="shared" si="17"/>
        <v>1.0815181660899655</v>
      </c>
      <c r="P62" s="6">
        <f t="shared" si="18"/>
        <v>0.11247788927335642</v>
      </c>
      <c r="Q62" s="10">
        <f t="shared" si="19"/>
        <v>2.3432893598615916E-3</v>
      </c>
      <c r="R62" s="10">
        <f t="shared" si="20"/>
        <v>1.6862520407650464E-2</v>
      </c>
      <c r="S62" s="10">
        <f t="shared" si="21"/>
        <v>1.9205809767512055E-2</v>
      </c>
    </row>
    <row r="63" spans="1:19" x14ac:dyDescent="0.25">
      <c r="A63" s="5" t="s">
        <v>8</v>
      </c>
      <c r="B63" s="5" t="s">
        <v>296</v>
      </c>
      <c r="C63" s="5" t="s">
        <v>27</v>
      </c>
      <c r="D63" s="5" t="s">
        <v>385</v>
      </c>
      <c r="E63" s="5" t="s">
        <v>387</v>
      </c>
      <c r="F63" s="5" t="s">
        <v>52</v>
      </c>
      <c r="G63" s="5" t="s">
        <v>394</v>
      </c>
      <c r="H63" s="5" t="s">
        <v>56</v>
      </c>
      <c r="I63" s="5" t="s">
        <v>298</v>
      </c>
      <c r="J63" s="15">
        <v>1540</v>
      </c>
      <c r="K63" s="7">
        <v>22</v>
      </c>
      <c r="L63" s="7">
        <f t="shared" si="16"/>
        <v>70</v>
      </c>
      <c r="M63" s="5" t="s">
        <v>10</v>
      </c>
      <c r="N63" s="5">
        <v>4</v>
      </c>
      <c r="O63" s="6">
        <f t="shared" si="17"/>
        <v>4.7162499999999996</v>
      </c>
      <c r="P63" s="6">
        <f t="shared" si="18"/>
        <v>0.49048999999999998</v>
      </c>
      <c r="Q63" s="10">
        <f t="shared" si="19"/>
        <v>1.0218541666666666E-2</v>
      </c>
      <c r="R63" s="10">
        <f t="shared" si="20"/>
        <v>5.0885581049188403E-2</v>
      </c>
      <c r="S63" s="10">
        <f t="shared" si="21"/>
        <v>6.1104122715855066E-2</v>
      </c>
    </row>
    <row r="64" spans="1:19" x14ac:dyDescent="0.25">
      <c r="A64" s="5" t="s">
        <v>8</v>
      </c>
      <c r="B64" s="5" t="s">
        <v>231</v>
      </c>
      <c r="C64" s="5" t="s">
        <v>27</v>
      </c>
      <c r="D64" s="5" t="s">
        <v>385</v>
      </c>
      <c r="E64" s="5" t="s">
        <v>387</v>
      </c>
      <c r="F64" s="5" t="s">
        <v>52</v>
      </c>
      <c r="G64" s="5" t="s">
        <v>394</v>
      </c>
      <c r="H64" s="5" t="s">
        <v>56</v>
      </c>
      <c r="I64" s="5" t="s">
        <v>218</v>
      </c>
      <c r="J64" s="15">
        <v>1510</v>
      </c>
      <c r="K64" s="7">
        <v>26</v>
      </c>
      <c r="L64" s="7">
        <f t="shared" si="16"/>
        <v>58.07692307692308</v>
      </c>
      <c r="M64" s="5" t="s">
        <v>10</v>
      </c>
      <c r="N64" s="5">
        <v>4</v>
      </c>
      <c r="O64" s="6">
        <f t="shared" si="17"/>
        <v>3.183201738165681</v>
      </c>
      <c r="P64" s="6">
        <f t="shared" si="18"/>
        <v>0.33105298076923079</v>
      </c>
      <c r="Q64" s="10">
        <f t="shared" si="19"/>
        <v>6.8969370993589747E-3</v>
      </c>
      <c r="R64" s="10">
        <f t="shared" si="20"/>
        <v>3.7891800910019258E-2</v>
      </c>
      <c r="S64" s="10">
        <f t="shared" si="21"/>
        <v>4.4788738009378229E-2</v>
      </c>
    </row>
    <row r="65" spans="1:19" x14ac:dyDescent="0.25">
      <c r="A65" s="5" t="s">
        <v>8</v>
      </c>
      <c r="B65" s="5" t="s">
        <v>165</v>
      </c>
      <c r="C65" s="5" t="s">
        <v>27</v>
      </c>
      <c r="D65" s="5" t="s">
        <v>385</v>
      </c>
      <c r="E65" s="5" t="s">
        <v>387</v>
      </c>
      <c r="F65" s="5" t="s">
        <v>52</v>
      </c>
      <c r="G65" s="5" t="s">
        <v>394</v>
      </c>
      <c r="H65" s="5" t="s">
        <v>56</v>
      </c>
      <c r="I65" s="5" t="s">
        <v>169</v>
      </c>
      <c r="J65" s="15">
        <v>2160</v>
      </c>
      <c r="K65" s="7">
        <v>31</v>
      </c>
      <c r="L65" s="7">
        <f t="shared" si="16"/>
        <v>69.677419354838705</v>
      </c>
      <c r="M65" s="5" t="s">
        <v>10</v>
      </c>
      <c r="N65" s="5">
        <v>4</v>
      </c>
      <c r="O65" s="6">
        <f t="shared" si="17"/>
        <v>6.5541727367325695</v>
      </c>
      <c r="P65" s="6">
        <f t="shared" si="18"/>
        <v>0.68163396462018722</v>
      </c>
      <c r="Q65" s="10">
        <f t="shared" si="19"/>
        <v>1.42007075962539E-2</v>
      </c>
      <c r="R65" s="10">
        <f t="shared" si="20"/>
        <v>6.5130668631830216E-2</v>
      </c>
      <c r="S65" s="10">
        <f t="shared" si="21"/>
        <v>7.9331376228084116E-2</v>
      </c>
    </row>
    <row r="66" spans="1:19" x14ac:dyDescent="0.25">
      <c r="A66" s="5" t="s">
        <v>8</v>
      </c>
      <c r="B66" s="5" t="s">
        <v>161</v>
      </c>
      <c r="C66" s="5" t="s">
        <v>27</v>
      </c>
      <c r="D66" s="5" t="s">
        <v>385</v>
      </c>
      <c r="E66" s="5" t="s">
        <v>387</v>
      </c>
      <c r="F66" s="5" t="s">
        <v>52</v>
      </c>
      <c r="G66" s="5" t="s">
        <v>394</v>
      </c>
      <c r="H66" s="5" t="s">
        <v>56</v>
      </c>
      <c r="I66" s="5" t="s">
        <v>164</v>
      </c>
      <c r="J66" s="15">
        <v>2010</v>
      </c>
      <c r="K66" s="7">
        <v>25</v>
      </c>
      <c r="L66" s="7">
        <f t="shared" si="16"/>
        <v>80.400000000000006</v>
      </c>
      <c r="M66" s="5" t="s">
        <v>10</v>
      </c>
      <c r="N66" s="5">
        <v>4</v>
      </c>
      <c r="O66" s="6">
        <f t="shared" si="17"/>
        <v>8.1206010000000006</v>
      </c>
      <c r="P66" s="6">
        <f t="shared" si="18"/>
        <v>0.84454250400000008</v>
      </c>
      <c r="Q66" s="10">
        <f t="shared" si="19"/>
        <v>1.7594635500000001E-2</v>
      </c>
      <c r="R66" s="10">
        <f t="shared" si="20"/>
        <v>7.6487110304618008E-2</v>
      </c>
      <c r="S66" s="10">
        <f t="shared" si="21"/>
        <v>9.4081745804618006E-2</v>
      </c>
    </row>
    <row r="67" spans="1:19" x14ac:dyDescent="0.25">
      <c r="A67" s="5" t="s">
        <v>22</v>
      </c>
      <c r="B67" s="5" t="s">
        <v>63</v>
      </c>
      <c r="C67" s="5" t="s">
        <v>27</v>
      </c>
      <c r="D67" s="5" t="s">
        <v>385</v>
      </c>
      <c r="E67" s="5" t="s">
        <v>387</v>
      </c>
      <c r="F67" s="5" t="s">
        <v>52</v>
      </c>
      <c r="G67" s="5" t="s">
        <v>394</v>
      </c>
      <c r="H67" s="5" t="s">
        <v>56</v>
      </c>
      <c r="I67" s="5" t="s">
        <v>150</v>
      </c>
      <c r="J67" s="15">
        <v>1795</v>
      </c>
      <c r="K67" s="7">
        <v>26</v>
      </c>
      <c r="L67" s="7">
        <f t="shared" si="16"/>
        <v>69.038461538461533</v>
      </c>
      <c r="M67" s="5" t="s">
        <v>10</v>
      </c>
      <c r="N67" s="5">
        <v>4</v>
      </c>
      <c r="O67" s="6">
        <f t="shared" si="17"/>
        <v>5.3472031018860937</v>
      </c>
      <c r="P67" s="6">
        <f t="shared" si="18"/>
        <v>0.55610912259615364</v>
      </c>
      <c r="Q67" s="10">
        <f t="shared" si="19"/>
        <v>1.1585606720753204E-2</v>
      </c>
      <c r="R67" s="10">
        <f t="shared" si="20"/>
        <v>5.5910340147592871E-2</v>
      </c>
      <c r="S67" s="10">
        <f t="shared" si="21"/>
        <v>6.7495946868346077E-2</v>
      </c>
    </row>
    <row r="68" spans="1:19" x14ac:dyDescent="0.25">
      <c r="A68" s="5" t="s">
        <v>22</v>
      </c>
      <c r="B68" s="5" t="s">
        <v>26</v>
      </c>
      <c r="C68" s="5" t="s">
        <v>27</v>
      </c>
      <c r="D68" s="5" t="s">
        <v>385</v>
      </c>
      <c r="E68" s="5" t="s">
        <v>387</v>
      </c>
      <c r="F68" s="5" t="s">
        <v>52</v>
      </c>
      <c r="G68" s="5" t="s">
        <v>394</v>
      </c>
      <c r="H68" s="5" t="s">
        <v>56</v>
      </c>
      <c r="I68" s="5" t="s">
        <v>57</v>
      </c>
      <c r="J68" s="15">
        <v>1800</v>
      </c>
      <c r="K68" s="7">
        <v>31</v>
      </c>
      <c r="L68" s="7">
        <f t="shared" si="16"/>
        <v>58.064516129032256</v>
      </c>
      <c r="M68" s="5" t="s">
        <v>10</v>
      </c>
      <c r="N68" s="5">
        <v>4</v>
      </c>
      <c r="O68" s="6">
        <f t="shared" si="17"/>
        <v>3.7929240374609781</v>
      </c>
      <c r="P68" s="6">
        <f t="shared" si="18"/>
        <v>0.39446409989594167</v>
      </c>
      <c r="Q68" s="10">
        <f t="shared" si="19"/>
        <v>8.2180020811654531E-3</v>
      </c>
      <c r="R68" s="10">
        <f t="shared" si="20"/>
        <v>4.3214324927592522E-2</v>
      </c>
      <c r="S68" s="10">
        <f t="shared" si="21"/>
        <v>5.1432327008757973E-2</v>
      </c>
    </row>
    <row r="69" spans="1:19" x14ac:dyDescent="0.25">
      <c r="A69" s="5" t="s">
        <v>8</v>
      </c>
      <c r="B69" s="5" t="s">
        <v>187</v>
      </c>
      <c r="C69" s="5" t="s">
        <v>27</v>
      </c>
      <c r="D69" s="5" t="s">
        <v>385</v>
      </c>
      <c r="E69" s="5" t="s">
        <v>387</v>
      </c>
      <c r="F69" s="5" t="s">
        <v>52</v>
      </c>
      <c r="G69" s="5" t="s">
        <v>394</v>
      </c>
      <c r="H69" s="5" t="s">
        <v>56</v>
      </c>
      <c r="I69" s="5" t="s">
        <v>57</v>
      </c>
      <c r="J69" s="15">
        <v>2110</v>
      </c>
      <c r="K69" s="7">
        <v>31.7</v>
      </c>
      <c r="L69" s="7">
        <f t="shared" si="16"/>
        <v>66.561514195583598</v>
      </c>
      <c r="M69" s="5" t="s">
        <v>10</v>
      </c>
      <c r="N69" s="5">
        <v>4</v>
      </c>
      <c r="O69" s="6">
        <f t="shared" si="17"/>
        <v>5.842636383086707</v>
      </c>
      <c r="P69" s="6">
        <f t="shared" si="18"/>
        <v>0.60763418384101753</v>
      </c>
      <c r="Q69" s="10">
        <f t="shared" si="19"/>
        <v>1.2659045496687865E-2</v>
      </c>
      <c r="R69" s="10">
        <f t="shared" si="20"/>
        <v>5.9752181885174414E-2</v>
      </c>
      <c r="S69" s="10">
        <f t="shared" si="21"/>
        <v>7.2411227381862286E-2</v>
      </c>
    </row>
    <row r="70" spans="1:19" x14ac:dyDescent="0.25">
      <c r="A70" s="5" t="s">
        <v>8</v>
      </c>
      <c r="B70" s="5" t="s">
        <v>187</v>
      </c>
      <c r="C70" s="5" t="s">
        <v>27</v>
      </c>
      <c r="D70" s="5" t="s">
        <v>385</v>
      </c>
      <c r="E70" s="5" t="s">
        <v>387</v>
      </c>
      <c r="F70" s="5" t="s">
        <v>52</v>
      </c>
      <c r="G70" s="5" t="s">
        <v>394</v>
      </c>
      <c r="H70" s="5" t="s">
        <v>56</v>
      </c>
      <c r="I70" s="5" t="s">
        <v>57</v>
      </c>
      <c r="J70" s="15">
        <v>2090</v>
      </c>
      <c r="K70" s="7">
        <v>30</v>
      </c>
      <c r="L70" s="7">
        <f t="shared" si="16"/>
        <v>69.666666666666671</v>
      </c>
      <c r="M70" s="5" t="s">
        <v>10</v>
      </c>
      <c r="N70" s="5">
        <v>4</v>
      </c>
      <c r="O70" s="6">
        <f t="shared" si="17"/>
        <v>6.3398118055555566</v>
      </c>
      <c r="P70" s="6">
        <f t="shared" si="18"/>
        <v>0.65934042777777779</v>
      </c>
      <c r="Q70" s="10">
        <f t="shared" si="19"/>
        <v>1.3736258912037039E-2</v>
      </c>
      <c r="R70" s="10">
        <f t="shared" si="20"/>
        <v>6.3526422548826608E-2</v>
      </c>
      <c r="S70" s="10">
        <f t="shared" si="21"/>
        <v>7.7262681460863653E-2</v>
      </c>
    </row>
    <row r="71" spans="1:19" x14ac:dyDescent="0.25">
      <c r="A71" s="5" t="s">
        <v>8</v>
      </c>
      <c r="B71" s="5" t="s">
        <v>187</v>
      </c>
      <c r="C71" s="5" t="s">
        <v>27</v>
      </c>
      <c r="D71" s="5" t="s">
        <v>385</v>
      </c>
      <c r="E71" s="5" t="s">
        <v>387</v>
      </c>
      <c r="F71" s="5" t="s">
        <v>52</v>
      </c>
      <c r="G71" s="5" t="s">
        <v>394</v>
      </c>
      <c r="H71" s="5" t="s">
        <v>56</v>
      </c>
      <c r="I71" s="5" t="s">
        <v>57</v>
      </c>
      <c r="J71" s="15">
        <v>1980</v>
      </c>
      <c r="K71" s="7">
        <v>30.4</v>
      </c>
      <c r="L71" s="7">
        <f t="shared" si="16"/>
        <v>65.131578947368425</v>
      </c>
      <c r="M71" s="5" t="s">
        <v>10</v>
      </c>
      <c r="N71" s="5">
        <v>4</v>
      </c>
      <c r="O71" s="6">
        <f t="shared" si="17"/>
        <v>5.2496266880193909</v>
      </c>
      <c r="P71" s="6">
        <f t="shared" si="18"/>
        <v>0.54596117555401669</v>
      </c>
      <c r="Q71" s="10">
        <f t="shared" si="19"/>
        <v>1.1374191157375346E-2</v>
      </c>
      <c r="R71" s="10">
        <f t="shared" si="20"/>
        <v>5.5143387293808285E-2</v>
      </c>
      <c r="S71" s="10">
        <f t="shared" si="21"/>
        <v>6.6517578451183626E-2</v>
      </c>
    </row>
    <row r="72" spans="1:19" x14ac:dyDescent="0.25">
      <c r="A72" s="5" t="s">
        <v>8</v>
      </c>
      <c r="B72" s="5" t="s">
        <v>187</v>
      </c>
      <c r="C72" s="5" t="s">
        <v>27</v>
      </c>
      <c r="D72" s="5" t="s">
        <v>385</v>
      </c>
      <c r="E72" s="5" t="s">
        <v>387</v>
      </c>
      <c r="F72" s="5" t="s">
        <v>52</v>
      </c>
      <c r="G72" s="5" t="s">
        <v>394</v>
      </c>
      <c r="H72" s="5" t="s">
        <v>56</v>
      </c>
      <c r="I72" s="5" t="s">
        <v>57</v>
      </c>
      <c r="J72" s="15">
        <v>1980</v>
      </c>
      <c r="K72" s="7">
        <v>31.2</v>
      </c>
      <c r="L72" s="7">
        <f t="shared" si="16"/>
        <v>63.46153846153846</v>
      </c>
      <c r="M72" s="5" t="s">
        <v>10</v>
      </c>
      <c r="N72" s="5">
        <v>4</v>
      </c>
      <c r="O72" s="6">
        <f t="shared" si="17"/>
        <v>4.9838664940828403</v>
      </c>
      <c r="P72" s="6">
        <f t="shared" si="18"/>
        <v>0.51832211538461537</v>
      </c>
      <c r="Q72" s="10">
        <f t="shared" si="19"/>
        <v>1.0798377403846154E-2</v>
      </c>
      <c r="R72" s="10">
        <f t="shared" si="20"/>
        <v>5.3036141958594116E-2</v>
      </c>
      <c r="S72" s="10">
        <f t="shared" si="21"/>
        <v>6.3834519362440265E-2</v>
      </c>
    </row>
    <row r="73" spans="1:19" x14ac:dyDescent="0.25">
      <c r="A73" s="5" t="s">
        <v>8</v>
      </c>
      <c r="B73" s="5" t="s">
        <v>187</v>
      </c>
      <c r="C73" s="5" t="s">
        <v>27</v>
      </c>
      <c r="D73" s="5" t="s">
        <v>385</v>
      </c>
      <c r="E73" s="5" t="s">
        <v>387</v>
      </c>
      <c r="F73" s="5" t="s">
        <v>52</v>
      </c>
      <c r="G73" s="5" t="s">
        <v>394</v>
      </c>
      <c r="H73" s="5" t="s">
        <v>56</v>
      </c>
      <c r="I73" s="5" t="s">
        <v>57</v>
      </c>
      <c r="J73" s="15">
        <v>2200</v>
      </c>
      <c r="K73" s="7">
        <v>29</v>
      </c>
      <c r="L73" s="7">
        <f t="shared" si="16"/>
        <v>75.862068965517238</v>
      </c>
      <c r="M73" s="5" t="s">
        <v>10</v>
      </c>
      <c r="N73" s="5">
        <v>4</v>
      </c>
      <c r="O73" s="6">
        <f t="shared" si="17"/>
        <v>7.9131985731272296</v>
      </c>
      <c r="P73" s="6">
        <f t="shared" si="18"/>
        <v>0.82297265160523181</v>
      </c>
      <c r="Q73" s="10">
        <f t="shared" si="19"/>
        <v>1.7145263575108996E-2</v>
      </c>
      <c r="R73" s="10">
        <f t="shared" si="20"/>
        <v>7.501725564715013E-2</v>
      </c>
      <c r="S73" s="10">
        <f t="shared" si="21"/>
        <v>9.2162519222259126E-2</v>
      </c>
    </row>
    <row r="74" spans="1:19" x14ac:dyDescent="0.25">
      <c r="A74" s="5" t="s">
        <v>8</v>
      </c>
      <c r="B74" s="5" t="s">
        <v>187</v>
      </c>
      <c r="C74" s="5" t="s">
        <v>27</v>
      </c>
      <c r="D74" s="5" t="s">
        <v>385</v>
      </c>
      <c r="E74" s="5" t="s">
        <v>387</v>
      </c>
      <c r="F74" s="5" t="s">
        <v>52</v>
      </c>
      <c r="G74" s="5" t="s">
        <v>394</v>
      </c>
      <c r="H74" s="5" t="s">
        <v>56</v>
      </c>
      <c r="I74" s="5" t="s">
        <v>57</v>
      </c>
      <c r="J74" s="15">
        <v>2175</v>
      </c>
      <c r="K74" s="7">
        <v>31.3</v>
      </c>
      <c r="L74" s="7">
        <f t="shared" si="16"/>
        <v>69.488817891373799</v>
      </c>
      <c r="M74" s="5" t="s">
        <v>10</v>
      </c>
      <c r="N74" s="5">
        <v>4</v>
      </c>
      <c r="O74" s="6">
        <f t="shared" si="17"/>
        <v>6.5640083693566336</v>
      </c>
      <c r="P74" s="6">
        <f t="shared" si="18"/>
        <v>0.68265687041308976</v>
      </c>
      <c r="Q74" s="10">
        <f t="shared" si="19"/>
        <v>1.4222018133606039E-2</v>
      </c>
      <c r="R74" s="10">
        <f t="shared" si="20"/>
        <v>6.5203959487576693E-2</v>
      </c>
      <c r="S74" s="10">
        <f t="shared" si="21"/>
        <v>7.9425977621182725E-2</v>
      </c>
    </row>
    <row r="75" spans="1:19" x14ac:dyDescent="0.25">
      <c r="A75" s="5" t="s">
        <v>8</v>
      </c>
      <c r="B75" s="5" t="s">
        <v>291</v>
      </c>
      <c r="C75" s="5" t="s">
        <v>27</v>
      </c>
      <c r="D75" s="5" t="s">
        <v>385</v>
      </c>
      <c r="E75" s="5" t="s">
        <v>387</v>
      </c>
      <c r="F75" s="5" t="s">
        <v>52</v>
      </c>
      <c r="G75" s="5" t="s">
        <v>394</v>
      </c>
      <c r="H75" s="5" t="s">
        <v>56</v>
      </c>
      <c r="I75" s="5" t="s">
        <v>57</v>
      </c>
      <c r="J75" s="15">
        <v>1742</v>
      </c>
      <c r="K75" s="7">
        <v>24.9</v>
      </c>
      <c r="L75" s="7">
        <f t="shared" si="16"/>
        <v>69.959839357429729</v>
      </c>
      <c r="M75" s="5" t="s">
        <v>10</v>
      </c>
      <c r="N75" s="5">
        <v>4</v>
      </c>
      <c r="O75" s="6">
        <f t="shared" si="17"/>
        <v>5.3287552700762904</v>
      </c>
      <c r="P75" s="6">
        <f t="shared" si="18"/>
        <v>0.55419054808793411</v>
      </c>
      <c r="Q75" s="10">
        <f t="shared" si="19"/>
        <v>1.154563641849863E-2</v>
      </c>
      <c r="R75" s="10">
        <f t="shared" si="20"/>
        <v>5.5765609812803228E-2</v>
      </c>
      <c r="S75" s="10">
        <f t="shared" si="21"/>
        <v>6.7311246231301858E-2</v>
      </c>
    </row>
    <row r="76" spans="1:19" x14ac:dyDescent="0.25">
      <c r="A76" s="5" t="s">
        <v>8</v>
      </c>
      <c r="B76" s="5" t="s">
        <v>329</v>
      </c>
      <c r="C76" s="5" t="s">
        <v>27</v>
      </c>
      <c r="D76" s="5" t="s">
        <v>385</v>
      </c>
      <c r="E76" s="5" t="s">
        <v>387</v>
      </c>
      <c r="F76" s="5" t="s">
        <v>52</v>
      </c>
      <c r="G76" s="5" t="s">
        <v>394</v>
      </c>
      <c r="H76" s="5" t="s">
        <v>56</v>
      </c>
      <c r="I76" s="5" t="s">
        <v>94</v>
      </c>
      <c r="J76" s="15">
        <v>3680</v>
      </c>
      <c r="K76" s="7">
        <v>35.5</v>
      </c>
      <c r="L76" s="7">
        <f t="shared" si="16"/>
        <v>103.66197183098592</v>
      </c>
      <c r="M76" s="5" t="s">
        <v>10</v>
      </c>
      <c r="N76" s="5">
        <v>4</v>
      </c>
      <c r="O76" s="6">
        <f t="shared" si="17"/>
        <v>24.715350128942671</v>
      </c>
      <c r="P76" s="6">
        <f t="shared" si="18"/>
        <v>2.5703964134100374</v>
      </c>
      <c r="Q76" s="10">
        <f t="shared" si="19"/>
        <v>5.3549925279375778E-2</v>
      </c>
      <c r="R76" s="10">
        <f t="shared" si="20"/>
        <v>0.17624718927922817</v>
      </c>
      <c r="S76" s="10">
        <f t="shared" si="21"/>
        <v>0.22979711455860394</v>
      </c>
    </row>
    <row r="77" spans="1:19" x14ac:dyDescent="0.25">
      <c r="A77" s="5" t="s">
        <v>22</v>
      </c>
      <c r="B77" s="5" t="s">
        <v>63</v>
      </c>
      <c r="C77" s="5" t="s">
        <v>27</v>
      </c>
      <c r="D77" s="5" t="s">
        <v>385</v>
      </c>
      <c r="E77" s="5" t="s">
        <v>387</v>
      </c>
      <c r="F77" s="5" t="s">
        <v>52</v>
      </c>
      <c r="G77" s="5" t="s">
        <v>394</v>
      </c>
      <c r="H77" s="5" t="s">
        <v>56</v>
      </c>
      <c r="I77" s="5" t="s">
        <v>151</v>
      </c>
      <c r="J77" s="15">
        <v>3150</v>
      </c>
      <c r="K77" s="7">
        <v>32.5</v>
      </c>
      <c r="L77" s="7">
        <f t="shared" si="16"/>
        <v>96.92307692307692</v>
      </c>
      <c r="M77" s="5" t="s">
        <v>10</v>
      </c>
      <c r="N77" s="5">
        <v>4</v>
      </c>
      <c r="O77" s="6">
        <f t="shared" si="17"/>
        <v>18.494600591715976</v>
      </c>
      <c r="P77" s="6">
        <f t="shared" si="18"/>
        <v>1.9234384615384612</v>
      </c>
      <c r="Q77" s="10">
        <f t="shared" si="19"/>
        <v>4.0071634615384613E-2</v>
      </c>
      <c r="R77" s="10">
        <f t="shared" si="20"/>
        <v>0.14180150554274765</v>
      </c>
      <c r="S77" s="10">
        <f t="shared" si="21"/>
        <v>0.18187314015813227</v>
      </c>
    </row>
    <row r="78" spans="1:19" x14ac:dyDescent="0.25">
      <c r="A78" s="5" t="s">
        <v>8</v>
      </c>
      <c r="B78" s="5" t="s">
        <v>217</v>
      </c>
      <c r="C78" s="5" t="s">
        <v>27</v>
      </c>
      <c r="D78" s="5" t="s">
        <v>385</v>
      </c>
      <c r="E78" s="5" t="s">
        <v>387</v>
      </c>
      <c r="F78" s="5" t="s">
        <v>52</v>
      </c>
      <c r="G78" s="5" t="s">
        <v>394</v>
      </c>
      <c r="H78" s="5" t="s">
        <v>56</v>
      </c>
      <c r="I78" s="5" t="s">
        <v>151</v>
      </c>
      <c r="J78" s="15">
        <v>3100</v>
      </c>
      <c r="K78" s="7">
        <v>34.1</v>
      </c>
      <c r="L78" s="7">
        <f t="shared" si="16"/>
        <v>90.909090909090907</v>
      </c>
      <c r="M78" s="5" t="s">
        <v>10</v>
      </c>
      <c r="N78" s="5">
        <v>4</v>
      </c>
      <c r="O78" s="6">
        <f t="shared" si="17"/>
        <v>16.012396694214875</v>
      </c>
      <c r="P78" s="6">
        <f t="shared" si="18"/>
        <v>1.6652892561983468</v>
      </c>
      <c r="Q78" s="10">
        <f t="shared" si="19"/>
        <v>3.4693526170798898E-2</v>
      </c>
      <c r="R78" s="10">
        <f t="shared" si="20"/>
        <v>0.12727390813293155</v>
      </c>
      <c r="S78" s="10">
        <f t="shared" si="21"/>
        <v>0.16196743430373045</v>
      </c>
    </row>
    <row r="79" spans="1:19" x14ac:dyDescent="0.25">
      <c r="A79" s="5" t="s">
        <v>22</v>
      </c>
      <c r="B79" s="5" t="s">
        <v>63</v>
      </c>
      <c r="C79" s="5" t="s">
        <v>27</v>
      </c>
      <c r="D79" s="5" t="s">
        <v>385</v>
      </c>
      <c r="E79" s="5" t="s">
        <v>387</v>
      </c>
      <c r="F79" s="5" t="s">
        <v>52</v>
      </c>
      <c r="G79" s="5" t="s">
        <v>394</v>
      </c>
      <c r="H79" s="5" t="s">
        <v>106</v>
      </c>
      <c r="I79" s="5" t="s">
        <v>107</v>
      </c>
      <c r="J79" s="15">
        <v>1025</v>
      </c>
      <c r="K79" s="7">
        <v>23.5</v>
      </c>
      <c r="L79" s="7">
        <f t="shared" si="16"/>
        <v>43.617021276595743</v>
      </c>
      <c r="M79" s="5" t="s">
        <v>10</v>
      </c>
      <c r="N79" s="5">
        <v>4</v>
      </c>
      <c r="O79" s="6">
        <f t="shared" si="17"/>
        <v>1.2187535366681754</v>
      </c>
      <c r="P79" s="6">
        <f t="shared" si="18"/>
        <v>0.12675036781349025</v>
      </c>
      <c r="Q79" s="10">
        <f t="shared" si="19"/>
        <v>2.640632662781047E-3</v>
      </c>
      <c r="R79" s="10">
        <f t="shared" si="20"/>
        <v>1.8443105096462079E-2</v>
      </c>
      <c r="S79" s="10">
        <f t="shared" si="21"/>
        <v>2.1083737759243125E-2</v>
      </c>
    </row>
    <row r="80" spans="1:19" x14ac:dyDescent="0.25">
      <c r="A80" s="5" t="s">
        <v>8</v>
      </c>
      <c r="B80" s="5" t="s">
        <v>154</v>
      </c>
      <c r="C80" s="5" t="s">
        <v>27</v>
      </c>
      <c r="D80" s="5" t="s">
        <v>385</v>
      </c>
      <c r="E80" s="5" t="s">
        <v>387</v>
      </c>
      <c r="F80" s="5" t="s">
        <v>52</v>
      </c>
      <c r="G80" s="5" t="s">
        <v>394</v>
      </c>
      <c r="H80" s="5" t="s">
        <v>108</v>
      </c>
      <c r="I80" s="5" t="s">
        <v>155</v>
      </c>
      <c r="J80" s="15">
        <v>1570</v>
      </c>
      <c r="K80" s="7">
        <v>32.5</v>
      </c>
      <c r="L80" s="7">
        <f t="shared" si="16"/>
        <v>48.307692307692307</v>
      </c>
      <c r="M80" s="5" t="s">
        <v>10</v>
      </c>
      <c r="N80" s="5">
        <v>4</v>
      </c>
      <c r="O80" s="6">
        <f t="shared" si="17"/>
        <v>2.2898775147928991</v>
      </c>
      <c r="P80" s="6">
        <f t="shared" si="18"/>
        <v>0.2381472615384615</v>
      </c>
      <c r="Q80" s="10">
        <f t="shared" si="19"/>
        <v>4.9614012820512815E-3</v>
      </c>
      <c r="R80" s="10">
        <f t="shared" si="20"/>
        <v>2.9597587543075777E-2</v>
      </c>
      <c r="S80" s="10">
        <f t="shared" si="21"/>
        <v>3.4558988825127056E-2</v>
      </c>
    </row>
    <row r="81" spans="1:19" x14ac:dyDescent="0.25">
      <c r="J81" s="16">
        <f t="shared" ref="J81:S81" si="22">AVERAGE(J54:J80)</f>
        <v>2072.1111111111113</v>
      </c>
      <c r="K81" s="12">
        <f t="shared" si="22"/>
        <v>31.522222222222222</v>
      </c>
      <c r="L81" s="12">
        <f t="shared" si="22"/>
        <v>65.79507820065885</v>
      </c>
      <c r="M81" s="11" t="e">
        <f t="shared" si="22"/>
        <v>#DIV/0!</v>
      </c>
      <c r="N81" s="11">
        <f t="shared" si="22"/>
        <v>4</v>
      </c>
      <c r="O81" s="13">
        <f t="shared" si="22"/>
        <v>7.0412095006406732</v>
      </c>
      <c r="P81" s="13">
        <f t="shared" si="22"/>
        <v>0.73228578806662981</v>
      </c>
      <c r="Q81" s="14">
        <f t="shared" si="22"/>
        <v>1.5255953918054795E-2</v>
      </c>
      <c r="R81" s="14">
        <f t="shared" si="22"/>
        <v>6.455195216330202E-2</v>
      </c>
      <c r="S81" s="14">
        <f t="shared" si="22"/>
        <v>7.9807906081356808E-2</v>
      </c>
    </row>
    <row r="82" spans="1:19" x14ac:dyDescent="0.25">
      <c r="A82" s="5" t="s">
        <v>22</v>
      </c>
      <c r="B82" s="5" t="s">
        <v>63</v>
      </c>
      <c r="C82" s="5" t="s">
        <v>27</v>
      </c>
      <c r="D82" s="5" t="s">
        <v>385</v>
      </c>
      <c r="E82" s="5" t="s">
        <v>387</v>
      </c>
      <c r="F82" s="5" t="s">
        <v>112</v>
      </c>
      <c r="G82" s="5" t="s">
        <v>395</v>
      </c>
      <c r="H82" s="5" t="s">
        <v>131</v>
      </c>
      <c r="I82" s="5" t="s">
        <v>132</v>
      </c>
      <c r="J82" s="15">
        <v>1175</v>
      </c>
      <c r="K82" s="7">
        <v>40</v>
      </c>
      <c r="L82" s="7">
        <f t="shared" ref="L82:L92" si="23">J82/K82</f>
        <v>29.375</v>
      </c>
      <c r="M82" s="5" t="s">
        <v>10</v>
      </c>
      <c r="N82" s="5">
        <v>4</v>
      </c>
      <c r="O82" s="6">
        <f t="shared" ref="O82:O92" si="24">(J82*L82^2)/(1.6*10^6)</f>
        <v>0.63368530273437496</v>
      </c>
      <c r="P82" s="6">
        <f t="shared" ref="P82:P92" si="25">(0.104*J82*L82^2)/(1.6*10^6)</f>
        <v>6.5903271484374998E-2</v>
      </c>
      <c r="Q82" s="10">
        <f t="shared" ref="Q82:Q92" si="26">(0.104*O82)/(12*N82)</f>
        <v>1.3729848225911459E-3</v>
      </c>
      <c r="R82" s="10">
        <f t="shared" ref="R82:R92" si="27">0.0159*O82^0.75</f>
        <v>1.1292818553521496E-2</v>
      </c>
      <c r="S82" s="10">
        <f t="shared" ref="S82:S92" si="28">Q82+R82</f>
        <v>1.2665803376112641E-2</v>
      </c>
    </row>
    <row r="83" spans="1:19" x14ac:dyDescent="0.25">
      <c r="A83" s="5" t="s">
        <v>22</v>
      </c>
      <c r="B83" s="5" t="s">
        <v>63</v>
      </c>
      <c r="C83" s="5" t="s">
        <v>27</v>
      </c>
      <c r="D83" s="5" t="s">
        <v>385</v>
      </c>
      <c r="E83" s="5" t="s">
        <v>387</v>
      </c>
      <c r="F83" s="5" t="s">
        <v>112</v>
      </c>
      <c r="G83" s="5" t="s">
        <v>395</v>
      </c>
      <c r="H83" s="5" t="s">
        <v>129</v>
      </c>
      <c r="I83" s="5" t="s">
        <v>130</v>
      </c>
      <c r="J83" s="15">
        <v>2750</v>
      </c>
      <c r="K83" s="7">
        <v>41.5</v>
      </c>
      <c r="L83" s="7">
        <f t="shared" si="23"/>
        <v>66.265060240963862</v>
      </c>
      <c r="M83" s="5" t="s">
        <v>10</v>
      </c>
      <c r="N83" s="5">
        <v>4</v>
      </c>
      <c r="O83" s="6">
        <f t="shared" si="24"/>
        <v>7.5471312962694164</v>
      </c>
      <c r="P83" s="6">
        <f t="shared" si="25"/>
        <v>0.78490165481201923</v>
      </c>
      <c r="Q83" s="10">
        <f t="shared" si="26"/>
        <v>1.6352117808583734E-2</v>
      </c>
      <c r="R83" s="10">
        <f t="shared" si="27"/>
        <v>7.2399164332052277E-2</v>
      </c>
      <c r="S83" s="10">
        <f t="shared" si="28"/>
        <v>8.8751282140636018E-2</v>
      </c>
    </row>
    <row r="84" spans="1:19" x14ac:dyDescent="0.25">
      <c r="A84" s="5" t="s">
        <v>22</v>
      </c>
      <c r="B84" s="5" t="s">
        <v>63</v>
      </c>
      <c r="C84" s="5" t="s">
        <v>27</v>
      </c>
      <c r="D84" s="5" t="s">
        <v>385</v>
      </c>
      <c r="E84" s="5" t="s">
        <v>387</v>
      </c>
      <c r="F84" s="5" t="s">
        <v>112</v>
      </c>
      <c r="G84" s="5" t="s">
        <v>395</v>
      </c>
      <c r="H84" s="5" t="s">
        <v>123</v>
      </c>
      <c r="I84" s="5" t="s">
        <v>124</v>
      </c>
      <c r="J84" s="15">
        <v>1900</v>
      </c>
      <c r="K84" s="7">
        <v>31</v>
      </c>
      <c r="L84" s="7">
        <f t="shared" si="23"/>
        <v>61.29032258064516</v>
      </c>
      <c r="M84" s="5" t="s">
        <v>10</v>
      </c>
      <c r="N84" s="5">
        <v>4</v>
      </c>
      <c r="O84" s="6">
        <f t="shared" si="24"/>
        <v>4.4608480749219561</v>
      </c>
      <c r="P84" s="6">
        <f t="shared" si="25"/>
        <v>0.46392819979188343</v>
      </c>
      <c r="Q84" s="10">
        <f t="shared" si="26"/>
        <v>9.6651708289975709E-3</v>
      </c>
      <c r="R84" s="10">
        <f t="shared" si="27"/>
        <v>4.8804537187392021E-2</v>
      </c>
      <c r="S84" s="10">
        <f t="shared" si="28"/>
        <v>5.8469708016389593E-2</v>
      </c>
    </row>
    <row r="85" spans="1:19" x14ac:dyDescent="0.25">
      <c r="A85" s="5" t="s">
        <v>22</v>
      </c>
      <c r="B85" s="5" t="s">
        <v>63</v>
      </c>
      <c r="C85" s="5" t="s">
        <v>27</v>
      </c>
      <c r="D85" s="5" t="s">
        <v>385</v>
      </c>
      <c r="E85" s="5" t="s">
        <v>387</v>
      </c>
      <c r="F85" s="5" t="s">
        <v>112</v>
      </c>
      <c r="G85" s="5" t="s">
        <v>395</v>
      </c>
      <c r="H85" s="5" t="s">
        <v>127</v>
      </c>
      <c r="I85" s="5" t="s">
        <v>128</v>
      </c>
      <c r="J85" s="15">
        <v>2730</v>
      </c>
      <c r="K85" s="7">
        <v>35.5</v>
      </c>
      <c r="L85" s="7">
        <f t="shared" si="23"/>
        <v>76.901408450704224</v>
      </c>
      <c r="M85" s="5" t="s">
        <v>10</v>
      </c>
      <c r="N85" s="5">
        <v>4</v>
      </c>
      <c r="O85" s="6">
        <f t="shared" si="24"/>
        <v>10.09046667327911</v>
      </c>
      <c r="P85" s="6">
        <f t="shared" si="25"/>
        <v>1.0494085340210273</v>
      </c>
      <c r="Q85" s="10">
        <f t="shared" si="26"/>
        <v>2.1862677792104736E-2</v>
      </c>
      <c r="R85" s="10">
        <f t="shared" si="27"/>
        <v>9.0018249545225748E-2</v>
      </c>
      <c r="S85" s="10">
        <f t="shared" si="28"/>
        <v>0.11188092733733049</v>
      </c>
    </row>
    <row r="86" spans="1:19" x14ac:dyDescent="0.25">
      <c r="A86" s="5" t="s">
        <v>8</v>
      </c>
      <c r="B86" s="5" t="s">
        <v>333</v>
      </c>
      <c r="C86" s="5" t="s">
        <v>27</v>
      </c>
      <c r="D86" s="5" t="s">
        <v>385</v>
      </c>
      <c r="E86" s="5" t="s">
        <v>387</v>
      </c>
      <c r="F86" s="5" t="s">
        <v>112</v>
      </c>
      <c r="G86" s="5" t="s">
        <v>395</v>
      </c>
      <c r="H86" s="5" t="s">
        <v>127</v>
      </c>
      <c r="I86" s="5" t="s">
        <v>335</v>
      </c>
      <c r="J86" s="15">
        <v>2210</v>
      </c>
      <c r="K86" s="7">
        <v>28.6</v>
      </c>
      <c r="L86" s="7">
        <f t="shared" si="23"/>
        <v>77.272727272727266</v>
      </c>
      <c r="M86" s="5" t="s">
        <v>10</v>
      </c>
      <c r="N86" s="5">
        <v>4</v>
      </c>
      <c r="O86" s="6">
        <f t="shared" si="24"/>
        <v>8.2475464876033033</v>
      </c>
      <c r="P86" s="6">
        <f t="shared" si="25"/>
        <v>0.85774483471074359</v>
      </c>
      <c r="Q86" s="10">
        <f t="shared" si="26"/>
        <v>1.7869684056473822E-2</v>
      </c>
      <c r="R86" s="10">
        <f t="shared" si="27"/>
        <v>7.7382134205359915E-2</v>
      </c>
      <c r="S86" s="10">
        <f t="shared" si="28"/>
        <v>9.5251818261833737E-2</v>
      </c>
    </row>
    <row r="87" spans="1:19" x14ac:dyDescent="0.25">
      <c r="A87" s="5" t="s">
        <v>8</v>
      </c>
      <c r="B87" s="5" t="s">
        <v>239</v>
      </c>
      <c r="C87" s="5" t="s">
        <v>27</v>
      </c>
      <c r="D87" s="5" t="s">
        <v>385</v>
      </c>
      <c r="E87" s="5" t="s">
        <v>387</v>
      </c>
      <c r="F87" s="5" t="s">
        <v>112</v>
      </c>
      <c r="G87" s="5" t="s">
        <v>395</v>
      </c>
      <c r="H87" s="5" t="s">
        <v>127</v>
      </c>
      <c r="I87" s="5" t="s">
        <v>240</v>
      </c>
      <c r="J87" s="15">
        <v>2800</v>
      </c>
      <c r="K87" s="7">
        <v>34.299999999999997</v>
      </c>
      <c r="L87" s="7">
        <f t="shared" si="23"/>
        <v>81.632653061224502</v>
      </c>
      <c r="M87" s="5" t="s">
        <v>10</v>
      </c>
      <c r="N87" s="5">
        <v>4</v>
      </c>
      <c r="O87" s="6">
        <f t="shared" si="24"/>
        <v>11.661807580174932</v>
      </c>
      <c r="P87" s="6">
        <f t="shared" si="25"/>
        <v>1.2128279883381927</v>
      </c>
      <c r="Q87" s="10">
        <f t="shared" si="26"/>
        <v>2.5267249757045685E-2</v>
      </c>
      <c r="R87" s="10">
        <f t="shared" si="27"/>
        <v>0.10033940647782641</v>
      </c>
      <c r="S87" s="10">
        <f t="shared" si="28"/>
        <v>0.1256066562348721</v>
      </c>
    </row>
    <row r="88" spans="1:19" x14ac:dyDescent="0.25">
      <c r="A88" s="5" t="s">
        <v>8</v>
      </c>
      <c r="B88" s="5" t="s">
        <v>333</v>
      </c>
      <c r="C88" s="5" t="s">
        <v>27</v>
      </c>
      <c r="D88" s="5" t="s">
        <v>385</v>
      </c>
      <c r="E88" s="5" t="s">
        <v>387</v>
      </c>
      <c r="F88" s="5" t="s">
        <v>112</v>
      </c>
      <c r="G88" s="5" t="s">
        <v>395</v>
      </c>
      <c r="H88" s="5" t="s">
        <v>127</v>
      </c>
      <c r="I88" s="5" t="s">
        <v>240</v>
      </c>
      <c r="J88" s="15">
        <v>2630</v>
      </c>
      <c r="K88" s="7">
        <v>31.3</v>
      </c>
      <c r="L88" s="7">
        <f t="shared" si="23"/>
        <v>84.025559105431313</v>
      </c>
      <c r="M88" s="5" t="s">
        <v>10</v>
      </c>
      <c r="N88" s="5">
        <v>4</v>
      </c>
      <c r="O88" s="6">
        <f t="shared" si="24"/>
        <v>11.60535922077392</v>
      </c>
      <c r="P88" s="6">
        <f t="shared" si="25"/>
        <v>1.2069573589604874</v>
      </c>
      <c r="Q88" s="10">
        <f t="shared" si="26"/>
        <v>2.5144944978343492E-2</v>
      </c>
      <c r="R88" s="10">
        <f t="shared" si="27"/>
        <v>9.9974919960367822E-2</v>
      </c>
      <c r="S88" s="10">
        <f t="shared" si="28"/>
        <v>0.1251198649387113</v>
      </c>
    </row>
    <row r="89" spans="1:19" x14ac:dyDescent="0.25">
      <c r="A89" s="5" t="s">
        <v>8</v>
      </c>
      <c r="B89" s="5" t="s">
        <v>281</v>
      </c>
      <c r="C89" s="5" t="s">
        <v>27</v>
      </c>
      <c r="D89" s="5" t="s">
        <v>385</v>
      </c>
      <c r="E89" s="5" t="s">
        <v>387</v>
      </c>
      <c r="F89" s="5" t="s">
        <v>112</v>
      </c>
      <c r="G89" s="5" t="s">
        <v>395</v>
      </c>
      <c r="H89" s="5" t="s">
        <v>127</v>
      </c>
      <c r="I89" s="5" t="s">
        <v>283</v>
      </c>
      <c r="J89" s="15">
        <v>2700</v>
      </c>
      <c r="K89" s="7">
        <v>35.5</v>
      </c>
      <c r="L89" s="7">
        <f t="shared" si="23"/>
        <v>76.056338028169009</v>
      </c>
      <c r="M89" s="5" t="s">
        <v>10</v>
      </c>
      <c r="N89" s="5">
        <v>4</v>
      </c>
      <c r="O89" s="6">
        <f t="shared" si="24"/>
        <v>9.761456060305493</v>
      </c>
      <c r="P89" s="6">
        <f t="shared" si="25"/>
        <v>1.0151914302717713</v>
      </c>
      <c r="Q89" s="10">
        <f t="shared" si="26"/>
        <v>2.1149821463995234E-2</v>
      </c>
      <c r="R89" s="10">
        <f t="shared" si="27"/>
        <v>8.7807796146606665E-2</v>
      </c>
      <c r="S89" s="10">
        <f t="shared" si="28"/>
        <v>0.1089576176106019</v>
      </c>
    </row>
    <row r="90" spans="1:19" x14ac:dyDescent="0.25">
      <c r="A90" s="5" t="s">
        <v>8</v>
      </c>
      <c r="B90" s="5" t="s">
        <v>333</v>
      </c>
      <c r="C90" s="5" t="s">
        <v>27</v>
      </c>
      <c r="D90" s="5" t="s">
        <v>385</v>
      </c>
      <c r="E90" s="5" t="s">
        <v>387</v>
      </c>
      <c r="F90" s="5" t="s">
        <v>112</v>
      </c>
      <c r="G90" s="5" t="s">
        <v>395</v>
      </c>
      <c r="H90" s="5" t="s">
        <v>127</v>
      </c>
      <c r="I90" s="5" t="s">
        <v>334</v>
      </c>
      <c r="J90" s="15">
        <v>2470</v>
      </c>
      <c r="K90" s="7">
        <v>32.4</v>
      </c>
      <c r="L90" s="7">
        <f t="shared" si="23"/>
        <v>76.23456790123457</v>
      </c>
      <c r="M90" s="5" t="s">
        <v>10</v>
      </c>
      <c r="N90" s="5">
        <v>4</v>
      </c>
      <c r="O90" s="6">
        <f t="shared" si="24"/>
        <v>8.9718262983920134</v>
      </c>
      <c r="P90" s="6">
        <f t="shared" si="25"/>
        <v>0.93306993503276947</v>
      </c>
      <c r="Q90" s="10">
        <f t="shared" si="26"/>
        <v>1.9438956979849362E-2</v>
      </c>
      <c r="R90" s="10">
        <f t="shared" si="27"/>
        <v>8.2424774346458729E-2</v>
      </c>
      <c r="S90" s="10">
        <f t="shared" si="28"/>
        <v>0.10186373132630809</v>
      </c>
    </row>
    <row r="91" spans="1:19" x14ac:dyDescent="0.25">
      <c r="A91" s="5" t="s">
        <v>8</v>
      </c>
      <c r="B91" s="5" t="s">
        <v>156</v>
      </c>
      <c r="C91" s="5" t="s">
        <v>27</v>
      </c>
      <c r="D91" s="5" t="s">
        <v>385</v>
      </c>
      <c r="E91" s="5" t="s">
        <v>387</v>
      </c>
      <c r="F91" s="5" t="s">
        <v>112</v>
      </c>
      <c r="G91" s="5" t="s">
        <v>395</v>
      </c>
      <c r="H91" s="5" t="s">
        <v>127</v>
      </c>
      <c r="I91" s="5" t="s">
        <v>160</v>
      </c>
      <c r="J91" s="15">
        <v>2119</v>
      </c>
      <c r="K91" s="7">
        <v>36</v>
      </c>
      <c r="L91" s="7">
        <f t="shared" si="23"/>
        <v>58.861111111111114</v>
      </c>
      <c r="M91" s="5" t="s">
        <v>10</v>
      </c>
      <c r="N91" s="5">
        <v>4</v>
      </c>
      <c r="O91" s="6">
        <f t="shared" si="24"/>
        <v>4.5884698876350312</v>
      </c>
      <c r="P91" s="6">
        <f t="shared" si="25"/>
        <v>0.47720086831404318</v>
      </c>
      <c r="Q91" s="10">
        <f t="shared" si="26"/>
        <v>9.9416847565425674E-3</v>
      </c>
      <c r="R91" s="10">
        <f t="shared" si="27"/>
        <v>4.9848034494641785E-2</v>
      </c>
      <c r="S91" s="10">
        <f t="shared" si="28"/>
        <v>5.9789719251184356E-2</v>
      </c>
    </row>
    <row r="92" spans="1:19" x14ac:dyDescent="0.25">
      <c r="A92" s="5" t="s">
        <v>22</v>
      </c>
      <c r="B92" s="5" t="s">
        <v>63</v>
      </c>
      <c r="C92" s="5" t="s">
        <v>27</v>
      </c>
      <c r="D92" s="5" t="s">
        <v>385</v>
      </c>
      <c r="E92" s="5" t="s">
        <v>387</v>
      </c>
      <c r="F92" s="5" t="s">
        <v>112</v>
      </c>
      <c r="G92" s="5" t="s">
        <v>395</v>
      </c>
      <c r="H92" s="5" t="s">
        <v>125</v>
      </c>
      <c r="I92" s="5" t="s">
        <v>126</v>
      </c>
      <c r="J92" s="15">
        <v>1150</v>
      </c>
      <c r="K92" s="7">
        <v>22.5</v>
      </c>
      <c r="L92" s="7">
        <f t="shared" si="23"/>
        <v>51.111111111111114</v>
      </c>
      <c r="M92" s="5" t="s">
        <v>10</v>
      </c>
      <c r="N92" s="5">
        <v>4</v>
      </c>
      <c r="O92" s="6">
        <f t="shared" si="24"/>
        <v>1.8776234567901235</v>
      </c>
      <c r="P92" s="6">
        <f t="shared" si="25"/>
        <v>0.19527283950617286</v>
      </c>
      <c r="Q92" s="10">
        <f t="shared" si="26"/>
        <v>4.0681841563786009E-3</v>
      </c>
      <c r="R92" s="10">
        <f t="shared" si="27"/>
        <v>2.5503718193814025E-2</v>
      </c>
      <c r="S92" s="10">
        <f t="shared" si="28"/>
        <v>2.9571902350192626E-2</v>
      </c>
    </row>
    <row r="93" spans="1:19" x14ac:dyDescent="0.25">
      <c r="J93" s="16">
        <f>AVERAGE(J82:J92)</f>
        <v>2239.4545454545455</v>
      </c>
      <c r="K93" s="12">
        <f t="shared" ref="K93:S93" si="29">AVERAGE(K82:K92)</f>
        <v>33.509090909090908</v>
      </c>
      <c r="L93" s="12">
        <f t="shared" si="29"/>
        <v>67.184168987574722</v>
      </c>
      <c r="M93" s="11" t="e">
        <f t="shared" si="29"/>
        <v>#DIV/0!</v>
      </c>
      <c r="N93" s="11">
        <f t="shared" si="29"/>
        <v>4</v>
      </c>
      <c r="O93" s="13">
        <f t="shared" si="29"/>
        <v>7.2223836671708792</v>
      </c>
      <c r="P93" s="13">
        <f t="shared" si="29"/>
        <v>0.75112790138577123</v>
      </c>
      <c r="Q93" s="14">
        <f t="shared" si="29"/>
        <v>1.5648497945536907E-2</v>
      </c>
      <c r="R93" s="14">
        <f t="shared" si="29"/>
        <v>6.7799595767569734E-2</v>
      </c>
      <c r="S93" s="14">
        <f t="shared" si="29"/>
        <v>8.3448093713106616E-2</v>
      </c>
    </row>
    <row r="94" spans="1:19" x14ac:dyDescent="0.25">
      <c r="A94" s="5" t="s">
        <v>22</v>
      </c>
      <c r="B94" s="5" t="s">
        <v>63</v>
      </c>
      <c r="C94" s="5" t="s">
        <v>27</v>
      </c>
      <c r="D94" s="5" t="s">
        <v>385</v>
      </c>
      <c r="E94" s="5" t="s">
        <v>387</v>
      </c>
      <c r="F94" s="5" t="s">
        <v>112</v>
      </c>
      <c r="G94" s="5" t="s">
        <v>391</v>
      </c>
      <c r="H94" s="5" t="s">
        <v>117</v>
      </c>
      <c r="I94" s="5" t="s">
        <v>118</v>
      </c>
      <c r="J94" s="15">
        <v>570</v>
      </c>
      <c r="K94" s="7">
        <v>20</v>
      </c>
      <c r="L94" s="7">
        <f t="shared" ref="L94:L140" si="30">J94/K94</f>
        <v>28.5</v>
      </c>
      <c r="M94" s="5" t="s">
        <v>10</v>
      </c>
      <c r="N94" s="5">
        <v>4</v>
      </c>
      <c r="O94" s="6">
        <f t="shared" ref="O94:O140" si="31">(J94*L94^2)/(1.6*10^6)</f>
        <v>0.28936406250000002</v>
      </c>
      <c r="P94" s="6">
        <f t="shared" ref="P94:P140" si="32">(0.104*J94*L94^2)/(1.6*10^6)</f>
        <v>3.0093862499999995E-2</v>
      </c>
      <c r="Q94" s="10">
        <f t="shared" ref="Q94:Q140" si="33">(0.104*O94)/(12*N94)</f>
        <v>6.2695546875000008E-4</v>
      </c>
      <c r="R94" s="10">
        <f t="shared" ref="R94:R140" si="34">0.0159*O94^0.75</f>
        <v>6.2730762879062542E-3</v>
      </c>
      <c r="S94" s="10">
        <f t="shared" ref="S94:S140" si="35">Q94+R94</f>
        <v>6.9000317566562542E-3</v>
      </c>
    </row>
    <row r="95" spans="1:19" x14ac:dyDescent="0.25">
      <c r="A95" s="5" t="s">
        <v>22</v>
      </c>
      <c r="B95" s="5" t="s">
        <v>63</v>
      </c>
      <c r="C95" s="5" t="s">
        <v>27</v>
      </c>
      <c r="D95" s="5" t="s">
        <v>385</v>
      </c>
      <c r="E95" s="5" t="s">
        <v>387</v>
      </c>
      <c r="F95" s="5" t="s">
        <v>112</v>
      </c>
      <c r="G95" s="5" t="s">
        <v>391</v>
      </c>
      <c r="H95" s="5" t="s">
        <v>122</v>
      </c>
      <c r="I95" s="5" t="s">
        <v>19</v>
      </c>
      <c r="J95" s="15">
        <v>1200</v>
      </c>
      <c r="K95" s="7">
        <v>42</v>
      </c>
      <c r="L95" s="7">
        <f t="shared" si="30"/>
        <v>28.571428571428573</v>
      </c>
      <c r="M95" s="5" t="s">
        <v>10</v>
      </c>
      <c r="N95" s="5">
        <v>4</v>
      </c>
      <c r="O95" s="6">
        <f t="shared" si="31"/>
        <v>0.61224489795918369</v>
      </c>
      <c r="P95" s="6">
        <f t="shared" si="32"/>
        <v>6.3673469387755102E-2</v>
      </c>
      <c r="Q95" s="10">
        <f t="shared" si="33"/>
        <v>1.326530612244898E-3</v>
      </c>
      <c r="R95" s="10">
        <f t="shared" si="34"/>
        <v>1.1005024287086839E-2</v>
      </c>
      <c r="S95" s="10">
        <f t="shared" si="35"/>
        <v>1.2331554899331737E-2</v>
      </c>
    </row>
    <row r="96" spans="1:19" x14ac:dyDescent="0.25">
      <c r="A96" s="5" t="s">
        <v>22</v>
      </c>
      <c r="B96" s="5" t="s">
        <v>63</v>
      </c>
      <c r="C96" s="5" t="s">
        <v>27</v>
      </c>
      <c r="D96" s="5" t="s">
        <v>385</v>
      </c>
      <c r="E96" s="5" t="s">
        <v>387</v>
      </c>
      <c r="F96" s="5" t="s">
        <v>112</v>
      </c>
      <c r="G96" s="5" t="s">
        <v>391</v>
      </c>
      <c r="H96" s="5" t="s">
        <v>53</v>
      </c>
      <c r="I96" s="5" t="s">
        <v>143</v>
      </c>
      <c r="J96" s="15">
        <v>2360</v>
      </c>
      <c r="K96" s="7">
        <v>39.5</v>
      </c>
      <c r="L96" s="7">
        <f t="shared" si="30"/>
        <v>59.746835443037973</v>
      </c>
      <c r="M96" s="5" t="s">
        <v>10</v>
      </c>
      <c r="N96" s="5">
        <v>4</v>
      </c>
      <c r="O96" s="6">
        <f t="shared" si="31"/>
        <v>5.2652844095497517</v>
      </c>
      <c r="P96" s="6">
        <f t="shared" si="32"/>
        <v>0.54758957859317414</v>
      </c>
      <c r="Q96" s="10">
        <f t="shared" si="33"/>
        <v>1.1408116220691128E-2</v>
      </c>
      <c r="R96" s="10">
        <f t="shared" si="34"/>
        <v>5.5266695818139089E-2</v>
      </c>
      <c r="S96" s="10">
        <f t="shared" si="35"/>
        <v>6.6674812038830217E-2</v>
      </c>
    </row>
    <row r="97" spans="1:19" x14ac:dyDescent="0.25">
      <c r="A97" s="5" t="s">
        <v>8</v>
      </c>
      <c r="B97" s="5" t="s">
        <v>363</v>
      </c>
      <c r="C97" s="5" t="s">
        <v>27</v>
      </c>
      <c r="D97" s="5" t="s">
        <v>385</v>
      </c>
      <c r="E97" s="5" t="s">
        <v>387</v>
      </c>
      <c r="F97" s="5" t="s">
        <v>112</v>
      </c>
      <c r="G97" s="5" t="s">
        <v>391</v>
      </c>
      <c r="H97" s="5" t="s">
        <v>53</v>
      </c>
      <c r="I97" s="5" t="s">
        <v>167</v>
      </c>
      <c r="J97" s="15">
        <v>2300</v>
      </c>
      <c r="K97" s="7">
        <v>26.3</v>
      </c>
      <c r="L97" s="7">
        <f t="shared" si="30"/>
        <v>87.452471482889734</v>
      </c>
      <c r="M97" s="5" t="s">
        <v>10</v>
      </c>
      <c r="N97" s="5">
        <v>4</v>
      </c>
      <c r="O97" s="6">
        <f t="shared" si="31"/>
        <v>10.993906229669362</v>
      </c>
      <c r="P97" s="6">
        <f t="shared" si="32"/>
        <v>1.1433662478856135</v>
      </c>
      <c r="Q97" s="10">
        <f t="shared" si="33"/>
        <v>2.3820130164283613E-2</v>
      </c>
      <c r="R97" s="10">
        <f t="shared" si="34"/>
        <v>9.5997770223245141E-2</v>
      </c>
      <c r="S97" s="10">
        <f t="shared" si="35"/>
        <v>0.11981790038752875</v>
      </c>
    </row>
    <row r="98" spans="1:19" x14ac:dyDescent="0.25">
      <c r="A98" s="5" t="s">
        <v>8</v>
      </c>
      <c r="B98" s="5" t="s">
        <v>347</v>
      </c>
      <c r="C98" s="5" t="s">
        <v>27</v>
      </c>
      <c r="D98" s="5" t="s">
        <v>385</v>
      </c>
      <c r="E98" s="5" t="s">
        <v>387</v>
      </c>
      <c r="F98" s="5" t="s">
        <v>112</v>
      </c>
      <c r="G98" s="5" t="s">
        <v>391</v>
      </c>
      <c r="H98" s="5" t="s">
        <v>53</v>
      </c>
      <c r="I98" s="5" t="s">
        <v>348</v>
      </c>
      <c r="J98" s="15">
        <v>1750</v>
      </c>
      <c r="K98" s="7">
        <v>38</v>
      </c>
      <c r="L98" s="7">
        <f t="shared" si="30"/>
        <v>46.05263157894737</v>
      </c>
      <c r="M98" s="5" t="s">
        <v>10</v>
      </c>
      <c r="N98" s="5">
        <v>4</v>
      </c>
      <c r="O98" s="6">
        <f t="shared" si="31"/>
        <v>2.3196740824099722</v>
      </c>
      <c r="P98" s="6">
        <f t="shared" si="32"/>
        <v>0.24124610457063711</v>
      </c>
      <c r="Q98" s="10">
        <f t="shared" si="33"/>
        <v>5.0259605118882734E-3</v>
      </c>
      <c r="R98" s="10">
        <f t="shared" si="34"/>
        <v>2.988596970978951E-2</v>
      </c>
      <c r="S98" s="10">
        <f t="shared" si="35"/>
        <v>3.4911930221677781E-2</v>
      </c>
    </row>
    <row r="99" spans="1:19" x14ac:dyDescent="0.25">
      <c r="A99" s="5" t="s">
        <v>8</v>
      </c>
      <c r="B99" s="5" t="s">
        <v>347</v>
      </c>
      <c r="C99" s="5" t="s">
        <v>27</v>
      </c>
      <c r="D99" s="5" t="s">
        <v>385</v>
      </c>
      <c r="E99" s="5" t="s">
        <v>387</v>
      </c>
      <c r="F99" s="5" t="s">
        <v>112</v>
      </c>
      <c r="G99" s="5" t="s">
        <v>391</v>
      </c>
      <c r="H99" s="5" t="s">
        <v>53</v>
      </c>
      <c r="I99" s="5" t="s">
        <v>348</v>
      </c>
      <c r="J99" s="15">
        <v>1450</v>
      </c>
      <c r="K99" s="7">
        <v>30</v>
      </c>
      <c r="L99" s="7">
        <f t="shared" si="30"/>
        <v>48.333333333333336</v>
      </c>
      <c r="M99" s="5" t="s">
        <v>10</v>
      </c>
      <c r="N99" s="5">
        <v>4</v>
      </c>
      <c r="O99" s="6">
        <f t="shared" si="31"/>
        <v>2.1171006944444448</v>
      </c>
      <c r="P99" s="6">
        <f t="shared" si="32"/>
        <v>0.22017847222222223</v>
      </c>
      <c r="Q99" s="10">
        <f t="shared" si="33"/>
        <v>4.5870515046296306E-3</v>
      </c>
      <c r="R99" s="10">
        <f t="shared" si="34"/>
        <v>2.7906364358137148E-2</v>
      </c>
      <c r="S99" s="10">
        <f t="shared" si="35"/>
        <v>3.2493415862766779E-2</v>
      </c>
    </row>
    <row r="100" spans="1:19" x14ac:dyDescent="0.25">
      <c r="A100" s="5" t="s">
        <v>8</v>
      </c>
      <c r="B100" s="5" t="s">
        <v>350</v>
      </c>
      <c r="C100" s="5" t="s">
        <v>27</v>
      </c>
      <c r="D100" s="5" t="s">
        <v>385</v>
      </c>
      <c r="E100" s="5" t="s">
        <v>387</v>
      </c>
      <c r="F100" s="5" t="s">
        <v>112</v>
      </c>
      <c r="G100" s="5" t="s">
        <v>391</v>
      </c>
      <c r="H100" s="5" t="s">
        <v>53</v>
      </c>
      <c r="I100" s="5" t="s">
        <v>349</v>
      </c>
      <c r="J100" s="15">
        <v>2650</v>
      </c>
      <c r="K100" s="7">
        <v>40</v>
      </c>
      <c r="L100" s="7">
        <f t="shared" si="30"/>
        <v>66.25</v>
      </c>
      <c r="M100" s="5" t="s">
        <v>10</v>
      </c>
      <c r="N100" s="5">
        <v>4</v>
      </c>
      <c r="O100" s="6">
        <f t="shared" si="31"/>
        <v>7.2693847656250004</v>
      </c>
      <c r="P100" s="6">
        <f t="shared" si="32"/>
        <v>0.75601601562499987</v>
      </c>
      <c r="Q100" s="10">
        <f t="shared" si="33"/>
        <v>1.5750333658854167E-2</v>
      </c>
      <c r="R100" s="10">
        <f t="shared" si="34"/>
        <v>7.0391523800442932E-2</v>
      </c>
      <c r="S100" s="10">
        <f t="shared" si="35"/>
        <v>8.6141857459297103E-2</v>
      </c>
    </row>
    <row r="101" spans="1:19" x14ac:dyDescent="0.25">
      <c r="A101" s="5" t="s">
        <v>8</v>
      </c>
      <c r="B101" s="5" t="s">
        <v>347</v>
      </c>
      <c r="C101" s="5" t="s">
        <v>27</v>
      </c>
      <c r="D101" s="5" t="s">
        <v>385</v>
      </c>
      <c r="E101" s="5" t="s">
        <v>387</v>
      </c>
      <c r="F101" s="5" t="s">
        <v>112</v>
      </c>
      <c r="G101" s="5" t="s">
        <v>391</v>
      </c>
      <c r="H101" s="5" t="s">
        <v>53</v>
      </c>
      <c r="I101" s="5" t="s">
        <v>349</v>
      </c>
      <c r="J101" s="15">
        <v>2500</v>
      </c>
      <c r="K101" s="7">
        <v>33.700000000000003</v>
      </c>
      <c r="L101" s="7">
        <f t="shared" si="30"/>
        <v>74.183976261127597</v>
      </c>
      <c r="M101" s="5" t="s">
        <v>10</v>
      </c>
      <c r="N101" s="5">
        <v>4</v>
      </c>
      <c r="O101" s="6">
        <f t="shared" si="31"/>
        <v>8.5988473967367849</v>
      </c>
      <c r="P101" s="6">
        <f t="shared" si="32"/>
        <v>0.89428012926062572</v>
      </c>
      <c r="Q101" s="10">
        <f t="shared" si="33"/>
        <v>1.8630836026263035E-2</v>
      </c>
      <c r="R101" s="10">
        <f t="shared" si="34"/>
        <v>7.9841245929260979E-2</v>
      </c>
      <c r="S101" s="10">
        <f t="shared" si="35"/>
        <v>9.847208195552401E-2</v>
      </c>
    </row>
    <row r="102" spans="1:19" x14ac:dyDescent="0.25">
      <c r="A102" s="5" t="s">
        <v>22</v>
      </c>
      <c r="B102" s="5" t="s">
        <v>63</v>
      </c>
      <c r="C102" s="5" t="s">
        <v>27</v>
      </c>
      <c r="D102" s="5" t="s">
        <v>385</v>
      </c>
      <c r="E102" s="5" t="s">
        <v>387</v>
      </c>
      <c r="F102" s="5" t="s">
        <v>112</v>
      </c>
      <c r="G102" s="5" t="s">
        <v>391</v>
      </c>
      <c r="H102" s="5" t="s">
        <v>53</v>
      </c>
      <c r="I102" s="5" t="s">
        <v>144</v>
      </c>
      <c r="J102" s="15">
        <v>3050</v>
      </c>
      <c r="K102" s="7">
        <v>41</v>
      </c>
      <c r="L102" s="7">
        <f t="shared" si="30"/>
        <v>74.390243902439025</v>
      </c>
      <c r="M102" s="5" t="s">
        <v>10</v>
      </c>
      <c r="N102" s="5">
        <v>4</v>
      </c>
      <c r="O102" s="6">
        <f t="shared" si="31"/>
        <v>10.549012864366448</v>
      </c>
      <c r="P102" s="6">
        <f t="shared" si="32"/>
        <v>1.0970973378941107</v>
      </c>
      <c r="Q102" s="10">
        <f t="shared" si="33"/>
        <v>2.2856194539460636E-2</v>
      </c>
      <c r="R102" s="10">
        <f t="shared" si="34"/>
        <v>9.3069202129934317E-2</v>
      </c>
      <c r="S102" s="10">
        <f t="shared" si="35"/>
        <v>0.11592539666939496</v>
      </c>
    </row>
    <row r="103" spans="1:19" x14ac:dyDescent="0.25">
      <c r="A103" s="5" t="s">
        <v>8</v>
      </c>
      <c r="B103" s="5" t="s">
        <v>378</v>
      </c>
      <c r="C103" s="5" t="s">
        <v>27</v>
      </c>
      <c r="D103" s="5" t="s">
        <v>385</v>
      </c>
      <c r="E103" s="5" t="s">
        <v>387</v>
      </c>
      <c r="F103" s="5" t="s">
        <v>112</v>
      </c>
      <c r="G103" s="5" t="s">
        <v>391</v>
      </c>
      <c r="H103" s="5" t="s">
        <v>53</v>
      </c>
      <c r="I103" s="5" t="s">
        <v>144</v>
      </c>
      <c r="J103" s="15">
        <v>3100</v>
      </c>
      <c r="K103" s="7">
        <v>41</v>
      </c>
      <c r="L103" s="7">
        <f t="shared" si="30"/>
        <v>75.609756097560975</v>
      </c>
      <c r="M103" s="5" t="s">
        <v>10</v>
      </c>
      <c r="N103" s="5">
        <v>4</v>
      </c>
      <c r="O103" s="6">
        <f t="shared" si="31"/>
        <v>11.076368233194525</v>
      </c>
      <c r="P103" s="6">
        <f t="shared" si="32"/>
        <v>1.1519422962522305</v>
      </c>
      <c r="Q103" s="10">
        <f t="shared" si="33"/>
        <v>2.3998797838588135E-2</v>
      </c>
      <c r="R103" s="10">
        <f t="shared" si="34"/>
        <v>9.6537303394980123E-2</v>
      </c>
      <c r="S103" s="10">
        <f t="shared" si="35"/>
        <v>0.12053610123356825</v>
      </c>
    </row>
    <row r="104" spans="1:19" x14ac:dyDescent="0.25">
      <c r="A104" s="5" t="s">
        <v>8</v>
      </c>
      <c r="B104" s="5" t="s">
        <v>156</v>
      </c>
      <c r="C104" s="5" t="s">
        <v>27</v>
      </c>
      <c r="D104" s="5" t="s">
        <v>385</v>
      </c>
      <c r="E104" s="5" t="s">
        <v>387</v>
      </c>
      <c r="F104" s="5" t="s">
        <v>112</v>
      </c>
      <c r="G104" s="5" t="s">
        <v>391</v>
      </c>
      <c r="H104" s="5" t="s">
        <v>53</v>
      </c>
      <c r="I104" s="5" t="s">
        <v>157</v>
      </c>
      <c r="J104" s="15">
        <v>1152</v>
      </c>
      <c r="K104" s="7">
        <v>33</v>
      </c>
      <c r="L104" s="7">
        <f t="shared" si="30"/>
        <v>34.909090909090907</v>
      </c>
      <c r="M104" s="5" t="s">
        <v>10</v>
      </c>
      <c r="N104" s="5">
        <v>4</v>
      </c>
      <c r="O104" s="6">
        <f t="shared" si="31"/>
        <v>0.87742413223140481</v>
      </c>
      <c r="P104" s="6">
        <f t="shared" si="32"/>
        <v>9.1252109752066102E-2</v>
      </c>
      <c r="Q104" s="10">
        <f t="shared" si="33"/>
        <v>1.9010856198347105E-3</v>
      </c>
      <c r="R104" s="10">
        <f t="shared" si="34"/>
        <v>1.4414656759212731E-2</v>
      </c>
      <c r="S104" s="10">
        <f t="shared" si="35"/>
        <v>1.631574237904744E-2</v>
      </c>
    </row>
    <row r="105" spans="1:19" x14ac:dyDescent="0.25">
      <c r="A105" s="5" t="s">
        <v>22</v>
      </c>
      <c r="B105" s="5" t="s">
        <v>63</v>
      </c>
      <c r="C105" s="5" t="s">
        <v>27</v>
      </c>
      <c r="D105" s="5" t="s">
        <v>385</v>
      </c>
      <c r="E105" s="5" t="s">
        <v>387</v>
      </c>
      <c r="F105" s="5" t="s">
        <v>112</v>
      </c>
      <c r="G105" s="5" t="s">
        <v>391</v>
      </c>
      <c r="H105" s="5" t="s">
        <v>53</v>
      </c>
      <c r="I105" s="5" t="s">
        <v>146</v>
      </c>
      <c r="J105" s="15">
        <v>1550</v>
      </c>
      <c r="K105" s="7">
        <v>29</v>
      </c>
      <c r="L105" s="7">
        <f t="shared" si="30"/>
        <v>53.448275862068968</v>
      </c>
      <c r="M105" s="5" t="s">
        <v>10</v>
      </c>
      <c r="N105" s="5">
        <v>4</v>
      </c>
      <c r="O105" s="6">
        <f t="shared" si="31"/>
        <v>2.7674457491082052</v>
      </c>
      <c r="P105" s="6">
        <f t="shared" si="32"/>
        <v>0.28781435790725329</v>
      </c>
      <c r="Q105" s="10">
        <f t="shared" si="33"/>
        <v>5.9961324564011117E-3</v>
      </c>
      <c r="R105" s="10">
        <f t="shared" si="34"/>
        <v>3.4115870826390664E-2</v>
      </c>
      <c r="S105" s="10">
        <f t="shared" si="35"/>
        <v>4.0112003282791776E-2</v>
      </c>
    </row>
    <row r="106" spans="1:19" x14ac:dyDescent="0.25">
      <c r="A106" s="5" t="s">
        <v>22</v>
      </c>
      <c r="B106" s="5" t="s">
        <v>63</v>
      </c>
      <c r="C106" s="5" t="s">
        <v>27</v>
      </c>
      <c r="D106" s="5" t="s">
        <v>385</v>
      </c>
      <c r="E106" s="5" t="s">
        <v>387</v>
      </c>
      <c r="F106" s="5" t="s">
        <v>112</v>
      </c>
      <c r="G106" s="5" t="s">
        <v>391</v>
      </c>
      <c r="H106" s="5" t="s">
        <v>53</v>
      </c>
      <c r="I106" s="5" t="s">
        <v>113</v>
      </c>
      <c r="J106" s="15">
        <v>2900</v>
      </c>
      <c r="K106" s="7">
        <v>40</v>
      </c>
      <c r="L106" s="7">
        <f t="shared" si="30"/>
        <v>72.5</v>
      </c>
      <c r="M106" s="5" t="s">
        <v>10</v>
      </c>
      <c r="N106" s="5">
        <v>4</v>
      </c>
      <c r="O106" s="6">
        <f t="shared" si="31"/>
        <v>9.5269531250000004</v>
      </c>
      <c r="P106" s="6">
        <f t="shared" si="32"/>
        <v>0.9908031249999999</v>
      </c>
      <c r="Q106" s="10">
        <f t="shared" si="33"/>
        <v>2.0641731770833335E-2</v>
      </c>
      <c r="R106" s="10">
        <f t="shared" si="34"/>
        <v>8.6220918616187289E-2</v>
      </c>
      <c r="S106" s="10">
        <f t="shared" si="35"/>
        <v>0.10686265038702063</v>
      </c>
    </row>
    <row r="107" spans="1:19" x14ac:dyDescent="0.25">
      <c r="A107" s="5" t="s">
        <v>22</v>
      </c>
      <c r="B107" s="5" t="s">
        <v>63</v>
      </c>
      <c r="C107" s="5" t="s">
        <v>27</v>
      </c>
      <c r="D107" s="5" t="s">
        <v>385</v>
      </c>
      <c r="E107" s="5" t="s">
        <v>387</v>
      </c>
      <c r="F107" s="5" t="s">
        <v>112</v>
      </c>
      <c r="G107" s="5" t="s">
        <v>391</v>
      </c>
      <c r="H107" s="5" t="s">
        <v>53</v>
      </c>
      <c r="I107" s="5" t="s">
        <v>145</v>
      </c>
      <c r="J107" s="15">
        <v>2100</v>
      </c>
      <c r="K107" s="7">
        <v>38.5</v>
      </c>
      <c r="L107" s="7">
        <f t="shared" si="30"/>
        <v>54.545454545454547</v>
      </c>
      <c r="M107" s="5" t="s">
        <v>10</v>
      </c>
      <c r="N107" s="5">
        <v>4</v>
      </c>
      <c r="O107" s="6">
        <f t="shared" si="31"/>
        <v>3.9049586776859506</v>
      </c>
      <c r="P107" s="6">
        <f t="shared" si="32"/>
        <v>0.40611570247933887</v>
      </c>
      <c r="Q107" s="10">
        <f t="shared" si="33"/>
        <v>8.4607438016528931E-3</v>
      </c>
      <c r="R107" s="10">
        <f t="shared" si="34"/>
        <v>4.4168175137387092E-2</v>
      </c>
      <c r="S107" s="10">
        <f t="shared" si="35"/>
        <v>5.2628918939039981E-2</v>
      </c>
    </row>
    <row r="108" spans="1:19" x14ac:dyDescent="0.25">
      <c r="A108" s="5" t="s">
        <v>8</v>
      </c>
      <c r="B108" s="5" t="s">
        <v>281</v>
      </c>
      <c r="C108" s="5" t="s">
        <v>27</v>
      </c>
      <c r="D108" s="5" t="s">
        <v>385</v>
      </c>
      <c r="E108" s="5" t="s">
        <v>387</v>
      </c>
      <c r="F108" s="5" t="s">
        <v>112</v>
      </c>
      <c r="G108" s="5" t="s">
        <v>391</v>
      </c>
      <c r="H108" s="5" t="s">
        <v>53</v>
      </c>
      <c r="I108" s="5" t="s">
        <v>282</v>
      </c>
      <c r="J108" s="15">
        <v>1700</v>
      </c>
      <c r="K108" s="7">
        <v>37</v>
      </c>
      <c r="L108" s="7">
        <f t="shared" si="30"/>
        <v>45.945945945945944</v>
      </c>
      <c r="M108" s="5" t="s">
        <v>10</v>
      </c>
      <c r="N108" s="5">
        <v>4</v>
      </c>
      <c r="O108" s="6">
        <f t="shared" si="31"/>
        <v>2.2429693206720231</v>
      </c>
      <c r="P108" s="6">
        <f t="shared" si="32"/>
        <v>0.23326880934989039</v>
      </c>
      <c r="Q108" s="10">
        <f t="shared" si="33"/>
        <v>4.8597668614560495E-3</v>
      </c>
      <c r="R108" s="10">
        <f t="shared" si="34"/>
        <v>2.9141682641278973E-2</v>
      </c>
      <c r="S108" s="10">
        <f t="shared" si="35"/>
        <v>3.4001449502735023E-2</v>
      </c>
    </row>
    <row r="109" spans="1:19" x14ac:dyDescent="0.25">
      <c r="A109" s="5" t="s">
        <v>8</v>
      </c>
      <c r="B109" s="5" t="s">
        <v>322</v>
      </c>
      <c r="C109" s="5" t="s">
        <v>27</v>
      </c>
      <c r="D109" s="5" t="s">
        <v>385</v>
      </c>
      <c r="E109" s="5" t="s">
        <v>387</v>
      </c>
      <c r="F109" s="5" t="s">
        <v>112</v>
      </c>
      <c r="G109" s="5" t="s">
        <v>391</v>
      </c>
      <c r="H109" s="5" t="s">
        <v>53</v>
      </c>
      <c r="I109" s="5" t="s">
        <v>282</v>
      </c>
      <c r="J109" s="15">
        <v>2100</v>
      </c>
      <c r="K109" s="7">
        <v>29</v>
      </c>
      <c r="L109" s="7">
        <f t="shared" si="30"/>
        <v>72.41379310344827</v>
      </c>
      <c r="M109" s="5" t="s">
        <v>10</v>
      </c>
      <c r="N109" s="5">
        <v>4</v>
      </c>
      <c r="O109" s="6">
        <f t="shared" si="31"/>
        <v>6.8824316290130785</v>
      </c>
      <c r="P109" s="6">
        <f t="shared" si="32"/>
        <v>0.71577288941736017</v>
      </c>
      <c r="Q109" s="10">
        <f t="shared" si="33"/>
        <v>1.4911935196195004E-2</v>
      </c>
      <c r="R109" s="10">
        <f t="shared" si="34"/>
        <v>6.7562164336175956E-2</v>
      </c>
      <c r="S109" s="10">
        <f t="shared" si="35"/>
        <v>8.2474099532370962E-2</v>
      </c>
    </row>
    <row r="110" spans="1:19" x14ac:dyDescent="0.25">
      <c r="A110" s="5" t="s">
        <v>8</v>
      </c>
      <c r="B110" s="5" t="s">
        <v>303</v>
      </c>
      <c r="C110" s="5" t="s">
        <v>27</v>
      </c>
      <c r="D110" s="5" t="s">
        <v>385</v>
      </c>
      <c r="E110" s="5" t="s">
        <v>387</v>
      </c>
      <c r="F110" s="5" t="s">
        <v>112</v>
      </c>
      <c r="G110" s="5" t="s">
        <v>391</v>
      </c>
      <c r="H110" s="5" t="s">
        <v>53</v>
      </c>
      <c r="I110" s="5" t="s">
        <v>306</v>
      </c>
      <c r="J110" s="15">
        <v>925</v>
      </c>
      <c r="K110" s="7">
        <v>25</v>
      </c>
      <c r="L110" s="7">
        <f t="shared" si="30"/>
        <v>37</v>
      </c>
      <c r="M110" s="5" t="s">
        <v>10</v>
      </c>
      <c r="N110" s="5">
        <v>4</v>
      </c>
      <c r="O110" s="6">
        <f t="shared" si="31"/>
        <v>0.79145312499999998</v>
      </c>
      <c r="P110" s="6">
        <f t="shared" si="32"/>
        <v>8.2311124999999999E-2</v>
      </c>
      <c r="Q110" s="10">
        <f t="shared" si="33"/>
        <v>1.7148151041666666E-3</v>
      </c>
      <c r="R110" s="10">
        <f t="shared" si="34"/>
        <v>1.3341849057898118E-2</v>
      </c>
      <c r="S110" s="10">
        <f t="shared" si="35"/>
        <v>1.5056664162064784E-2</v>
      </c>
    </row>
    <row r="111" spans="1:19" x14ac:dyDescent="0.25">
      <c r="A111" s="5" t="s">
        <v>8</v>
      </c>
      <c r="B111" s="5" t="s">
        <v>303</v>
      </c>
      <c r="C111" s="5" t="s">
        <v>27</v>
      </c>
      <c r="D111" s="5" t="s">
        <v>385</v>
      </c>
      <c r="E111" s="5" t="s">
        <v>387</v>
      </c>
      <c r="F111" s="5" t="s">
        <v>112</v>
      </c>
      <c r="G111" s="5" t="s">
        <v>391</v>
      </c>
      <c r="H111" s="5" t="s">
        <v>53</v>
      </c>
      <c r="I111" s="5" t="s">
        <v>305</v>
      </c>
      <c r="J111" s="15">
        <v>3250</v>
      </c>
      <c r="K111" s="7">
        <v>35.5</v>
      </c>
      <c r="L111" s="7">
        <f t="shared" si="30"/>
        <v>91.549295774647888</v>
      </c>
      <c r="M111" s="5" t="s">
        <v>10</v>
      </c>
      <c r="N111" s="5">
        <v>4</v>
      </c>
      <c r="O111" s="6">
        <f t="shared" si="31"/>
        <v>17.024461912318984</v>
      </c>
      <c r="P111" s="6">
        <f t="shared" si="32"/>
        <v>1.7705440388811744</v>
      </c>
      <c r="Q111" s="10">
        <f t="shared" si="33"/>
        <v>3.6886334143357798E-2</v>
      </c>
      <c r="R111" s="10">
        <f t="shared" si="34"/>
        <v>0.13326072446206286</v>
      </c>
      <c r="S111" s="10">
        <f t="shared" si="35"/>
        <v>0.17014705860542065</v>
      </c>
    </row>
    <row r="112" spans="1:19" x14ac:dyDescent="0.25">
      <c r="A112" s="5" t="s">
        <v>8</v>
      </c>
      <c r="B112" s="5" t="s">
        <v>303</v>
      </c>
      <c r="C112" s="5" t="s">
        <v>27</v>
      </c>
      <c r="D112" s="5" t="s">
        <v>385</v>
      </c>
      <c r="E112" s="5" t="s">
        <v>387</v>
      </c>
      <c r="F112" s="5" t="s">
        <v>112</v>
      </c>
      <c r="G112" s="5" t="s">
        <v>391</v>
      </c>
      <c r="H112" s="5" t="s">
        <v>53</v>
      </c>
      <c r="I112" s="5" t="s">
        <v>305</v>
      </c>
      <c r="J112" s="15">
        <v>2660</v>
      </c>
      <c r="K112" s="7">
        <v>33.5</v>
      </c>
      <c r="L112" s="7">
        <f t="shared" si="30"/>
        <v>79.402985074626869</v>
      </c>
      <c r="M112" s="5" t="s">
        <v>10</v>
      </c>
      <c r="N112" s="5">
        <v>4</v>
      </c>
      <c r="O112" s="6">
        <f t="shared" si="31"/>
        <v>10.481786589440857</v>
      </c>
      <c r="P112" s="6">
        <f t="shared" si="32"/>
        <v>1.0901058053018491</v>
      </c>
      <c r="Q112" s="10">
        <f t="shared" si="33"/>
        <v>2.2710537610455189E-2</v>
      </c>
      <c r="R112" s="10">
        <f t="shared" si="34"/>
        <v>9.2624016415838617E-2</v>
      </c>
      <c r="S112" s="10">
        <f t="shared" si="35"/>
        <v>0.11533455402629381</v>
      </c>
    </row>
    <row r="113" spans="1:19" x14ac:dyDescent="0.25">
      <c r="A113" s="5" t="s">
        <v>8</v>
      </c>
      <c r="B113" s="5" t="s">
        <v>330</v>
      </c>
      <c r="C113" s="5" t="s">
        <v>27</v>
      </c>
      <c r="D113" s="5" t="s">
        <v>385</v>
      </c>
      <c r="E113" s="5" t="s">
        <v>387</v>
      </c>
      <c r="F113" s="5" t="s">
        <v>112</v>
      </c>
      <c r="G113" s="5" t="s">
        <v>391</v>
      </c>
      <c r="H113" s="5" t="s">
        <v>53</v>
      </c>
      <c r="I113" s="5" t="s">
        <v>331</v>
      </c>
      <c r="J113" s="15">
        <v>3000</v>
      </c>
      <c r="K113" s="7">
        <v>44</v>
      </c>
      <c r="L113" s="7">
        <f t="shared" si="30"/>
        <v>68.181818181818187</v>
      </c>
      <c r="M113" s="5" t="s">
        <v>10</v>
      </c>
      <c r="N113" s="5">
        <v>4</v>
      </c>
      <c r="O113" s="6">
        <f t="shared" si="31"/>
        <v>8.7164256198347125</v>
      </c>
      <c r="P113" s="6">
        <f t="shared" si="32"/>
        <v>0.90650826446281008</v>
      </c>
      <c r="Q113" s="10">
        <f t="shared" si="33"/>
        <v>1.8885588842975209E-2</v>
      </c>
      <c r="R113" s="10">
        <f t="shared" si="34"/>
        <v>8.0658649416804964E-2</v>
      </c>
      <c r="S113" s="10">
        <f t="shared" si="35"/>
        <v>9.9544238259780177E-2</v>
      </c>
    </row>
    <row r="114" spans="1:19" x14ac:dyDescent="0.25">
      <c r="A114" s="5" t="s">
        <v>8</v>
      </c>
      <c r="B114" s="5" t="s">
        <v>330</v>
      </c>
      <c r="C114" s="5" t="s">
        <v>27</v>
      </c>
      <c r="D114" s="5" t="s">
        <v>385</v>
      </c>
      <c r="E114" s="5" t="s">
        <v>387</v>
      </c>
      <c r="F114" s="5" t="s">
        <v>112</v>
      </c>
      <c r="G114" s="5" t="s">
        <v>391</v>
      </c>
      <c r="H114" s="5" t="s">
        <v>53</v>
      </c>
      <c r="I114" s="5" t="s">
        <v>331</v>
      </c>
      <c r="J114" s="15">
        <v>2950</v>
      </c>
      <c r="K114" s="7">
        <v>38</v>
      </c>
      <c r="L114" s="7">
        <f t="shared" si="30"/>
        <v>77.631578947368425</v>
      </c>
      <c r="M114" s="5" t="s">
        <v>10</v>
      </c>
      <c r="N114" s="5">
        <v>4</v>
      </c>
      <c r="O114" s="6">
        <f t="shared" si="31"/>
        <v>11.111658154432133</v>
      </c>
      <c r="P114" s="6">
        <f t="shared" si="32"/>
        <v>1.155612448060942</v>
      </c>
      <c r="Q114" s="10">
        <f t="shared" si="33"/>
        <v>2.4075259334602955E-2</v>
      </c>
      <c r="R114" s="10">
        <f t="shared" si="34"/>
        <v>9.6767891534095082E-2</v>
      </c>
      <c r="S114" s="10">
        <f t="shared" si="35"/>
        <v>0.12084315086869804</v>
      </c>
    </row>
    <row r="115" spans="1:19" x14ac:dyDescent="0.25">
      <c r="A115" s="5" t="s">
        <v>8</v>
      </c>
      <c r="B115" s="5" t="s">
        <v>228</v>
      </c>
      <c r="C115" s="5" t="s">
        <v>27</v>
      </c>
      <c r="D115" s="5" t="s">
        <v>385</v>
      </c>
      <c r="E115" s="5" t="s">
        <v>387</v>
      </c>
      <c r="F115" s="5" t="s">
        <v>112</v>
      </c>
      <c r="G115" s="5" t="s">
        <v>391</v>
      </c>
      <c r="H115" s="5" t="s">
        <v>53</v>
      </c>
      <c r="I115" s="5" t="s">
        <v>230</v>
      </c>
      <c r="J115" s="15">
        <v>2500</v>
      </c>
      <c r="K115" s="7">
        <v>37</v>
      </c>
      <c r="L115" s="7">
        <f t="shared" si="30"/>
        <v>67.567567567567565</v>
      </c>
      <c r="M115" s="5" t="s">
        <v>10</v>
      </c>
      <c r="N115" s="5">
        <v>4</v>
      </c>
      <c r="O115" s="6">
        <f t="shared" si="31"/>
        <v>7.1334002921840742</v>
      </c>
      <c r="P115" s="6">
        <f t="shared" si="32"/>
        <v>0.74187363038714382</v>
      </c>
      <c r="Q115" s="10">
        <f t="shared" si="33"/>
        <v>1.5455700633065493E-2</v>
      </c>
      <c r="R115" s="10">
        <f t="shared" si="34"/>
        <v>6.9401614038345646E-2</v>
      </c>
      <c r="S115" s="10">
        <f t="shared" si="35"/>
        <v>8.4857314671411138E-2</v>
      </c>
    </row>
    <row r="116" spans="1:19" x14ac:dyDescent="0.25">
      <c r="A116" s="5" t="s">
        <v>8</v>
      </c>
      <c r="B116" s="5" t="s">
        <v>322</v>
      </c>
      <c r="C116" s="5" t="s">
        <v>27</v>
      </c>
      <c r="D116" s="5" t="s">
        <v>385</v>
      </c>
      <c r="E116" s="5" t="s">
        <v>387</v>
      </c>
      <c r="F116" s="5" t="s">
        <v>112</v>
      </c>
      <c r="G116" s="5" t="s">
        <v>391</v>
      </c>
      <c r="H116" s="5" t="s">
        <v>53</v>
      </c>
      <c r="I116" s="5" t="s">
        <v>19</v>
      </c>
      <c r="J116" s="15">
        <v>1300</v>
      </c>
      <c r="K116" s="7">
        <v>37</v>
      </c>
      <c r="L116" s="7">
        <f t="shared" si="30"/>
        <v>35.135135135135137</v>
      </c>
      <c r="M116" s="5" t="s">
        <v>10</v>
      </c>
      <c r="N116" s="5">
        <v>4</v>
      </c>
      <c r="O116" s="6">
        <f t="shared" si="31"/>
        <v>1.0030131482834186</v>
      </c>
      <c r="P116" s="6">
        <f t="shared" si="32"/>
        <v>0.10431336742147553</v>
      </c>
      <c r="Q116" s="10">
        <f t="shared" si="33"/>
        <v>2.1731951546140734E-3</v>
      </c>
      <c r="R116" s="10">
        <f t="shared" si="34"/>
        <v>1.5935918276764362E-2</v>
      </c>
      <c r="S116" s="10">
        <f t="shared" si="35"/>
        <v>1.8109113431378436E-2</v>
      </c>
    </row>
    <row r="117" spans="1:19" x14ac:dyDescent="0.25">
      <c r="A117" s="5" t="s">
        <v>22</v>
      </c>
      <c r="B117" s="5" t="s">
        <v>26</v>
      </c>
      <c r="C117" s="5" t="s">
        <v>27</v>
      </c>
      <c r="D117" s="5" t="s">
        <v>385</v>
      </c>
      <c r="E117" s="5" t="s">
        <v>387</v>
      </c>
      <c r="F117" s="5" t="s">
        <v>112</v>
      </c>
      <c r="G117" s="5" t="s">
        <v>391</v>
      </c>
      <c r="H117" s="5" t="s">
        <v>53</v>
      </c>
      <c r="I117" s="5" t="s">
        <v>54</v>
      </c>
      <c r="J117" s="15">
        <v>4200</v>
      </c>
      <c r="K117" s="7">
        <v>38</v>
      </c>
      <c r="L117" s="7">
        <f t="shared" si="30"/>
        <v>110.52631578947368</v>
      </c>
      <c r="M117" s="5" t="s">
        <v>10</v>
      </c>
      <c r="N117" s="5">
        <v>4</v>
      </c>
      <c r="O117" s="6">
        <f t="shared" si="31"/>
        <v>32.067174515235457</v>
      </c>
      <c r="P117" s="6">
        <f t="shared" si="32"/>
        <v>3.3349861495844868</v>
      </c>
      <c r="Q117" s="10">
        <f t="shared" si="33"/>
        <v>6.9478878116343484E-2</v>
      </c>
      <c r="R117" s="10">
        <f t="shared" si="34"/>
        <v>0.21426076233960867</v>
      </c>
      <c r="S117" s="10">
        <f t="shared" si="35"/>
        <v>0.28373964045595212</v>
      </c>
    </row>
    <row r="118" spans="1:19" x14ac:dyDescent="0.25">
      <c r="A118" s="5" t="s">
        <v>8</v>
      </c>
      <c r="B118" s="5" t="s">
        <v>284</v>
      </c>
      <c r="C118" s="5" t="s">
        <v>27</v>
      </c>
      <c r="D118" s="5" t="s">
        <v>385</v>
      </c>
      <c r="E118" s="5" t="s">
        <v>387</v>
      </c>
      <c r="F118" s="5" t="s">
        <v>112</v>
      </c>
      <c r="G118" s="5" t="s">
        <v>391</v>
      </c>
      <c r="H118" s="5" t="s">
        <v>53</v>
      </c>
      <c r="I118" s="5" t="s">
        <v>285</v>
      </c>
      <c r="J118" s="15">
        <v>3400</v>
      </c>
      <c r="K118" s="7">
        <v>46.8</v>
      </c>
      <c r="L118" s="7">
        <f t="shared" si="30"/>
        <v>72.649572649572647</v>
      </c>
      <c r="M118" s="5" t="s">
        <v>10</v>
      </c>
      <c r="N118" s="5">
        <v>4</v>
      </c>
      <c r="O118" s="6">
        <f t="shared" si="31"/>
        <v>11.21566586310176</v>
      </c>
      <c r="P118" s="6">
        <f t="shared" si="32"/>
        <v>1.1664292497625828</v>
      </c>
      <c r="Q118" s="10">
        <f t="shared" si="33"/>
        <v>2.4300609370053811E-2</v>
      </c>
      <c r="R118" s="10">
        <f t="shared" si="34"/>
        <v>9.7446427289205384E-2</v>
      </c>
      <c r="S118" s="10">
        <f t="shared" si="35"/>
        <v>0.12174703665925919</v>
      </c>
    </row>
    <row r="119" spans="1:19" x14ac:dyDescent="0.25">
      <c r="A119" s="5" t="s">
        <v>8</v>
      </c>
      <c r="B119" s="5" t="s">
        <v>303</v>
      </c>
      <c r="C119" s="5" t="s">
        <v>27</v>
      </c>
      <c r="D119" s="5" t="s">
        <v>385</v>
      </c>
      <c r="E119" s="5" t="s">
        <v>387</v>
      </c>
      <c r="F119" s="5" t="s">
        <v>112</v>
      </c>
      <c r="G119" s="5" t="s">
        <v>391</v>
      </c>
      <c r="H119" s="5" t="s">
        <v>53</v>
      </c>
      <c r="I119" s="5" t="s">
        <v>304</v>
      </c>
      <c r="J119" s="15">
        <v>2510</v>
      </c>
      <c r="K119" s="7">
        <v>32.5</v>
      </c>
      <c r="L119" s="7">
        <f t="shared" si="30"/>
        <v>77.230769230769226</v>
      </c>
      <c r="M119" s="5" t="s">
        <v>10</v>
      </c>
      <c r="N119" s="5">
        <v>4</v>
      </c>
      <c r="O119" s="6">
        <f t="shared" si="31"/>
        <v>9.3569532544378688</v>
      </c>
      <c r="P119" s="6">
        <f t="shared" si="32"/>
        <v>0.9731231384615382</v>
      </c>
      <c r="Q119" s="10">
        <f t="shared" si="33"/>
        <v>2.0273398717948716E-2</v>
      </c>
      <c r="R119" s="10">
        <f t="shared" si="34"/>
        <v>8.5064424704301325E-2</v>
      </c>
      <c r="S119" s="10">
        <f t="shared" si="35"/>
        <v>0.10533782342225004</v>
      </c>
    </row>
    <row r="120" spans="1:19" x14ac:dyDescent="0.25">
      <c r="A120" s="5" t="s">
        <v>8</v>
      </c>
      <c r="B120" s="5" t="s">
        <v>165</v>
      </c>
      <c r="C120" s="5" t="s">
        <v>27</v>
      </c>
      <c r="D120" s="5" t="s">
        <v>385</v>
      </c>
      <c r="E120" s="5" t="s">
        <v>387</v>
      </c>
      <c r="F120" s="5" t="s">
        <v>112</v>
      </c>
      <c r="G120" s="5" t="s">
        <v>391</v>
      </c>
      <c r="H120" s="5" t="s">
        <v>53</v>
      </c>
      <c r="I120" s="5" t="s">
        <v>168</v>
      </c>
      <c r="J120" s="15">
        <v>1120</v>
      </c>
      <c r="K120" s="7">
        <v>23.5</v>
      </c>
      <c r="L120" s="7">
        <f t="shared" si="30"/>
        <v>47.659574468085104</v>
      </c>
      <c r="M120" s="5" t="s">
        <v>10</v>
      </c>
      <c r="N120" s="5">
        <v>4</v>
      </c>
      <c r="O120" s="6">
        <f t="shared" si="31"/>
        <v>1.5900045269352645</v>
      </c>
      <c r="P120" s="6">
        <f t="shared" si="32"/>
        <v>0.16536047080126751</v>
      </c>
      <c r="Q120" s="10">
        <f t="shared" si="33"/>
        <v>3.4450098083597396E-3</v>
      </c>
      <c r="R120" s="10">
        <f t="shared" si="34"/>
        <v>2.2513649207854137E-2</v>
      </c>
      <c r="S120" s="10">
        <f t="shared" si="35"/>
        <v>2.5958659016213876E-2</v>
      </c>
    </row>
    <row r="121" spans="1:19" x14ac:dyDescent="0.25">
      <c r="A121" s="5" t="s">
        <v>8</v>
      </c>
      <c r="B121" s="5" t="s">
        <v>217</v>
      </c>
      <c r="C121" s="5" t="s">
        <v>27</v>
      </c>
      <c r="D121" s="5" t="s">
        <v>385</v>
      </c>
      <c r="E121" s="5" t="s">
        <v>387</v>
      </c>
      <c r="F121" s="5" t="s">
        <v>112</v>
      </c>
      <c r="G121" s="5" t="s">
        <v>391</v>
      </c>
      <c r="H121" s="5" t="s">
        <v>53</v>
      </c>
      <c r="I121" s="5" t="s">
        <v>17</v>
      </c>
      <c r="J121" s="15">
        <v>2800</v>
      </c>
      <c r="K121" s="7">
        <v>33</v>
      </c>
      <c r="L121" s="7">
        <f t="shared" si="30"/>
        <v>84.848484848484844</v>
      </c>
      <c r="M121" s="5" t="s">
        <v>10</v>
      </c>
      <c r="N121" s="5">
        <v>4</v>
      </c>
      <c r="O121" s="6">
        <f t="shared" si="31"/>
        <v>12.598714416896232</v>
      </c>
      <c r="P121" s="6">
        <f t="shared" si="32"/>
        <v>1.3102662993572083</v>
      </c>
      <c r="Q121" s="10">
        <f t="shared" si="33"/>
        <v>2.7297214569941834E-2</v>
      </c>
      <c r="R121" s="10">
        <f t="shared" si="34"/>
        <v>0.10632656850166688</v>
      </c>
      <c r="S121" s="10">
        <f t="shared" si="35"/>
        <v>0.13362378307160871</v>
      </c>
    </row>
    <row r="122" spans="1:19" x14ac:dyDescent="0.25">
      <c r="A122" s="5" t="s">
        <v>22</v>
      </c>
      <c r="B122" s="5" t="s">
        <v>63</v>
      </c>
      <c r="C122" s="5" t="s">
        <v>27</v>
      </c>
      <c r="D122" s="5" t="s">
        <v>385</v>
      </c>
      <c r="E122" s="5" t="s">
        <v>387</v>
      </c>
      <c r="F122" s="5" t="s">
        <v>112</v>
      </c>
      <c r="G122" s="5" t="s">
        <v>391</v>
      </c>
      <c r="H122" s="5" t="s">
        <v>53</v>
      </c>
      <c r="I122" s="5" t="s">
        <v>147</v>
      </c>
      <c r="J122" s="15">
        <v>2150</v>
      </c>
      <c r="K122" s="7">
        <v>34.5</v>
      </c>
      <c r="L122" s="7">
        <f t="shared" si="30"/>
        <v>62.318840579710148</v>
      </c>
      <c r="M122" s="5" t="s">
        <v>10</v>
      </c>
      <c r="N122" s="5">
        <v>4</v>
      </c>
      <c r="O122" s="6">
        <f t="shared" si="31"/>
        <v>5.2186384162990977</v>
      </c>
      <c r="P122" s="6">
        <f t="shared" si="32"/>
        <v>0.54273839529510615</v>
      </c>
      <c r="Q122" s="10">
        <f t="shared" si="33"/>
        <v>1.1307049901981378E-2</v>
      </c>
      <c r="R122" s="10">
        <f t="shared" si="34"/>
        <v>5.489907531451893E-2</v>
      </c>
      <c r="S122" s="10">
        <f t="shared" si="35"/>
        <v>6.6206125216500308E-2</v>
      </c>
    </row>
    <row r="123" spans="1:19" x14ac:dyDescent="0.25">
      <c r="A123" s="5" t="s">
        <v>8</v>
      </c>
      <c r="B123" s="5" t="s">
        <v>228</v>
      </c>
      <c r="C123" s="5" t="s">
        <v>27</v>
      </c>
      <c r="D123" s="5" t="s">
        <v>385</v>
      </c>
      <c r="E123" s="5" t="s">
        <v>387</v>
      </c>
      <c r="F123" s="5" t="s">
        <v>112</v>
      </c>
      <c r="G123" s="5" t="s">
        <v>391</v>
      </c>
      <c r="H123" s="5" t="s">
        <v>53</v>
      </c>
      <c r="I123" s="5" t="s">
        <v>229</v>
      </c>
      <c r="J123" s="15">
        <v>2500</v>
      </c>
      <c r="K123" s="7">
        <v>35</v>
      </c>
      <c r="L123" s="7">
        <f t="shared" si="30"/>
        <v>71.428571428571431</v>
      </c>
      <c r="M123" s="5" t="s">
        <v>10</v>
      </c>
      <c r="N123" s="5">
        <v>4</v>
      </c>
      <c r="O123" s="6">
        <f t="shared" si="31"/>
        <v>7.9719387755102051</v>
      </c>
      <c r="P123" s="6">
        <f t="shared" si="32"/>
        <v>0.82908163265306123</v>
      </c>
      <c r="Q123" s="10">
        <f t="shared" si="33"/>
        <v>1.7272534013605446E-2</v>
      </c>
      <c r="R123" s="10">
        <f t="shared" si="34"/>
        <v>7.5434512896593864E-2</v>
      </c>
      <c r="S123" s="10">
        <f t="shared" si="35"/>
        <v>9.2707046910199306E-2</v>
      </c>
    </row>
    <row r="124" spans="1:19" x14ac:dyDescent="0.25">
      <c r="A124" s="5" t="s">
        <v>8</v>
      </c>
      <c r="B124" s="5" t="s">
        <v>322</v>
      </c>
      <c r="C124" s="5" t="s">
        <v>27</v>
      </c>
      <c r="D124" s="5" t="s">
        <v>385</v>
      </c>
      <c r="E124" s="5" t="s">
        <v>387</v>
      </c>
      <c r="F124" s="5" t="s">
        <v>112</v>
      </c>
      <c r="G124" s="5" t="s">
        <v>391</v>
      </c>
      <c r="H124" s="5" t="s">
        <v>53</v>
      </c>
      <c r="I124" s="5" t="s">
        <v>325</v>
      </c>
      <c r="J124" s="15">
        <v>1600</v>
      </c>
      <c r="K124" s="7">
        <v>40</v>
      </c>
      <c r="L124" s="7">
        <f t="shared" si="30"/>
        <v>40</v>
      </c>
      <c r="M124" s="5" t="s">
        <v>10</v>
      </c>
      <c r="N124" s="5">
        <v>4</v>
      </c>
      <c r="O124" s="6">
        <f t="shared" si="31"/>
        <v>1.6</v>
      </c>
      <c r="P124" s="6">
        <f t="shared" si="32"/>
        <v>0.16639999999999999</v>
      </c>
      <c r="Q124" s="10">
        <f t="shared" si="33"/>
        <v>3.4666666666666665E-3</v>
      </c>
      <c r="R124" s="10">
        <f t="shared" si="34"/>
        <v>2.26197140956951E-2</v>
      </c>
      <c r="S124" s="10">
        <f t="shared" si="35"/>
        <v>2.6086380762361767E-2</v>
      </c>
    </row>
    <row r="125" spans="1:19" x14ac:dyDescent="0.25">
      <c r="A125" s="5" t="s">
        <v>8</v>
      </c>
      <c r="B125" s="5" t="s">
        <v>347</v>
      </c>
      <c r="C125" s="5" t="s">
        <v>27</v>
      </c>
      <c r="D125" s="5" t="s">
        <v>385</v>
      </c>
      <c r="E125" s="5" t="s">
        <v>387</v>
      </c>
      <c r="F125" s="5" t="s">
        <v>112</v>
      </c>
      <c r="G125" s="5" t="s">
        <v>391</v>
      </c>
      <c r="H125" s="5" t="s">
        <v>53</v>
      </c>
      <c r="I125" s="5" t="s">
        <v>351</v>
      </c>
      <c r="J125" s="15">
        <v>1820</v>
      </c>
      <c r="K125" s="7">
        <v>20</v>
      </c>
      <c r="L125" s="7">
        <f t="shared" si="30"/>
        <v>91</v>
      </c>
      <c r="M125" s="5" t="s">
        <v>10</v>
      </c>
      <c r="N125" s="5">
        <v>4</v>
      </c>
      <c r="O125" s="6">
        <f t="shared" si="31"/>
        <v>9.4196375000000003</v>
      </c>
      <c r="P125" s="6">
        <f t="shared" si="32"/>
        <v>0.97964229999999997</v>
      </c>
      <c r="Q125" s="10">
        <f t="shared" si="33"/>
        <v>2.0409214583333331E-2</v>
      </c>
      <c r="R125" s="10">
        <f t="shared" si="34"/>
        <v>8.549146647460612E-2</v>
      </c>
      <c r="S125" s="10">
        <f t="shared" si="35"/>
        <v>0.10590068105793946</v>
      </c>
    </row>
    <row r="126" spans="1:19" x14ac:dyDescent="0.25">
      <c r="A126" s="5" t="s">
        <v>8</v>
      </c>
      <c r="B126" s="5" t="s">
        <v>347</v>
      </c>
      <c r="C126" s="5" t="s">
        <v>27</v>
      </c>
      <c r="D126" s="5" t="s">
        <v>385</v>
      </c>
      <c r="E126" s="5" t="s">
        <v>387</v>
      </c>
      <c r="F126" s="5" t="s">
        <v>112</v>
      </c>
      <c r="G126" s="5" t="s">
        <v>391</v>
      </c>
      <c r="H126" s="5" t="s">
        <v>53</v>
      </c>
      <c r="I126" s="5" t="s">
        <v>352</v>
      </c>
      <c r="J126" s="15">
        <v>825</v>
      </c>
      <c r="K126" s="7">
        <v>27.5</v>
      </c>
      <c r="L126" s="7">
        <f t="shared" si="30"/>
        <v>30</v>
      </c>
      <c r="M126" s="5" t="s">
        <v>10</v>
      </c>
      <c r="N126" s="5">
        <v>4</v>
      </c>
      <c r="O126" s="6">
        <f t="shared" si="31"/>
        <v>0.46406249999999999</v>
      </c>
      <c r="P126" s="6">
        <f t="shared" si="32"/>
        <v>4.82625E-2</v>
      </c>
      <c r="Q126" s="10">
        <f t="shared" si="33"/>
        <v>1.0054687500000001E-3</v>
      </c>
      <c r="R126" s="10">
        <f t="shared" si="34"/>
        <v>8.9398345389160392E-3</v>
      </c>
      <c r="S126" s="10">
        <f t="shared" si="35"/>
        <v>9.9453032889160395E-3</v>
      </c>
    </row>
    <row r="127" spans="1:19" x14ac:dyDescent="0.25">
      <c r="A127" s="5" t="s">
        <v>8</v>
      </c>
      <c r="B127" s="5" t="s">
        <v>353</v>
      </c>
      <c r="C127" s="5" t="s">
        <v>27</v>
      </c>
      <c r="D127" s="5" t="s">
        <v>385</v>
      </c>
      <c r="E127" s="5" t="s">
        <v>387</v>
      </c>
      <c r="F127" s="5" t="s">
        <v>112</v>
      </c>
      <c r="G127" s="5" t="s">
        <v>391</v>
      </c>
      <c r="H127" s="5" t="s">
        <v>53</v>
      </c>
      <c r="I127" s="5" t="s">
        <v>352</v>
      </c>
      <c r="J127" s="15">
        <v>765</v>
      </c>
      <c r="K127" s="7">
        <v>26</v>
      </c>
      <c r="L127" s="7">
        <f t="shared" si="30"/>
        <v>29.423076923076923</v>
      </c>
      <c r="M127" s="5" t="s">
        <v>10</v>
      </c>
      <c r="N127" s="5">
        <v>4</v>
      </c>
      <c r="O127" s="6">
        <f t="shared" si="31"/>
        <v>0.41392115846893496</v>
      </c>
      <c r="P127" s="6">
        <f t="shared" si="32"/>
        <v>4.3047800480769241E-2</v>
      </c>
      <c r="Q127" s="10">
        <f t="shared" si="33"/>
        <v>8.9682917668269238E-4</v>
      </c>
      <c r="R127" s="10">
        <f t="shared" si="34"/>
        <v>8.2051276983141543E-3</v>
      </c>
      <c r="S127" s="10">
        <f t="shared" si="35"/>
        <v>9.1019568749968471E-3</v>
      </c>
    </row>
    <row r="128" spans="1:19" x14ac:dyDescent="0.25">
      <c r="A128" s="5" t="s">
        <v>8</v>
      </c>
      <c r="B128" s="5" t="s">
        <v>353</v>
      </c>
      <c r="C128" s="5" t="s">
        <v>27</v>
      </c>
      <c r="D128" s="5" t="s">
        <v>385</v>
      </c>
      <c r="E128" s="5" t="s">
        <v>387</v>
      </c>
      <c r="F128" s="5" t="s">
        <v>112</v>
      </c>
      <c r="G128" s="5" t="s">
        <v>391</v>
      </c>
      <c r="H128" s="5" t="s">
        <v>53</v>
      </c>
      <c r="I128" s="5" t="s">
        <v>352</v>
      </c>
      <c r="J128" s="15">
        <v>930</v>
      </c>
      <c r="K128" s="7">
        <v>29.5</v>
      </c>
      <c r="L128" s="7">
        <f t="shared" si="30"/>
        <v>31.525423728813561</v>
      </c>
      <c r="M128" s="5" t="s">
        <v>10</v>
      </c>
      <c r="N128" s="5">
        <v>4</v>
      </c>
      <c r="O128" s="6">
        <f t="shared" si="31"/>
        <v>0.57767667336972139</v>
      </c>
      <c r="P128" s="6">
        <f t="shared" si="32"/>
        <v>6.0078374030451021E-2</v>
      </c>
      <c r="Q128" s="10">
        <f t="shared" si="33"/>
        <v>1.251632792301063E-3</v>
      </c>
      <c r="R128" s="10">
        <f t="shared" si="34"/>
        <v>1.0535635757711046E-2</v>
      </c>
      <c r="S128" s="10">
        <f t="shared" si="35"/>
        <v>1.1787268550012109E-2</v>
      </c>
    </row>
    <row r="129" spans="1:19" x14ac:dyDescent="0.25">
      <c r="A129" s="5" t="s">
        <v>8</v>
      </c>
      <c r="B129" s="5" t="s">
        <v>330</v>
      </c>
      <c r="C129" s="5" t="s">
        <v>27</v>
      </c>
      <c r="D129" s="5" t="s">
        <v>385</v>
      </c>
      <c r="E129" s="5" t="s">
        <v>387</v>
      </c>
      <c r="F129" s="5" t="s">
        <v>112</v>
      </c>
      <c r="G129" s="5" t="s">
        <v>391</v>
      </c>
      <c r="H129" s="5" t="s">
        <v>53</v>
      </c>
      <c r="I129" s="5" t="s">
        <v>332</v>
      </c>
      <c r="J129" s="15">
        <v>2000</v>
      </c>
      <c r="K129" s="7">
        <v>47</v>
      </c>
      <c r="L129" s="7">
        <f t="shared" si="30"/>
        <v>42.553191489361701</v>
      </c>
      <c r="M129" s="5" t="s">
        <v>10</v>
      </c>
      <c r="N129" s="5">
        <v>4</v>
      </c>
      <c r="O129" s="6">
        <f t="shared" si="31"/>
        <v>2.2634676324128562</v>
      </c>
      <c r="P129" s="6">
        <f t="shared" si="32"/>
        <v>0.23540063377093706</v>
      </c>
      <c r="Q129" s="10">
        <f t="shared" si="33"/>
        <v>4.9041798702278549E-3</v>
      </c>
      <c r="R129" s="10">
        <f t="shared" si="34"/>
        <v>2.9341197903551185E-2</v>
      </c>
      <c r="S129" s="10">
        <f t="shared" si="35"/>
        <v>3.4245377773779041E-2</v>
      </c>
    </row>
    <row r="130" spans="1:19" x14ac:dyDescent="0.25">
      <c r="A130" s="5" t="s">
        <v>22</v>
      </c>
      <c r="B130" s="5" t="s">
        <v>26</v>
      </c>
      <c r="C130" s="5" t="s">
        <v>27</v>
      </c>
      <c r="D130" s="5" t="s">
        <v>385</v>
      </c>
      <c r="E130" s="5" t="s">
        <v>387</v>
      </c>
      <c r="F130" s="5" t="s">
        <v>112</v>
      </c>
      <c r="G130" s="5" t="s">
        <v>391</v>
      </c>
      <c r="H130" s="5" t="s">
        <v>53</v>
      </c>
      <c r="I130" s="5" t="s">
        <v>55</v>
      </c>
      <c r="J130" s="15">
        <v>3650</v>
      </c>
      <c r="K130" s="7">
        <v>34</v>
      </c>
      <c r="L130" s="7">
        <f t="shared" si="30"/>
        <v>107.35294117647059</v>
      </c>
      <c r="M130" s="5" t="s">
        <v>10</v>
      </c>
      <c r="N130" s="5">
        <v>4</v>
      </c>
      <c r="O130" s="6">
        <f t="shared" si="31"/>
        <v>26.290616890138409</v>
      </c>
      <c r="P130" s="6">
        <f t="shared" si="32"/>
        <v>2.7342241565743945</v>
      </c>
      <c r="Q130" s="10">
        <f t="shared" si="33"/>
        <v>5.6963003261966551E-2</v>
      </c>
      <c r="R130" s="10">
        <f t="shared" si="34"/>
        <v>0.18460680533482346</v>
      </c>
      <c r="S130" s="10">
        <f t="shared" si="35"/>
        <v>0.24156980859679</v>
      </c>
    </row>
    <row r="131" spans="1:19" x14ac:dyDescent="0.25">
      <c r="A131" s="5" t="s">
        <v>8</v>
      </c>
      <c r="B131" s="5" t="s">
        <v>156</v>
      </c>
      <c r="C131" s="5" t="s">
        <v>27</v>
      </c>
      <c r="D131" s="5" t="s">
        <v>385</v>
      </c>
      <c r="E131" s="5" t="s">
        <v>387</v>
      </c>
      <c r="F131" s="5" t="s">
        <v>112</v>
      </c>
      <c r="G131" s="5" t="s">
        <v>391</v>
      </c>
      <c r="H131" s="5" t="s">
        <v>53</v>
      </c>
      <c r="I131" s="5" t="s">
        <v>158</v>
      </c>
      <c r="J131" s="15">
        <v>1125</v>
      </c>
      <c r="K131" s="7">
        <v>29</v>
      </c>
      <c r="L131" s="7">
        <f t="shared" si="30"/>
        <v>38.793103448275865</v>
      </c>
      <c r="M131" s="5" t="s">
        <v>10</v>
      </c>
      <c r="N131" s="5">
        <v>4</v>
      </c>
      <c r="O131" s="6">
        <f t="shared" si="31"/>
        <v>1.0581362403388823</v>
      </c>
      <c r="P131" s="6">
        <f t="shared" si="32"/>
        <v>0.11004616899524378</v>
      </c>
      <c r="Q131" s="10">
        <f t="shared" si="33"/>
        <v>2.2926285207342449E-3</v>
      </c>
      <c r="R131" s="10">
        <f t="shared" si="34"/>
        <v>1.6588354811020851E-2</v>
      </c>
      <c r="S131" s="10">
        <f t="shared" si="35"/>
        <v>1.8880983331755096E-2</v>
      </c>
    </row>
    <row r="132" spans="1:19" x14ac:dyDescent="0.25">
      <c r="A132" s="5" t="s">
        <v>8</v>
      </c>
      <c r="B132" s="5" t="s">
        <v>156</v>
      </c>
      <c r="C132" s="5" t="s">
        <v>27</v>
      </c>
      <c r="D132" s="5" t="s">
        <v>385</v>
      </c>
      <c r="E132" s="5" t="s">
        <v>387</v>
      </c>
      <c r="F132" s="5" t="s">
        <v>112</v>
      </c>
      <c r="G132" s="5" t="s">
        <v>391</v>
      </c>
      <c r="H132" s="5" t="s">
        <v>53</v>
      </c>
      <c r="I132" s="5" t="s">
        <v>158</v>
      </c>
      <c r="J132" s="15">
        <v>1140</v>
      </c>
      <c r="K132" s="7">
        <v>28.5</v>
      </c>
      <c r="L132" s="7">
        <f t="shared" si="30"/>
        <v>40</v>
      </c>
      <c r="M132" s="5" t="s">
        <v>10</v>
      </c>
      <c r="N132" s="5">
        <v>4</v>
      </c>
      <c r="O132" s="6">
        <f t="shared" si="31"/>
        <v>1.1399999999999999</v>
      </c>
      <c r="P132" s="6">
        <f t="shared" si="32"/>
        <v>0.11855999999999998</v>
      </c>
      <c r="Q132" s="10">
        <f t="shared" si="33"/>
        <v>2.4699999999999995E-3</v>
      </c>
      <c r="R132" s="10">
        <f t="shared" si="34"/>
        <v>1.7541864935922521E-2</v>
      </c>
      <c r="S132" s="10">
        <f t="shared" si="35"/>
        <v>2.0011864935922521E-2</v>
      </c>
    </row>
    <row r="133" spans="1:19" x14ac:dyDescent="0.25">
      <c r="A133" s="5" t="s">
        <v>8</v>
      </c>
      <c r="B133" s="5" t="s">
        <v>347</v>
      </c>
      <c r="C133" s="5" t="s">
        <v>27</v>
      </c>
      <c r="D133" s="5" t="s">
        <v>385</v>
      </c>
      <c r="E133" s="5" t="s">
        <v>387</v>
      </c>
      <c r="F133" s="5" t="s">
        <v>112</v>
      </c>
      <c r="G133" s="5" t="s">
        <v>391</v>
      </c>
      <c r="H133" s="5" t="s">
        <v>53</v>
      </c>
      <c r="I133" s="5" t="s">
        <v>158</v>
      </c>
      <c r="J133" s="15">
        <v>1250</v>
      </c>
      <c r="K133" s="7">
        <v>26.5</v>
      </c>
      <c r="L133" s="7">
        <f t="shared" si="30"/>
        <v>47.169811320754718</v>
      </c>
      <c r="M133" s="5" t="s">
        <v>10</v>
      </c>
      <c r="N133" s="5">
        <v>4</v>
      </c>
      <c r="O133" s="6">
        <f t="shared" si="31"/>
        <v>1.7382742969028124</v>
      </c>
      <c r="P133" s="6">
        <f t="shared" si="32"/>
        <v>0.18078052687789251</v>
      </c>
      <c r="Q133" s="10">
        <f t="shared" si="33"/>
        <v>3.7662609766227601E-3</v>
      </c>
      <c r="R133" s="10">
        <f t="shared" si="34"/>
        <v>2.4070541236937307E-2</v>
      </c>
      <c r="S133" s="10">
        <f t="shared" si="35"/>
        <v>2.7836802213560066E-2</v>
      </c>
    </row>
    <row r="134" spans="1:19" x14ac:dyDescent="0.25">
      <c r="A134" s="5" t="s">
        <v>8</v>
      </c>
      <c r="B134" s="5" t="s">
        <v>372</v>
      </c>
      <c r="C134" s="5" t="s">
        <v>27</v>
      </c>
      <c r="D134" s="5" t="s">
        <v>385</v>
      </c>
      <c r="E134" s="5" t="s">
        <v>387</v>
      </c>
      <c r="F134" s="5" t="s">
        <v>112</v>
      </c>
      <c r="G134" s="5" t="s">
        <v>391</v>
      </c>
      <c r="H134" s="5" t="s">
        <v>53</v>
      </c>
      <c r="I134" s="5" t="s">
        <v>374</v>
      </c>
      <c r="J134" s="15">
        <v>3590</v>
      </c>
      <c r="K134" s="7">
        <v>44</v>
      </c>
      <c r="L134" s="7">
        <f t="shared" si="30"/>
        <v>81.590909090909093</v>
      </c>
      <c r="M134" s="5" t="s">
        <v>10</v>
      </c>
      <c r="N134" s="5">
        <v>4</v>
      </c>
      <c r="O134" s="6">
        <f t="shared" si="31"/>
        <v>14.936815276342974</v>
      </c>
      <c r="P134" s="6">
        <f t="shared" si="32"/>
        <v>1.5534287887396692</v>
      </c>
      <c r="Q134" s="10">
        <f t="shared" si="33"/>
        <v>3.2363099765409777E-2</v>
      </c>
      <c r="R134" s="10">
        <f t="shared" si="34"/>
        <v>0.12080659172555661</v>
      </c>
      <c r="S134" s="10">
        <f t="shared" si="35"/>
        <v>0.15316969149096638</v>
      </c>
    </row>
    <row r="135" spans="1:19" x14ac:dyDescent="0.25">
      <c r="A135" s="5" t="s">
        <v>22</v>
      </c>
      <c r="B135" s="5" t="s">
        <v>63</v>
      </c>
      <c r="C135" s="5" t="s">
        <v>27</v>
      </c>
      <c r="D135" s="5" t="s">
        <v>385</v>
      </c>
      <c r="E135" s="5" t="s">
        <v>387</v>
      </c>
      <c r="F135" s="5" t="s">
        <v>112</v>
      </c>
      <c r="G135" s="5" t="s">
        <v>391</v>
      </c>
      <c r="H135" s="5" t="s">
        <v>53</v>
      </c>
      <c r="I135" s="5" t="s">
        <v>114</v>
      </c>
      <c r="J135" s="15">
        <v>1700</v>
      </c>
      <c r="K135" s="7">
        <v>37</v>
      </c>
      <c r="L135" s="7">
        <f t="shared" si="30"/>
        <v>45.945945945945944</v>
      </c>
      <c r="M135" s="5" t="s">
        <v>10</v>
      </c>
      <c r="N135" s="5">
        <v>4</v>
      </c>
      <c r="O135" s="6">
        <f t="shared" si="31"/>
        <v>2.2429693206720231</v>
      </c>
      <c r="P135" s="6">
        <f t="shared" si="32"/>
        <v>0.23326880934989039</v>
      </c>
      <c r="Q135" s="10">
        <f t="shared" si="33"/>
        <v>4.8597668614560495E-3</v>
      </c>
      <c r="R135" s="10">
        <f t="shared" si="34"/>
        <v>2.9141682641278973E-2</v>
      </c>
      <c r="S135" s="10">
        <f t="shared" si="35"/>
        <v>3.4001449502735023E-2</v>
      </c>
    </row>
    <row r="136" spans="1:19" x14ac:dyDescent="0.25">
      <c r="A136" s="5" t="s">
        <v>8</v>
      </c>
      <c r="B136" s="5" t="s">
        <v>322</v>
      </c>
      <c r="C136" s="5" t="s">
        <v>27</v>
      </c>
      <c r="D136" s="5" t="s">
        <v>385</v>
      </c>
      <c r="E136" s="5" t="s">
        <v>387</v>
      </c>
      <c r="F136" s="5" t="s">
        <v>112</v>
      </c>
      <c r="G136" s="5" t="s">
        <v>391</v>
      </c>
      <c r="H136" s="5" t="s">
        <v>53</v>
      </c>
      <c r="I136" s="5" t="s">
        <v>114</v>
      </c>
      <c r="J136" s="15">
        <v>1600</v>
      </c>
      <c r="K136" s="7">
        <v>39</v>
      </c>
      <c r="L136" s="7">
        <f t="shared" si="30"/>
        <v>41.025641025641029</v>
      </c>
      <c r="M136" s="5" t="s">
        <v>10</v>
      </c>
      <c r="N136" s="5">
        <v>4</v>
      </c>
      <c r="O136" s="6">
        <f t="shared" si="31"/>
        <v>1.6831032215647603</v>
      </c>
      <c r="P136" s="6">
        <f t="shared" si="32"/>
        <v>0.17504273504273507</v>
      </c>
      <c r="Q136" s="10">
        <f t="shared" si="33"/>
        <v>3.6467236467236474E-3</v>
      </c>
      <c r="R136" s="10">
        <f t="shared" si="34"/>
        <v>2.3495256345525899E-2</v>
      </c>
      <c r="S136" s="10">
        <f t="shared" si="35"/>
        <v>2.7141979992249547E-2</v>
      </c>
    </row>
    <row r="137" spans="1:19" x14ac:dyDescent="0.25">
      <c r="A137" s="5" t="s">
        <v>22</v>
      </c>
      <c r="B137" s="5" t="s">
        <v>63</v>
      </c>
      <c r="C137" s="5" t="s">
        <v>27</v>
      </c>
      <c r="D137" s="5" t="s">
        <v>385</v>
      </c>
      <c r="E137" s="5" t="s">
        <v>387</v>
      </c>
      <c r="F137" s="5" t="s">
        <v>112</v>
      </c>
      <c r="G137" s="5" t="s">
        <v>391</v>
      </c>
      <c r="H137" s="5" t="s">
        <v>115</v>
      </c>
      <c r="I137" s="5" t="s">
        <v>116</v>
      </c>
      <c r="J137" s="15">
        <v>665</v>
      </c>
      <c r="K137" s="7">
        <v>23</v>
      </c>
      <c r="L137" s="7">
        <f t="shared" si="30"/>
        <v>28.913043478260871</v>
      </c>
      <c r="M137" s="5" t="s">
        <v>10</v>
      </c>
      <c r="N137" s="5">
        <v>4</v>
      </c>
      <c r="O137" s="6">
        <f t="shared" si="31"/>
        <v>0.34744757206994337</v>
      </c>
      <c r="P137" s="6">
        <f t="shared" si="32"/>
        <v>3.6134547495274102E-2</v>
      </c>
      <c r="Q137" s="10">
        <f t="shared" si="33"/>
        <v>7.5280307281821058E-4</v>
      </c>
      <c r="R137" s="10">
        <f t="shared" si="34"/>
        <v>7.1955514895454976E-3</v>
      </c>
      <c r="S137" s="10">
        <f t="shared" si="35"/>
        <v>7.9483545623637089E-3</v>
      </c>
    </row>
    <row r="138" spans="1:19" x14ac:dyDescent="0.25">
      <c r="A138" s="5" t="s">
        <v>22</v>
      </c>
      <c r="B138" s="5" t="s">
        <v>63</v>
      </c>
      <c r="C138" s="5" t="s">
        <v>27</v>
      </c>
      <c r="D138" s="5" t="s">
        <v>385</v>
      </c>
      <c r="E138" s="5" t="s">
        <v>387</v>
      </c>
      <c r="F138" s="5" t="s">
        <v>112</v>
      </c>
      <c r="G138" s="5" t="s">
        <v>391</v>
      </c>
      <c r="H138" s="5" t="s">
        <v>119</v>
      </c>
      <c r="I138" s="5" t="s">
        <v>120</v>
      </c>
      <c r="J138" s="15">
        <v>1200</v>
      </c>
      <c r="K138" s="7">
        <v>26.5</v>
      </c>
      <c r="L138" s="7">
        <f t="shared" si="30"/>
        <v>45.283018867924525</v>
      </c>
      <c r="M138" s="5" t="s">
        <v>10</v>
      </c>
      <c r="N138" s="5">
        <v>4</v>
      </c>
      <c r="O138" s="6">
        <f t="shared" si="31"/>
        <v>1.5379138483446062</v>
      </c>
      <c r="P138" s="6">
        <f t="shared" si="32"/>
        <v>0.15994304022783903</v>
      </c>
      <c r="Q138" s="10">
        <f t="shared" si="33"/>
        <v>3.3321466714133132E-3</v>
      </c>
      <c r="R138" s="10">
        <f t="shared" si="34"/>
        <v>2.1958169341058133E-2</v>
      </c>
      <c r="S138" s="10">
        <f t="shared" si="35"/>
        <v>2.5290316012471448E-2</v>
      </c>
    </row>
    <row r="139" spans="1:19" x14ac:dyDescent="0.25">
      <c r="A139" s="5" t="s">
        <v>22</v>
      </c>
      <c r="B139" s="5" t="s">
        <v>63</v>
      </c>
      <c r="C139" s="5" t="s">
        <v>27</v>
      </c>
      <c r="D139" s="5" t="s">
        <v>385</v>
      </c>
      <c r="E139" s="5" t="s">
        <v>387</v>
      </c>
      <c r="F139" s="5" t="s">
        <v>112</v>
      </c>
      <c r="G139" s="5" t="s">
        <v>391</v>
      </c>
      <c r="H139" s="5" t="s">
        <v>237</v>
      </c>
      <c r="I139" s="5" t="s">
        <v>121</v>
      </c>
      <c r="J139" s="15">
        <v>1250</v>
      </c>
      <c r="K139" s="7">
        <v>25.5</v>
      </c>
      <c r="L139" s="7">
        <f t="shared" si="30"/>
        <v>49.019607843137258</v>
      </c>
      <c r="M139" s="5" t="s">
        <v>10</v>
      </c>
      <c r="N139" s="5">
        <v>4</v>
      </c>
      <c r="O139" s="6">
        <f t="shared" si="31"/>
        <v>1.8772827758554407</v>
      </c>
      <c r="P139" s="6">
        <f t="shared" si="32"/>
        <v>0.19523740868896583</v>
      </c>
      <c r="Q139" s="10">
        <f t="shared" si="33"/>
        <v>4.0674460143534548E-3</v>
      </c>
      <c r="R139" s="10">
        <f t="shared" si="34"/>
        <v>2.5500247518851233E-2</v>
      </c>
      <c r="S139" s="10">
        <f t="shared" si="35"/>
        <v>2.9567693533204688E-2</v>
      </c>
    </row>
    <row r="140" spans="1:19" x14ac:dyDescent="0.25">
      <c r="A140" s="5" t="s">
        <v>8</v>
      </c>
      <c r="B140" s="5" t="s">
        <v>236</v>
      </c>
      <c r="C140" s="5" t="s">
        <v>27</v>
      </c>
      <c r="D140" s="5" t="s">
        <v>385</v>
      </c>
      <c r="E140" s="5" t="s">
        <v>387</v>
      </c>
      <c r="F140" s="5" t="s">
        <v>112</v>
      </c>
      <c r="G140" s="5" t="s">
        <v>391</v>
      </c>
      <c r="H140" s="5" t="s">
        <v>237</v>
      </c>
      <c r="I140" s="5" t="s">
        <v>238</v>
      </c>
      <c r="J140" s="15">
        <v>2800</v>
      </c>
      <c r="K140" s="7">
        <v>33.6</v>
      </c>
      <c r="L140" s="7">
        <f t="shared" si="30"/>
        <v>83.333333333333329</v>
      </c>
      <c r="M140" s="5" t="s">
        <v>10</v>
      </c>
      <c r="N140" s="5">
        <v>4</v>
      </c>
      <c r="O140" s="6">
        <f t="shared" si="31"/>
        <v>12.152777777777775</v>
      </c>
      <c r="P140" s="6">
        <f t="shared" si="32"/>
        <v>1.2638888888888886</v>
      </c>
      <c r="Q140" s="10">
        <f t="shared" si="33"/>
        <v>2.6331018518518514E-2</v>
      </c>
      <c r="R140" s="10">
        <f t="shared" si="34"/>
        <v>0.10349128794647404</v>
      </c>
      <c r="S140" s="10">
        <f t="shared" si="35"/>
        <v>0.12982230646499254</v>
      </c>
    </row>
    <row r="141" spans="1:19" x14ac:dyDescent="0.25">
      <c r="J141" s="16">
        <f>AVERAGE(J94:J140)</f>
        <v>2034.1914893617022</v>
      </c>
      <c r="K141" s="12">
        <f t="shared" ref="K141:S141" si="36">AVERAGE(K94:K140)</f>
        <v>33.785106382978718</v>
      </c>
      <c r="L141" s="12">
        <f t="shared" si="36"/>
        <v>59.125804135840653</v>
      </c>
      <c r="M141" s="11" t="e">
        <f t="shared" si="36"/>
        <v>#DIV/0!</v>
      </c>
      <c r="N141" s="11">
        <f t="shared" si="36"/>
        <v>4</v>
      </c>
      <c r="O141" s="13">
        <f t="shared" si="36"/>
        <v>6.4110374800922409</v>
      </c>
      <c r="P141" s="13">
        <f t="shared" si="36"/>
        <v>0.66674789792959299</v>
      </c>
      <c r="Q141" s="14">
        <f t="shared" si="36"/>
        <v>1.3890581206866521E-2</v>
      </c>
      <c r="R141" s="14">
        <f t="shared" si="36"/>
        <v>5.8282192712912809E-2</v>
      </c>
      <c r="S141" s="14">
        <f t="shared" si="36"/>
        <v>7.2172773919779318E-2</v>
      </c>
    </row>
    <row r="142" spans="1:19" x14ac:dyDescent="0.25">
      <c r="A142" s="5" t="s">
        <v>8</v>
      </c>
      <c r="B142" s="5" t="s">
        <v>165</v>
      </c>
      <c r="C142" s="5" t="s">
        <v>27</v>
      </c>
      <c r="D142" s="5" t="s">
        <v>385</v>
      </c>
      <c r="E142" s="5" t="s">
        <v>384</v>
      </c>
      <c r="F142" s="5" t="s">
        <v>91</v>
      </c>
      <c r="G142" s="5" t="s">
        <v>393</v>
      </c>
      <c r="H142" s="5" t="s">
        <v>92</v>
      </c>
      <c r="I142" s="5" t="s">
        <v>167</v>
      </c>
      <c r="J142" s="15">
        <v>1770</v>
      </c>
      <c r="K142" s="7">
        <v>30</v>
      </c>
      <c r="L142" s="7">
        <f t="shared" ref="L142:L150" si="37">J142/K142</f>
        <v>59</v>
      </c>
      <c r="M142" s="5" t="s">
        <v>10</v>
      </c>
      <c r="N142" s="5">
        <v>4</v>
      </c>
      <c r="O142" s="6">
        <f t="shared" ref="O142:O150" si="38">(J142*L142^2)/(1.6*10^6)</f>
        <v>3.8508562500000001</v>
      </c>
      <c r="P142" s="6">
        <f t="shared" ref="P142:P150" si="39">(0.104*J142*L142^2)/(1.6*10^6)</f>
        <v>0.40048905000000001</v>
      </c>
      <c r="Q142" s="10">
        <f t="shared" ref="Q142:Q150" si="40">(0.104*O142)/(12*N142)</f>
        <v>8.3435218750000009E-3</v>
      </c>
      <c r="R142" s="10">
        <f t="shared" ref="R142:R150" si="41">0.0159*O142^0.75</f>
        <v>4.3708419692553992E-2</v>
      </c>
      <c r="S142" s="10">
        <f t="shared" ref="S142:S150" si="42">Q142+R142</f>
        <v>5.2051941567553994E-2</v>
      </c>
    </row>
    <row r="143" spans="1:19" x14ac:dyDescent="0.25">
      <c r="A143" s="5" t="s">
        <v>8</v>
      </c>
      <c r="B143" s="5" t="s">
        <v>372</v>
      </c>
      <c r="C143" s="5" t="s">
        <v>27</v>
      </c>
      <c r="D143" s="5" t="s">
        <v>385</v>
      </c>
      <c r="E143" s="5" t="s">
        <v>384</v>
      </c>
      <c r="F143" s="5" t="s">
        <v>91</v>
      </c>
      <c r="G143" s="5" t="s">
        <v>393</v>
      </c>
      <c r="H143" s="5" t="s">
        <v>92</v>
      </c>
      <c r="I143" s="5" t="s">
        <v>373</v>
      </c>
      <c r="J143" s="15">
        <v>2600</v>
      </c>
      <c r="K143" s="7">
        <v>40.200000000000003</v>
      </c>
      <c r="L143" s="7">
        <f t="shared" si="37"/>
        <v>64.676616915422883</v>
      </c>
      <c r="M143" s="5" t="s">
        <v>10</v>
      </c>
      <c r="N143" s="5">
        <v>4</v>
      </c>
      <c r="O143" s="6">
        <f t="shared" si="38"/>
        <v>6.7974802603895936</v>
      </c>
      <c r="P143" s="6">
        <f t="shared" si="39"/>
        <v>0.7069379470805176</v>
      </c>
      <c r="Q143" s="10">
        <f t="shared" si="40"/>
        <v>1.4727873897510785E-2</v>
      </c>
      <c r="R143" s="10">
        <f t="shared" si="41"/>
        <v>6.6935743328339611E-2</v>
      </c>
      <c r="S143" s="10">
        <f t="shared" si="42"/>
        <v>8.1663617225850402E-2</v>
      </c>
    </row>
    <row r="144" spans="1:19" x14ac:dyDescent="0.25">
      <c r="A144" s="5" t="s">
        <v>22</v>
      </c>
      <c r="B144" s="5" t="s">
        <v>63</v>
      </c>
      <c r="C144" s="5" t="s">
        <v>27</v>
      </c>
      <c r="D144" s="5" t="s">
        <v>385</v>
      </c>
      <c r="E144" s="5" t="s">
        <v>384</v>
      </c>
      <c r="F144" s="5" t="s">
        <v>91</v>
      </c>
      <c r="G144" s="5" t="s">
        <v>393</v>
      </c>
      <c r="H144" s="5" t="s">
        <v>92</v>
      </c>
      <c r="I144" s="5" t="s">
        <v>19</v>
      </c>
      <c r="J144" s="15">
        <v>1530</v>
      </c>
      <c r="K144" s="7">
        <v>63</v>
      </c>
      <c r="L144" s="7">
        <f t="shared" si="37"/>
        <v>24.285714285714285</v>
      </c>
      <c r="M144" s="5" t="s">
        <v>10</v>
      </c>
      <c r="N144" s="5">
        <v>4</v>
      </c>
      <c r="O144" s="6">
        <f t="shared" si="38"/>
        <v>0.56399234693877542</v>
      </c>
      <c r="P144" s="6">
        <f t="shared" si="39"/>
        <v>5.8655204081632648E-2</v>
      </c>
      <c r="Q144" s="10">
        <f t="shared" si="40"/>
        <v>1.2219834183673467E-3</v>
      </c>
      <c r="R144" s="10">
        <f t="shared" si="41"/>
        <v>1.0347895457552336E-2</v>
      </c>
      <c r="S144" s="10">
        <f t="shared" si="42"/>
        <v>1.1569878875919683E-2</v>
      </c>
    </row>
    <row r="145" spans="1:19" x14ac:dyDescent="0.25">
      <c r="A145" s="5" t="s">
        <v>8</v>
      </c>
      <c r="B145" s="5" t="s">
        <v>313</v>
      </c>
      <c r="C145" s="5" t="s">
        <v>27</v>
      </c>
      <c r="D145" s="5" t="s">
        <v>385</v>
      </c>
      <c r="E145" s="5" t="s">
        <v>384</v>
      </c>
      <c r="F145" s="5" t="s">
        <v>91</v>
      </c>
      <c r="G145" s="5" t="s">
        <v>393</v>
      </c>
      <c r="H145" s="5" t="s">
        <v>92</v>
      </c>
      <c r="I145" s="5" t="s">
        <v>315</v>
      </c>
      <c r="J145" s="15">
        <v>1300</v>
      </c>
      <c r="K145" s="7">
        <v>27</v>
      </c>
      <c r="L145" s="7">
        <f t="shared" si="37"/>
        <v>48.148148148148145</v>
      </c>
      <c r="M145" s="5" t="s">
        <v>10</v>
      </c>
      <c r="N145" s="5">
        <v>4</v>
      </c>
      <c r="O145" s="6">
        <f t="shared" si="38"/>
        <v>1.8835733882030175</v>
      </c>
      <c r="P145" s="6">
        <f t="shared" si="39"/>
        <v>0.19589163237311383</v>
      </c>
      <c r="Q145" s="10">
        <f t="shared" si="40"/>
        <v>4.0810756744398711E-3</v>
      </c>
      <c r="R145" s="10">
        <f t="shared" si="41"/>
        <v>2.5564307556858588E-2</v>
      </c>
      <c r="S145" s="10">
        <f t="shared" si="42"/>
        <v>2.964538323129846E-2</v>
      </c>
    </row>
    <row r="146" spans="1:19" x14ac:dyDescent="0.25">
      <c r="A146" s="5" t="s">
        <v>22</v>
      </c>
      <c r="B146" s="5" t="s">
        <v>63</v>
      </c>
      <c r="C146" s="5" t="s">
        <v>27</v>
      </c>
      <c r="D146" s="5" t="s">
        <v>385</v>
      </c>
      <c r="E146" s="5" t="s">
        <v>384</v>
      </c>
      <c r="F146" s="5" t="s">
        <v>91</v>
      </c>
      <c r="G146" s="5" t="s">
        <v>393</v>
      </c>
      <c r="H146" s="5" t="s">
        <v>92</v>
      </c>
      <c r="I146" s="5" t="s">
        <v>20</v>
      </c>
      <c r="J146" s="15">
        <v>1400</v>
      </c>
      <c r="K146" s="7">
        <v>37</v>
      </c>
      <c r="L146" s="7">
        <f t="shared" si="37"/>
        <v>37.837837837837839</v>
      </c>
      <c r="M146" s="5" t="s">
        <v>10</v>
      </c>
      <c r="N146" s="5">
        <v>4</v>
      </c>
      <c r="O146" s="6">
        <f t="shared" si="38"/>
        <v>1.2527392257121988</v>
      </c>
      <c r="P146" s="6">
        <f t="shared" si="39"/>
        <v>0.13028487947406867</v>
      </c>
      <c r="Q146" s="10">
        <f t="shared" si="40"/>
        <v>2.7142683223764304E-3</v>
      </c>
      <c r="R146" s="10">
        <f t="shared" si="41"/>
        <v>1.8827498926201992E-2</v>
      </c>
      <c r="S146" s="10">
        <f t="shared" si="42"/>
        <v>2.1541767248578422E-2</v>
      </c>
    </row>
    <row r="147" spans="1:19" x14ac:dyDescent="0.25">
      <c r="A147" s="5" t="s">
        <v>8</v>
      </c>
      <c r="B147" s="5" t="s">
        <v>308</v>
      </c>
      <c r="C147" s="5" t="s">
        <v>27</v>
      </c>
      <c r="D147" s="5" t="s">
        <v>385</v>
      </c>
      <c r="E147" s="5" t="s">
        <v>384</v>
      </c>
      <c r="F147" s="5" t="s">
        <v>91</v>
      </c>
      <c r="G147" s="5" t="s">
        <v>393</v>
      </c>
      <c r="H147" s="5" t="s">
        <v>92</v>
      </c>
      <c r="I147" s="5" t="s">
        <v>309</v>
      </c>
      <c r="J147" s="15">
        <v>1055</v>
      </c>
      <c r="K147" s="7">
        <v>35.5</v>
      </c>
      <c r="L147" s="7">
        <f t="shared" si="37"/>
        <v>29.718309859154928</v>
      </c>
      <c r="M147" s="5" t="s">
        <v>10</v>
      </c>
      <c r="N147" s="5">
        <v>4</v>
      </c>
      <c r="O147" s="6">
        <f t="shared" si="38"/>
        <v>0.58234545477087873</v>
      </c>
      <c r="P147" s="6">
        <f t="shared" si="39"/>
        <v>6.056392729617139E-2</v>
      </c>
      <c r="Q147" s="10">
        <f t="shared" si="40"/>
        <v>1.2617484853369037E-3</v>
      </c>
      <c r="R147" s="10">
        <f t="shared" si="41"/>
        <v>1.0599433193685417E-2</v>
      </c>
      <c r="S147" s="10">
        <f t="shared" si="42"/>
        <v>1.1861181679022321E-2</v>
      </c>
    </row>
    <row r="148" spans="1:19" x14ac:dyDescent="0.25">
      <c r="A148" s="5" t="s">
        <v>22</v>
      </c>
      <c r="B148" s="5" t="s">
        <v>63</v>
      </c>
      <c r="C148" s="5" t="s">
        <v>27</v>
      </c>
      <c r="D148" s="5" t="s">
        <v>385</v>
      </c>
      <c r="E148" s="5" t="s">
        <v>384</v>
      </c>
      <c r="F148" s="5" t="s">
        <v>91</v>
      </c>
      <c r="G148" s="5" t="s">
        <v>393</v>
      </c>
      <c r="H148" s="5" t="s">
        <v>93</v>
      </c>
      <c r="I148" s="5" t="s">
        <v>94</v>
      </c>
      <c r="J148" s="15">
        <v>3450</v>
      </c>
      <c r="K148" s="7">
        <v>33.5</v>
      </c>
      <c r="L148" s="7">
        <f t="shared" si="37"/>
        <v>102.98507462686567</v>
      </c>
      <c r="M148" s="5" t="s">
        <v>10</v>
      </c>
      <c r="N148" s="5">
        <v>4</v>
      </c>
      <c r="O148" s="6">
        <f t="shared" si="38"/>
        <v>22.869027066161731</v>
      </c>
      <c r="P148" s="6">
        <f t="shared" si="39"/>
        <v>2.3783788148808198</v>
      </c>
      <c r="Q148" s="10">
        <f t="shared" si="40"/>
        <v>4.9549558643350415E-2</v>
      </c>
      <c r="R148" s="10">
        <f t="shared" si="41"/>
        <v>0.16627727199027578</v>
      </c>
      <c r="S148" s="10">
        <f t="shared" si="42"/>
        <v>0.2158268306336262</v>
      </c>
    </row>
    <row r="149" spans="1:19" x14ac:dyDescent="0.25">
      <c r="A149" s="5" t="s">
        <v>8</v>
      </c>
      <c r="B149" s="5" t="s">
        <v>336</v>
      </c>
      <c r="C149" s="5" t="s">
        <v>27</v>
      </c>
      <c r="D149" s="5" t="s">
        <v>385</v>
      </c>
      <c r="E149" s="5" t="s">
        <v>384</v>
      </c>
      <c r="F149" s="5" t="s">
        <v>91</v>
      </c>
      <c r="G149" s="5" t="s">
        <v>393</v>
      </c>
      <c r="H149" s="5" t="s">
        <v>93</v>
      </c>
      <c r="I149" s="5" t="s">
        <v>94</v>
      </c>
      <c r="J149" s="15">
        <v>3150</v>
      </c>
      <c r="K149" s="7">
        <v>31</v>
      </c>
      <c r="L149" s="7">
        <f t="shared" si="37"/>
        <v>101.61290322580645</v>
      </c>
      <c r="M149" s="5" t="s">
        <v>10</v>
      </c>
      <c r="N149" s="5">
        <v>4</v>
      </c>
      <c r="O149" s="6">
        <f t="shared" si="38"/>
        <v>20.32770226326743</v>
      </c>
      <c r="P149" s="6">
        <f t="shared" si="39"/>
        <v>2.1140810353798125</v>
      </c>
      <c r="Q149" s="10">
        <f t="shared" si="40"/>
        <v>4.4043354903746092E-2</v>
      </c>
      <c r="R149" s="10">
        <f t="shared" si="41"/>
        <v>0.15221706459438031</v>
      </c>
      <c r="S149" s="10">
        <f t="shared" si="42"/>
        <v>0.19626041949812639</v>
      </c>
    </row>
    <row r="150" spans="1:19" x14ac:dyDescent="0.25">
      <c r="A150" s="5" t="s">
        <v>22</v>
      </c>
      <c r="B150" s="5" t="s">
        <v>63</v>
      </c>
      <c r="C150" s="5" t="s">
        <v>27</v>
      </c>
      <c r="D150" s="5" t="s">
        <v>385</v>
      </c>
      <c r="E150" s="5" t="s">
        <v>384</v>
      </c>
      <c r="F150" s="5" t="s">
        <v>91</v>
      </c>
      <c r="G150" s="5" t="s">
        <v>393</v>
      </c>
      <c r="H150" s="5" t="s">
        <v>95</v>
      </c>
      <c r="I150" s="5" t="s">
        <v>96</v>
      </c>
      <c r="J150" s="15">
        <v>2765</v>
      </c>
      <c r="K150" s="7">
        <v>41</v>
      </c>
      <c r="L150" s="7">
        <f t="shared" si="37"/>
        <v>67.439024390243901</v>
      </c>
      <c r="M150" s="5" t="s">
        <v>10</v>
      </c>
      <c r="N150" s="5">
        <v>4</v>
      </c>
      <c r="O150" s="6">
        <f t="shared" si="38"/>
        <v>7.8595505372546111</v>
      </c>
      <c r="P150" s="6">
        <f t="shared" si="39"/>
        <v>0.81739325587447953</v>
      </c>
      <c r="Q150" s="10">
        <f t="shared" si="40"/>
        <v>1.7029026164051657E-2</v>
      </c>
      <c r="R150" s="10">
        <f t="shared" si="41"/>
        <v>7.4635493270240674E-2</v>
      </c>
      <c r="S150" s="10">
        <f t="shared" si="42"/>
        <v>9.1664519434292324E-2</v>
      </c>
    </row>
    <row r="151" spans="1:19" x14ac:dyDescent="0.25">
      <c r="J151" s="16">
        <f>AVERAGE(J142:J150)</f>
        <v>2113.3333333333335</v>
      </c>
      <c r="K151" s="12">
        <f t="shared" ref="K151:S151" si="43">AVERAGE(K142:K150)</f>
        <v>37.577777777777776</v>
      </c>
      <c r="L151" s="12">
        <f t="shared" si="43"/>
        <v>59.522625476577133</v>
      </c>
      <c r="M151" s="11" t="e">
        <f t="shared" si="43"/>
        <v>#DIV/0!</v>
      </c>
      <c r="N151" s="11">
        <f t="shared" si="43"/>
        <v>4</v>
      </c>
      <c r="O151" s="13">
        <f t="shared" si="43"/>
        <v>7.3319185325220264</v>
      </c>
      <c r="P151" s="13">
        <f t="shared" si="43"/>
        <v>0.76251952738229067</v>
      </c>
      <c r="Q151" s="14">
        <f t="shared" si="43"/>
        <v>1.5885823487131058E-2</v>
      </c>
      <c r="R151" s="14">
        <f t="shared" si="43"/>
        <v>6.3234792001120976E-2</v>
      </c>
      <c r="S151" s="14">
        <f t="shared" si="43"/>
        <v>7.9120615488252014E-2</v>
      </c>
    </row>
    <row r="152" spans="1:19" x14ac:dyDescent="0.25">
      <c r="A152" s="5" t="s">
        <v>8</v>
      </c>
      <c r="B152" s="5" t="s">
        <v>165</v>
      </c>
      <c r="C152" s="5" t="s">
        <v>27</v>
      </c>
      <c r="D152" s="5" t="s">
        <v>385</v>
      </c>
      <c r="E152" s="5" t="s">
        <v>384</v>
      </c>
      <c r="F152" s="5" t="s">
        <v>30</v>
      </c>
      <c r="G152" s="5" t="s">
        <v>397</v>
      </c>
      <c r="H152" s="5" t="s">
        <v>36</v>
      </c>
      <c r="I152" s="5" t="s">
        <v>173</v>
      </c>
      <c r="J152" s="15">
        <v>3000</v>
      </c>
      <c r="K152" s="7">
        <v>18</v>
      </c>
      <c r="L152" s="7">
        <f t="shared" ref="L152:L193" si="44">J152/K152</f>
        <v>166.66666666666666</v>
      </c>
      <c r="M152" s="5" t="s">
        <v>10</v>
      </c>
      <c r="N152" s="5">
        <v>4</v>
      </c>
      <c r="O152" s="6">
        <f t="shared" ref="O152:O193" si="45">(J152*L152^2)/(1.6*10^6)</f>
        <v>52.083333333333329</v>
      </c>
      <c r="P152" s="6">
        <f t="shared" ref="P152:P193" si="46">(0.104*J152*L152^2)/(1.6*10^6)</f>
        <v>5.4166666666666661</v>
      </c>
      <c r="Q152" s="10">
        <f t="shared" ref="Q152:Q193" si="47">(0.104*O152)/(12*N152)</f>
        <v>0.11284722222222221</v>
      </c>
      <c r="R152" s="10">
        <f t="shared" ref="R152:R193" si="48">0.0159*O152^0.75</f>
        <v>0.3082628595775706</v>
      </c>
      <c r="S152" s="10">
        <f t="shared" ref="S152:S193" si="49">Q152+R152</f>
        <v>0.42111008179979281</v>
      </c>
    </row>
    <row r="153" spans="1:19" x14ac:dyDescent="0.25">
      <c r="A153" s="5" t="s">
        <v>8</v>
      </c>
      <c r="B153" s="5" t="s">
        <v>165</v>
      </c>
      <c r="C153" s="5" t="s">
        <v>27</v>
      </c>
      <c r="D153" s="5" t="s">
        <v>385</v>
      </c>
      <c r="E153" s="5" t="s">
        <v>384</v>
      </c>
      <c r="F153" s="5" t="s">
        <v>30</v>
      </c>
      <c r="G153" s="5" t="s">
        <v>397</v>
      </c>
      <c r="H153" s="5" t="s">
        <v>36</v>
      </c>
      <c r="I153" s="5" t="s">
        <v>170</v>
      </c>
      <c r="J153" s="15">
        <v>2695</v>
      </c>
      <c r="K153" s="7">
        <v>40</v>
      </c>
      <c r="L153" s="7">
        <f t="shared" si="44"/>
        <v>67.375</v>
      </c>
      <c r="M153" s="5" t="s">
        <v>10</v>
      </c>
      <c r="N153" s="5">
        <v>4</v>
      </c>
      <c r="O153" s="6">
        <f t="shared" si="45"/>
        <v>7.6460360839843746</v>
      </c>
      <c r="P153" s="6">
        <f t="shared" si="46"/>
        <v>0.79518775273437492</v>
      </c>
      <c r="Q153" s="10">
        <f t="shared" si="47"/>
        <v>1.6566411515299476E-2</v>
      </c>
      <c r="R153" s="10">
        <f t="shared" si="48"/>
        <v>7.3109595619803347E-2</v>
      </c>
      <c r="S153" s="10">
        <f t="shared" si="49"/>
        <v>8.967600713510282E-2</v>
      </c>
    </row>
    <row r="154" spans="1:19" x14ac:dyDescent="0.25">
      <c r="A154" s="5" t="s">
        <v>8</v>
      </c>
      <c r="B154" s="5" t="s">
        <v>165</v>
      </c>
      <c r="C154" s="5" t="s">
        <v>27</v>
      </c>
      <c r="D154" s="5" t="s">
        <v>385</v>
      </c>
      <c r="E154" s="5" t="s">
        <v>384</v>
      </c>
      <c r="F154" s="5" t="s">
        <v>30</v>
      </c>
      <c r="G154" s="5" t="s">
        <v>397</v>
      </c>
      <c r="H154" s="5" t="s">
        <v>36</v>
      </c>
      <c r="I154" s="5" t="s">
        <v>174</v>
      </c>
      <c r="J154" s="15">
        <v>5350</v>
      </c>
      <c r="K154" s="7">
        <v>40</v>
      </c>
      <c r="L154" s="7">
        <f t="shared" si="44"/>
        <v>133.75</v>
      </c>
      <c r="M154" s="5" t="s">
        <v>10</v>
      </c>
      <c r="N154" s="5">
        <v>4</v>
      </c>
      <c r="O154" s="6">
        <f t="shared" si="45"/>
        <v>59.816552734375001</v>
      </c>
      <c r="P154" s="6">
        <f t="shared" si="46"/>
        <v>6.2209214843750003</v>
      </c>
      <c r="Q154" s="10">
        <f t="shared" si="47"/>
        <v>0.12960253092447918</v>
      </c>
      <c r="R154" s="10">
        <f t="shared" si="48"/>
        <v>0.34198980524747485</v>
      </c>
      <c r="S154" s="10">
        <f t="shared" si="49"/>
        <v>0.47159233617195406</v>
      </c>
    </row>
    <row r="155" spans="1:19" x14ac:dyDescent="0.25">
      <c r="A155" s="5" t="s">
        <v>22</v>
      </c>
      <c r="B155" s="5" t="s">
        <v>26</v>
      </c>
      <c r="C155" s="5" t="s">
        <v>27</v>
      </c>
      <c r="D155" s="5" t="s">
        <v>385</v>
      </c>
      <c r="E155" s="5" t="s">
        <v>384</v>
      </c>
      <c r="F155" s="5" t="s">
        <v>30</v>
      </c>
      <c r="G155" s="5" t="s">
        <v>397</v>
      </c>
      <c r="H155" s="5" t="s">
        <v>36</v>
      </c>
      <c r="I155" s="5" t="s">
        <v>18</v>
      </c>
      <c r="J155" s="15">
        <v>1750</v>
      </c>
      <c r="K155" s="7">
        <v>28</v>
      </c>
      <c r="L155" s="7">
        <f t="shared" si="44"/>
        <v>62.5</v>
      </c>
      <c r="M155" s="5" t="s">
        <v>10</v>
      </c>
      <c r="N155" s="5">
        <v>4</v>
      </c>
      <c r="O155" s="6">
        <f t="shared" si="45"/>
        <v>4.2724609375</v>
      </c>
      <c r="P155" s="6">
        <f t="shared" si="46"/>
        <v>0.4443359375</v>
      </c>
      <c r="Q155" s="10">
        <f t="shared" si="47"/>
        <v>9.2569986979166661E-3</v>
      </c>
      <c r="R155" s="10">
        <f t="shared" si="48"/>
        <v>4.7250422897927295E-2</v>
      </c>
      <c r="S155" s="10">
        <f t="shared" si="49"/>
        <v>5.650742159584396E-2</v>
      </c>
    </row>
    <row r="156" spans="1:19" x14ac:dyDescent="0.25">
      <c r="A156" s="5" t="s">
        <v>8</v>
      </c>
      <c r="B156" s="5" t="s">
        <v>165</v>
      </c>
      <c r="C156" s="5" t="s">
        <v>27</v>
      </c>
      <c r="D156" s="5" t="s">
        <v>385</v>
      </c>
      <c r="E156" s="5" t="s">
        <v>384</v>
      </c>
      <c r="F156" s="5" t="s">
        <v>30</v>
      </c>
      <c r="G156" s="5" t="s">
        <v>397</v>
      </c>
      <c r="H156" s="5" t="s">
        <v>36</v>
      </c>
      <c r="I156" s="5" t="s">
        <v>18</v>
      </c>
      <c r="J156" s="15">
        <v>1450</v>
      </c>
      <c r="K156" s="7">
        <v>28.5</v>
      </c>
      <c r="L156" s="7">
        <f t="shared" si="44"/>
        <v>50.877192982456137</v>
      </c>
      <c r="M156" s="5" t="s">
        <v>10</v>
      </c>
      <c r="N156" s="5">
        <v>4</v>
      </c>
      <c r="O156" s="6">
        <f t="shared" si="45"/>
        <v>2.3458179439827638</v>
      </c>
      <c r="P156" s="6">
        <f t="shared" si="46"/>
        <v>0.24396506617420743</v>
      </c>
      <c r="Q156" s="10">
        <f t="shared" si="47"/>
        <v>5.0826055452959885E-3</v>
      </c>
      <c r="R156" s="10">
        <f t="shared" si="48"/>
        <v>3.0138237596683604E-2</v>
      </c>
      <c r="S156" s="10">
        <f t="shared" si="49"/>
        <v>3.5220843141979589E-2</v>
      </c>
    </row>
    <row r="157" spans="1:19" x14ac:dyDescent="0.25">
      <c r="A157" s="5" t="s">
        <v>8</v>
      </c>
      <c r="B157" s="5" t="s">
        <v>281</v>
      </c>
      <c r="C157" s="5" t="s">
        <v>27</v>
      </c>
      <c r="D157" s="5" t="s">
        <v>385</v>
      </c>
      <c r="E157" s="5" t="s">
        <v>384</v>
      </c>
      <c r="F157" s="5" t="s">
        <v>30</v>
      </c>
      <c r="G157" s="5" t="s">
        <v>397</v>
      </c>
      <c r="H157" s="5" t="s">
        <v>36</v>
      </c>
      <c r="I157" s="5" t="s">
        <v>18</v>
      </c>
      <c r="J157" s="15">
        <v>1975</v>
      </c>
      <c r="K157" s="7">
        <v>33</v>
      </c>
      <c r="L157" s="7">
        <f t="shared" si="44"/>
        <v>59.848484848484851</v>
      </c>
      <c r="M157" s="5" t="s">
        <v>10</v>
      </c>
      <c r="N157" s="5">
        <v>4</v>
      </c>
      <c r="O157" s="6">
        <f t="shared" si="45"/>
        <v>4.4213351555325984</v>
      </c>
      <c r="P157" s="6">
        <f t="shared" si="46"/>
        <v>0.45981885617539026</v>
      </c>
      <c r="Q157" s="10">
        <f t="shared" si="47"/>
        <v>9.5795595036539619E-3</v>
      </c>
      <c r="R157" s="10">
        <f t="shared" si="48"/>
        <v>4.8479954373658471E-2</v>
      </c>
      <c r="S157" s="10">
        <f t="shared" si="49"/>
        <v>5.8059513877312431E-2</v>
      </c>
    </row>
    <row r="158" spans="1:19" x14ac:dyDescent="0.25">
      <c r="A158" s="5" t="s">
        <v>8</v>
      </c>
      <c r="B158" s="5" t="s">
        <v>291</v>
      </c>
      <c r="C158" s="5" t="s">
        <v>27</v>
      </c>
      <c r="D158" s="5" t="s">
        <v>385</v>
      </c>
      <c r="E158" s="5" t="s">
        <v>384</v>
      </c>
      <c r="F158" s="5" t="s">
        <v>30</v>
      </c>
      <c r="G158" s="5" t="s">
        <v>397</v>
      </c>
      <c r="H158" s="5" t="s">
        <v>36</v>
      </c>
      <c r="I158" s="5" t="s">
        <v>18</v>
      </c>
      <c r="J158" s="15">
        <v>1559</v>
      </c>
      <c r="K158" s="7">
        <v>24.4</v>
      </c>
      <c r="L158" s="7">
        <f t="shared" si="44"/>
        <v>63.893442622950822</v>
      </c>
      <c r="M158" s="5" t="s">
        <v>10</v>
      </c>
      <c r="N158" s="5">
        <v>4</v>
      </c>
      <c r="O158" s="6">
        <f t="shared" si="45"/>
        <v>3.977761227450618</v>
      </c>
      <c r="P158" s="6">
        <f t="shared" si="46"/>
        <v>0.4136871676548643</v>
      </c>
      <c r="Q158" s="10">
        <f t="shared" si="47"/>
        <v>8.6184826594763383E-3</v>
      </c>
      <c r="R158" s="10">
        <f t="shared" si="48"/>
        <v>4.4784337805949009E-2</v>
      </c>
      <c r="S158" s="10">
        <f t="shared" si="49"/>
        <v>5.3402820465425348E-2</v>
      </c>
    </row>
    <row r="159" spans="1:19" x14ac:dyDescent="0.25">
      <c r="A159" s="5" t="s">
        <v>8</v>
      </c>
      <c r="B159" s="5" t="s">
        <v>291</v>
      </c>
      <c r="C159" s="5" t="s">
        <v>27</v>
      </c>
      <c r="D159" s="5" t="s">
        <v>385</v>
      </c>
      <c r="E159" s="5" t="s">
        <v>384</v>
      </c>
      <c r="F159" s="5" t="s">
        <v>30</v>
      </c>
      <c r="G159" s="5" t="s">
        <v>397</v>
      </c>
      <c r="H159" s="5" t="s">
        <v>36</v>
      </c>
      <c r="I159" s="5" t="s">
        <v>18</v>
      </c>
      <c r="J159" s="15">
        <v>1600</v>
      </c>
      <c r="K159" s="7">
        <v>25.6</v>
      </c>
      <c r="L159" s="7">
        <f t="shared" si="44"/>
        <v>62.5</v>
      </c>
      <c r="M159" s="5" t="s">
        <v>10</v>
      </c>
      <c r="N159" s="5">
        <v>4</v>
      </c>
      <c r="O159" s="6">
        <f t="shared" si="45"/>
        <v>3.90625</v>
      </c>
      <c r="P159" s="6">
        <f t="shared" si="46"/>
        <v>0.40625</v>
      </c>
      <c r="Q159" s="10">
        <f t="shared" si="47"/>
        <v>8.4635416666666661E-3</v>
      </c>
      <c r="R159" s="10">
        <f t="shared" si="48"/>
        <v>4.4179129093154489E-2</v>
      </c>
      <c r="S159" s="10">
        <f t="shared" si="49"/>
        <v>5.2642670759821153E-2</v>
      </c>
    </row>
    <row r="160" spans="1:19" x14ac:dyDescent="0.25">
      <c r="A160" s="5" t="s">
        <v>8</v>
      </c>
      <c r="B160" s="5" t="s">
        <v>307</v>
      </c>
      <c r="C160" s="5" t="s">
        <v>27</v>
      </c>
      <c r="D160" s="5" t="s">
        <v>385</v>
      </c>
      <c r="E160" s="5" t="s">
        <v>384</v>
      </c>
      <c r="F160" s="5" t="s">
        <v>30</v>
      </c>
      <c r="G160" s="5" t="s">
        <v>397</v>
      </c>
      <c r="H160" s="5" t="s">
        <v>36</v>
      </c>
      <c r="I160" s="5" t="s">
        <v>18</v>
      </c>
      <c r="J160" s="15">
        <v>1450</v>
      </c>
      <c r="K160" s="7">
        <v>34.200000000000003</v>
      </c>
      <c r="L160" s="7">
        <f t="shared" si="44"/>
        <v>42.397660818713447</v>
      </c>
      <c r="M160" s="5" t="s">
        <v>10</v>
      </c>
      <c r="N160" s="5">
        <v>4</v>
      </c>
      <c r="O160" s="6">
        <f t="shared" si="45"/>
        <v>1.629040238876919</v>
      </c>
      <c r="P160" s="6">
        <f t="shared" si="46"/>
        <v>0.16942018484319957</v>
      </c>
      <c r="Q160" s="10">
        <f t="shared" si="47"/>
        <v>3.5295871842333242E-3</v>
      </c>
      <c r="R160" s="10">
        <f t="shared" si="48"/>
        <v>2.2926934132158183E-2</v>
      </c>
      <c r="S160" s="10">
        <f t="shared" si="49"/>
        <v>2.6456521316391507E-2</v>
      </c>
    </row>
    <row r="161" spans="1:19" x14ac:dyDescent="0.25">
      <c r="A161" s="5" t="s">
        <v>8</v>
      </c>
      <c r="B161" s="5" t="s">
        <v>165</v>
      </c>
      <c r="C161" s="5" t="s">
        <v>27</v>
      </c>
      <c r="D161" s="5" t="s">
        <v>385</v>
      </c>
      <c r="E161" s="5" t="s">
        <v>384</v>
      </c>
      <c r="F161" s="5" t="s">
        <v>30</v>
      </c>
      <c r="G161" s="5" t="s">
        <v>397</v>
      </c>
      <c r="H161" s="5" t="s">
        <v>36</v>
      </c>
      <c r="I161" s="5" t="s">
        <v>175</v>
      </c>
      <c r="J161" s="15">
        <v>1800</v>
      </c>
      <c r="K161" s="7">
        <v>25</v>
      </c>
      <c r="L161" s="7">
        <f t="shared" si="44"/>
        <v>72</v>
      </c>
      <c r="M161" s="5" t="s">
        <v>10</v>
      </c>
      <c r="N161" s="5">
        <v>4</v>
      </c>
      <c r="O161" s="6">
        <f t="shared" si="45"/>
        <v>5.8319999999999999</v>
      </c>
      <c r="P161" s="6">
        <f t="shared" si="46"/>
        <v>0.60652799999999996</v>
      </c>
      <c r="Q161" s="10">
        <f t="shared" si="47"/>
        <v>1.2636E-2</v>
      </c>
      <c r="R161" s="10">
        <f t="shared" si="48"/>
        <v>5.9670580217310476E-2</v>
      </c>
      <c r="S161" s="10">
        <f t="shared" si="49"/>
        <v>7.230658021731047E-2</v>
      </c>
    </row>
    <row r="162" spans="1:19" x14ac:dyDescent="0.25">
      <c r="A162" s="5" t="s">
        <v>8</v>
      </c>
      <c r="B162" s="5" t="s">
        <v>165</v>
      </c>
      <c r="C162" s="5" t="s">
        <v>27</v>
      </c>
      <c r="D162" s="5" t="s">
        <v>385</v>
      </c>
      <c r="E162" s="5" t="s">
        <v>384</v>
      </c>
      <c r="F162" s="5" t="s">
        <v>30</v>
      </c>
      <c r="G162" s="5" t="s">
        <v>397</v>
      </c>
      <c r="H162" s="5" t="s">
        <v>36</v>
      </c>
      <c r="I162" s="5" t="s">
        <v>176</v>
      </c>
      <c r="J162" s="15">
        <v>1750</v>
      </c>
      <c r="K162" s="7">
        <v>35.5</v>
      </c>
      <c r="L162" s="7">
        <f t="shared" si="44"/>
        <v>49.29577464788732</v>
      </c>
      <c r="M162" s="5" t="s">
        <v>10</v>
      </c>
      <c r="N162" s="5">
        <v>4</v>
      </c>
      <c r="O162" s="6">
        <f t="shared" si="45"/>
        <v>2.6578927792104734</v>
      </c>
      <c r="P162" s="6">
        <f t="shared" si="46"/>
        <v>0.27642084903788922</v>
      </c>
      <c r="Q162" s="10">
        <f t="shared" si="47"/>
        <v>5.7587676882893584E-3</v>
      </c>
      <c r="R162" s="10">
        <f t="shared" si="48"/>
        <v>3.3097883067103442E-2</v>
      </c>
      <c r="S162" s="10">
        <f t="shared" si="49"/>
        <v>3.8856650755392803E-2</v>
      </c>
    </row>
    <row r="163" spans="1:19" x14ac:dyDescent="0.25">
      <c r="A163" s="5" t="s">
        <v>8</v>
      </c>
      <c r="B163" s="5" t="s">
        <v>165</v>
      </c>
      <c r="C163" s="5" t="s">
        <v>27</v>
      </c>
      <c r="D163" s="5" t="s">
        <v>385</v>
      </c>
      <c r="E163" s="5" t="s">
        <v>384</v>
      </c>
      <c r="F163" s="5" t="s">
        <v>30</v>
      </c>
      <c r="G163" s="5" t="s">
        <v>397</v>
      </c>
      <c r="H163" s="5" t="s">
        <v>36</v>
      </c>
      <c r="I163" s="5" t="s">
        <v>177</v>
      </c>
      <c r="J163" s="15">
        <v>1060</v>
      </c>
      <c r="K163" s="7">
        <v>28</v>
      </c>
      <c r="L163" s="7">
        <f t="shared" si="44"/>
        <v>37.857142857142854</v>
      </c>
      <c r="M163" s="5" t="s">
        <v>10</v>
      </c>
      <c r="N163" s="5">
        <v>4</v>
      </c>
      <c r="O163" s="6">
        <f t="shared" si="45"/>
        <v>0.94947066326530594</v>
      </c>
      <c r="P163" s="6">
        <f t="shared" si="46"/>
        <v>9.874494897959181E-2</v>
      </c>
      <c r="Q163" s="10">
        <f t="shared" si="47"/>
        <v>2.0571864370748294E-3</v>
      </c>
      <c r="R163" s="10">
        <f t="shared" si="48"/>
        <v>1.5293549291277381E-2</v>
      </c>
      <c r="S163" s="10">
        <f t="shared" si="49"/>
        <v>1.7350735728352211E-2</v>
      </c>
    </row>
    <row r="164" spans="1:19" x14ac:dyDescent="0.25">
      <c r="A164" s="5" t="s">
        <v>8</v>
      </c>
      <c r="B164" s="5" t="s">
        <v>165</v>
      </c>
      <c r="C164" s="5" t="s">
        <v>27</v>
      </c>
      <c r="D164" s="5" t="s">
        <v>385</v>
      </c>
      <c r="E164" s="5" t="s">
        <v>384</v>
      </c>
      <c r="F164" s="5" t="s">
        <v>30</v>
      </c>
      <c r="G164" s="5" t="s">
        <v>397</v>
      </c>
      <c r="H164" s="5" t="s">
        <v>36</v>
      </c>
      <c r="I164" s="5" t="s">
        <v>178</v>
      </c>
      <c r="J164" s="15">
        <v>1700</v>
      </c>
      <c r="K164" s="7">
        <v>26.5</v>
      </c>
      <c r="L164" s="7">
        <f t="shared" si="44"/>
        <v>64.15094339622641</v>
      </c>
      <c r="M164" s="5" t="s">
        <v>10</v>
      </c>
      <c r="N164" s="5">
        <v>4</v>
      </c>
      <c r="O164" s="6">
        <f t="shared" si="45"/>
        <v>4.3725525097899602</v>
      </c>
      <c r="P164" s="6">
        <f t="shared" si="46"/>
        <v>0.45474546101815583</v>
      </c>
      <c r="Q164" s="10">
        <f t="shared" si="47"/>
        <v>9.4738637712115797E-3</v>
      </c>
      <c r="R164" s="10">
        <f t="shared" si="48"/>
        <v>4.8078222116359363E-2</v>
      </c>
      <c r="S164" s="10">
        <f t="shared" si="49"/>
        <v>5.7552085887570943E-2</v>
      </c>
    </row>
    <row r="165" spans="1:19" x14ac:dyDescent="0.25">
      <c r="A165" s="5" t="s">
        <v>8</v>
      </c>
      <c r="B165" s="5" t="s">
        <v>165</v>
      </c>
      <c r="C165" s="5" t="s">
        <v>27</v>
      </c>
      <c r="D165" s="5" t="s">
        <v>385</v>
      </c>
      <c r="E165" s="5" t="s">
        <v>384</v>
      </c>
      <c r="F165" s="5" t="s">
        <v>30</v>
      </c>
      <c r="G165" s="5" t="s">
        <v>397</v>
      </c>
      <c r="H165" s="5" t="s">
        <v>36</v>
      </c>
      <c r="I165" s="5" t="s">
        <v>179</v>
      </c>
      <c r="J165" s="15">
        <v>1200</v>
      </c>
      <c r="K165" s="7">
        <v>28</v>
      </c>
      <c r="L165" s="7">
        <f t="shared" si="44"/>
        <v>42.857142857142854</v>
      </c>
      <c r="M165" s="5" t="s">
        <v>10</v>
      </c>
      <c r="N165" s="5">
        <v>4</v>
      </c>
      <c r="O165" s="6">
        <f t="shared" si="45"/>
        <v>1.3775510204081631</v>
      </c>
      <c r="P165" s="6">
        <f t="shared" si="46"/>
        <v>0.14326530612244898</v>
      </c>
      <c r="Q165" s="10">
        <f t="shared" si="47"/>
        <v>2.9846938775510198E-3</v>
      </c>
      <c r="R165" s="10">
        <f t="shared" si="48"/>
        <v>2.0217520582724226E-2</v>
      </c>
      <c r="S165" s="10">
        <f t="shared" si="49"/>
        <v>2.3202214460275247E-2</v>
      </c>
    </row>
    <row r="166" spans="1:19" x14ac:dyDescent="0.25">
      <c r="A166" s="5" t="s">
        <v>8</v>
      </c>
      <c r="B166" s="5" t="s">
        <v>165</v>
      </c>
      <c r="C166" s="5" t="s">
        <v>27</v>
      </c>
      <c r="D166" s="5" t="s">
        <v>385</v>
      </c>
      <c r="E166" s="5" t="s">
        <v>384</v>
      </c>
      <c r="F166" s="5" t="s">
        <v>30</v>
      </c>
      <c r="G166" s="5" t="s">
        <v>397</v>
      </c>
      <c r="H166" s="5" t="s">
        <v>36</v>
      </c>
      <c r="I166" s="5" t="s">
        <v>180</v>
      </c>
      <c r="J166" s="15">
        <v>4150</v>
      </c>
      <c r="K166" s="7">
        <v>26.5</v>
      </c>
      <c r="L166" s="7">
        <f t="shared" si="44"/>
        <v>156.60377358490567</v>
      </c>
      <c r="M166" s="5" t="s">
        <v>10</v>
      </c>
      <c r="N166" s="5">
        <v>4</v>
      </c>
      <c r="O166" s="6">
        <f t="shared" si="45"/>
        <v>63.61104930580278</v>
      </c>
      <c r="P166" s="6">
        <f t="shared" si="46"/>
        <v>6.6155491278034892</v>
      </c>
      <c r="Q166" s="10">
        <f t="shared" si="47"/>
        <v>0.13782394016257268</v>
      </c>
      <c r="R166" s="10">
        <f t="shared" si="48"/>
        <v>0.35813481691991617</v>
      </c>
      <c r="S166" s="10">
        <f t="shared" si="49"/>
        <v>0.49595875708248882</v>
      </c>
    </row>
    <row r="167" spans="1:19" x14ac:dyDescent="0.25">
      <c r="A167" s="5" t="s">
        <v>8</v>
      </c>
      <c r="B167" s="5" t="s">
        <v>165</v>
      </c>
      <c r="C167" s="5" t="s">
        <v>27</v>
      </c>
      <c r="D167" s="5" t="s">
        <v>385</v>
      </c>
      <c r="E167" s="5" t="s">
        <v>384</v>
      </c>
      <c r="F167" s="5" t="s">
        <v>30</v>
      </c>
      <c r="G167" s="5" t="s">
        <v>397</v>
      </c>
      <c r="H167" s="5" t="s">
        <v>36</v>
      </c>
      <c r="I167" s="5" t="s">
        <v>172</v>
      </c>
      <c r="J167" s="15">
        <v>1615</v>
      </c>
      <c r="K167" s="7">
        <v>35</v>
      </c>
      <c r="L167" s="7">
        <f t="shared" si="44"/>
        <v>46.142857142857146</v>
      </c>
      <c r="M167" s="5" t="s">
        <v>10</v>
      </c>
      <c r="N167" s="5">
        <v>4</v>
      </c>
      <c r="O167" s="6">
        <f t="shared" si="45"/>
        <v>2.1491241709183679</v>
      </c>
      <c r="P167" s="6">
        <f t="shared" si="46"/>
        <v>0.22350891377551022</v>
      </c>
      <c r="Q167" s="10">
        <f t="shared" si="47"/>
        <v>4.6564357036564634E-3</v>
      </c>
      <c r="R167" s="10">
        <f t="shared" si="48"/>
        <v>2.8222355350425752E-2</v>
      </c>
      <c r="S167" s="10">
        <f t="shared" si="49"/>
        <v>3.2878791054082215E-2</v>
      </c>
    </row>
    <row r="168" spans="1:19" x14ac:dyDescent="0.25">
      <c r="A168" s="5" t="s">
        <v>8</v>
      </c>
      <c r="B168" s="5" t="s">
        <v>165</v>
      </c>
      <c r="C168" s="5" t="s">
        <v>27</v>
      </c>
      <c r="D168" s="5" t="s">
        <v>385</v>
      </c>
      <c r="E168" s="5" t="s">
        <v>384</v>
      </c>
      <c r="F168" s="5" t="s">
        <v>30</v>
      </c>
      <c r="G168" s="5" t="s">
        <v>397</v>
      </c>
      <c r="H168" s="5" t="s">
        <v>36</v>
      </c>
      <c r="I168" s="5" t="s">
        <v>172</v>
      </c>
      <c r="J168" s="15">
        <v>1600</v>
      </c>
      <c r="K168" s="7">
        <v>35</v>
      </c>
      <c r="L168" s="7">
        <f t="shared" si="44"/>
        <v>45.714285714285715</v>
      </c>
      <c r="M168" s="5" t="s">
        <v>10</v>
      </c>
      <c r="N168" s="5">
        <v>4</v>
      </c>
      <c r="O168" s="6">
        <f t="shared" si="45"/>
        <v>2.0897959183673471</v>
      </c>
      <c r="P168" s="6">
        <f t="shared" si="46"/>
        <v>0.21733877551020411</v>
      </c>
      <c r="Q168" s="10">
        <f t="shared" si="47"/>
        <v>4.5278911564625851E-3</v>
      </c>
      <c r="R168" s="10">
        <f t="shared" si="48"/>
        <v>2.7635990312774601E-2</v>
      </c>
      <c r="S168" s="10">
        <f t="shared" si="49"/>
        <v>3.2163881469237182E-2</v>
      </c>
    </row>
    <row r="169" spans="1:19" x14ac:dyDescent="0.25">
      <c r="A169" s="5" t="s">
        <v>8</v>
      </c>
      <c r="B169" s="5" t="s">
        <v>165</v>
      </c>
      <c r="C169" s="5" t="s">
        <v>27</v>
      </c>
      <c r="D169" s="5" t="s">
        <v>385</v>
      </c>
      <c r="E169" s="5" t="s">
        <v>384</v>
      </c>
      <c r="F169" s="5" t="s">
        <v>30</v>
      </c>
      <c r="G169" s="5" t="s">
        <v>397</v>
      </c>
      <c r="H169" s="5" t="s">
        <v>36</v>
      </c>
      <c r="I169" s="5" t="s">
        <v>71</v>
      </c>
      <c r="J169" s="15">
        <v>3100</v>
      </c>
      <c r="K169" s="7">
        <v>39.5</v>
      </c>
      <c r="L169" s="7">
        <f t="shared" si="44"/>
        <v>78.481012658227854</v>
      </c>
      <c r="M169" s="5" t="s">
        <v>10</v>
      </c>
      <c r="N169" s="5">
        <v>4</v>
      </c>
      <c r="O169" s="6">
        <f t="shared" si="45"/>
        <v>11.933584361480534</v>
      </c>
      <c r="P169" s="6">
        <f t="shared" si="46"/>
        <v>1.2410927735939754</v>
      </c>
      <c r="Q169" s="10">
        <f t="shared" si="47"/>
        <v>2.5856099449874489E-2</v>
      </c>
      <c r="R169" s="10">
        <f t="shared" si="48"/>
        <v>0.10208814323887225</v>
      </c>
      <c r="S169" s="10">
        <f t="shared" si="49"/>
        <v>0.12794424268874674</v>
      </c>
    </row>
    <row r="170" spans="1:19" x14ac:dyDescent="0.25">
      <c r="A170" s="5" t="s">
        <v>22</v>
      </c>
      <c r="B170" s="5" t="s">
        <v>26</v>
      </c>
      <c r="C170" s="5" t="s">
        <v>27</v>
      </c>
      <c r="D170" s="5" t="s">
        <v>385</v>
      </c>
      <c r="E170" s="5" t="s">
        <v>384</v>
      </c>
      <c r="F170" s="5" t="s">
        <v>30</v>
      </c>
      <c r="G170" s="5" t="s">
        <v>397</v>
      </c>
      <c r="H170" s="5" t="s">
        <v>36</v>
      </c>
      <c r="I170" s="5" t="s">
        <v>37</v>
      </c>
      <c r="J170" s="15">
        <v>3105</v>
      </c>
      <c r="K170" s="7">
        <v>37.5</v>
      </c>
      <c r="L170" s="7">
        <f t="shared" si="44"/>
        <v>82.8</v>
      </c>
      <c r="M170" s="5" t="s">
        <v>10</v>
      </c>
      <c r="N170" s="5">
        <v>4</v>
      </c>
      <c r="O170" s="6">
        <f t="shared" si="45"/>
        <v>13.3046145</v>
      </c>
      <c r="P170" s="6">
        <f t="shared" si="46"/>
        <v>1.3836799079999997</v>
      </c>
      <c r="Q170" s="10">
        <f t="shared" si="47"/>
        <v>2.8826664749999998E-2</v>
      </c>
      <c r="R170" s="10">
        <f t="shared" si="48"/>
        <v>0.11076405481821383</v>
      </c>
      <c r="S170" s="10">
        <f t="shared" si="49"/>
        <v>0.13959071956821384</v>
      </c>
    </row>
    <row r="171" spans="1:19" x14ac:dyDescent="0.25">
      <c r="A171" s="5" t="s">
        <v>8</v>
      </c>
      <c r="B171" s="5" t="s">
        <v>165</v>
      </c>
      <c r="C171" s="5" t="s">
        <v>27</v>
      </c>
      <c r="D171" s="5" t="s">
        <v>385</v>
      </c>
      <c r="E171" s="5" t="s">
        <v>384</v>
      </c>
      <c r="F171" s="5" t="s">
        <v>30</v>
      </c>
      <c r="G171" s="5" t="s">
        <v>397</v>
      </c>
      <c r="H171" s="5" t="s">
        <v>36</v>
      </c>
      <c r="I171" s="5" t="s">
        <v>37</v>
      </c>
      <c r="J171" s="15">
        <v>3050</v>
      </c>
      <c r="K171" s="7">
        <v>36.5</v>
      </c>
      <c r="L171" s="7">
        <f t="shared" si="44"/>
        <v>83.561643835616437</v>
      </c>
      <c r="M171" s="5" t="s">
        <v>10</v>
      </c>
      <c r="N171" s="5">
        <v>4</v>
      </c>
      <c r="O171" s="6">
        <f t="shared" si="45"/>
        <v>13.310482735972977</v>
      </c>
      <c r="P171" s="6">
        <f t="shared" si="46"/>
        <v>1.3842902045411896</v>
      </c>
      <c r="Q171" s="10">
        <f t="shared" si="47"/>
        <v>2.8839379261274781E-2</v>
      </c>
      <c r="R171" s="10">
        <f t="shared" si="48"/>
        <v>0.11080069363522363</v>
      </c>
      <c r="S171" s="10">
        <f t="shared" si="49"/>
        <v>0.13964007289649841</v>
      </c>
    </row>
    <row r="172" spans="1:19" x14ac:dyDescent="0.25">
      <c r="A172" s="5" t="s">
        <v>8</v>
      </c>
      <c r="B172" s="5" t="s">
        <v>165</v>
      </c>
      <c r="C172" s="5" t="s">
        <v>27</v>
      </c>
      <c r="D172" s="5" t="s">
        <v>385</v>
      </c>
      <c r="E172" s="5" t="s">
        <v>384</v>
      </c>
      <c r="F172" s="5" t="s">
        <v>30</v>
      </c>
      <c r="G172" s="5" t="s">
        <v>397</v>
      </c>
      <c r="H172" s="5" t="s">
        <v>36</v>
      </c>
      <c r="I172" s="5" t="s">
        <v>181</v>
      </c>
      <c r="J172" s="15">
        <v>1850</v>
      </c>
      <c r="K172" s="7">
        <v>28.5</v>
      </c>
      <c r="L172" s="7">
        <f t="shared" si="44"/>
        <v>64.912280701754383</v>
      </c>
      <c r="M172" s="5" t="s">
        <v>10</v>
      </c>
      <c r="N172" s="5">
        <v>4</v>
      </c>
      <c r="O172" s="6">
        <f t="shared" si="45"/>
        <v>4.8719798399507539</v>
      </c>
      <c r="P172" s="6">
        <f t="shared" si="46"/>
        <v>0.5066859033548784</v>
      </c>
      <c r="Q172" s="10">
        <f t="shared" si="47"/>
        <v>1.0555956319893299E-2</v>
      </c>
      <c r="R172" s="10">
        <f t="shared" si="48"/>
        <v>5.2140625426400966E-2</v>
      </c>
      <c r="S172" s="10">
        <f t="shared" si="49"/>
        <v>6.2696581746294264E-2</v>
      </c>
    </row>
    <row r="173" spans="1:19" x14ac:dyDescent="0.25">
      <c r="A173" s="5" t="s">
        <v>8</v>
      </c>
      <c r="B173" s="5" t="s">
        <v>165</v>
      </c>
      <c r="C173" s="5" t="s">
        <v>27</v>
      </c>
      <c r="D173" s="5" t="s">
        <v>385</v>
      </c>
      <c r="E173" s="5" t="s">
        <v>384</v>
      </c>
      <c r="F173" s="5" t="s">
        <v>30</v>
      </c>
      <c r="G173" s="5" t="s">
        <v>397</v>
      </c>
      <c r="H173" s="5" t="s">
        <v>36</v>
      </c>
      <c r="I173" s="5" t="s">
        <v>171</v>
      </c>
      <c r="J173" s="15">
        <v>1740</v>
      </c>
      <c r="K173" s="7">
        <v>26.5</v>
      </c>
      <c r="L173" s="7">
        <f t="shared" si="44"/>
        <v>65.660377358490564</v>
      </c>
      <c r="M173" s="5" t="s">
        <v>10</v>
      </c>
      <c r="N173" s="5">
        <v>4</v>
      </c>
      <c r="O173" s="6">
        <f t="shared" si="45"/>
        <v>4.6885226059095757</v>
      </c>
      <c r="P173" s="6">
        <f t="shared" si="46"/>
        <v>0.48760635101459576</v>
      </c>
      <c r="Q173" s="10">
        <f t="shared" si="47"/>
        <v>1.0158465646137415E-2</v>
      </c>
      <c r="R173" s="10">
        <f t="shared" si="48"/>
        <v>5.0661043972834809E-2</v>
      </c>
      <c r="S173" s="10">
        <f t="shared" si="49"/>
        <v>6.0819509618972221E-2</v>
      </c>
    </row>
    <row r="174" spans="1:19" x14ac:dyDescent="0.25">
      <c r="A174" s="5" t="s">
        <v>8</v>
      </c>
      <c r="B174" s="5" t="s">
        <v>226</v>
      </c>
      <c r="C174" s="5" t="s">
        <v>27</v>
      </c>
      <c r="D174" s="5" t="s">
        <v>385</v>
      </c>
      <c r="E174" s="5" t="s">
        <v>384</v>
      </c>
      <c r="F174" s="5" t="s">
        <v>30</v>
      </c>
      <c r="G174" s="5" t="s">
        <v>397</v>
      </c>
      <c r="H174" s="5" t="s">
        <v>36</v>
      </c>
      <c r="I174" s="5" t="s">
        <v>227</v>
      </c>
      <c r="J174" s="15">
        <v>1508</v>
      </c>
      <c r="K174" s="7">
        <v>28.4</v>
      </c>
      <c r="L174" s="7">
        <f t="shared" si="44"/>
        <v>53.098591549295776</v>
      </c>
      <c r="M174" s="5" t="s">
        <v>10</v>
      </c>
      <c r="N174" s="5">
        <v>4</v>
      </c>
      <c r="O174" s="6">
        <f t="shared" si="45"/>
        <v>2.6573414501091053</v>
      </c>
      <c r="P174" s="6">
        <f t="shared" si="46"/>
        <v>0.27636351081134697</v>
      </c>
      <c r="Q174" s="10">
        <f t="shared" si="47"/>
        <v>5.7575731419030607E-3</v>
      </c>
      <c r="R174" s="10">
        <f t="shared" si="48"/>
        <v>3.3092733790731882E-2</v>
      </c>
      <c r="S174" s="10">
        <f t="shared" si="49"/>
        <v>3.8850306932634943E-2</v>
      </c>
    </row>
    <row r="175" spans="1:19" x14ac:dyDescent="0.25">
      <c r="A175" s="5" t="s">
        <v>22</v>
      </c>
      <c r="B175" s="5" t="s">
        <v>26</v>
      </c>
      <c r="C175" s="5" t="s">
        <v>27</v>
      </c>
      <c r="D175" s="5" t="s">
        <v>385</v>
      </c>
      <c r="E175" s="5" t="s">
        <v>384</v>
      </c>
      <c r="F175" s="5" t="s">
        <v>30</v>
      </c>
      <c r="G175" s="5" t="s">
        <v>397</v>
      </c>
      <c r="H175" s="5" t="s">
        <v>36</v>
      </c>
      <c r="I175" s="5" t="s">
        <v>38</v>
      </c>
      <c r="J175" s="15">
        <v>1900</v>
      </c>
      <c r="K175" s="7">
        <v>37</v>
      </c>
      <c r="L175" s="7">
        <f t="shared" si="44"/>
        <v>51.351351351351354</v>
      </c>
      <c r="M175" s="5" t="s">
        <v>10</v>
      </c>
      <c r="N175" s="5">
        <v>4</v>
      </c>
      <c r="O175" s="6">
        <f t="shared" si="45"/>
        <v>3.1313915266617975</v>
      </c>
      <c r="P175" s="6">
        <f t="shared" si="46"/>
        <v>0.32566471877282693</v>
      </c>
      <c r="Q175" s="10">
        <f t="shared" si="47"/>
        <v>6.7846816411005614E-3</v>
      </c>
      <c r="R175" s="10">
        <f t="shared" si="48"/>
        <v>3.7428304441951506E-2</v>
      </c>
      <c r="S175" s="10">
        <f t="shared" si="49"/>
        <v>4.4212986083052068E-2</v>
      </c>
    </row>
    <row r="176" spans="1:19" x14ac:dyDescent="0.25">
      <c r="A176" s="5" t="s">
        <v>8</v>
      </c>
      <c r="B176" s="5" t="s">
        <v>165</v>
      </c>
      <c r="C176" s="5" t="s">
        <v>27</v>
      </c>
      <c r="D176" s="5" t="s">
        <v>385</v>
      </c>
      <c r="E176" s="5" t="s">
        <v>384</v>
      </c>
      <c r="F176" s="5" t="s">
        <v>30</v>
      </c>
      <c r="G176" s="5" t="s">
        <v>397</v>
      </c>
      <c r="H176" s="5" t="s">
        <v>36</v>
      </c>
      <c r="I176" s="5" t="s">
        <v>38</v>
      </c>
      <c r="J176" s="15">
        <v>1900</v>
      </c>
      <c r="K176" s="7">
        <v>37</v>
      </c>
      <c r="L176" s="7">
        <f t="shared" si="44"/>
        <v>51.351351351351354</v>
      </c>
      <c r="M176" s="5" t="s">
        <v>10</v>
      </c>
      <c r="N176" s="5">
        <v>4</v>
      </c>
      <c r="O176" s="6">
        <f t="shared" si="45"/>
        <v>3.1313915266617975</v>
      </c>
      <c r="P176" s="6">
        <f t="shared" si="46"/>
        <v>0.32566471877282693</v>
      </c>
      <c r="Q176" s="10">
        <f t="shared" si="47"/>
        <v>6.7846816411005614E-3</v>
      </c>
      <c r="R176" s="10">
        <f t="shared" si="48"/>
        <v>3.7428304441951506E-2</v>
      </c>
      <c r="S176" s="10">
        <f t="shared" si="49"/>
        <v>4.4212986083052068E-2</v>
      </c>
    </row>
    <row r="177" spans="1:19" x14ac:dyDescent="0.25">
      <c r="A177" s="5" t="s">
        <v>8</v>
      </c>
      <c r="B177" s="5" t="s">
        <v>291</v>
      </c>
      <c r="C177" s="5" t="s">
        <v>27</v>
      </c>
      <c r="D177" s="5" t="s">
        <v>385</v>
      </c>
      <c r="E177" s="5" t="s">
        <v>384</v>
      </c>
      <c r="F177" s="5" t="s">
        <v>30</v>
      </c>
      <c r="G177" s="5" t="s">
        <v>397</v>
      </c>
      <c r="H177" s="5" t="s">
        <v>36</v>
      </c>
      <c r="I177" s="5" t="s">
        <v>38</v>
      </c>
      <c r="J177" s="15">
        <v>1808</v>
      </c>
      <c r="K177" s="7">
        <v>27.3</v>
      </c>
      <c r="L177" s="7">
        <f t="shared" si="44"/>
        <v>66.227106227106219</v>
      </c>
      <c r="M177" s="5" t="s">
        <v>10</v>
      </c>
      <c r="N177" s="5">
        <v>4</v>
      </c>
      <c r="O177" s="6">
        <f t="shared" si="45"/>
        <v>4.9562134471145445</v>
      </c>
      <c r="P177" s="6">
        <f t="shared" si="46"/>
        <v>0.51544619849991258</v>
      </c>
      <c r="Q177" s="10">
        <f t="shared" si="47"/>
        <v>1.0738462468748178E-2</v>
      </c>
      <c r="R177" s="10">
        <f t="shared" si="48"/>
        <v>5.2815284747529848E-2</v>
      </c>
      <c r="S177" s="10">
        <f t="shared" si="49"/>
        <v>6.3553747216278031E-2</v>
      </c>
    </row>
    <row r="178" spans="1:19" x14ac:dyDescent="0.25">
      <c r="A178" s="5" t="s">
        <v>8</v>
      </c>
      <c r="B178" s="5" t="s">
        <v>291</v>
      </c>
      <c r="C178" s="5" t="s">
        <v>27</v>
      </c>
      <c r="D178" s="5" t="s">
        <v>385</v>
      </c>
      <c r="E178" s="5" t="s">
        <v>384</v>
      </c>
      <c r="F178" s="5" t="s">
        <v>30</v>
      </c>
      <c r="G178" s="5" t="s">
        <v>397</v>
      </c>
      <c r="H178" s="5" t="s">
        <v>36</v>
      </c>
      <c r="I178" s="5" t="s">
        <v>38</v>
      </c>
      <c r="J178" s="15">
        <v>1839</v>
      </c>
      <c r="K178" s="7">
        <v>33.299999999999997</v>
      </c>
      <c r="L178" s="7">
        <f t="shared" si="44"/>
        <v>55.22522522522523</v>
      </c>
      <c r="M178" s="5" t="s">
        <v>10</v>
      </c>
      <c r="N178" s="5">
        <v>4</v>
      </c>
      <c r="O178" s="6">
        <f t="shared" si="45"/>
        <v>3.5053931854151457</v>
      </c>
      <c r="P178" s="6">
        <f t="shared" si="46"/>
        <v>0.36456089128317515</v>
      </c>
      <c r="Q178" s="10">
        <f t="shared" si="47"/>
        <v>7.5950185683994823E-3</v>
      </c>
      <c r="R178" s="10">
        <f t="shared" si="48"/>
        <v>4.073330769697972E-2</v>
      </c>
      <c r="S178" s="10">
        <f t="shared" si="49"/>
        <v>4.8328326265379203E-2</v>
      </c>
    </row>
    <row r="179" spans="1:19" x14ac:dyDescent="0.25">
      <c r="A179" s="5" t="s">
        <v>8</v>
      </c>
      <c r="B179" s="5" t="s">
        <v>165</v>
      </c>
      <c r="C179" s="5" t="s">
        <v>27</v>
      </c>
      <c r="D179" s="5" t="s">
        <v>385</v>
      </c>
      <c r="E179" s="5" t="s">
        <v>384</v>
      </c>
      <c r="F179" s="5" t="s">
        <v>30</v>
      </c>
      <c r="G179" s="5" t="s">
        <v>397</v>
      </c>
      <c r="H179" s="5" t="s">
        <v>36</v>
      </c>
      <c r="I179" s="5" t="s">
        <v>182</v>
      </c>
      <c r="J179" s="15">
        <v>1650</v>
      </c>
      <c r="K179" s="7">
        <v>32.5</v>
      </c>
      <c r="L179" s="7">
        <f t="shared" si="44"/>
        <v>50.769230769230766</v>
      </c>
      <c r="M179" s="5" t="s">
        <v>10</v>
      </c>
      <c r="N179" s="5">
        <v>4</v>
      </c>
      <c r="O179" s="6">
        <f t="shared" si="45"/>
        <v>2.6580621301775147</v>
      </c>
      <c r="P179" s="6">
        <f t="shared" si="46"/>
        <v>0.27643846153846147</v>
      </c>
      <c r="Q179" s="10">
        <f t="shared" si="47"/>
        <v>5.7591346153846147E-3</v>
      </c>
      <c r="R179" s="10">
        <f t="shared" si="48"/>
        <v>3.3099464709308975E-2</v>
      </c>
      <c r="S179" s="10">
        <f t="shared" si="49"/>
        <v>3.8858599324693592E-2</v>
      </c>
    </row>
    <row r="180" spans="1:19" x14ac:dyDescent="0.25">
      <c r="A180" s="5" t="s">
        <v>8</v>
      </c>
      <c r="B180" s="5" t="s">
        <v>165</v>
      </c>
      <c r="C180" s="5" t="s">
        <v>27</v>
      </c>
      <c r="D180" s="5" t="s">
        <v>385</v>
      </c>
      <c r="E180" s="5" t="s">
        <v>384</v>
      </c>
      <c r="F180" s="5" t="s">
        <v>30</v>
      </c>
      <c r="G180" s="5" t="s">
        <v>397</v>
      </c>
      <c r="H180" s="5" t="s">
        <v>36</v>
      </c>
      <c r="I180" s="5" t="s">
        <v>183</v>
      </c>
      <c r="J180" s="15">
        <v>1550</v>
      </c>
      <c r="K180" s="7">
        <v>28.5</v>
      </c>
      <c r="L180" s="7">
        <f t="shared" si="44"/>
        <v>54.385964912280699</v>
      </c>
      <c r="M180" s="5" t="s">
        <v>10</v>
      </c>
      <c r="N180" s="5">
        <v>4</v>
      </c>
      <c r="O180" s="6">
        <f t="shared" si="45"/>
        <v>2.8654008925823327</v>
      </c>
      <c r="P180" s="6">
        <f t="shared" si="46"/>
        <v>0.29800169282856259</v>
      </c>
      <c r="Q180" s="10">
        <f t="shared" si="47"/>
        <v>6.2083686005950543E-3</v>
      </c>
      <c r="R180" s="10">
        <f t="shared" si="48"/>
        <v>3.5017583120459564E-2</v>
      </c>
      <c r="S180" s="10">
        <f t="shared" si="49"/>
        <v>4.1225951721054616E-2</v>
      </c>
    </row>
    <row r="181" spans="1:19" x14ac:dyDescent="0.25">
      <c r="A181" s="5" t="s">
        <v>8</v>
      </c>
      <c r="B181" s="5" t="s">
        <v>165</v>
      </c>
      <c r="C181" s="5" t="s">
        <v>27</v>
      </c>
      <c r="D181" s="5" t="s">
        <v>385</v>
      </c>
      <c r="E181" s="5" t="s">
        <v>384</v>
      </c>
      <c r="F181" s="5" t="s">
        <v>30</v>
      </c>
      <c r="G181" s="5" t="s">
        <v>397</v>
      </c>
      <c r="H181" s="5" t="s">
        <v>36</v>
      </c>
      <c r="I181" s="5" t="s">
        <v>184</v>
      </c>
      <c r="J181" s="15">
        <v>5700</v>
      </c>
      <c r="K181" s="7">
        <v>47</v>
      </c>
      <c r="L181" s="7">
        <f t="shared" si="44"/>
        <v>121.27659574468085</v>
      </c>
      <c r="M181" s="5" t="s">
        <v>10</v>
      </c>
      <c r="N181" s="5">
        <v>4</v>
      </c>
      <c r="O181" s="6">
        <f t="shared" si="45"/>
        <v>52.397295156179268</v>
      </c>
      <c r="P181" s="6">
        <f t="shared" si="46"/>
        <v>5.449318696242643</v>
      </c>
      <c r="Q181" s="10">
        <f t="shared" si="47"/>
        <v>0.11352747283838842</v>
      </c>
      <c r="R181" s="10">
        <f t="shared" si="48"/>
        <v>0.30965548394091436</v>
      </c>
      <c r="S181" s="10">
        <f t="shared" si="49"/>
        <v>0.42318295677930279</v>
      </c>
    </row>
    <row r="182" spans="1:19" x14ac:dyDescent="0.25">
      <c r="A182" s="5" t="s">
        <v>8</v>
      </c>
      <c r="B182" s="5" t="s">
        <v>165</v>
      </c>
      <c r="C182" s="5" t="s">
        <v>27</v>
      </c>
      <c r="D182" s="5" t="s">
        <v>385</v>
      </c>
      <c r="E182" s="5" t="s">
        <v>384</v>
      </c>
      <c r="F182" s="5" t="s">
        <v>30</v>
      </c>
      <c r="G182" s="5" t="s">
        <v>397</v>
      </c>
      <c r="H182" s="5" t="s">
        <v>36</v>
      </c>
      <c r="I182" s="5" t="s">
        <v>166</v>
      </c>
      <c r="J182" s="15">
        <v>1635</v>
      </c>
      <c r="K182" s="7">
        <v>33.5</v>
      </c>
      <c r="L182" s="7">
        <f t="shared" si="44"/>
        <v>48.805970149253731</v>
      </c>
      <c r="M182" s="5" t="s">
        <v>10</v>
      </c>
      <c r="N182" s="5">
        <v>4</v>
      </c>
      <c r="O182" s="6">
        <f t="shared" si="45"/>
        <v>2.434129469258187</v>
      </c>
      <c r="P182" s="6">
        <f t="shared" si="46"/>
        <v>0.25314946480285144</v>
      </c>
      <c r="Q182" s="10">
        <f t="shared" si="47"/>
        <v>5.2739471833927387E-3</v>
      </c>
      <c r="R182" s="10">
        <f t="shared" si="48"/>
        <v>3.098524111547564E-2</v>
      </c>
      <c r="S182" s="10">
        <f t="shared" si="49"/>
        <v>3.6259188298868379E-2</v>
      </c>
    </row>
    <row r="183" spans="1:19" x14ac:dyDescent="0.25">
      <c r="A183" s="5" t="s">
        <v>8</v>
      </c>
      <c r="B183" s="5" t="s">
        <v>165</v>
      </c>
      <c r="C183" s="5" t="s">
        <v>27</v>
      </c>
      <c r="D183" s="5" t="s">
        <v>385</v>
      </c>
      <c r="E183" s="5" t="s">
        <v>384</v>
      </c>
      <c r="F183" s="5" t="s">
        <v>30</v>
      </c>
      <c r="G183" s="5" t="s">
        <v>397</v>
      </c>
      <c r="H183" s="5" t="s">
        <v>36</v>
      </c>
      <c r="I183" s="5" t="s">
        <v>166</v>
      </c>
      <c r="J183" s="15">
        <v>1650</v>
      </c>
      <c r="K183" s="7">
        <v>33.5</v>
      </c>
      <c r="L183" s="7">
        <f t="shared" si="44"/>
        <v>49.253731343283583</v>
      </c>
      <c r="M183" s="5" t="s">
        <v>10</v>
      </c>
      <c r="N183" s="5">
        <v>4</v>
      </c>
      <c r="O183" s="6">
        <f t="shared" si="45"/>
        <v>2.5017403653374917</v>
      </c>
      <c r="P183" s="6">
        <f t="shared" si="46"/>
        <v>0.26018099799509914</v>
      </c>
      <c r="Q183" s="10">
        <f t="shared" si="47"/>
        <v>5.4204374582312318E-3</v>
      </c>
      <c r="R183" s="10">
        <f t="shared" si="48"/>
        <v>3.1628514967378327E-2</v>
      </c>
      <c r="S183" s="10">
        <f t="shared" si="49"/>
        <v>3.7048952425609558E-2</v>
      </c>
    </row>
    <row r="184" spans="1:19" x14ac:dyDescent="0.25">
      <c r="A184" s="5" t="s">
        <v>8</v>
      </c>
      <c r="B184" s="5" t="s">
        <v>165</v>
      </c>
      <c r="C184" s="5" t="s">
        <v>27</v>
      </c>
      <c r="D184" s="5" t="s">
        <v>385</v>
      </c>
      <c r="E184" s="5" t="s">
        <v>384</v>
      </c>
      <c r="F184" s="5" t="s">
        <v>30</v>
      </c>
      <c r="G184" s="5" t="s">
        <v>397</v>
      </c>
      <c r="H184" s="5" t="s">
        <v>36</v>
      </c>
      <c r="I184" s="5" t="s">
        <v>185</v>
      </c>
      <c r="J184" s="15">
        <v>3800</v>
      </c>
      <c r="K184" s="7">
        <v>17.5</v>
      </c>
      <c r="L184" s="7">
        <f t="shared" si="44"/>
        <v>217.14285714285714</v>
      </c>
      <c r="M184" s="5" t="s">
        <v>10</v>
      </c>
      <c r="N184" s="5">
        <v>4</v>
      </c>
      <c r="O184" s="6">
        <f t="shared" si="45"/>
        <v>111.98367346938774</v>
      </c>
      <c r="P184" s="6">
        <f t="shared" si="46"/>
        <v>11.646302040816325</v>
      </c>
      <c r="Q184" s="10">
        <f t="shared" si="47"/>
        <v>0.24263129251700677</v>
      </c>
      <c r="R184" s="10">
        <f t="shared" si="48"/>
        <v>0.54734752255253427</v>
      </c>
      <c r="S184" s="10">
        <f t="shared" si="49"/>
        <v>0.78997881506954104</v>
      </c>
    </row>
    <row r="185" spans="1:19" x14ac:dyDescent="0.25">
      <c r="A185" s="5" t="s">
        <v>22</v>
      </c>
      <c r="B185" s="5" t="s">
        <v>26</v>
      </c>
      <c r="C185" s="5" t="s">
        <v>27</v>
      </c>
      <c r="D185" s="5" t="s">
        <v>385</v>
      </c>
      <c r="E185" s="5" t="s">
        <v>384</v>
      </c>
      <c r="F185" s="5" t="s">
        <v>30</v>
      </c>
      <c r="G185" s="5" t="s">
        <v>397</v>
      </c>
      <c r="H185" s="5" t="s">
        <v>36</v>
      </c>
      <c r="I185" s="5" t="s">
        <v>39</v>
      </c>
      <c r="J185" s="15">
        <v>1900</v>
      </c>
      <c r="K185" s="7">
        <v>33</v>
      </c>
      <c r="L185" s="7">
        <f t="shared" si="44"/>
        <v>57.575757575757578</v>
      </c>
      <c r="M185" s="5" t="s">
        <v>10</v>
      </c>
      <c r="N185" s="5">
        <v>4</v>
      </c>
      <c r="O185" s="6">
        <f t="shared" si="45"/>
        <v>3.9365243342516072</v>
      </c>
      <c r="P185" s="6">
        <f t="shared" si="46"/>
        <v>0.40939853076216715</v>
      </c>
      <c r="Q185" s="10">
        <f t="shared" si="47"/>
        <v>8.5291360575451489E-3</v>
      </c>
      <c r="R185" s="10">
        <f t="shared" si="48"/>
        <v>4.443567990630154E-2</v>
      </c>
      <c r="S185" s="10">
        <f t="shared" si="49"/>
        <v>5.2964815963846688E-2</v>
      </c>
    </row>
    <row r="186" spans="1:19" x14ac:dyDescent="0.25">
      <c r="A186" s="5" t="s">
        <v>22</v>
      </c>
      <c r="B186" s="5" t="s">
        <v>63</v>
      </c>
      <c r="C186" s="5" t="s">
        <v>27</v>
      </c>
      <c r="D186" s="5" t="s">
        <v>385</v>
      </c>
      <c r="E186" s="5" t="s">
        <v>384</v>
      </c>
      <c r="F186" s="5" t="s">
        <v>30</v>
      </c>
      <c r="G186" s="5" t="s">
        <v>397</v>
      </c>
      <c r="H186" s="5" t="s">
        <v>36</v>
      </c>
      <c r="I186" s="5" t="s">
        <v>39</v>
      </c>
      <c r="J186" s="15">
        <v>1975</v>
      </c>
      <c r="K186" s="7">
        <v>33</v>
      </c>
      <c r="L186" s="7">
        <f t="shared" si="44"/>
        <v>59.848484848484851</v>
      </c>
      <c r="M186" s="5" t="s">
        <v>10</v>
      </c>
      <c r="N186" s="5">
        <v>4</v>
      </c>
      <c r="O186" s="6">
        <f t="shared" si="45"/>
        <v>4.4213351555325984</v>
      </c>
      <c r="P186" s="6">
        <f t="shared" si="46"/>
        <v>0.45981885617539026</v>
      </c>
      <c r="Q186" s="10">
        <f t="shared" si="47"/>
        <v>9.5795595036539619E-3</v>
      </c>
      <c r="R186" s="10">
        <f t="shared" si="48"/>
        <v>4.8479954373658471E-2</v>
      </c>
      <c r="S186" s="10">
        <f t="shared" si="49"/>
        <v>5.8059513877312431E-2</v>
      </c>
    </row>
    <row r="187" spans="1:19" x14ac:dyDescent="0.25">
      <c r="A187" s="5" t="s">
        <v>8</v>
      </c>
      <c r="B187" s="5" t="s">
        <v>165</v>
      </c>
      <c r="C187" s="5" t="s">
        <v>27</v>
      </c>
      <c r="D187" s="5" t="s">
        <v>385</v>
      </c>
      <c r="E187" s="5" t="s">
        <v>384</v>
      </c>
      <c r="F187" s="5" t="s">
        <v>30</v>
      </c>
      <c r="G187" s="5" t="s">
        <v>397</v>
      </c>
      <c r="H187" s="5" t="s">
        <v>36</v>
      </c>
      <c r="I187" s="5" t="s">
        <v>39</v>
      </c>
      <c r="J187" s="15">
        <v>1920</v>
      </c>
      <c r="K187" s="7">
        <v>31</v>
      </c>
      <c r="L187" s="7">
        <f t="shared" si="44"/>
        <v>61.935483870967744</v>
      </c>
      <c r="M187" s="5" t="s">
        <v>10</v>
      </c>
      <c r="N187" s="5">
        <v>4</v>
      </c>
      <c r="O187" s="6">
        <f t="shared" si="45"/>
        <v>4.6032049947970863</v>
      </c>
      <c r="P187" s="6">
        <f t="shared" si="46"/>
        <v>0.47873331945889697</v>
      </c>
      <c r="Q187" s="10">
        <f t="shared" si="47"/>
        <v>9.9736108220603529E-3</v>
      </c>
      <c r="R187" s="10">
        <f t="shared" si="48"/>
        <v>4.9968045363436797E-2</v>
      </c>
      <c r="S187" s="10">
        <f t="shared" si="49"/>
        <v>5.9941656185497148E-2</v>
      </c>
    </row>
    <row r="188" spans="1:19" x14ac:dyDescent="0.25">
      <c r="A188" s="5" t="s">
        <v>8</v>
      </c>
      <c r="B188" s="5" t="s">
        <v>165</v>
      </c>
      <c r="C188" s="5" t="s">
        <v>27</v>
      </c>
      <c r="D188" s="5" t="s">
        <v>385</v>
      </c>
      <c r="E188" s="5" t="s">
        <v>384</v>
      </c>
      <c r="F188" s="5" t="s">
        <v>30</v>
      </c>
      <c r="G188" s="5" t="s">
        <v>397</v>
      </c>
      <c r="H188" s="5" t="s">
        <v>36</v>
      </c>
      <c r="I188" s="5" t="s">
        <v>39</v>
      </c>
      <c r="J188" s="15">
        <v>1800</v>
      </c>
      <c r="K188" s="7">
        <v>33</v>
      </c>
      <c r="L188" s="7">
        <f t="shared" si="44"/>
        <v>54.545454545454547</v>
      </c>
      <c r="M188" s="5" t="s">
        <v>10</v>
      </c>
      <c r="N188" s="5">
        <v>4</v>
      </c>
      <c r="O188" s="6">
        <f t="shared" si="45"/>
        <v>3.3471074380165291</v>
      </c>
      <c r="P188" s="6">
        <f t="shared" si="46"/>
        <v>0.348099173553719</v>
      </c>
      <c r="Q188" s="10">
        <f t="shared" si="47"/>
        <v>7.2520661157024794E-3</v>
      </c>
      <c r="R188" s="10">
        <f t="shared" si="48"/>
        <v>3.9345889142976674E-2</v>
      </c>
      <c r="S188" s="10">
        <f t="shared" si="49"/>
        <v>4.6597955258679151E-2</v>
      </c>
    </row>
    <row r="189" spans="1:19" x14ac:dyDescent="0.25">
      <c r="A189" s="5" t="s">
        <v>8</v>
      </c>
      <c r="B189" s="5" t="s">
        <v>291</v>
      </c>
      <c r="C189" s="5" t="s">
        <v>27</v>
      </c>
      <c r="D189" s="5" t="s">
        <v>385</v>
      </c>
      <c r="E189" s="5" t="s">
        <v>384</v>
      </c>
      <c r="F189" s="5" t="s">
        <v>30</v>
      </c>
      <c r="G189" s="5" t="s">
        <v>397</v>
      </c>
      <c r="H189" s="5" t="s">
        <v>36</v>
      </c>
      <c r="I189" s="5" t="s">
        <v>39</v>
      </c>
      <c r="J189" s="15">
        <v>1752</v>
      </c>
      <c r="K189" s="7">
        <v>29.2</v>
      </c>
      <c r="L189" s="7">
        <f t="shared" si="44"/>
        <v>60</v>
      </c>
      <c r="M189" s="5" t="s">
        <v>10</v>
      </c>
      <c r="N189" s="5">
        <v>4</v>
      </c>
      <c r="O189" s="6">
        <f t="shared" si="45"/>
        <v>3.9420000000000002</v>
      </c>
      <c r="P189" s="6">
        <f t="shared" si="46"/>
        <v>0.40996800000000005</v>
      </c>
      <c r="Q189" s="10">
        <f t="shared" si="47"/>
        <v>8.541E-3</v>
      </c>
      <c r="R189" s="10">
        <f t="shared" si="48"/>
        <v>4.4482029038474258E-2</v>
      </c>
      <c r="S189" s="10">
        <f t="shared" si="49"/>
        <v>5.3023029038474258E-2</v>
      </c>
    </row>
    <row r="190" spans="1:19" x14ac:dyDescent="0.25">
      <c r="A190" s="5" t="s">
        <v>8</v>
      </c>
      <c r="B190" s="5" t="s">
        <v>291</v>
      </c>
      <c r="C190" s="5" t="s">
        <v>27</v>
      </c>
      <c r="D190" s="5" t="s">
        <v>385</v>
      </c>
      <c r="E190" s="5" t="s">
        <v>384</v>
      </c>
      <c r="F190" s="5" t="s">
        <v>30</v>
      </c>
      <c r="G190" s="5" t="s">
        <v>397</v>
      </c>
      <c r="H190" s="5" t="s">
        <v>36</v>
      </c>
      <c r="I190" s="5" t="s">
        <v>39</v>
      </c>
      <c r="J190" s="15">
        <v>1140</v>
      </c>
      <c r="K190" s="7">
        <v>27.3</v>
      </c>
      <c r="L190" s="7">
        <f t="shared" si="44"/>
        <v>41.758241758241759</v>
      </c>
      <c r="M190" s="5" t="s">
        <v>10</v>
      </c>
      <c r="N190" s="5">
        <v>4</v>
      </c>
      <c r="O190" s="6">
        <f t="shared" si="45"/>
        <v>1.2424224127520831</v>
      </c>
      <c r="P190" s="6">
        <f t="shared" si="46"/>
        <v>0.12921193092621663</v>
      </c>
      <c r="Q190" s="10">
        <f t="shared" si="47"/>
        <v>2.6919152276295133E-3</v>
      </c>
      <c r="R190" s="10">
        <f t="shared" si="48"/>
        <v>1.8711089765198051E-2</v>
      </c>
      <c r="S190" s="10">
        <f t="shared" si="49"/>
        <v>2.1403004992827563E-2</v>
      </c>
    </row>
    <row r="191" spans="1:19" x14ac:dyDescent="0.25">
      <c r="A191" s="5" t="s">
        <v>8</v>
      </c>
      <c r="B191" s="5" t="s">
        <v>311</v>
      </c>
      <c r="C191" s="5" t="s">
        <v>27</v>
      </c>
      <c r="D191" s="5" t="s">
        <v>385</v>
      </c>
      <c r="E191" s="5" t="s">
        <v>384</v>
      </c>
      <c r="F191" s="5" t="s">
        <v>30</v>
      </c>
      <c r="G191" s="5" t="s">
        <v>397</v>
      </c>
      <c r="H191" s="5" t="s">
        <v>36</v>
      </c>
      <c r="I191" s="5" t="s">
        <v>39</v>
      </c>
      <c r="J191" s="15">
        <v>1850</v>
      </c>
      <c r="K191" s="7">
        <v>37.5</v>
      </c>
      <c r="L191" s="7">
        <f t="shared" si="44"/>
        <v>49.333333333333336</v>
      </c>
      <c r="M191" s="5" t="s">
        <v>10</v>
      </c>
      <c r="N191" s="5">
        <v>4</v>
      </c>
      <c r="O191" s="6">
        <f t="shared" si="45"/>
        <v>2.8140555555555555</v>
      </c>
      <c r="P191" s="6">
        <f t="shared" si="46"/>
        <v>0.29266177777777774</v>
      </c>
      <c r="Q191" s="10">
        <f t="shared" si="47"/>
        <v>6.0971203703703699E-3</v>
      </c>
      <c r="R191" s="10">
        <f t="shared" si="48"/>
        <v>3.4545908997176758E-2</v>
      </c>
      <c r="S191" s="10">
        <f t="shared" si="49"/>
        <v>4.0643029367547129E-2</v>
      </c>
    </row>
    <row r="192" spans="1:19" x14ac:dyDescent="0.25">
      <c r="A192" s="5" t="s">
        <v>8</v>
      </c>
      <c r="B192" s="5" t="s">
        <v>165</v>
      </c>
      <c r="C192" s="5" t="s">
        <v>27</v>
      </c>
      <c r="D192" s="5" t="s">
        <v>385</v>
      </c>
      <c r="E192" s="5" t="s">
        <v>384</v>
      </c>
      <c r="F192" s="5" t="s">
        <v>30</v>
      </c>
      <c r="G192" s="5" t="s">
        <v>397</v>
      </c>
      <c r="H192" s="5" t="s">
        <v>36</v>
      </c>
      <c r="I192" s="5" t="s">
        <v>186</v>
      </c>
      <c r="J192" s="15">
        <v>1150</v>
      </c>
      <c r="K192" s="7">
        <v>27.5</v>
      </c>
      <c r="L192" s="7">
        <f t="shared" si="44"/>
        <v>41.81818181818182</v>
      </c>
      <c r="M192" s="5" t="s">
        <v>10</v>
      </c>
      <c r="N192" s="5">
        <v>4</v>
      </c>
      <c r="O192" s="6">
        <f t="shared" si="45"/>
        <v>1.2569214876033059</v>
      </c>
      <c r="P192" s="6">
        <f t="shared" si="46"/>
        <v>0.1307198347107438</v>
      </c>
      <c r="Q192" s="10">
        <f t="shared" si="47"/>
        <v>2.7233298898071624E-3</v>
      </c>
      <c r="R192" s="10">
        <f t="shared" si="48"/>
        <v>1.8874620894311772E-2</v>
      </c>
      <c r="S192" s="10">
        <f t="shared" si="49"/>
        <v>2.1597950784118934E-2</v>
      </c>
    </row>
    <row r="193" spans="1:19" x14ac:dyDescent="0.25">
      <c r="A193" s="5" t="s">
        <v>22</v>
      </c>
      <c r="B193" s="5" t="s">
        <v>63</v>
      </c>
      <c r="C193" s="5" t="s">
        <v>27</v>
      </c>
      <c r="D193" s="5" t="s">
        <v>385</v>
      </c>
      <c r="E193" s="5" t="s">
        <v>384</v>
      </c>
      <c r="F193" s="5" t="s">
        <v>30</v>
      </c>
      <c r="G193" s="5" t="s">
        <v>397</v>
      </c>
      <c r="H193" s="5" t="s">
        <v>64</v>
      </c>
      <c r="I193" s="5" t="s">
        <v>12</v>
      </c>
      <c r="J193" s="15">
        <v>3750</v>
      </c>
      <c r="K193" s="7">
        <v>42</v>
      </c>
      <c r="L193" s="7">
        <f t="shared" si="44"/>
        <v>89.285714285714292</v>
      </c>
      <c r="M193" s="5" t="s">
        <v>10</v>
      </c>
      <c r="N193" s="5">
        <v>4</v>
      </c>
      <c r="O193" s="6">
        <f t="shared" si="45"/>
        <v>18.684231505102044</v>
      </c>
      <c r="P193" s="6">
        <f t="shared" si="46"/>
        <v>1.9431600765306125</v>
      </c>
      <c r="Q193" s="10">
        <f t="shared" si="47"/>
        <v>4.0482501594387758E-2</v>
      </c>
      <c r="R193" s="10">
        <f t="shared" si="48"/>
        <v>0.14289056521434054</v>
      </c>
      <c r="S193" s="10">
        <f t="shared" si="49"/>
        <v>0.18337306680872831</v>
      </c>
    </row>
    <row r="194" spans="1:19" x14ac:dyDescent="0.25">
      <c r="J194" s="16">
        <f t="shared" ref="J194:S194" si="50">AVERAGE(J152:J193)</f>
        <v>2160.1428571428573</v>
      </c>
      <c r="K194" s="12">
        <f t="shared" si="50"/>
        <v>31.635714285714283</v>
      </c>
      <c r="L194" s="12">
        <f t="shared" si="50"/>
        <v>69.877007392758628</v>
      </c>
      <c r="M194" s="11" t="e">
        <f t="shared" si="50"/>
        <v>#DIV/0!</v>
      </c>
      <c r="N194" s="11">
        <f t="shared" si="50"/>
        <v>4</v>
      </c>
      <c r="O194" s="13">
        <f t="shared" si="50"/>
        <v>12.088501037347797</v>
      </c>
      <c r="P194" s="13">
        <f t="shared" si="50"/>
        <v>1.2572041078841711</v>
      </c>
      <c r="Q194" s="14">
        <f t="shared" si="50"/>
        <v>2.6191752247586891E-2</v>
      </c>
      <c r="R194" s="14">
        <f t="shared" si="50"/>
        <v>8.592600675035493E-2</v>
      </c>
      <c r="S194" s="14">
        <f t="shared" si="50"/>
        <v>0.11211775899794182</v>
      </c>
    </row>
    <row r="195" spans="1:19" x14ac:dyDescent="0.25">
      <c r="A195" s="5" t="s">
        <v>22</v>
      </c>
      <c r="B195" s="5" t="s">
        <v>26</v>
      </c>
      <c r="C195" s="5" t="s">
        <v>27</v>
      </c>
      <c r="D195" s="5" t="s">
        <v>385</v>
      </c>
      <c r="E195" s="5" t="s">
        <v>384</v>
      </c>
      <c r="F195" s="5" t="s">
        <v>30</v>
      </c>
      <c r="G195" s="5" t="s">
        <v>392</v>
      </c>
      <c r="H195" s="5" t="s">
        <v>31</v>
      </c>
      <c r="I195" s="5" t="s">
        <v>32</v>
      </c>
      <c r="J195" s="15">
        <v>1150</v>
      </c>
      <c r="K195" s="7">
        <v>21.5</v>
      </c>
      <c r="L195" s="7">
        <f t="shared" ref="L195:L226" si="51">J195/K195</f>
        <v>53.488372093023258</v>
      </c>
      <c r="M195" s="5" t="s">
        <v>10</v>
      </c>
      <c r="N195" s="5">
        <v>4</v>
      </c>
      <c r="O195" s="6">
        <f t="shared" ref="O195:O226" si="52">(J195*L195^2)/(1.6*10^6)</f>
        <v>2.0563480259599789</v>
      </c>
      <c r="P195" s="6">
        <f t="shared" ref="P195:P226" si="53">(0.104*J195*L195^2)/(1.6*10^6)</f>
        <v>0.21386019469983777</v>
      </c>
      <c r="Q195" s="10">
        <f t="shared" ref="Q195:Q226" si="54">(0.104*O195)/(12*N195)</f>
        <v>4.4554207229132873E-3</v>
      </c>
      <c r="R195" s="10">
        <f t="shared" ref="R195:R226" si="55">0.0159*O195^0.75</f>
        <v>2.7303579591746802E-2</v>
      </c>
      <c r="S195" s="10">
        <f t="shared" ref="S195:S226" si="56">Q195+R195</f>
        <v>3.1759000314660092E-2</v>
      </c>
    </row>
    <row r="196" spans="1:19" x14ac:dyDescent="0.25">
      <c r="A196" s="5" t="s">
        <v>8</v>
      </c>
      <c r="B196" s="5" t="s">
        <v>217</v>
      </c>
      <c r="C196" s="5" t="s">
        <v>27</v>
      </c>
      <c r="D196" s="5" t="s">
        <v>385</v>
      </c>
      <c r="E196" s="5" t="s">
        <v>384</v>
      </c>
      <c r="F196" s="5" t="s">
        <v>30</v>
      </c>
      <c r="G196" s="5" t="s">
        <v>392</v>
      </c>
      <c r="H196" s="5" t="s">
        <v>31</v>
      </c>
      <c r="I196" s="5" t="s">
        <v>218</v>
      </c>
      <c r="J196" s="15">
        <v>1200</v>
      </c>
      <c r="K196" s="7">
        <v>28</v>
      </c>
      <c r="L196" s="7">
        <f t="shared" si="51"/>
        <v>42.857142857142854</v>
      </c>
      <c r="M196" s="5" t="s">
        <v>10</v>
      </c>
      <c r="N196" s="5">
        <v>4</v>
      </c>
      <c r="O196" s="6">
        <f t="shared" si="52"/>
        <v>1.3775510204081631</v>
      </c>
      <c r="P196" s="6">
        <f t="shared" si="53"/>
        <v>0.14326530612244898</v>
      </c>
      <c r="Q196" s="10">
        <f t="shared" si="54"/>
        <v>2.9846938775510198E-3</v>
      </c>
      <c r="R196" s="10">
        <f t="shared" si="55"/>
        <v>2.0217520582724226E-2</v>
      </c>
      <c r="S196" s="10">
        <f t="shared" si="56"/>
        <v>2.3202214460275247E-2</v>
      </c>
    </row>
    <row r="197" spans="1:19" x14ac:dyDescent="0.25">
      <c r="A197" s="5" t="s">
        <v>22</v>
      </c>
      <c r="B197" s="5" t="s">
        <v>26</v>
      </c>
      <c r="C197" s="5" t="s">
        <v>27</v>
      </c>
      <c r="D197" s="5" t="s">
        <v>385</v>
      </c>
      <c r="E197" s="5" t="s">
        <v>384</v>
      </c>
      <c r="F197" s="5" t="s">
        <v>30</v>
      </c>
      <c r="G197" s="5" t="s">
        <v>392</v>
      </c>
      <c r="H197" s="5" t="s">
        <v>31</v>
      </c>
      <c r="I197" s="5" t="s">
        <v>33</v>
      </c>
      <c r="J197" s="15">
        <v>1200</v>
      </c>
      <c r="K197" s="7">
        <v>25</v>
      </c>
      <c r="L197" s="7">
        <f t="shared" si="51"/>
        <v>48</v>
      </c>
      <c r="M197" s="5" t="s">
        <v>10</v>
      </c>
      <c r="N197" s="5">
        <v>4</v>
      </c>
      <c r="O197" s="6">
        <f t="shared" si="52"/>
        <v>1.728</v>
      </c>
      <c r="P197" s="6">
        <f t="shared" si="53"/>
        <v>0.17971200000000001</v>
      </c>
      <c r="Q197" s="10">
        <f t="shared" si="54"/>
        <v>3.7439999999999995E-3</v>
      </c>
      <c r="R197" s="10">
        <f t="shared" si="55"/>
        <v>2.3963758151521651E-2</v>
      </c>
      <c r="S197" s="10">
        <f t="shared" si="56"/>
        <v>2.7707758151521652E-2</v>
      </c>
    </row>
    <row r="198" spans="1:19" x14ac:dyDescent="0.25">
      <c r="A198" s="5" t="s">
        <v>22</v>
      </c>
      <c r="B198" s="5" t="s">
        <v>63</v>
      </c>
      <c r="C198" s="5" t="s">
        <v>27</v>
      </c>
      <c r="D198" s="5" t="s">
        <v>385</v>
      </c>
      <c r="E198" s="5" t="s">
        <v>384</v>
      </c>
      <c r="F198" s="5" t="s">
        <v>30</v>
      </c>
      <c r="G198" s="5" t="s">
        <v>392</v>
      </c>
      <c r="H198" s="5" t="s">
        <v>31</v>
      </c>
      <c r="I198" s="5" t="s">
        <v>33</v>
      </c>
      <c r="J198" s="15">
        <v>1050</v>
      </c>
      <c r="K198" s="7">
        <v>23</v>
      </c>
      <c r="L198" s="7">
        <f t="shared" si="51"/>
        <v>45.652173913043477</v>
      </c>
      <c r="M198" s="5" t="s">
        <v>10</v>
      </c>
      <c r="N198" s="5">
        <v>4</v>
      </c>
      <c r="O198" s="6">
        <f t="shared" si="52"/>
        <v>1.3677043950850662</v>
      </c>
      <c r="P198" s="6">
        <f t="shared" si="53"/>
        <v>0.14224125708884686</v>
      </c>
      <c r="Q198" s="10">
        <f t="shared" si="54"/>
        <v>2.9633595226843099E-3</v>
      </c>
      <c r="R198" s="10">
        <f t="shared" si="55"/>
        <v>2.0109038528318947E-2</v>
      </c>
      <c r="S198" s="10">
        <f t="shared" si="56"/>
        <v>2.3072398051003258E-2</v>
      </c>
    </row>
    <row r="199" spans="1:19" x14ac:dyDescent="0.25">
      <c r="A199" s="5" t="s">
        <v>8</v>
      </c>
      <c r="B199" s="5" t="s">
        <v>287</v>
      </c>
      <c r="C199" s="5" t="s">
        <v>27</v>
      </c>
      <c r="D199" s="5" t="s">
        <v>385</v>
      </c>
      <c r="E199" s="5" t="s">
        <v>384</v>
      </c>
      <c r="F199" s="5" t="s">
        <v>30</v>
      </c>
      <c r="G199" s="5" t="s">
        <v>392</v>
      </c>
      <c r="H199" s="5" t="s">
        <v>31</v>
      </c>
      <c r="I199" s="5" t="s">
        <v>33</v>
      </c>
      <c r="J199" s="15">
        <v>1000</v>
      </c>
      <c r="K199" s="7">
        <v>24.4</v>
      </c>
      <c r="L199" s="7">
        <f t="shared" si="51"/>
        <v>40.983606557377051</v>
      </c>
      <c r="M199" s="5" t="s">
        <v>10</v>
      </c>
      <c r="N199" s="5">
        <v>4</v>
      </c>
      <c r="O199" s="6">
        <f t="shared" si="52"/>
        <v>1.0497850040311745</v>
      </c>
      <c r="P199" s="6">
        <f t="shared" si="53"/>
        <v>0.10917764041924215</v>
      </c>
      <c r="Q199" s="10">
        <f t="shared" si="54"/>
        <v>2.2745341754008778E-3</v>
      </c>
      <c r="R199" s="10">
        <f t="shared" si="55"/>
        <v>1.6490066149903643E-2</v>
      </c>
      <c r="S199" s="10">
        <f t="shared" si="56"/>
        <v>1.8764600325304519E-2</v>
      </c>
    </row>
    <row r="200" spans="1:19" x14ac:dyDescent="0.25">
      <c r="A200" s="5" t="s">
        <v>8</v>
      </c>
      <c r="B200" s="5" t="s">
        <v>291</v>
      </c>
      <c r="C200" s="5" t="s">
        <v>27</v>
      </c>
      <c r="D200" s="5" t="s">
        <v>385</v>
      </c>
      <c r="E200" s="5" t="s">
        <v>384</v>
      </c>
      <c r="F200" s="5" t="s">
        <v>30</v>
      </c>
      <c r="G200" s="5" t="s">
        <v>392</v>
      </c>
      <c r="H200" s="5" t="s">
        <v>31</v>
      </c>
      <c r="I200" s="5" t="s">
        <v>33</v>
      </c>
      <c r="J200" s="15">
        <v>1171</v>
      </c>
      <c r="K200" s="7">
        <v>23.8</v>
      </c>
      <c r="L200" s="7">
        <f t="shared" si="51"/>
        <v>49.201680672268907</v>
      </c>
      <c r="M200" s="5" t="s">
        <v>10</v>
      </c>
      <c r="N200" s="5">
        <v>4</v>
      </c>
      <c r="O200" s="6">
        <f t="shared" si="52"/>
        <v>1.7717269382017513</v>
      </c>
      <c r="P200" s="6">
        <f t="shared" si="53"/>
        <v>0.18425960157298213</v>
      </c>
      <c r="Q200" s="10">
        <f t="shared" si="54"/>
        <v>3.8387416994371277E-3</v>
      </c>
      <c r="R200" s="10">
        <f t="shared" si="55"/>
        <v>2.4417135633988743E-2</v>
      </c>
      <c r="S200" s="10">
        <f t="shared" si="56"/>
        <v>2.8255877333425869E-2</v>
      </c>
    </row>
    <row r="201" spans="1:19" x14ac:dyDescent="0.25">
      <c r="A201" s="5" t="s">
        <v>8</v>
      </c>
      <c r="B201" s="5" t="s">
        <v>291</v>
      </c>
      <c r="C201" s="5" t="s">
        <v>27</v>
      </c>
      <c r="D201" s="5" t="s">
        <v>385</v>
      </c>
      <c r="E201" s="5" t="s">
        <v>384</v>
      </c>
      <c r="F201" s="5" t="s">
        <v>30</v>
      </c>
      <c r="G201" s="5" t="s">
        <v>392</v>
      </c>
      <c r="H201" s="5" t="s">
        <v>31</v>
      </c>
      <c r="I201" s="5" t="s">
        <v>33</v>
      </c>
      <c r="J201" s="15">
        <v>1121</v>
      </c>
      <c r="K201" s="7">
        <v>23.2</v>
      </c>
      <c r="L201" s="7">
        <f t="shared" si="51"/>
        <v>48.318965517241381</v>
      </c>
      <c r="M201" s="5" t="s">
        <v>10</v>
      </c>
      <c r="N201" s="5">
        <v>4</v>
      </c>
      <c r="O201" s="6">
        <f t="shared" si="52"/>
        <v>1.6357649015773632</v>
      </c>
      <c r="P201" s="6">
        <f t="shared" si="53"/>
        <v>0.17011954976404578</v>
      </c>
      <c r="Q201" s="10">
        <f t="shared" si="54"/>
        <v>3.5441572867509533E-3</v>
      </c>
      <c r="R201" s="10">
        <f t="shared" si="55"/>
        <v>2.2997879194034985E-2</v>
      </c>
      <c r="S201" s="10">
        <f t="shared" si="56"/>
        <v>2.6542036480785937E-2</v>
      </c>
    </row>
    <row r="202" spans="1:19" x14ac:dyDescent="0.25">
      <c r="A202" s="5" t="s">
        <v>8</v>
      </c>
      <c r="B202" s="5" t="s">
        <v>307</v>
      </c>
      <c r="C202" s="5" t="s">
        <v>27</v>
      </c>
      <c r="D202" s="5" t="s">
        <v>385</v>
      </c>
      <c r="E202" s="5" t="s">
        <v>384</v>
      </c>
      <c r="F202" s="5" t="s">
        <v>30</v>
      </c>
      <c r="G202" s="5" t="s">
        <v>392</v>
      </c>
      <c r="H202" s="5" t="s">
        <v>31</v>
      </c>
      <c r="I202" s="5" t="s">
        <v>33</v>
      </c>
      <c r="J202" s="15">
        <v>1150</v>
      </c>
      <c r="K202" s="7">
        <v>29.5</v>
      </c>
      <c r="L202" s="7">
        <f t="shared" si="51"/>
        <v>38.983050847457626</v>
      </c>
      <c r="M202" s="5" t="s">
        <v>10</v>
      </c>
      <c r="N202" s="5">
        <v>4</v>
      </c>
      <c r="O202" s="6">
        <f t="shared" si="52"/>
        <v>1.0922687446136168</v>
      </c>
      <c r="P202" s="6">
        <f t="shared" si="53"/>
        <v>0.11359594943981614</v>
      </c>
      <c r="Q202" s="10">
        <f t="shared" si="54"/>
        <v>2.3665822799961698E-3</v>
      </c>
      <c r="R202" s="10">
        <f t="shared" si="55"/>
        <v>1.6988078304717071E-2</v>
      </c>
      <c r="S202" s="10">
        <f t="shared" si="56"/>
        <v>1.9354660584713242E-2</v>
      </c>
    </row>
    <row r="203" spans="1:19" x14ac:dyDescent="0.25">
      <c r="A203" s="5" t="s">
        <v>8</v>
      </c>
      <c r="B203" s="5" t="s">
        <v>311</v>
      </c>
      <c r="C203" s="5" t="s">
        <v>27</v>
      </c>
      <c r="D203" s="5" t="s">
        <v>385</v>
      </c>
      <c r="E203" s="5" t="s">
        <v>384</v>
      </c>
      <c r="F203" s="5" t="s">
        <v>30</v>
      </c>
      <c r="G203" s="5" t="s">
        <v>392</v>
      </c>
      <c r="H203" s="5" t="s">
        <v>31</v>
      </c>
      <c r="I203" s="5" t="s">
        <v>33</v>
      </c>
      <c r="J203" s="15">
        <v>1100</v>
      </c>
      <c r="K203" s="7">
        <v>28</v>
      </c>
      <c r="L203" s="7">
        <f t="shared" si="51"/>
        <v>39.285714285714285</v>
      </c>
      <c r="M203" s="5" t="s">
        <v>10</v>
      </c>
      <c r="N203" s="5">
        <v>4</v>
      </c>
      <c r="O203" s="6">
        <f t="shared" si="52"/>
        <v>1.061065051020408</v>
      </c>
      <c r="P203" s="6">
        <f t="shared" si="53"/>
        <v>0.11035076530612244</v>
      </c>
      <c r="Q203" s="10">
        <f t="shared" si="54"/>
        <v>2.2989742772108841E-3</v>
      </c>
      <c r="R203" s="10">
        <f t="shared" si="55"/>
        <v>1.6622779036452554E-2</v>
      </c>
      <c r="S203" s="10">
        <f t="shared" si="56"/>
        <v>1.8921753313663438E-2</v>
      </c>
    </row>
    <row r="204" spans="1:19" x14ac:dyDescent="0.25">
      <c r="A204" s="5" t="s">
        <v>8</v>
      </c>
      <c r="B204" s="5" t="s">
        <v>339</v>
      </c>
      <c r="C204" s="5" t="s">
        <v>27</v>
      </c>
      <c r="D204" s="5" t="s">
        <v>385</v>
      </c>
      <c r="E204" s="5" t="s">
        <v>384</v>
      </c>
      <c r="F204" s="5" t="s">
        <v>30</v>
      </c>
      <c r="G204" s="5" t="s">
        <v>392</v>
      </c>
      <c r="H204" s="5" t="s">
        <v>31</v>
      </c>
      <c r="I204" s="5" t="s">
        <v>33</v>
      </c>
      <c r="J204" s="15">
        <v>1080</v>
      </c>
      <c r="K204" s="7">
        <v>19.5</v>
      </c>
      <c r="L204" s="7">
        <f t="shared" si="51"/>
        <v>55.384615384615387</v>
      </c>
      <c r="M204" s="5" t="s">
        <v>10</v>
      </c>
      <c r="N204" s="5">
        <v>4</v>
      </c>
      <c r="O204" s="6">
        <f t="shared" si="52"/>
        <v>2.0705325443786986</v>
      </c>
      <c r="P204" s="6">
        <f t="shared" si="53"/>
        <v>0.21533538461538462</v>
      </c>
      <c r="Q204" s="10">
        <f t="shared" si="54"/>
        <v>4.4861538461538472E-3</v>
      </c>
      <c r="R204" s="10">
        <f t="shared" si="55"/>
        <v>2.744471151966631E-2</v>
      </c>
      <c r="S204" s="10">
        <f t="shared" si="56"/>
        <v>3.1930865365820155E-2</v>
      </c>
    </row>
    <row r="205" spans="1:19" x14ac:dyDescent="0.25">
      <c r="A205" s="5" t="s">
        <v>22</v>
      </c>
      <c r="B205" s="5" t="s">
        <v>63</v>
      </c>
      <c r="C205" s="5" t="s">
        <v>27</v>
      </c>
      <c r="D205" s="5" t="s">
        <v>385</v>
      </c>
      <c r="E205" s="5" t="s">
        <v>384</v>
      </c>
      <c r="F205" s="5" t="s">
        <v>30</v>
      </c>
      <c r="G205" s="5" t="s">
        <v>392</v>
      </c>
      <c r="H205" s="5" t="s">
        <v>31</v>
      </c>
      <c r="I205" s="5" t="s">
        <v>141</v>
      </c>
      <c r="J205" s="15">
        <v>3255</v>
      </c>
      <c r="K205" s="7">
        <v>31</v>
      </c>
      <c r="L205" s="7">
        <f t="shared" si="51"/>
        <v>105</v>
      </c>
      <c r="M205" s="5" t="s">
        <v>10</v>
      </c>
      <c r="N205" s="5">
        <v>4</v>
      </c>
      <c r="O205" s="6">
        <f t="shared" si="52"/>
        <v>22.428984374999999</v>
      </c>
      <c r="P205" s="6">
        <f t="shared" si="53"/>
        <v>2.3326143749999999</v>
      </c>
      <c r="Q205" s="10">
        <f t="shared" si="54"/>
        <v>4.8596132812499998E-2</v>
      </c>
      <c r="R205" s="10">
        <f t="shared" si="55"/>
        <v>0.16387184018502851</v>
      </c>
      <c r="S205" s="10">
        <f t="shared" si="56"/>
        <v>0.21246797299752851</v>
      </c>
    </row>
    <row r="206" spans="1:19" x14ac:dyDescent="0.25">
      <c r="A206" s="5" t="s">
        <v>8</v>
      </c>
      <c r="B206" s="5" t="s">
        <v>284</v>
      </c>
      <c r="C206" s="5" t="s">
        <v>27</v>
      </c>
      <c r="D206" s="5" t="s">
        <v>385</v>
      </c>
      <c r="E206" s="5" t="s">
        <v>384</v>
      </c>
      <c r="F206" s="5" t="s">
        <v>30</v>
      </c>
      <c r="G206" s="5" t="s">
        <v>392</v>
      </c>
      <c r="H206" s="5" t="s">
        <v>31</v>
      </c>
      <c r="I206" s="5" t="s">
        <v>286</v>
      </c>
      <c r="J206" s="15">
        <v>1800</v>
      </c>
      <c r="K206" s="7">
        <v>33.6</v>
      </c>
      <c r="L206" s="7">
        <f t="shared" si="51"/>
        <v>53.571428571428569</v>
      </c>
      <c r="M206" s="5" t="s">
        <v>10</v>
      </c>
      <c r="N206" s="5">
        <v>4</v>
      </c>
      <c r="O206" s="6">
        <f t="shared" si="52"/>
        <v>3.2286352040816326</v>
      </c>
      <c r="P206" s="6">
        <f t="shared" si="53"/>
        <v>0.33577806122448972</v>
      </c>
      <c r="Q206" s="10">
        <f t="shared" si="54"/>
        <v>6.9953762755102034E-3</v>
      </c>
      <c r="R206" s="10">
        <f t="shared" si="55"/>
        <v>3.8296700440793495E-2</v>
      </c>
      <c r="S206" s="10">
        <f t="shared" si="56"/>
        <v>4.5292076716303697E-2</v>
      </c>
    </row>
    <row r="207" spans="1:19" x14ac:dyDescent="0.25">
      <c r="A207" s="5" t="s">
        <v>8</v>
      </c>
      <c r="B207" s="5" t="s">
        <v>308</v>
      </c>
      <c r="C207" s="5" t="s">
        <v>27</v>
      </c>
      <c r="D207" s="5" t="s">
        <v>385</v>
      </c>
      <c r="E207" s="5" t="s">
        <v>384</v>
      </c>
      <c r="F207" s="5" t="s">
        <v>30</v>
      </c>
      <c r="G207" s="5" t="s">
        <v>392</v>
      </c>
      <c r="H207" s="5" t="s">
        <v>31</v>
      </c>
      <c r="I207" s="5" t="s">
        <v>286</v>
      </c>
      <c r="J207" s="15">
        <v>1749</v>
      </c>
      <c r="K207" s="7">
        <v>23</v>
      </c>
      <c r="L207" s="7">
        <f t="shared" si="51"/>
        <v>76.043478260869563</v>
      </c>
      <c r="M207" s="5" t="s">
        <v>10</v>
      </c>
      <c r="N207" s="5">
        <v>4</v>
      </c>
      <c r="O207" s="6">
        <f t="shared" si="52"/>
        <v>6.3211161968336489</v>
      </c>
      <c r="P207" s="6">
        <f t="shared" si="53"/>
        <v>0.65739608447069942</v>
      </c>
      <c r="Q207" s="10">
        <f t="shared" si="54"/>
        <v>1.3695751759806238E-2</v>
      </c>
      <c r="R207" s="10">
        <f t="shared" si="55"/>
        <v>6.3385869858994706E-2</v>
      </c>
      <c r="S207" s="10">
        <f t="shared" si="56"/>
        <v>7.7081621618800944E-2</v>
      </c>
    </row>
    <row r="208" spans="1:19" x14ac:dyDescent="0.25">
      <c r="A208" s="5" t="s">
        <v>8</v>
      </c>
      <c r="B208" s="5" t="s">
        <v>316</v>
      </c>
      <c r="C208" s="5" t="s">
        <v>27</v>
      </c>
      <c r="D208" s="5" t="s">
        <v>385</v>
      </c>
      <c r="E208" s="5" t="s">
        <v>384</v>
      </c>
      <c r="F208" s="5" t="s">
        <v>30</v>
      </c>
      <c r="G208" s="5" t="s">
        <v>392</v>
      </c>
      <c r="H208" s="5" t="s">
        <v>34</v>
      </c>
      <c r="I208" s="5" t="s">
        <v>317</v>
      </c>
      <c r="J208" s="15">
        <v>1190</v>
      </c>
      <c r="K208" s="7">
        <v>18</v>
      </c>
      <c r="L208" s="7">
        <f t="shared" si="51"/>
        <v>66.111111111111114</v>
      </c>
      <c r="M208" s="5" t="s">
        <v>10</v>
      </c>
      <c r="N208" s="5">
        <v>4</v>
      </c>
      <c r="O208" s="6">
        <f t="shared" si="52"/>
        <v>3.2506925154320987</v>
      </c>
      <c r="P208" s="6">
        <f t="shared" si="53"/>
        <v>0.33807202160493827</v>
      </c>
      <c r="Q208" s="10">
        <f t="shared" si="54"/>
        <v>7.0431671167695475E-3</v>
      </c>
      <c r="R208" s="10">
        <f t="shared" si="55"/>
        <v>3.8492759193587217E-2</v>
      </c>
      <c r="S208" s="10">
        <f t="shared" si="56"/>
        <v>4.5535926310356765E-2</v>
      </c>
    </row>
    <row r="209" spans="1:19" x14ac:dyDescent="0.25">
      <c r="A209" s="5" t="s">
        <v>8</v>
      </c>
      <c r="B209" s="5" t="s">
        <v>370</v>
      </c>
      <c r="C209" s="5" t="s">
        <v>27</v>
      </c>
      <c r="D209" s="5" t="s">
        <v>385</v>
      </c>
      <c r="E209" s="5" t="s">
        <v>384</v>
      </c>
      <c r="F209" s="5" t="s">
        <v>30</v>
      </c>
      <c r="G209" s="5" t="s">
        <v>392</v>
      </c>
      <c r="H209" s="5" t="s">
        <v>34</v>
      </c>
      <c r="I209" s="5" t="s">
        <v>371</v>
      </c>
      <c r="J209" s="15">
        <v>823</v>
      </c>
      <c r="K209" s="7">
        <v>21.3</v>
      </c>
      <c r="L209" s="7">
        <f t="shared" si="51"/>
        <v>38.63849765258216</v>
      </c>
      <c r="M209" s="5" t="s">
        <v>10</v>
      </c>
      <c r="N209" s="5">
        <v>4</v>
      </c>
      <c r="O209" s="6">
        <f t="shared" si="52"/>
        <v>0.76792766949899716</v>
      </c>
      <c r="P209" s="6">
        <f t="shared" si="53"/>
        <v>7.9864477627895697E-2</v>
      </c>
      <c r="Q209" s="10">
        <f t="shared" si="54"/>
        <v>1.6638432839144936E-3</v>
      </c>
      <c r="R209" s="10">
        <f t="shared" si="55"/>
        <v>1.3043296338772574E-2</v>
      </c>
      <c r="S209" s="10">
        <f t="shared" si="56"/>
        <v>1.4707139622687068E-2</v>
      </c>
    </row>
    <row r="210" spans="1:19" x14ac:dyDescent="0.25">
      <c r="A210" s="5" t="s">
        <v>8</v>
      </c>
      <c r="B210" s="5" t="s">
        <v>370</v>
      </c>
      <c r="C210" s="5" t="s">
        <v>27</v>
      </c>
      <c r="D210" s="5" t="s">
        <v>385</v>
      </c>
      <c r="E210" s="5" t="s">
        <v>384</v>
      </c>
      <c r="F210" s="5" t="s">
        <v>30</v>
      </c>
      <c r="G210" s="5" t="s">
        <v>392</v>
      </c>
      <c r="H210" s="5" t="s">
        <v>34</v>
      </c>
      <c r="I210" s="5" t="s">
        <v>371</v>
      </c>
      <c r="J210" s="15">
        <v>704</v>
      </c>
      <c r="K210" s="7">
        <v>18.7</v>
      </c>
      <c r="L210" s="7">
        <f t="shared" si="51"/>
        <v>37.647058823529413</v>
      </c>
      <c r="M210" s="5" t="s">
        <v>10</v>
      </c>
      <c r="N210" s="5">
        <v>4</v>
      </c>
      <c r="O210" s="6">
        <f t="shared" si="52"/>
        <v>0.62361245674740484</v>
      </c>
      <c r="P210" s="6">
        <f t="shared" si="53"/>
        <v>6.4855695501730107E-2</v>
      </c>
      <c r="Q210" s="10">
        <f t="shared" si="54"/>
        <v>1.3511603229527105E-3</v>
      </c>
      <c r="R210" s="10">
        <f t="shared" si="55"/>
        <v>1.1157919160137931E-2</v>
      </c>
      <c r="S210" s="10">
        <f t="shared" si="56"/>
        <v>1.2509079483090641E-2</v>
      </c>
    </row>
    <row r="211" spans="1:19" x14ac:dyDescent="0.25">
      <c r="A211" s="5" t="s">
        <v>8</v>
      </c>
      <c r="B211" s="5" t="s">
        <v>270</v>
      </c>
      <c r="C211" s="5" t="s">
        <v>27</v>
      </c>
      <c r="D211" s="5" t="s">
        <v>385</v>
      </c>
      <c r="E211" s="5" t="s">
        <v>384</v>
      </c>
      <c r="F211" s="5" t="s">
        <v>30</v>
      </c>
      <c r="G211" s="5" t="s">
        <v>392</v>
      </c>
      <c r="H211" s="5" t="s">
        <v>34</v>
      </c>
      <c r="I211" s="5" t="s">
        <v>274</v>
      </c>
      <c r="J211" s="15">
        <v>2280</v>
      </c>
      <c r="K211" s="7">
        <v>34.9</v>
      </c>
      <c r="L211" s="7">
        <f t="shared" si="51"/>
        <v>65.329512893982809</v>
      </c>
      <c r="M211" s="5" t="s">
        <v>10</v>
      </c>
      <c r="N211" s="5">
        <v>4</v>
      </c>
      <c r="O211" s="6">
        <f t="shared" si="52"/>
        <v>6.0818219883252187</v>
      </c>
      <c r="P211" s="6">
        <f t="shared" si="53"/>
        <v>0.63250948678582275</v>
      </c>
      <c r="Q211" s="10">
        <f t="shared" si="54"/>
        <v>1.3177280974704641E-2</v>
      </c>
      <c r="R211" s="10">
        <f t="shared" si="55"/>
        <v>6.1577549589278129E-2</v>
      </c>
      <c r="S211" s="10">
        <f t="shared" si="56"/>
        <v>7.4754830563982771E-2</v>
      </c>
    </row>
    <row r="212" spans="1:19" x14ac:dyDescent="0.25">
      <c r="A212" s="5" t="s">
        <v>8</v>
      </c>
      <c r="B212" s="5" t="s">
        <v>270</v>
      </c>
      <c r="C212" s="5" t="s">
        <v>27</v>
      </c>
      <c r="D212" s="5" t="s">
        <v>385</v>
      </c>
      <c r="E212" s="5" t="s">
        <v>384</v>
      </c>
      <c r="F212" s="5" t="s">
        <v>30</v>
      </c>
      <c r="G212" s="5" t="s">
        <v>392</v>
      </c>
      <c r="H212" s="5" t="s">
        <v>34</v>
      </c>
      <c r="I212" s="5" t="s">
        <v>271</v>
      </c>
      <c r="J212" s="15">
        <v>3510</v>
      </c>
      <c r="K212" s="7">
        <v>36.6</v>
      </c>
      <c r="L212" s="7">
        <f t="shared" si="51"/>
        <v>95.901639344262293</v>
      </c>
      <c r="M212" s="5" t="s">
        <v>10</v>
      </c>
      <c r="N212" s="5">
        <v>4</v>
      </c>
      <c r="O212" s="6">
        <f t="shared" si="52"/>
        <v>20.176191715936575</v>
      </c>
      <c r="P212" s="6">
        <f t="shared" si="53"/>
        <v>2.0983239384574035</v>
      </c>
      <c r="Q212" s="10">
        <f t="shared" si="54"/>
        <v>4.3715082051195904E-2</v>
      </c>
      <c r="R212" s="10">
        <f t="shared" si="55"/>
        <v>0.15136536806834505</v>
      </c>
      <c r="S212" s="10">
        <f t="shared" si="56"/>
        <v>0.19508045011954095</v>
      </c>
    </row>
    <row r="213" spans="1:19" x14ac:dyDescent="0.25">
      <c r="A213" s="5" t="s">
        <v>8</v>
      </c>
      <c r="B213" s="5" t="s">
        <v>270</v>
      </c>
      <c r="C213" s="5" t="s">
        <v>27</v>
      </c>
      <c r="D213" s="5" t="s">
        <v>385</v>
      </c>
      <c r="E213" s="5" t="s">
        <v>384</v>
      </c>
      <c r="F213" s="5" t="s">
        <v>30</v>
      </c>
      <c r="G213" s="5" t="s">
        <v>392</v>
      </c>
      <c r="H213" s="5" t="s">
        <v>34</v>
      </c>
      <c r="I213" s="5" t="s">
        <v>273</v>
      </c>
      <c r="J213" s="15">
        <v>1760</v>
      </c>
      <c r="K213" s="7">
        <v>32.5</v>
      </c>
      <c r="L213" s="7">
        <f t="shared" si="51"/>
        <v>54.153846153846153</v>
      </c>
      <c r="M213" s="5" t="s">
        <v>10</v>
      </c>
      <c r="N213" s="5">
        <v>4</v>
      </c>
      <c r="O213" s="6">
        <f t="shared" si="52"/>
        <v>3.2259029585798817</v>
      </c>
      <c r="P213" s="6">
        <f t="shared" si="53"/>
        <v>0.33549390769230769</v>
      </c>
      <c r="Q213" s="10">
        <f t="shared" si="54"/>
        <v>6.9894564102564102E-3</v>
      </c>
      <c r="R213" s="10">
        <f t="shared" si="55"/>
        <v>3.827239131633859E-2</v>
      </c>
      <c r="S213" s="10">
        <f t="shared" si="56"/>
        <v>4.5261847726595E-2</v>
      </c>
    </row>
    <row r="214" spans="1:19" x14ac:dyDescent="0.25">
      <c r="A214" s="5" t="s">
        <v>8</v>
      </c>
      <c r="B214" s="5" t="s">
        <v>270</v>
      </c>
      <c r="C214" s="5" t="s">
        <v>27</v>
      </c>
      <c r="D214" s="5" t="s">
        <v>385</v>
      </c>
      <c r="E214" s="5" t="s">
        <v>384</v>
      </c>
      <c r="F214" s="5" t="s">
        <v>30</v>
      </c>
      <c r="G214" s="5" t="s">
        <v>392</v>
      </c>
      <c r="H214" s="5" t="s">
        <v>34</v>
      </c>
      <c r="I214" s="5" t="s">
        <v>276</v>
      </c>
      <c r="J214" s="15">
        <v>1850</v>
      </c>
      <c r="K214" s="7">
        <v>28.4</v>
      </c>
      <c r="L214" s="7">
        <f t="shared" si="51"/>
        <v>65.140845070422543</v>
      </c>
      <c r="M214" s="5" t="s">
        <v>10</v>
      </c>
      <c r="N214" s="5">
        <v>4</v>
      </c>
      <c r="O214" s="6">
        <f t="shared" si="52"/>
        <v>4.9063499615651676</v>
      </c>
      <c r="P214" s="6">
        <f t="shared" si="53"/>
        <v>0.51026039600277739</v>
      </c>
      <c r="Q214" s="10">
        <f t="shared" si="54"/>
        <v>1.0630424916724529E-2</v>
      </c>
      <c r="R214" s="10">
        <f t="shared" si="55"/>
        <v>5.2416258332901387E-2</v>
      </c>
      <c r="S214" s="10">
        <f t="shared" si="56"/>
        <v>6.3046683249625923E-2</v>
      </c>
    </row>
    <row r="215" spans="1:19" x14ac:dyDescent="0.25">
      <c r="A215" s="5" t="s">
        <v>8</v>
      </c>
      <c r="B215" s="5" t="s">
        <v>270</v>
      </c>
      <c r="C215" s="5" t="s">
        <v>27</v>
      </c>
      <c r="D215" s="5" t="s">
        <v>385</v>
      </c>
      <c r="E215" s="5" t="s">
        <v>384</v>
      </c>
      <c r="F215" s="5" t="s">
        <v>30</v>
      </c>
      <c r="G215" s="5" t="s">
        <v>392</v>
      </c>
      <c r="H215" s="5" t="s">
        <v>34</v>
      </c>
      <c r="I215" s="5" t="s">
        <v>275</v>
      </c>
      <c r="J215" s="15">
        <v>2410</v>
      </c>
      <c r="K215" s="7">
        <v>32.299999999999997</v>
      </c>
      <c r="L215" s="7">
        <f t="shared" si="51"/>
        <v>74.613003095975245</v>
      </c>
      <c r="M215" s="5" t="s">
        <v>10</v>
      </c>
      <c r="N215" s="5">
        <v>4</v>
      </c>
      <c r="O215" s="6">
        <f t="shared" si="52"/>
        <v>8.3854447229437667</v>
      </c>
      <c r="P215" s="6">
        <f t="shared" si="53"/>
        <v>0.8720862511861518</v>
      </c>
      <c r="Q215" s="10">
        <f t="shared" si="54"/>
        <v>1.8168463566378159E-2</v>
      </c>
      <c r="R215" s="10">
        <f t="shared" si="55"/>
        <v>7.8350486889121454E-2</v>
      </c>
      <c r="S215" s="10">
        <f t="shared" si="56"/>
        <v>9.6518950455499616E-2</v>
      </c>
    </row>
    <row r="216" spans="1:19" x14ac:dyDescent="0.25">
      <c r="A216" s="5" t="s">
        <v>8</v>
      </c>
      <c r="B216" s="5" t="s">
        <v>270</v>
      </c>
      <c r="C216" s="5" t="s">
        <v>27</v>
      </c>
      <c r="D216" s="5" t="s">
        <v>385</v>
      </c>
      <c r="E216" s="5" t="s">
        <v>384</v>
      </c>
      <c r="F216" s="5" t="s">
        <v>30</v>
      </c>
      <c r="G216" s="5" t="s">
        <v>392</v>
      </c>
      <c r="H216" s="5" t="s">
        <v>34</v>
      </c>
      <c r="I216" s="5" t="s">
        <v>272</v>
      </c>
      <c r="J216" s="15">
        <v>3350</v>
      </c>
      <c r="K216" s="7">
        <v>37</v>
      </c>
      <c r="L216" s="7">
        <f t="shared" si="51"/>
        <v>90.540540540540547</v>
      </c>
      <c r="M216" s="5" t="s">
        <v>10</v>
      </c>
      <c r="N216" s="5">
        <v>4</v>
      </c>
      <c r="O216" s="6">
        <f t="shared" si="52"/>
        <v>17.163702976625277</v>
      </c>
      <c r="P216" s="6">
        <f t="shared" si="53"/>
        <v>1.7850251095690288</v>
      </c>
      <c r="Q216" s="10">
        <f t="shared" si="54"/>
        <v>3.7188023116021436E-2</v>
      </c>
      <c r="R216" s="10">
        <f t="shared" si="55"/>
        <v>0.13407733437686528</v>
      </c>
      <c r="S216" s="10">
        <f t="shared" si="56"/>
        <v>0.17126535749288671</v>
      </c>
    </row>
    <row r="217" spans="1:19" x14ac:dyDescent="0.25">
      <c r="A217" s="5" t="s">
        <v>8</v>
      </c>
      <c r="B217" s="5" t="s">
        <v>270</v>
      </c>
      <c r="C217" s="5" t="s">
        <v>27</v>
      </c>
      <c r="D217" s="5" t="s">
        <v>385</v>
      </c>
      <c r="E217" s="5" t="s">
        <v>384</v>
      </c>
      <c r="F217" s="5" t="s">
        <v>30</v>
      </c>
      <c r="G217" s="5" t="s">
        <v>392</v>
      </c>
      <c r="H217" s="5" t="s">
        <v>34</v>
      </c>
      <c r="I217" s="5" t="s">
        <v>272</v>
      </c>
      <c r="J217" s="15">
        <v>3350</v>
      </c>
      <c r="K217" s="7">
        <v>38.799999999999997</v>
      </c>
      <c r="L217" s="7">
        <f t="shared" si="51"/>
        <v>86.340206185567013</v>
      </c>
      <c r="M217" s="5" t="s">
        <v>10</v>
      </c>
      <c r="N217" s="5">
        <v>4</v>
      </c>
      <c r="O217" s="6">
        <f t="shared" si="52"/>
        <v>15.608134083723032</v>
      </c>
      <c r="P217" s="6">
        <f t="shared" si="53"/>
        <v>1.6232459447071952</v>
      </c>
      <c r="Q217" s="10">
        <f t="shared" si="54"/>
        <v>3.3817623848066566E-2</v>
      </c>
      <c r="R217" s="10">
        <f t="shared" si="55"/>
        <v>0.12485627237086265</v>
      </c>
      <c r="S217" s="10">
        <f t="shared" si="56"/>
        <v>0.15867389621892922</v>
      </c>
    </row>
    <row r="218" spans="1:19" x14ac:dyDescent="0.25">
      <c r="A218" s="5" t="s">
        <v>22</v>
      </c>
      <c r="B218" s="5" t="s">
        <v>26</v>
      </c>
      <c r="C218" s="5" t="s">
        <v>27</v>
      </c>
      <c r="D218" s="5" t="s">
        <v>385</v>
      </c>
      <c r="E218" s="5" t="s">
        <v>384</v>
      </c>
      <c r="F218" s="5" t="s">
        <v>30</v>
      </c>
      <c r="G218" s="5" t="s">
        <v>392</v>
      </c>
      <c r="H218" s="5" t="s">
        <v>34</v>
      </c>
      <c r="I218" s="5" t="s">
        <v>21</v>
      </c>
      <c r="J218" s="15">
        <v>1000</v>
      </c>
      <c r="K218" s="7">
        <v>20</v>
      </c>
      <c r="L218" s="7">
        <f t="shared" si="51"/>
        <v>50</v>
      </c>
      <c r="M218" s="5" t="s">
        <v>10</v>
      </c>
      <c r="N218" s="5">
        <v>4</v>
      </c>
      <c r="O218" s="6">
        <f t="shared" si="52"/>
        <v>1.5625</v>
      </c>
      <c r="P218" s="6">
        <f t="shared" si="53"/>
        <v>0.16250000000000001</v>
      </c>
      <c r="Q218" s="10">
        <f t="shared" si="54"/>
        <v>3.3854166666666668E-3</v>
      </c>
      <c r="R218" s="10">
        <f t="shared" si="55"/>
        <v>2.2220925526404162E-2</v>
      </c>
      <c r="S218" s="10">
        <f t="shared" si="56"/>
        <v>2.5606342193070827E-2</v>
      </c>
    </row>
    <row r="219" spans="1:19" x14ac:dyDescent="0.25">
      <c r="A219" s="5" t="s">
        <v>22</v>
      </c>
      <c r="B219" s="5" t="s">
        <v>63</v>
      </c>
      <c r="C219" s="5" t="s">
        <v>27</v>
      </c>
      <c r="D219" s="5" t="s">
        <v>385</v>
      </c>
      <c r="E219" s="5" t="s">
        <v>384</v>
      </c>
      <c r="F219" s="5" t="s">
        <v>30</v>
      </c>
      <c r="G219" s="5" t="s">
        <v>392</v>
      </c>
      <c r="H219" s="5" t="s">
        <v>34</v>
      </c>
      <c r="I219" s="5" t="s">
        <v>21</v>
      </c>
      <c r="J219" s="15">
        <v>1050</v>
      </c>
      <c r="K219" s="7">
        <v>23</v>
      </c>
      <c r="L219" s="7">
        <f t="shared" si="51"/>
        <v>45.652173913043477</v>
      </c>
      <c r="M219" s="5" t="s">
        <v>10</v>
      </c>
      <c r="N219" s="5">
        <v>4</v>
      </c>
      <c r="O219" s="6">
        <f t="shared" si="52"/>
        <v>1.3677043950850662</v>
      </c>
      <c r="P219" s="6">
        <f t="shared" si="53"/>
        <v>0.14224125708884686</v>
      </c>
      <c r="Q219" s="10">
        <f t="shared" si="54"/>
        <v>2.9633595226843099E-3</v>
      </c>
      <c r="R219" s="10">
        <f t="shared" si="55"/>
        <v>2.0109038528318947E-2</v>
      </c>
      <c r="S219" s="10">
        <f t="shared" si="56"/>
        <v>2.3072398051003258E-2</v>
      </c>
    </row>
    <row r="220" spans="1:19" x14ac:dyDescent="0.25">
      <c r="A220" s="5" t="s">
        <v>8</v>
      </c>
      <c r="B220" s="5" t="s">
        <v>226</v>
      </c>
      <c r="C220" s="5" t="s">
        <v>27</v>
      </c>
      <c r="D220" s="5" t="s">
        <v>385</v>
      </c>
      <c r="E220" s="5" t="s">
        <v>384</v>
      </c>
      <c r="F220" s="5" t="s">
        <v>30</v>
      </c>
      <c r="G220" s="5" t="s">
        <v>392</v>
      </c>
      <c r="H220" s="5" t="s">
        <v>34</v>
      </c>
      <c r="I220" s="5" t="s">
        <v>21</v>
      </c>
      <c r="J220" s="15">
        <v>1429</v>
      </c>
      <c r="K220" s="7">
        <v>23.9</v>
      </c>
      <c r="L220" s="7">
        <f t="shared" si="51"/>
        <v>59.7907949790795</v>
      </c>
      <c r="M220" s="5" t="s">
        <v>10</v>
      </c>
      <c r="N220" s="5">
        <v>4</v>
      </c>
      <c r="O220" s="6">
        <f t="shared" si="52"/>
        <v>3.1928675410532033</v>
      </c>
      <c r="P220" s="6">
        <f t="shared" si="53"/>
        <v>0.33205822426953308</v>
      </c>
      <c r="Q220" s="10">
        <f t="shared" si="54"/>
        <v>6.9178796722819402E-3</v>
      </c>
      <c r="R220" s="10">
        <f t="shared" si="55"/>
        <v>3.7978062134013092E-2</v>
      </c>
      <c r="S220" s="10">
        <f t="shared" si="56"/>
        <v>4.4895941806295032E-2</v>
      </c>
    </row>
    <row r="221" spans="1:19" x14ac:dyDescent="0.25">
      <c r="A221" s="5" t="s">
        <v>22</v>
      </c>
      <c r="B221" s="5" t="s">
        <v>63</v>
      </c>
      <c r="C221" s="5" t="s">
        <v>27</v>
      </c>
      <c r="D221" s="5" t="s">
        <v>385</v>
      </c>
      <c r="E221" s="5" t="s">
        <v>384</v>
      </c>
      <c r="F221" s="5" t="s">
        <v>30</v>
      </c>
      <c r="G221" s="5" t="s">
        <v>392</v>
      </c>
      <c r="H221" s="5" t="s">
        <v>34</v>
      </c>
      <c r="I221" s="5" t="s">
        <v>142</v>
      </c>
      <c r="J221" s="15">
        <v>1350</v>
      </c>
      <c r="K221" s="7">
        <v>25</v>
      </c>
      <c r="L221" s="7">
        <f t="shared" si="51"/>
        <v>54</v>
      </c>
      <c r="M221" s="5" t="s">
        <v>10</v>
      </c>
      <c r="N221" s="5">
        <v>4</v>
      </c>
      <c r="O221" s="6">
        <f t="shared" si="52"/>
        <v>2.460375</v>
      </c>
      <c r="P221" s="6">
        <f t="shared" si="53"/>
        <v>0.25587900000000002</v>
      </c>
      <c r="Q221" s="10">
        <f t="shared" si="54"/>
        <v>5.3308124999999996E-3</v>
      </c>
      <c r="R221" s="10">
        <f t="shared" si="55"/>
        <v>3.1235474191314793E-2</v>
      </c>
      <c r="S221" s="10">
        <f t="shared" si="56"/>
        <v>3.6566286691314794E-2</v>
      </c>
    </row>
    <row r="222" spans="1:19" x14ac:dyDescent="0.25">
      <c r="A222" s="5" t="s">
        <v>8</v>
      </c>
      <c r="B222" s="5" t="s">
        <v>217</v>
      </c>
      <c r="C222" s="5" t="s">
        <v>27</v>
      </c>
      <c r="D222" s="5" t="s">
        <v>385</v>
      </c>
      <c r="E222" s="5" t="s">
        <v>384</v>
      </c>
      <c r="F222" s="5" t="s">
        <v>30</v>
      </c>
      <c r="G222" s="5" t="s">
        <v>392</v>
      </c>
      <c r="H222" s="5" t="s">
        <v>34</v>
      </c>
      <c r="I222" s="5" t="s">
        <v>142</v>
      </c>
      <c r="J222" s="15">
        <v>1300</v>
      </c>
      <c r="K222" s="7">
        <v>24.8</v>
      </c>
      <c r="L222" s="7">
        <f t="shared" si="51"/>
        <v>52.419354838709673</v>
      </c>
      <c r="M222" s="5" t="s">
        <v>10</v>
      </c>
      <c r="N222" s="5">
        <v>4</v>
      </c>
      <c r="O222" s="6">
        <f t="shared" si="52"/>
        <v>2.2325783688865761</v>
      </c>
      <c r="P222" s="6">
        <f t="shared" si="53"/>
        <v>0.2321881503642039</v>
      </c>
      <c r="Q222" s="10">
        <f t="shared" si="54"/>
        <v>4.8372531325875812E-3</v>
      </c>
      <c r="R222" s="10">
        <f t="shared" si="55"/>
        <v>2.9040370897396122E-2</v>
      </c>
      <c r="S222" s="10">
        <f t="shared" si="56"/>
        <v>3.3877624029983705E-2</v>
      </c>
    </row>
    <row r="223" spans="1:19" x14ac:dyDescent="0.25">
      <c r="A223" s="5" t="s">
        <v>8</v>
      </c>
      <c r="B223" s="5" t="s">
        <v>316</v>
      </c>
      <c r="C223" s="5" t="s">
        <v>27</v>
      </c>
      <c r="D223" s="5" t="s">
        <v>385</v>
      </c>
      <c r="E223" s="5" t="s">
        <v>384</v>
      </c>
      <c r="F223" s="5" t="s">
        <v>30</v>
      </c>
      <c r="G223" s="5" t="s">
        <v>392</v>
      </c>
      <c r="H223" s="5" t="s">
        <v>34</v>
      </c>
      <c r="I223" s="5" t="s">
        <v>318</v>
      </c>
      <c r="J223" s="15">
        <v>1980</v>
      </c>
      <c r="K223" s="7">
        <v>26</v>
      </c>
      <c r="L223" s="7">
        <f t="shared" si="51"/>
        <v>76.15384615384616</v>
      </c>
      <c r="M223" s="5" t="s">
        <v>10</v>
      </c>
      <c r="N223" s="5">
        <v>4</v>
      </c>
      <c r="O223" s="6">
        <f t="shared" si="52"/>
        <v>7.1767677514792911</v>
      </c>
      <c r="P223" s="6">
        <f t="shared" si="53"/>
        <v>0.74638384615384623</v>
      </c>
      <c r="Q223" s="10">
        <f t="shared" si="54"/>
        <v>1.5549663461538464E-2</v>
      </c>
      <c r="R223" s="10">
        <f t="shared" si="55"/>
        <v>6.9717819153043717E-2</v>
      </c>
      <c r="S223" s="10">
        <f t="shared" si="56"/>
        <v>8.5267482614582182E-2</v>
      </c>
    </row>
    <row r="224" spans="1:19" x14ac:dyDescent="0.25">
      <c r="A224" s="5" t="s">
        <v>8</v>
      </c>
      <c r="B224" s="5" t="s">
        <v>357</v>
      </c>
      <c r="C224" s="5" t="s">
        <v>27</v>
      </c>
      <c r="D224" s="5" t="s">
        <v>385</v>
      </c>
      <c r="E224" s="5" t="s">
        <v>384</v>
      </c>
      <c r="F224" s="5" t="s">
        <v>30</v>
      </c>
      <c r="G224" s="5" t="s">
        <v>392</v>
      </c>
      <c r="H224" s="5" t="s">
        <v>34</v>
      </c>
      <c r="I224" s="5" t="s">
        <v>318</v>
      </c>
      <c r="J224" s="15">
        <v>1952</v>
      </c>
      <c r="K224" s="7">
        <v>28.2</v>
      </c>
      <c r="L224" s="7">
        <f t="shared" si="51"/>
        <v>69.219858156028366</v>
      </c>
      <c r="M224" s="5" t="s">
        <v>10</v>
      </c>
      <c r="N224" s="5">
        <v>4</v>
      </c>
      <c r="O224" s="6">
        <f t="shared" si="52"/>
        <v>5.8454942910316374</v>
      </c>
      <c r="P224" s="6">
        <f t="shared" si="53"/>
        <v>0.60793140626729025</v>
      </c>
      <c r="Q224" s="10">
        <f t="shared" si="54"/>
        <v>1.2665237630568546E-2</v>
      </c>
      <c r="R224" s="10">
        <f t="shared" si="55"/>
        <v>5.9774101244652454E-2</v>
      </c>
      <c r="S224" s="10">
        <f t="shared" si="56"/>
        <v>7.2439338875220999E-2</v>
      </c>
    </row>
    <row r="225" spans="1:19" x14ac:dyDescent="0.25">
      <c r="A225" s="5" t="s">
        <v>22</v>
      </c>
      <c r="B225" s="5" t="s">
        <v>26</v>
      </c>
      <c r="C225" s="5" t="s">
        <v>27</v>
      </c>
      <c r="D225" s="5" t="s">
        <v>385</v>
      </c>
      <c r="E225" s="5" t="s">
        <v>384</v>
      </c>
      <c r="F225" s="5" t="s">
        <v>30</v>
      </c>
      <c r="G225" s="5" t="s">
        <v>392</v>
      </c>
      <c r="H225" s="5" t="s">
        <v>34</v>
      </c>
      <c r="I225" s="5" t="s">
        <v>35</v>
      </c>
      <c r="J225" s="15">
        <v>2750</v>
      </c>
      <c r="K225" s="7">
        <v>29</v>
      </c>
      <c r="L225" s="7">
        <f t="shared" si="51"/>
        <v>94.827586206896555</v>
      </c>
      <c r="M225" s="5" t="s">
        <v>10</v>
      </c>
      <c r="N225" s="5">
        <v>4</v>
      </c>
      <c r="O225" s="6">
        <f t="shared" si="52"/>
        <v>15.455465963139122</v>
      </c>
      <c r="P225" s="6">
        <f t="shared" si="53"/>
        <v>1.6073684601664686</v>
      </c>
      <c r="Q225" s="10">
        <f t="shared" si="54"/>
        <v>3.3486842920134763E-2</v>
      </c>
      <c r="R225" s="10">
        <f t="shared" si="55"/>
        <v>0.12393920372417333</v>
      </c>
      <c r="S225" s="10">
        <f t="shared" si="56"/>
        <v>0.15742604664430809</v>
      </c>
    </row>
    <row r="226" spans="1:19" x14ac:dyDescent="0.25">
      <c r="A226" s="5" t="s">
        <v>8</v>
      </c>
      <c r="B226" s="5" t="s">
        <v>366</v>
      </c>
      <c r="C226" s="5" t="s">
        <v>27</v>
      </c>
      <c r="D226" s="5" t="s">
        <v>385</v>
      </c>
      <c r="E226" s="5" t="s">
        <v>384</v>
      </c>
      <c r="F226" s="5" t="s">
        <v>30</v>
      </c>
      <c r="G226" s="5" t="s">
        <v>392</v>
      </c>
      <c r="H226" s="5" t="s">
        <v>232</v>
      </c>
      <c r="I226" s="5" t="s">
        <v>367</v>
      </c>
      <c r="J226" s="15">
        <v>1950</v>
      </c>
      <c r="K226" s="7">
        <v>26.5</v>
      </c>
      <c r="L226" s="7">
        <f t="shared" si="51"/>
        <v>73.584905660377359</v>
      </c>
      <c r="M226" s="5" t="s">
        <v>10</v>
      </c>
      <c r="N226" s="5">
        <v>4</v>
      </c>
      <c r="O226" s="6">
        <f t="shared" si="52"/>
        <v>6.5992123531505875</v>
      </c>
      <c r="P226" s="6">
        <f t="shared" si="53"/>
        <v>0.68631808472766109</v>
      </c>
      <c r="Q226" s="10">
        <f t="shared" si="54"/>
        <v>1.4298293431826273E-2</v>
      </c>
      <c r="R226" s="10">
        <f t="shared" si="55"/>
        <v>6.5466059667993612E-2</v>
      </c>
      <c r="S226" s="10">
        <f t="shared" si="56"/>
        <v>7.9764353099819885E-2</v>
      </c>
    </row>
    <row r="227" spans="1:19" x14ac:dyDescent="0.25">
      <c r="A227" s="5" t="s">
        <v>8</v>
      </c>
      <c r="B227" s="5" t="s">
        <v>231</v>
      </c>
      <c r="C227" s="5" t="s">
        <v>27</v>
      </c>
      <c r="D227" s="5" t="s">
        <v>385</v>
      </c>
      <c r="E227" s="5" t="s">
        <v>384</v>
      </c>
      <c r="F227" s="5" t="s">
        <v>30</v>
      </c>
      <c r="G227" s="5" t="s">
        <v>392</v>
      </c>
      <c r="H227" s="5" t="s">
        <v>232</v>
      </c>
      <c r="I227" s="5" t="s">
        <v>67</v>
      </c>
      <c r="J227" s="15">
        <v>2400</v>
      </c>
      <c r="K227" s="7">
        <v>28</v>
      </c>
      <c r="L227" s="7">
        <f t="shared" ref="L227:L258" si="57">J227/K227</f>
        <v>85.714285714285708</v>
      </c>
      <c r="M227" s="5" t="s">
        <v>10</v>
      </c>
      <c r="N227" s="5">
        <v>4</v>
      </c>
      <c r="O227" s="6">
        <f t="shared" ref="O227:O258" si="58">(J227*L227^2)/(1.6*10^6)</f>
        <v>11.020408163265305</v>
      </c>
      <c r="P227" s="6">
        <f t="shared" ref="P227:P258" si="59">(0.104*J227*L227^2)/(1.6*10^6)</f>
        <v>1.1461224489795918</v>
      </c>
      <c r="Q227" s="10">
        <f t="shared" ref="Q227:Q258" si="60">(0.104*O227)/(12*N227)</f>
        <v>2.3877551020408158E-2</v>
      </c>
      <c r="R227" s="10">
        <f t="shared" ref="R227:R258" si="61">0.0159*O227^0.75</f>
        <v>9.6171277298758448E-2</v>
      </c>
      <c r="S227" s="10">
        <f t="shared" ref="S227:S258" si="62">Q227+R227</f>
        <v>0.12004882831916661</v>
      </c>
    </row>
    <row r="228" spans="1:19" x14ac:dyDescent="0.25">
      <c r="A228" s="5" t="s">
        <v>8</v>
      </c>
      <c r="B228" s="5" t="s">
        <v>366</v>
      </c>
      <c r="C228" s="5" t="s">
        <v>27</v>
      </c>
      <c r="D228" s="5" t="s">
        <v>385</v>
      </c>
      <c r="E228" s="5" t="s">
        <v>384</v>
      </c>
      <c r="F228" s="5" t="s">
        <v>30</v>
      </c>
      <c r="G228" s="5" t="s">
        <v>392</v>
      </c>
      <c r="H228" s="5" t="s">
        <v>232</v>
      </c>
      <c r="I228" s="5" t="s">
        <v>368</v>
      </c>
      <c r="J228" s="15">
        <v>2350</v>
      </c>
      <c r="K228" s="7">
        <v>28.5</v>
      </c>
      <c r="L228" s="7">
        <f t="shared" si="57"/>
        <v>82.456140350877192</v>
      </c>
      <c r="M228" s="5" t="s">
        <v>10</v>
      </c>
      <c r="N228" s="5">
        <v>4</v>
      </c>
      <c r="O228" s="6">
        <f t="shared" si="58"/>
        <v>9.9860534010464761</v>
      </c>
      <c r="P228" s="6">
        <f t="shared" si="59"/>
        <v>1.0385495537088334</v>
      </c>
      <c r="Q228" s="10">
        <f t="shared" si="60"/>
        <v>2.1636449035600695E-2</v>
      </c>
      <c r="R228" s="10">
        <f t="shared" si="61"/>
        <v>8.9318729610296993E-2</v>
      </c>
      <c r="S228" s="10">
        <f t="shared" si="62"/>
        <v>0.11095517864589768</v>
      </c>
    </row>
    <row r="229" spans="1:19" x14ac:dyDescent="0.25">
      <c r="A229" s="5" t="s">
        <v>8</v>
      </c>
      <c r="B229" s="5" t="s">
        <v>366</v>
      </c>
      <c r="C229" s="5" t="s">
        <v>27</v>
      </c>
      <c r="D229" s="5" t="s">
        <v>385</v>
      </c>
      <c r="E229" s="5" t="s">
        <v>384</v>
      </c>
      <c r="F229" s="5" t="s">
        <v>30</v>
      </c>
      <c r="G229" s="5" t="s">
        <v>392</v>
      </c>
      <c r="H229" s="5" t="s">
        <v>232</v>
      </c>
      <c r="I229" s="5" t="s">
        <v>368</v>
      </c>
      <c r="J229" s="15">
        <v>2726</v>
      </c>
      <c r="K229" s="7">
        <v>30.5</v>
      </c>
      <c r="L229" s="7">
        <f t="shared" si="57"/>
        <v>89.377049180327873</v>
      </c>
      <c r="M229" s="5" t="s">
        <v>10</v>
      </c>
      <c r="N229" s="5">
        <v>4</v>
      </c>
      <c r="O229" s="6">
        <f t="shared" si="58"/>
        <v>13.609992727761355</v>
      </c>
      <c r="P229" s="6">
        <f t="shared" si="59"/>
        <v>1.4154392436871808</v>
      </c>
      <c r="Q229" s="10">
        <f t="shared" si="60"/>
        <v>2.9488317576816272E-2</v>
      </c>
      <c r="R229" s="10">
        <f t="shared" si="61"/>
        <v>0.11266539513595818</v>
      </c>
      <c r="S229" s="10">
        <f t="shared" si="62"/>
        <v>0.14215371271277444</v>
      </c>
    </row>
    <row r="230" spans="1:19" x14ac:dyDescent="0.25">
      <c r="A230" s="5" t="s">
        <v>8</v>
      </c>
      <c r="B230" s="5" t="s">
        <v>366</v>
      </c>
      <c r="C230" s="5" t="s">
        <v>27</v>
      </c>
      <c r="D230" s="5" t="s">
        <v>385</v>
      </c>
      <c r="E230" s="5" t="s">
        <v>384</v>
      </c>
      <c r="F230" s="5" t="s">
        <v>30</v>
      </c>
      <c r="G230" s="5" t="s">
        <v>392</v>
      </c>
      <c r="H230" s="5" t="s">
        <v>232</v>
      </c>
      <c r="I230" s="5" t="s">
        <v>35</v>
      </c>
      <c r="J230" s="15">
        <v>2900</v>
      </c>
      <c r="K230" s="7">
        <v>33</v>
      </c>
      <c r="L230" s="7">
        <f t="shared" si="57"/>
        <v>87.878787878787875</v>
      </c>
      <c r="M230" s="5" t="s">
        <v>10</v>
      </c>
      <c r="N230" s="5">
        <v>4</v>
      </c>
      <c r="O230" s="6">
        <f t="shared" si="58"/>
        <v>13.997359963269052</v>
      </c>
      <c r="P230" s="6">
        <f t="shared" si="59"/>
        <v>1.4557254361799814</v>
      </c>
      <c r="Q230" s="10">
        <f t="shared" si="60"/>
        <v>3.0327613253749608E-2</v>
      </c>
      <c r="R230" s="10">
        <f t="shared" si="61"/>
        <v>0.11506194811191645</v>
      </c>
      <c r="S230" s="10">
        <f t="shared" si="62"/>
        <v>0.14538956136566605</v>
      </c>
    </row>
    <row r="231" spans="1:19" x14ac:dyDescent="0.25">
      <c r="A231" s="5" t="s">
        <v>22</v>
      </c>
      <c r="B231" s="5" t="s">
        <v>63</v>
      </c>
      <c r="C231" s="5" t="s">
        <v>27</v>
      </c>
      <c r="D231" s="5" t="s">
        <v>385</v>
      </c>
      <c r="E231" s="5" t="s">
        <v>384</v>
      </c>
      <c r="F231" s="5" t="s">
        <v>30</v>
      </c>
      <c r="G231" s="5" t="s">
        <v>392</v>
      </c>
      <c r="H231" s="5" t="s">
        <v>66</v>
      </c>
      <c r="I231" s="5" t="s">
        <v>67</v>
      </c>
      <c r="J231" s="15">
        <v>2350</v>
      </c>
      <c r="K231" s="7">
        <v>28</v>
      </c>
      <c r="L231" s="7">
        <f t="shared" si="57"/>
        <v>83.928571428571431</v>
      </c>
      <c r="M231" s="5" t="s">
        <v>10</v>
      </c>
      <c r="N231" s="5">
        <v>4</v>
      </c>
      <c r="O231" s="6">
        <f t="shared" si="58"/>
        <v>10.345882493622449</v>
      </c>
      <c r="P231" s="6">
        <f t="shared" si="59"/>
        <v>1.0759717793367347</v>
      </c>
      <c r="Q231" s="10">
        <f t="shared" si="60"/>
        <v>2.2416078736181972E-2</v>
      </c>
      <c r="R231" s="10">
        <f t="shared" si="61"/>
        <v>9.1721844656989765E-2</v>
      </c>
      <c r="S231" s="10">
        <f t="shared" si="62"/>
        <v>0.11413792339317173</v>
      </c>
    </row>
    <row r="232" spans="1:19" x14ac:dyDescent="0.25">
      <c r="A232" s="5" t="s">
        <v>8</v>
      </c>
      <c r="B232" s="5" t="s">
        <v>241</v>
      </c>
      <c r="C232" s="5" t="s">
        <v>27</v>
      </c>
      <c r="D232" s="5" t="s">
        <v>385</v>
      </c>
      <c r="E232" s="5" t="s">
        <v>384</v>
      </c>
      <c r="F232" s="5" t="s">
        <v>30</v>
      </c>
      <c r="G232" s="5" t="s">
        <v>392</v>
      </c>
      <c r="H232" s="5" t="s">
        <v>40</v>
      </c>
      <c r="I232" s="5" t="s">
        <v>249</v>
      </c>
      <c r="J232" s="15">
        <v>1750</v>
      </c>
      <c r="K232" s="7">
        <v>25</v>
      </c>
      <c r="L232" s="7">
        <f t="shared" si="57"/>
        <v>70</v>
      </c>
      <c r="M232" s="5" t="s">
        <v>10</v>
      </c>
      <c r="N232" s="5">
        <v>4</v>
      </c>
      <c r="O232" s="6">
        <f t="shared" si="58"/>
        <v>5.359375</v>
      </c>
      <c r="P232" s="6">
        <f t="shared" si="59"/>
        <v>0.55737499999999995</v>
      </c>
      <c r="Q232" s="10">
        <f t="shared" si="60"/>
        <v>1.1611979166666666E-2</v>
      </c>
      <c r="R232" s="10">
        <f t="shared" si="61"/>
        <v>5.6005765012085269E-2</v>
      </c>
      <c r="S232" s="10">
        <f t="shared" si="62"/>
        <v>6.7617744178751937E-2</v>
      </c>
    </row>
    <row r="233" spans="1:19" x14ac:dyDescent="0.25">
      <c r="A233" s="5" t="s">
        <v>22</v>
      </c>
      <c r="B233" s="5" t="s">
        <v>26</v>
      </c>
      <c r="C233" s="5" t="s">
        <v>27</v>
      </c>
      <c r="D233" s="5" t="s">
        <v>385</v>
      </c>
      <c r="E233" s="5" t="s">
        <v>384</v>
      </c>
      <c r="F233" s="5" t="s">
        <v>30</v>
      </c>
      <c r="G233" s="5" t="s">
        <v>392</v>
      </c>
      <c r="H233" s="5" t="s">
        <v>40</v>
      </c>
      <c r="I233" s="5" t="s">
        <v>41</v>
      </c>
      <c r="J233" s="15">
        <v>2500</v>
      </c>
      <c r="K233" s="7">
        <v>28</v>
      </c>
      <c r="L233" s="7">
        <f t="shared" si="57"/>
        <v>89.285714285714292</v>
      </c>
      <c r="M233" s="5" t="s">
        <v>10</v>
      </c>
      <c r="N233" s="5">
        <v>4</v>
      </c>
      <c r="O233" s="6">
        <f t="shared" si="58"/>
        <v>12.456154336734695</v>
      </c>
      <c r="P233" s="6">
        <f t="shared" si="59"/>
        <v>1.2954400510204083</v>
      </c>
      <c r="Q233" s="10">
        <f t="shared" si="60"/>
        <v>2.6988334396258504E-2</v>
      </c>
      <c r="R233" s="10">
        <f t="shared" si="61"/>
        <v>0.10542293667898026</v>
      </c>
      <c r="S233" s="10">
        <f t="shared" si="62"/>
        <v>0.13241127107523876</v>
      </c>
    </row>
    <row r="234" spans="1:19" x14ac:dyDescent="0.25">
      <c r="A234" s="5" t="s">
        <v>8</v>
      </c>
      <c r="B234" s="5" t="s">
        <v>241</v>
      </c>
      <c r="C234" s="5" t="s">
        <v>27</v>
      </c>
      <c r="D234" s="5" t="s">
        <v>385</v>
      </c>
      <c r="E234" s="5" t="s">
        <v>384</v>
      </c>
      <c r="F234" s="5" t="s">
        <v>30</v>
      </c>
      <c r="G234" s="5" t="s">
        <v>392</v>
      </c>
      <c r="H234" s="5" t="s">
        <v>40</v>
      </c>
      <c r="I234" s="5" t="s">
        <v>41</v>
      </c>
      <c r="J234" s="15">
        <v>2300</v>
      </c>
      <c r="K234" s="7">
        <v>31</v>
      </c>
      <c r="L234" s="7">
        <f t="shared" si="57"/>
        <v>74.193548387096769</v>
      </c>
      <c r="M234" s="5" t="s">
        <v>10</v>
      </c>
      <c r="N234" s="5">
        <v>4</v>
      </c>
      <c r="O234" s="6">
        <f t="shared" si="58"/>
        <v>7.912981269510925</v>
      </c>
      <c r="P234" s="6">
        <f t="shared" si="59"/>
        <v>0.82295005202913618</v>
      </c>
      <c r="Q234" s="10">
        <f t="shared" si="60"/>
        <v>1.7144792750607003E-2</v>
      </c>
      <c r="R234" s="10">
        <f t="shared" si="61"/>
        <v>7.5015710610391848E-2</v>
      </c>
      <c r="S234" s="10">
        <f t="shared" si="62"/>
        <v>9.2160503360998847E-2</v>
      </c>
    </row>
    <row r="235" spans="1:19" x14ac:dyDescent="0.25">
      <c r="A235" s="5" t="s">
        <v>8</v>
      </c>
      <c r="B235" s="5" t="s">
        <v>313</v>
      </c>
      <c r="C235" s="5" t="s">
        <v>27</v>
      </c>
      <c r="D235" s="5" t="s">
        <v>385</v>
      </c>
      <c r="E235" s="5" t="s">
        <v>384</v>
      </c>
      <c r="F235" s="5" t="s">
        <v>30</v>
      </c>
      <c r="G235" s="5" t="s">
        <v>392</v>
      </c>
      <c r="H235" s="5" t="s">
        <v>40</v>
      </c>
      <c r="I235" s="5" t="s">
        <v>41</v>
      </c>
      <c r="J235" s="15">
        <v>2650</v>
      </c>
      <c r="K235" s="7">
        <v>27.1</v>
      </c>
      <c r="L235" s="7">
        <f t="shared" si="57"/>
        <v>97.785977859778598</v>
      </c>
      <c r="M235" s="5" t="s">
        <v>10</v>
      </c>
      <c r="N235" s="5">
        <v>4</v>
      </c>
      <c r="O235" s="6">
        <f t="shared" si="58"/>
        <v>15.83722392805109</v>
      </c>
      <c r="P235" s="6">
        <f t="shared" si="59"/>
        <v>1.6470712885173131</v>
      </c>
      <c r="Q235" s="10">
        <f t="shared" si="60"/>
        <v>3.431398517744403E-2</v>
      </c>
      <c r="R235" s="10">
        <f t="shared" si="61"/>
        <v>0.1262282081691613</v>
      </c>
      <c r="S235" s="10">
        <f t="shared" si="62"/>
        <v>0.16054219334660533</v>
      </c>
    </row>
    <row r="236" spans="1:19" x14ac:dyDescent="0.25">
      <c r="A236" s="5" t="s">
        <v>8</v>
      </c>
      <c r="B236" s="5" t="s">
        <v>241</v>
      </c>
      <c r="C236" s="5" t="s">
        <v>27</v>
      </c>
      <c r="D236" s="5" t="s">
        <v>385</v>
      </c>
      <c r="E236" s="5" t="s">
        <v>384</v>
      </c>
      <c r="F236" s="5" t="s">
        <v>30</v>
      </c>
      <c r="G236" s="5" t="s">
        <v>392</v>
      </c>
      <c r="H236" s="5" t="s">
        <v>40</v>
      </c>
      <c r="I236" s="5" t="s">
        <v>250</v>
      </c>
      <c r="J236" s="15">
        <v>1710</v>
      </c>
      <c r="K236" s="7">
        <v>25</v>
      </c>
      <c r="L236" s="7">
        <f t="shared" si="57"/>
        <v>68.400000000000006</v>
      </c>
      <c r="M236" s="5" t="s">
        <v>10</v>
      </c>
      <c r="N236" s="5">
        <v>4</v>
      </c>
      <c r="O236" s="6">
        <f t="shared" si="58"/>
        <v>5.0002110000000002</v>
      </c>
      <c r="P236" s="6">
        <f t="shared" si="59"/>
        <v>0.52002194400000012</v>
      </c>
      <c r="Q236" s="10">
        <f t="shared" si="60"/>
        <v>1.0833790500000001E-2</v>
      </c>
      <c r="R236" s="10">
        <f t="shared" si="61"/>
        <v>5.316653690438651E-2</v>
      </c>
      <c r="S236" s="10">
        <f t="shared" si="62"/>
        <v>6.4000327404386506E-2</v>
      </c>
    </row>
    <row r="237" spans="1:19" x14ac:dyDescent="0.25">
      <c r="A237" s="5" t="s">
        <v>8</v>
      </c>
      <c r="B237" s="5" t="s">
        <v>241</v>
      </c>
      <c r="C237" s="5" t="s">
        <v>27</v>
      </c>
      <c r="D237" s="5" t="s">
        <v>385</v>
      </c>
      <c r="E237" s="5" t="s">
        <v>384</v>
      </c>
      <c r="F237" s="5" t="s">
        <v>30</v>
      </c>
      <c r="G237" s="5" t="s">
        <v>392</v>
      </c>
      <c r="H237" s="5" t="s">
        <v>40</v>
      </c>
      <c r="I237" s="5" t="s">
        <v>252</v>
      </c>
      <c r="J237" s="15">
        <v>1670</v>
      </c>
      <c r="K237" s="7">
        <v>28.5</v>
      </c>
      <c r="L237" s="7">
        <f t="shared" si="57"/>
        <v>58.596491228070178</v>
      </c>
      <c r="M237" s="5" t="s">
        <v>10</v>
      </c>
      <c r="N237" s="5">
        <v>4</v>
      </c>
      <c r="O237" s="6">
        <f t="shared" si="58"/>
        <v>3.5837665435518629</v>
      </c>
      <c r="P237" s="6">
        <f t="shared" si="59"/>
        <v>0.37271172052939366</v>
      </c>
      <c r="Q237" s="10">
        <f t="shared" si="60"/>
        <v>7.7648275110290361E-3</v>
      </c>
      <c r="R237" s="10">
        <f t="shared" si="61"/>
        <v>4.1414450883432853E-2</v>
      </c>
      <c r="S237" s="10">
        <f t="shared" si="62"/>
        <v>4.9179278394461887E-2</v>
      </c>
    </row>
    <row r="238" spans="1:19" x14ac:dyDescent="0.25">
      <c r="A238" s="5" t="s">
        <v>8</v>
      </c>
      <c r="B238" s="5" t="s">
        <v>241</v>
      </c>
      <c r="C238" s="5" t="s">
        <v>27</v>
      </c>
      <c r="D238" s="5" t="s">
        <v>385</v>
      </c>
      <c r="E238" s="5" t="s">
        <v>384</v>
      </c>
      <c r="F238" s="5" t="s">
        <v>30</v>
      </c>
      <c r="G238" s="5" t="s">
        <v>392</v>
      </c>
      <c r="H238" s="5" t="s">
        <v>40</v>
      </c>
      <c r="I238" s="5" t="s">
        <v>11</v>
      </c>
      <c r="J238" s="15">
        <v>2375</v>
      </c>
      <c r="K238" s="7">
        <v>27</v>
      </c>
      <c r="L238" s="7">
        <f t="shared" si="57"/>
        <v>87.962962962962962</v>
      </c>
      <c r="M238" s="5" t="s">
        <v>10</v>
      </c>
      <c r="N238" s="5">
        <v>4</v>
      </c>
      <c r="O238" s="6">
        <f t="shared" si="58"/>
        <v>11.485326110253771</v>
      </c>
      <c r="P238" s="6">
        <f t="shared" si="59"/>
        <v>1.1944739154663921</v>
      </c>
      <c r="Q238" s="10">
        <f t="shared" si="60"/>
        <v>2.4884873238883169E-2</v>
      </c>
      <c r="R238" s="10">
        <f t="shared" si="61"/>
        <v>9.9198389756610938E-2</v>
      </c>
      <c r="S238" s="10">
        <f t="shared" si="62"/>
        <v>0.1240832629954941</v>
      </c>
    </row>
    <row r="239" spans="1:19" x14ac:dyDescent="0.25">
      <c r="A239" s="5" t="s">
        <v>8</v>
      </c>
      <c r="B239" s="5" t="s">
        <v>241</v>
      </c>
      <c r="C239" s="5" t="s">
        <v>27</v>
      </c>
      <c r="D239" s="5" t="s">
        <v>385</v>
      </c>
      <c r="E239" s="5" t="s">
        <v>384</v>
      </c>
      <c r="F239" s="5" t="s">
        <v>30</v>
      </c>
      <c r="G239" s="5" t="s">
        <v>392</v>
      </c>
      <c r="H239" s="5" t="s">
        <v>40</v>
      </c>
      <c r="I239" s="5" t="s">
        <v>260</v>
      </c>
      <c r="J239" s="15">
        <v>2250</v>
      </c>
      <c r="K239" s="7">
        <v>26.2</v>
      </c>
      <c r="L239" s="7">
        <f t="shared" si="57"/>
        <v>85.877862595419856</v>
      </c>
      <c r="M239" s="5" t="s">
        <v>10</v>
      </c>
      <c r="N239" s="5">
        <v>4</v>
      </c>
      <c r="O239" s="6">
        <f t="shared" si="58"/>
        <v>10.371103993065674</v>
      </c>
      <c r="P239" s="6">
        <f t="shared" si="59"/>
        <v>1.0785948152788301</v>
      </c>
      <c r="Q239" s="10">
        <f t="shared" si="60"/>
        <v>2.2470725318308959E-2</v>
      </c>
      <c r="R239" s="10">
        <f t="shared" si="61"/>
        <v>9.1889495281948216E-2</v>
      </c>
      <c r="S239" s="10">
        <f t="shared" si="62"/>
        <v>0.11436022060025718</v>
      </c>
    </row>
    <row r="240" spans="1:19" x14ac:dyDescent="0.25">
      <c r="A240" s="5" t="s">
        <v>8</v>
      </c>
      <c r="B240" s="5" t="s">
        <v>188</v>
      </c>
      <c r="C240" s="5" t="s">
        <v>27</v>
      </c>
      <c r="D240" s="5" t="s">
        <v>385</v>
      </c>
      <c r="E240" s="5" t="s">
        <v>384</v>
      </c>
      <c r="F240" s="5" t="s">
        <v>30</v>
      </c>
      <c r="G240" s="5" t="s">
        <v>392</v>
      </c>
      <c r="H240" s="5" t="s">
        <v>40</v>
      </c>
      <c r="I240" s="5" t="s">
        <v>190</v>
      </c>
      <c r="J240" s="15">
        <v>2800</v>
      </c>
      <c r="K240" s="7">
        <v>27</v>
      </c>
      <c r="L240" s="7">
        <f t="shared" si="57"/>
        <v>103.70370370370371</v>
      </c>
      <c r="M240" s="5" t="s">
        <v>10</v>
      </c>
      <c r="N240" s="5">
        <v>4</v>
      </c>
      <c r="O240" s="6">
        <f t="shared" si="58"/>
        <v>18.820301783264746</v>
      </c>
      <c r="P240" s="6">
        <f t="shared" si="59"/>
        <v>1.9573113854595339</v>
      </c>
      <c r="Q240" s="10">
        <f t="shared" si="60"/>
        <v>4.0777320530406946E-2</v>
      </c>
      <c r="R240" s="10">
        <f t="shared" si="61"/>
        <v>0.14367032083802037</v>
      </c>
      <c r="S240" s="10">
        <f t="shared" si="62"/>
        <v>0.18444764136842731</v>
      </c>
    </row>
    <row r="241" spans="1:19" x14ac:dyDescent="0.25">
      <c r="A241" s="5" t="s">
        <v>8</v>
      </c>
      <c r="B241" s="5" t="s">
        <v>241</v>
      </c>
      <c r="C241" s="5" t="s">
        <v>27</v>
      </c>
      <c r="D241" s="5" t="s">
        <v>385</v>
      </c>
      <c r="E241" s="5" t="s">
        <v>384</v>
      </c>
      <c r="F241" s="5" t="s">
        <v>30</v>
      </c>
      <c r="G241" s="5" t="s">
        <v>392</v>
      </c>
      <c r="H241" s="5" t="s">
        <v>40</v>
      </c>
      <c r="I241" s="5" t="s">
        <v>190</v>
      </c>
      <c r="J241" s="15">
        <v>2885</v>
      </c>
      <c r="K241" s="7">
        <v>27.5</v>
      </c>
      <c r="L241" s="7">
        <f t="shared" si="57"/>
        <v>104.90909090909091</v>
      </c>
      <c r="M241" s="5" t="s">
        <v>10</v>
      </c>
      <c r="N241" s="5">
        <v>4</v>
      </c>
      <c r="O241" s="6">
        <f t="shared" si="58"/>
        <v>19.845044731404958</v>
      </c>
      <c r="P241" s="6">
        <f t="shared" si="59"/>
        <v>2.0638846520661156</v>
      </c>
      <c r="Q241" s="10">
        <f t="shared" si="60"/>
        <v>4.2997596918044077E-2</v>
      </c>
      <c r="R241" s="10">
        <f t="shared" si="61"/>
        <v>0.1494982765139998</v>
      </c>
      <c r="S241" s="10">
        <f t="shared" si="62"/>
        <v>0.19249587343204388</v>
      </c>
    </row>
    <row r="242" spans="1:19" x14ac:dyDescent="0.25">
      <c r="A242" s="5" t="s">
        <v>8</v>
      </c>
      <c r="B242" s="5" t="s">
        <v>241</v>
      </c>
      <c r="C242" s="5" t="s">
        <v>27</v>
      </c>
      <c r="D242" s="5" t="s">
        <v>385</v>
      </c>
      <c r="E242" s="5" t="s">
        <v>384</v>
      </c>
      <c r="F242" s="5" t="s">
        <v>30</v>
      </c>
      <c r="G242" s="5" t="s">
        <v>392</v>
      </c>
      <c r="H242" s="5" t="s">
        <v>40</v>
      </c>
      <c r="I242" s="5" t="s">
        <v>257</v>
      </c>
      <c r="J242" s="15">
        <v>2020</v>
      </c>
      <c r="K242" s="7">
        <v>23.5</v>
      </c>
      <c r="L242" s="7">
        <f t="shared" si="57"/>
        <v>85.957446808510639</v>
      </c>
      <c r="M242" s="5" t="s">
        <v>10</v>
      </c>
      <c r="N242" s="5">
        <v>4</v>
      </c>
      <c r="O242" s="6">
        <f t="shared" si="58"/>
        <v>9.3282118605703932</v>
      </c>
      <c r="P242" s="6">
        <f t="shared" si="59"/>
        <v>0.97013403349932081</v>
      </c>
      <c r="Q242" s="10">
        <f t="shared" si="60"/>
        <v>2.0211125697902517E-2</v>
      </c>
      <c r="R242" s="10">
        <f t="shared" si="61"/>
        <v>8.486838252062337E-2</v>
      </c>
      <c r="S242" s="10">
        <f t="shared" si="62"/>
        <v>0.10507950821852588</v>
      </c>
    </row>
    <row r="243" spans="1:19" x14ac:dyDescent="0.25">
      <c r="A243" s="5" t="s">
        <v>8</v>
      </c>
      <c r="B243" s="5" t="s">
        <v>241</v>
      </c>
      <c r="C243" s="5" t="s">
        <v>27</v>
      </c>
      <c r="D243" s="5" t="s">
        <v>385</v>
      </c>
      <c r="E243" s="5" t="s">
        <v>384</v>
      </c>
      <c r="F243" s="5" t="s">
        <v>30</v>
      </c>
      <c r="G243" s="5" t="s">
        <v>392</v>
      </c>
      <c r="H243" s="5" t="s">
        <v>40</v>
      </c>
      <c r="I243" s="5" t="s">
        <v>258</v>
      </c>
      <c r="J243" s="15">
        <v>2220</v>
      </c>
      <c r="K243" s="7">
        <v>28</v>
      </c>
      <c r="L243" s="7">
        <f t="shared" si="57"/>
        <v>79.285714285714292</v>
      </c>
      <c r="M243" s="5" t="s">
        <v>10</v>
      </c>
      <c r="N243" s="5">
        <v>4</v>
      </c>
      <c r="O243" s="6">
        <f t="shared" si="58"/>
        <v>8.7221364795918372</v>
      </c>
      <c r="P243" s="6">
        <f t="shared" si="59"/>
        <v>0.90710219387755109</v>
      </c>
      <c r="Q243" s="10">
        <f t="shared" si="60"/>
        <v>1.8897962372448979E-2</v>
      </c>
      <c r="R243" s="10">
        <f t="shared" si="61"/>
        <v>8.0698280844358428E-2</v>
      </c>
      <c r="S243" s="10">
        <f t="shared" si="62"/>
        <v>9.9596243216807406E-2</v>
      </c>
    </row>
    <row r="244" spans="1:19" x14ac:dyDescent="0.25">
      <c r="A244" s="5" t="s">
        <v>8</v>
      </c>
      <c r="B244" s="5" t="s">
        <v>188</v>
      </c>
      <c r="C244" s="5" t="s">
        <v>27</v>
      </c>
      <c r="D244" s="5" t="s">
        <v>385</v>
      </c>
      <c r="E244" s="5" t="s">
        <v>384</v>
      </c>
      <c r="F244" s="5" t="s">
        <v>30</v>
      </c>
      <c r="G244" s="5" t="s">
        <v>392</v>
      </c>
      <c r="H244" s="5" t="s">
        <v>40</v>
      </c>
      <c r="I244" s="5" t="s">
        <v>189</v>
      </c>
      <c r="J244" s="15">
        <v>2200</v>
      </c>
      <c r="K244" s="7">
        <v>28.7</v>
      </c>
      <c r="L244" s="7">
        <f t="shared" si="57"/>
        <v>76.655052264808361</v>
      </c>
      <c r="M244" s="5" t="s">
        <v>10</v>
      </c>
      <c r="N244" s="5">
        <v>4</v>
      </c>
      <c r="O244" s="6">
        <f t="shared" si="58"/>
        <v>8.0794959268656896</v>
      </c>
      <c r="P244" s="6">
        <f t="shared" si="59"/>
        <v>0.8402675763940316</v>
      </c>
      <c r="Q244" s="10">
        <f t="shared" si="60"/>
        <v>1.7505574508208995E-2</v>
      </c>
      <c r="R244" s="10">
        <f t="shared" si="61"/>
        <v>7.6196552828618133E-2</v>
      </c>
      <c r="S244" s="10">
        <f t="shared" si="62"/>
        <v>9.3702127336827132E-2</v>
      </c>
    </row>
    <row r="245" spans="1:19" x14ac:dyDescent="0.25">
      <c r="A245" s="5" t="s">
        <v>8</v>
      </c>
      <c r="B245" s="5" t="s">
        <v>188</v>
      </c>
      <c r="C245" s="5" t="s">
        <v>27</v>
      </c>
      <c r="D245" s="5" t="s">
        <v>385</v>
      </c>
      <c r="E245" s="5" t="s">
        <v>384</v>
      </c>
      <c r="F245" s="5" t="s">
        <v>30</v>
      </c>
      <c r="G245" s="5" t="s">
        <v>392</v>
      </c>
      <c r="H245" s="5" t="s">
        <v>40</v>
      </c>
      <c r="I245" s="5" t="s">
        <v>189</v>
      </c>
      <c r="J245" s="15">
        <v>2100</v>
      </c>
      <c r="K245" s="7">
        <v>22.2</v>
      </c>
      <c r="L245" s="7">
        <f t="shared" si="57"/>
        <v>94.594594594594597</v>
      </c>
      <c r="M245" s="5" t="s">
        <v>10</v>
      </c>
      <c r="N245" s="5">
        <v>4</v>
      </c>
      <c r="O245" s="6">
        <f t="shared" si="58"/>
        <v>11.744430241051864</v>
      </c>
      <c r="P245" s="6">
        <f t="shared" si="59"/>
        <v>1.2214207450693937</v>
      </c>
      <c r="Q245" s="10">
        <f t="shared" si="60"/>
        <v>2.5446265522279039E-2</v>
      </c>
      <c r="R245" s="10">
        <f t="shared" si="61"/>
        <v>0.1008721061659506</v>
      </c>
      <c r="S245" s="10">
        <f t="shared" si="62"/>
        <v>0.12631837168822965</v>
      </c>
    </row>
    <row r="246" spans="1:19" x14ac:dyDescent="0.25">
      <c r="A246" s="5" t="s">
        <v>8</v>
      </c>
      <c r="B246" s="5" t="s">
        <v>313</v>
      </c>
      <c r="C246" s="5" t="s">
        <v>27</v>
      </c>
      <c r="D246" s="5" t="s">
        <v>385</v>
      </c>
      <c r="E246" s="5" t="s">
        <v>384</v>
      </c>
      <c r="F246" s="5" t="s">
        <v>30</v>
      </c>
      <c r="G246" s="5" t="s">
        <v>392</v>
      </c>
      <c r="H246" s="5" t="s">
        <v>40</v>
      </c>
      <c r="I246" s="5" t="s">
        <v>314</v>
      </c>
      <c r="J246" s="15">
        <v>1910</v>
      </c>
      <c r="K246" s="7">
        <v>24</v>
      </c>
      <c r="L246" s="7">
        <f t="shared" si="57"/>
        <v>79.583333333333329</v>
      </c>
      <c r="M246" s="5" t="s">
        <v>10</v>
      </c>
      <c r="N246" s="5">
        <v>4</v>
      </c>
      <c r="O246" s="6">
        <f t="shared" si="58"/>
        <v>7.5606239149305541</v>
      </c>
      <c r="P246" s="6">
        <f t="shared" si="59"/>
        <v>0.78630488715277769</v>
      </c>
      <c r="Q246" s="10">
        <f t="shared" si="60"/>
        <v>1.6381351815682867E-2</v>
      </c>
      <c r="R246" s="10">
        <f t="shared" si="61"/>
        <v>7.2496218047525651E-2</v>
      </c>
      <c r="S246" s="10">
        <f t="shared" si="62"/>
        <v>8.8877569863208522E-2</v>
      </c>
    </row>
    <row r="247" spans="1:19" x14ac:dyDescent="0.25">
      <c r="A247" s="5" t="s">
        <v>8</v>
      </c>
      <c r="B247" s="5" t="s">
        <v>241</v>
      </c>
      <c r="C247" s="5" t="s">
        <v>27</v>
      </c>
      <c r="D247" s="5" t="s">
        <v>385</v>
      </c>
      <c r="E247" s="5" t="s">
        <v>384</v>
      </c>
      <c r="F247" s="5" t="s">
        <v>30</v>
      </c>
      <c r="G247" s="5" t="s">
        <v>392</v>
      </c>
      <c r="H247" s="5" t="s">
        <v>40</v>
      </c>
      <c r="I247" s="5" t="s">
        <v>251</v>
      </c>
      <c r="J247" s="15">
        <v>1940</v>
      </c>
      <c r="K247" s="7">
        <v>26.5</v>
      </c>
      <c r="L247" s="7">
        <f t="shared" si="57"/>
        <v>73.20754716981132</v>
      </c>
      <c r="M247" s="5" t="s">
        <v>10</v>
      </c>
      <c r="N247" s="5">
        <v>4</v>
      </c>
      <c r="O247" s="6">
        <f t="shared" si="58"/>
        <v>6.4982057671769313</v>
      </c>
      <c r="P247" s="6">
        <f t="shared" si="59"/>
        <v>0.67581339978640087</v>
      </c>
      <c r="Q247" s="10">
        <f t="shared" si="60"/>
        <v>1.4079445828883352E-2</v>
      </c>
      <c r="R247" s="10">
        <f t="shared" si="61"/>
        <v>6.4713102102881032E-2</v>
      </c>
      <c r="S247" s="10">
        <f t="shared" si="62"/>
        <v>7.8792547931764378E-2</v>
      </c>
    </row>
    <row r="248" spans="1:19" x14ac:dyDescent="0.25">
      <c r="A248" s="5" t="s">
        <v>8</v>
      </c>
      <c r="B248" s="5" t="s">
        <v>361</v>
      </c>
      <c r="C248" s="5" t="s">
        <v>27</v>
      </c>
      <c r="D248" s="5" t="s">
        <v>385</v>
      </c>
      <c r="E248" s="5" t="s">
        <v>384</v>
      </c>
      <c r="F248" s="5" t="s">
        <v>30</v>
      </c>
      <c r="G248" s="5" t="s">
        <v>392</v>
      </c>
      <c r="H248" s="5" t="s">
        <v>40</v>
      </c>
      <c r="I248" s="5" t="s">
        <v>362</v>
      </c>
      <c r="J248" s="15">
        <v>1970</v>
      </c>
      <c r="K248" s="7">
        <v>26.9</v>
      </c>
      <c r="L248" s="7">
        <f t="shared" si="57"/>
        <v>73.234200743494426</v>
      </c>
      <c r="M248" s="5" t="s">
        <v>10</v>
      </c>
      <c r="N248" s="5">
        <v>4</v>
      </c>
      <c r="O248" s="6">
        <f t="shared" si="58"/>
        <v>6.6034992952004536</v>
      </c>
      <c r="P248" s="6">
        <f t="shared" si="59"/>
        <v>0.68676392670084707</v>
      </c>
      <c r="Q248" s="10">
        <f t="shared" si="60"/>
        <v>1.430758180626765E-2</v>
      </c>
      <c r="R248" s="10">
        <f t="shared" si="61"/>
        <v>6.5497952840159274E-2</v>
      </c>
      <c r="S248" s="10">
        <f t="shared" si="62"/>
        <v>7.9805534646426923E-2</v>
      </c>
    </row>
    <row r="249" spans="1:19" x14ac:dyDescent="0.25">
      <c r="A249" s="5" t="s">
        <v>8</v>
      </c>
      <c r="B249" s="5" t="s">
        <v>241</v>
      </c>
      <c r="C249" s="5" t="s">
        <v>27</v>
      </c>
      <c r="D249" s="5" t="s">
        <v>385</v>
      </c>
      <c r="E249" s="5" t="s">
        <v>384</v>
      </c>
      <c r="F249" s="5" t="s">
        <v>30</v>
      </c>
      <c r="G249" s="5" t="s">
        <v>392</v>
      </c>
      <c r="H249" s="5" t="s">
        <v>40</v>
      </c>
      <c r="I249" s="5" t="s">
        <v>255</v>
      </c>
      <c r="J249" s="15">
        <v>2180</v>
      </c>
      <c r="K249" s="7">
        <v>20.2</v>
      </c>
      <c r="L249" s="7">
        <f t="shared" si="57"/>
        <v>107.92079207920793</v>
      </c>
      <c r="M249" s="5" t="s">
        <v>10</v>
      </c>
      <c r="N249" s="5">
        <v>4</v>
      </c>
      <c r="O249" s="6">
        <f t="shared" si="58"/>
        <v>15.868897657092445</v>
      </c>
      <c r="P249" s="6">
        <f t="shared" si="59"/>
        <v>1.6503653563376142</v>
      </c>
      <c r="Q249" s="10">
        <f t="shared" si="60"/>
        <v>3.4382611590366964E-2</v>
      </c>
      <c r="R249" s="10">
        <f t="shared" si="61"/>
        <v>0.12641749889048123</v>
      </c>
      <c r="S249" s="10">
        <f t="shared" si="62"/>
        <v>0.16080011048084819</v>
      </c>
    </row>
    <row r="250" spans="1:19" x14ac:dyDescent="0.25">
      <c r="A250" s="5" t="s">
        <v>8</v>
      </c>
      <c r="B250" s="5" t="s">
        <v>375</v>
      </c>
      <c r="C250" s="5" t="s">
        <v>27</v>
      </c>
      <c r="D250" s="5" t="s">
        <v>385</v>
      </c>
      <c r="E250" s="5" t="s">
        <v>384</v>
      </c>
      <c r="F250" s="5" t="s">
        <v>30</v>
      </c>
      <c r="G250" s="5" t="s">
        <v>392</v>
      </c>
      <c r="H250" s="5" t="s">
        <v>40</v>
      </c>
      <c r="I250" s="5" t="s">
        <v>377</v>
      </c>
      <c r="J250" s="15">
        <v>1900</v>
      </c>
      <c r="K250" s="7">
        <v>31.8</v>
      </c>
      <c r="L250" s="7">
        <f t="shared" si="57"/>
        <v>59.748427672955977</v>
      </c>
      <c r="M250" s="5" t="s">
        <v>10</v>
      </c>
      <c r="N250" s="5">
        <v>4</v>
      </c>
      <c r="O250" s="6">
        <f t="shared" si="58"/>
        <v>4.2392260986511614</v>
      </c>
      <c r="P250" s="6">
        <f t="shared" si="59"/>
        <v>0.44087951425972072</v>
      </c>
      <c r="Q250" s="10">
        <f t="shared" si="60"/>
        <v>9.1849898804108494E-3</v>
      </c>
      <c r="R250" s="10">
        <f t="shared" si="61"/>
        <v>4.6974488465593794E-2</v>
      </c>
      <c r="S250" s="10">
        <f t="shared" si="62"/>
        <v>5.615947834600464E-2</v>
      </c>
    </row>
    <row r="251" spans="1:19" x14ac:dyDescent="0.25">
      <c r="A251" s="5" t="s">
        <v>8</v>
      </c>
      <c r="B251" s="5" t="s">
        <v>241</v>
      </c>
      <c r="C251" s="5" t="s">
        <v>27</v>
      </c>
      <c r="D251" s="5" t="s">
        <v>385</v>
      </c>
      <c r="E251" s="5" t="s">
        <v>384</v>
      </c>
      <c r="F251" s="5" t="s">
        <v>30</v>
      </c>
      <c r="G251" s="5" t="s">
        <v>392</v>
      </c>
      <c r="H251" s="5" t="s">
        <v>40</v>
      </c>
      <c r="I251" s="5" t="s">
        <v>242</v>
      </c>
      <c r="J251" s="15">
        <v>1765</v>
      </c>
      <c r="K251" s="7">
        <v>23.2</v>
      </c>
      <c r="L251" s="7">
        <f t="shared" si="57"/>
        <v>76.077586206896555</v>
      </c>
      <c r="M251" s="5" t="s">
        <v>10</v>
      </c>
      <c r="N251" s="5">
        <v>4</v>
      </c>
      <c r="O251" s="6">
        <f t="shared" si="58"/>
        <v>6.3846659076341412</v>
      </c>
      <c r="P251" s="6">
        <f t="shared" si="59"/>
        <v>0.66400525439395075</v>
      </c>
      <c r="Q251" s="10">
        <f t="shared" si="60"/>
        <v>1.3833442799873972E-2</v>
      </c>
      <c r="R251" s="10">
        <f t="shared" si="61"/>
        <v>6.3863211893944297E-2</v>
      </c>
      <c r="S251" s="10">
        <f t="shared" si="62"/>
        <v>7.7696654693818271E-2</v>
      </c>
    </row>
    <row r="252" spans="1:19" x14ac:dyDescent="0.25">
      <c r="A252" s="5" t="s">
        <v>8</v>
      </c>
      <c r="B252" s="5" t="s">
        <v>241</v>
      </c>
      <c r="C252" s="5" t="s">
        <v>27</v>
      </c>
      <c r="D252" s="5" t="s">
        <v>385</v>
      </c>
      <c r="E252" s="5" t="s">
        <v>384</v>
      </c>
      <c r="F252" s="5" t="s">
        <v>30</v>
      </c>
      <c r="G252" s="5" t="s">
        <v>392</v>
      </c>
      <c r="H252" s="5" t="s">
        <v>40</v>
      </c>
      <c r="I252" s="5" t="s">
        <v>261</v>
      </c>
      <c r="J252" s="15">
        <v>2600</v>
      </c>
      <c r="K252" s="7">
        <v>27.5</v>
      </c>
      <c r="L252" s="7">
        <f t="shared" si="57"/>
        <v>94.545454545454547</v>
      </c>
      <c r="M252" s="5" t="s">
        <v>10</v>
      </c>
      <c r="N252" s="5">
        <v>4</v>
      </c>
      <c r="O252" s="6">
        <f t="shared" si="58"/>
        <v>14.525619834710744</v>
      </c>
      <c r="P252" s="6">
        <f t="shared" si="59"/>
        <v>1.5106644628099171</v>
      </c>
      <c r="Q252" s="10">
        <f t="shared" si="60"/>
        <v>3.1472176308539941E-2</v>
      </c>
      <c r="R252" s="10">
        <f t="shared" si="61"/>
        <v>0.11830364604409564</v>
      </c>
      <c r="S252" s="10">
        <f t="shared" si="62"/>
        <v>0.14977582235263559</v>
      </c>
    </row>
    <row r="253" spans="1:19" x14ac:dyDescent="0.25">
      <c r="A253" s="5" t="s">
        <v>8</v>
      </c>
      <c r="B253" s="5" t="s">
        <v>241</v>
      </c>
      <c r="C253" s="5" t="s">
        <v>27</v>
      </c>
      <c r="D253" s="5" t="s">
        <v>385</v>
      </c>
      <c r="E253" s="5" t="s">
        <v>384</v>
      </c>
      <c r="F253" s="5" t="s">
        <v>30</v>
      </c>
      <c r="G253" s="5" t="s">
        <v>392</v>
      </c>
      <c r="H253" s="5" t="s">
        <v>40</v>
      </c>
      <c r="I253" s="5" t="s">
        <v>243</v>
      </c>
      <c r="J253" s="15">
        <v>4700</v>
      </c>
      <c r="K253" s="7">
        <v>36.4</v>
      </c>
      <c r="L253" s="7">
        <f t="shared" si="57"/>
        <v>129.12087912087912</v>
      </c>
      <c r="M253" s="5" t="s">
        <v>10</v>
      </c>
      <c r="N253" s="5">
        <v>4</v>
      </c>
      <c r="O253" s="6">
        <f t="shared" si="58"/>
        <v>48.974591685786741</v>
      </c>
      <c r="P253" s="6">
        <f t="shared" si="59"/>
        <v>5.0933575353218208</v>
      </c>
      <c r="Q253" s="10">
        <f t="shared" si="60"/>
        <v>0.1061116153192046</v>
      </c>
      <c r="R253" s="10">
        <f t="shared" si="61"/>
        <v>0.29435759247386778</v>
      </c>
      <c r="S253" s="10">
        <f t="shared" si="62"/>
        <v>0.40046920779307238</v>
      </c>
    </row>
    <row r="254" spans="1:19" x14ac:dyDescent="0.25">
      <c r="A254" s="5" t="s">
        <v>8</v>
      </c>
      <c r="B254" s="5" t="s">
        <v>241</v>
      </c>
      <c r="C254" s="5" t="s">
        <v>27</v>
      </c>
      <c r="D254" s="5" t="s">
        <v>385</v>
      </c>
      <c r="E254" s="5" t="s">
        <v>384</v>
      </c>
      <c r="F254" s="5" t="s">
        <v>30</v>
      </c>
      <c r="G254" s="5" t="s">
        <v>392</v>
      </c>
      <c r="H254" s="5" t="s">
        <v>40</v>
      </c>
      <c r="I254" s="5" t="s">
        <v>244</v>
      </c>
      <c r="J254" s="15">
        <v>1500</v>
      </c>
      <c r="K254" s="7">
        <v>23</v>
      </c>
      <c r="L254" s="7">
        <f t="shared" si="57"/>
        <v>65.217391304347828</v>
      </c>
      <c r="M254" s="5" t="s">
        <v>10</v>
      </c>
      <c r="N254" s="5">
        <v>4</v>
      </c>
      <c r="O254" s="6">
        <f t="shared" si="58"/>
        <v>3.9874763705103979</v>
      </c>
      <c r="P254" s="6">
        <f t="shared" si="59"/>
        <v>0.41469754253308139</v>
      </c>
      <c r="Q254" s="10">
        <f t="shared" si="60"/>
        <v>8.6395321361058628E-3</v>
      </c>
      <c r="R254" s="10">
        <f t="shared" si="61"/>
        <v>4.4866347546259483E-2</v>
      </c>
      <c r="S254" s="10">
        <f t="shared" si="62"/>
        <v>5.3505879682365344E-2</v>
      </c>
    </row>
    <row r="255" spans="1:19" x14ac:dyDescent="0.25">
      <c r="A255" s="5" t="s">
        <v>22</v>
      </c>
      <c r="B255" s="5" t="s">
        <v>63</v>
      </c>
      <c r="C255" s="5" t="s">
        <v>27</v>
      </c>
      <c r="D255" s="5" t="s">
        <v>385</v>
      </c>
      <c r="E255" s="5" t="s">
        <v>384</v>
      </c>
      <c r="F255" s="5" t="s">
        <v>30</v>
      </c>
      <c r="G255" s="5" t="s">
        <v>392</v>
      </c>
      <c r="H255" s="5" t="s">
        <v>40</v>
      </c>
      <c r="I255" s="5" t="s">
        <v>65</v>
      </c>
      <c r="J255" s="15">
        <v>2200</v>
      </c>
      <c r="K255" s="7">
        <v>27</v>
      </c>
      <c r="L255" s="7">
        <f t="shared" si="57"/>
        <v>81.481481481481481</v>
      </c>
      <c r="M255" s="5" t="s">
        <v>10</v>
      </c>
      <c r="N255" s="5">
        <v>4</v>
      </c>
      <c r="O255" s="6">
        <f t="shared" si="58"/>
        <v>9.1289437585733886</v>
      </c>
      <c r="P255" s="6">
        <f t="shared" si="59"/>
        <v>0.94941015089163217</v>
      </c>
      <c r="Q255" s="10">
        <f t="shared" si="60"/>
        <v>1.9779378143575676E-2</v>
      </c>
      <c r="R255" s="10">
        <f t="shared" si="61"/>
        <v>8.3505008186665314E-2</v>
      </c>
      <c r="S255" s="10">
        <f t="shared" si="62"/>
        <v>0.10328438633024099</v>
      </c>
    </row>
    <row r="256" spans="1:19" x14ac:dyDescent="0.25">
      <c r="A256" s="5" t="s">
        <v>22</v>
      </c>
      <c r="B256" s="5" t="s">
        <v>26</v>
      </c>
      <c r="C256" s="5" t="s">
        <v>27</v>
      </c>
      <c r="D256" s="5" t="s">
        <v>385</v>
      </c>
      <c r="E256" s="5" t="s">
        <v>384</v>
      </c>
      <c r="F256" s="5" t="s">
        <v>30</v>
      </c>
      <c r="G256" s="5" t="s">
        <v>392</v>
      </c>
      <c r="H256" s="5" t="s">
        <v>40</v>
      </c>
      <c r="I256" s="5" t="s">
        <v>42</v>
      </c>
      <c r="J256" s="15">
        <v>2600</v>
      </c>
      <c r="K256" s="7">
        <v>29</v>
      </c>
      <c r="L256" s="7">
        <f t="shared" si="57"/>
        <v>89.65517241379311</v>
      </c>
      <c r="M256" s="5" t="s">
        <v>10</v>
      </c>
      <c r="N256" s="5">
        <v>4</v>
      </c>
      <c r="O256" s="6">
        <f t="shared" si="58"/>
        <v>13.061831153388825</v>
      </c>
      <c r="P256" s="6">
        <f t="shared" si="59"/>
        <v>1.3584304399524376</v>
      </c>
      <c r="Q256" s="10">
        <f t="shared" si="60"/>
        <v>2.8300634165675787E-2</v>
      </c>
      <c r="R256" s="10">
        <f t="shared" si="61"/>
        <v>0.10924464894421673</v>
      </c>
      <c r="S256" s="10">
        <f t="shared" si="62"/>
        <v>0.13754528310989253</v>
      </c>
    </row>
    <row r="257" spans="1:19" x14ac:dyDescent="0.25">
      <c r="A257" s="5" t="s">
        <v>8</v>
      </c>
      <c r="B257" s="5" t="s">
        <v>188</v>
      </c>
      <c r="C257" s="5" t="s">
        <v>27</v>
      </c>
      <c r="D257" s="5" t="s">
        <v>385</v>
      </c>
      <c r="E257" s="5" t="s">
        <v>384</v>
      </c>
      <c r="F257" s="5" t="s">
        <v>30</v>
      </c>
      <c r="G257" s="5" t="s">
        <v>392</v>
      </c>
      <c r="H257" s="5" t="s">
        <v>40</v>
      </c>
      <c r="I257" s="5" t="s">
        <v>42</v>
      </c>
      <c r="J257" s="15">
        <v>2100</v>
      </c>
      <c r="K257" s="7">
        <v>21.8</v>
      </c>
      <c r="L257" s="7">
        <f t="shared" si="57"/>
        <v>96.330275229357795</v>
      </c>
      <c r="M257" s="5" t="s">
        <v>10</v>
      </c>
      <c r="N257" s="5">
        <v>4</v>
      </c>
      <c r="O257" s="6">
        <f t="shared" si="58"/>
        <v>12.179372527565018</v>
      </c>
      <c r="P257" s="6">
        <f t="shared" si="59"/>
        <v>1.2666547428667618</v>
      </c>
      <c r="Q257" s="10">
        <f t="shared" si="60"/>
        <v>2.6388640476390873E-2</v>
      </c>
      <c r="R257" s="10">
        <f t="shared" si="61"/>
        <v>0.10366109929063344</v>
      </c>
      <c r="S257" s="10">
        <f t="shared" si="62"/>
        <v>0.1300497397670243</v>
      </c>
    </row>
    <row r="258" spans="1:19" x14ac:dyDescent="0.25">
      <c r="A258" s="5" t="s">
        <v>8</v>
      </c>
      <c r="B258" s="5" t="s">
        <v>188</v>
      </c>
      <c r="C258" s="5" t="s">
        <v>27</v>
      </c>
      <c r="D258" s="5" t="s">
        <v>385</v>
      </c>
      <c r="E258" s="5" t="s">
        <v>384</v>
      </c>
      <c r="F258" s="5" t="s">
        <v>30</v>
      </c>
      <c r="G258" s="5" t="s">
        <v>392</v>
      </c>
      <c r="H258" s="5" t="s">
        <v>40</v>
      </c>
      <c r="I258" s="5" t="s">
        <v>42</v>
      </c>
      <c r="J258" s="15">
        <v>2700</v>
      </c>
      <c r="K258" s="7">
        <v>24.6</v>
      </c>
      <c r="L258" s="7">
        <f t="shared" si="57"/>
        <v>109.7560975609756</v>
      </c>
      <c r="M258" s="5" t="s">
        <v>10</v>
      </c>
      <c r="N258" s="5">
        <v>4</v>
      </c>
      <c r="O258" s="6">
        <f t="shared" si="58"/>
        <v>20.328301606186795</v>
      </c>
      <c r="P258" s="6">
        <f t="shared" si="59"/>
        <v>2.1141433670434266</v>
      </c>
      <c r="Q258" s="10">
        <f t="shared" si="60"/>
        <v>4.4044653480071388E-2</v>
      </c>
      <c r="R258" s="10">
        <f t="shared" si="61"/>
        <v>0.15222043056323636</v>
      </c>
      <c r="S258" s="10">
        <f t="shared" si="62"/>
        <v>0.19626508404330775</v>
      </c>
    </row>
    <row r="259" spans="1:19" x14ac:dyDescent="0.25">
      <c r="A259" s="5" t="s">
        <v>8</v>
      </c>
      <c r="B259" s="5" t="s">
        <v>241</v>
      </c>
      <c r="C259" s="5" t="s">
        <v>27</v>
      </c>
      <c r="D259" s="5" t="s">
        <v>385</v>
      </c>
      <c r="E259" s="5" t="s">
        <v>384</v>
      </c>
      <c r="F259" s="5" t="s">
        <v>30</v>
      </c>
      <c r="G259" s="5" t="s">
        <v>392</v>
      </c>
      <c r="H259" s="5" t="s">
        <v>40</v>
      </c>
      <c r="I259" s="5" t="s">
        <v>42</v>
      </c>
      <c r="J259" s="15">
        <v>2200</v>
      </c>
      <c r="K259" s="7">
        <v>29</v>
      </c>
      <c r="L259" s="7">
        <f t="shared" ref="L259:L280" si="63">J259/K259</f>
        <v>75.862068965517238</v>
      </c>
      <c r="M259" s="5" t="s">
        <v>10</v>
      </c>
      <c r="N259" s="5">
        <v>4</v>
      </c>
      <c r="O259" s="6">
        <f t="shared" ref="O259:O280" si="64">(J259*L259^2)/(1.6*10^6)</f>
        <v>7.9131985731272296</v>
      </c>
      <c r="P259" s="6">
        <f t="shared" ref="P259:P280" si="65">(0.104*J259*L259^2)/(1.6*10^6)</f>
        <v>0.82297265160523181</v>
      </c>
      <c r="Q259" s="10">
        <f t="shared" ref="Q259:Q280" si="66">(0.104*O259)/(12*N259)</f>
        <v>1.7145263575108996E-2</v>
      </c>
      <c r="R259" s="10">
        <f t="shared" ref="R259:R280" si="67">0.0159*O259^0.75</f>
        <v>7.501725564715013E-2</v>
      </c>
      <c r="S259" s="10">
        <f t="shared" ref="S259:S280" si="68">Q259+R259</f>
        <v>9.2162519222259126E-2</v>
      </c>
    </row>
    <row r="260" spans="1:19" x14ac:dyDescent="0.25">
      <c r="A260" s="5" t="s">
        <v>8</v>
      </c>
      <c r="B260" s="5" t="s">
        <v>339</v>
      </c>
      <c r="C260" s="5" t="s">
        <v>27</v>
      </c>
      <c r="D260" s="5" t="s">
        <v>385</v>
      </c>
      <c r="E260" s="5" t="s">
        <v>384</v>
      </c>
      <c r="F260" s="5" t="s">
        <v>30</v>
      </c>
      <c r="G260" s="5" t="s">
        <v>392</v>
      </c>
      <c r="H260" s="5" t="s">
        <v>40</v>
      </c>
      <c r="I260" s="5" t="s">
        <v>42</v>
      </c>
      <c r="J260" s="15">
        <v>1750</v>
      </c>
      <c r="K260" s="7">
        <v>18.899999999999999</v>
      </c>
      <c r="L260" s="7">
        <f t="shared" si="63"/>
        <v>92.592592592592595</v>
      </c>
      <c r="M260" s="5" t="s">
        <v>10</v>
      </c>
      <c r="N260" s="5">
        <v>4</v>
      </c>
      <c r="O260" s="6">
        <f t="shared" si="64"/>
        <v>9.3771433470507564</v>
      </c>
      <c r="P260" s="6">
        <f t="shared" si="65"/>
        <v>0.9752229080932785</v>
      </c>
      <c r="Q260" s="10">
        <f t="shared" si="66"/>
        <v>2.0317143918609972E-2</v>
      </c>
      <c r="R260" s="10">
        <f t="shared" si="67"/>
        <v>8.5202049293344517E-2</v>
      </c>
      <c r="S260" s="10">
        <f t="shared" si="68"/>
        <v>0.10551919321195449</v>
      </c>
    </row>
    <row r="261" spans="1:19" x14ac:dyDescent="0.25">
      <c r="A261" s="5" t="s">
        <v>8</v>
      </c>
      <c r="B261" s="5" t="s">
        <v>372</v>
      </c>
      <c r="C261" s="5" t="s">
        <v>27</v>
      </c>
      <c r="D261" s="5" t="s">
        <v>385</v>
      </c>
      <c r="E261" s="5" t="s">
        <v>384</v>
      </c>
      <c r="F261" s="5" t="s">
        <v>30</v>
      </c>
      <c r="G261" s="5" t="s">
        <v>392</v>
      </c>
      <c r="H261" s="5" t="s">
        <v>40</v>
      </c>
      <c r="I261" s="5" t="s">
        <v>42</v>
      </c>
      <c r="J261" s="15">
        <v>2260</v>
      </c>
      <c r="K261" s="7">
        <v>32.5</v>
      </c>
      <c r="L261" s="7">
        <f t="shared" si="63"/>
        <v>69.538461538461533</v>
      </c>
      <c r="M261" s="5" t="s">
        <v>10</v>
      </c>
      <c r="N261" s="5">
        <v>4</v>
      </c>
      <c r="O261" s="6">
        <f t="shared" si="64"/>
        <v>6.8302816568047318</v>
      </c>
      <c r="P261" s="6">
        <f t="shared" si="65"/>
        <v>0.71034929230769206</v>
      </c>
      <c r="Q261" s="10">
        <f t="shared" si="66"/>
        <v>1.4798943589743584E-2</v>
      </c>
      <c r="R261" s="10">
        <f t="shared" si="67"/>
        <v>6.7177847468393184E-2</v>
      </c>
      <c r="S261" s="10">
        <f t="shared" si="68"/>
        <v>8.1976791058136766E-2</v>
      </c>
    </row>
    <row r="262" spans="1:19" x14ac:dyDescent="0.25">
      <c r="A262" s="5" t="s">
        <v>8</v>
      </c>
      <c r="B262" s="5" t="s">
        <v>241</v>
      </c>
      <c r="C262" s="5" t="s">
        <v>27</v>
      </c>
      <c r="D262" s="5" t="s">
        <v>385</v>
      </c>
      <c r="E262" s="5" t="s">
        <v>384</v>
      </c>
      <c r="F262" s="5" t="s">
        <v>30</v>
      </c>
      <c r="G262" s="5" t="s">
        <v>392</v>
      </c>
      <c r="H262" s="5" t="s">
        <v>40</v>
      </c>
      <c r="I262" s="5" t="s">
        <v>248</v>
      </c>
      <c r="J262" s="15">
        <v>2250</v>
      </c>
      <c r="K262" s="7">
        <v>26.5</v>
      </c>
      <c r="L262" s="7">
        <f t="shared" si="63"/>
        <v>84.905660377358487</v>
      </c>
      <c r="M262" s="5" t="s">
        <v>10</v>
      </c>
      <c r="N262" s="5">
        <v>4</v>
      </c>
      <c r="O262" s="6">
        <f t="shared" si="64"/>
        <v>10.1376156995372</v>
      </c>
      <c r="P262" s="6">
        <f t="shared" si="65"/>
        <v>1.0543120327518689</v>
      </c>
      <c r="Q262" s="10">
        <f t="shared" si="66"/>
        <v>2.1964834015663931E-2</v>
      </c>
      <c r="R262" s="10">
        <f t="shared" si="67"/>
        <v>9.033353218570736E-2</v>
      </c>
      <c r="S262" s="10">
        <f t="shared" si="68"/>
        <v>0.11229836620137129</v>
      </c>
    </row>
    <row r="263" spans="1:19" x14ac:dyDescent="0.25">
      <c r="A263" s="5" t="s">
        <v>8</v>
      </c>
      <c r="B263" s="5" t="s">
        <v>241</v>
      </c>
      <c r="C263" s="5" t="s">
        <v>27</v>
      </c>
      <c r="D263" s="5" t="s">
        <v>385</v>
      </c>
      <c r="E263" s="5" t="s">
        <v>384</v>
      </c>
      <c r="F263" s="5" t="s">
        <v>30</v>
      </c>
      <c r="G263" s="5" t="s">
        <v>392</v>
      </c>
      <c r="H263" s="5" t="s">
        <v>40</v>
      </c>
      <c r="I263" s="5" t="s">
        <v>256</v>
      </c>
      <c r="J263" s="15">
        <v>2435</v>
      </c>
      <c r="K263" s="7">
        <v>30.5</v>
      </c>
      <c r="L263" s="7">
        <f t="shared" si="63"/>
        <v>79.836065573770497</v>
      </c>
      <c r="M263" s="5" t="s">
        <v>10</v>
      </c>
      <c r="N263" s="5">
        <v>4</v>
      </c>
      <c r="O263" s="6">
        <f t="shared" si="64"/>
        <v>9.7001228668368729</v>
      </c>
      <c r="P263" s="6">
        <f t="shared" si="65"/>
        <v>1.0088127781510348</v>
      </c>
      <c r="Q263" s="10">
        <f t="shared" si="66"/>
        <v>2.1016932878146558E-2</v>
      </c>
      <c r="R263" s="10">
        <f t="shared" si="67"/>
        <v>8.7393684760953466E-2</v>
      </c>
      <c r="S263" s="10">
        <f t="shared" si="68"/>
        <v>0.10841061763910002</v>
      </c>
    </row>
    <row r="264" spans="1:19" x14ac:dyDescent="0.25">
      <c r="A264" s="5" t="s">
        <v>8</v>
      </c>
      <c r="B264" s="5" t="s">
        <v>289</v>
      </c>
      <c r="C264" s="5" t="s">
        <v>27</v>
      </c>
      <c r="D264" s="5" t="s">
        <v>385</v>
      </c>
      <c r="E264" s="5" t="s">
        <v>384</v>
      </c>
      <c r="F264" s="5" t="s">
        <v>30</v>
      </c>
      <c r="G264" s="5" t="s">
        <v>392</v>
      </c>
      <c r="H264" s="5" t="s">
        <v>40</v>
      </c>
      <c r="I264" s="5" t="s">
        <v>256</v>
      </c>
      <c r="J264" s="15">
        <v>2718</v>
      </c>
      <c r="K264" s="7">
        <v>23.1</v>
      </c>
      <c r="L264" s="7">
        <f t="shared" si="63"/>
        <v>117.66233766233765</v>
      </c>
      <c r="M264" s="5" t="s">
        <v>10</v>
      </c>
      <c r="N264" s="5">
        <v>4</v>
      </c>
      <c r="O264" s="6">
        <f t="shared" si="64"/>
        <v>23.518218164951929</v>
      </c>
      <c r="P264" s="6">
        <f t="shared" si="65"/>
        <v>2.4458946891549997</v>
      </c>
      <c r="Q264" s="10">
        <f t="shared" si="66"/>
        <v>5.0956139357395847E-2</v>
      </c>
      <c r="R264" s="10">
        <f t="shared" si="67"/>
        <v>0.16980498484927839</v>
      </c>
      <c r="S264" s="10">
        <f t="shared" si="68"/>
        <v>0.22076112420667424</v>
      </c>
    </row>
    <row r="265" spans="1:19" x14ac:dyDescent="0.25">
      <c r="A265" s="5" t="s">
        <v>8</v>
      </c>
      <c r="B265" s="5" t="s">
        <v>290</v>
      </c>
      <c r="C265" s="5" t="s">
        <v>27</v>
      </c>
      <c r="D265" s="5" t="s">
        <v>385</v>
      </c>
      <c r="E265" s="5" t="s">
        <v>384</v>
      </c>
      <c r="F265" s="5" t="s">
        <v>30</v>
      </c>
      <c r="G265" s="5" t="s">
        <v>392</v>
      </c>
      <c r="H265" s="5" t="s">
        <v>40</v>
      </c>
      <c r="I265" s="5" t="s">
        <v>256</v>
      </c>
      <c r="J265" s="15">
        <v>2452</v>
      </c>
      <c r="K265" s="7">
        <v>30</v>
      </c>
      <c r="L265" s="7">
        <f t="shared" si="63"/>
        <v>81.733333333333334</v>
      </c>
      <c r="M265" s="5" t="s">
        <v>10</v>
      </c>
      <c r="N265" s="5">
        <v>4</v>
      </c>
      <c r="O265" s="6">
        <f t="shared" si="64"/>
        <v>10.237617644444445</v>
      </c>
      <c r="P265" s="6">
        <f t="shared" si="65"/>
        <v>1.0647122350222222</v>
      </c>
      <c r="Q265" s="10">
        <f t="shared" si="66"/>
        <v>2.2181504896296295E-2</v>
      </c>
      <c r="R265" s="10">
        <f t="shared" si="67"/>
        <v>9.1001029050637408E-2</v>
      </c>
      <c r="S265" s="10">
        <f t="shared" si="68"/>
        <v>0.1131825339469337</v>
      </c>
    </row>
    <row r="266" spans="1:19" x14ac:dyDescent="0.25">
      <c r="A266" s="5" t="s">
        <v>8</v>
      </c>
      <c r="B266" s="5" t="s">
        <v>375</v>
      </c>
      <c r="C266" s="5" t="s">
        <v>27</v>
      </c>
      <c r="D266" s="5" t="s">
        <v>385</v>
      </c>
      <c r="E266" s="5" t="s">
        <v>384</v>
      </c>
      <c r="F266" s="5" t="s">
        <v>30</v>
      </c>
      <c r="G266" s="5" t="s">
        <v>392</v>
      </c>
      <c r="H266" s="5" t="s">
        <v>40</v>
      </c>
      <c r="I266" s="5" t="s">
        <v>376</v>
      </c>
      <c r="J266" s="15">
        <v>2200</v>
      </c>
      <c r="K266" s="7">
        <v>31.5</v>
      </c>
      <c r="L266" s="7">
        <f t="shared" si="63"/>
        <v>69.841269841269835</v>
      </c>
      <c r="M266" s="5" t="s">
        <v>10</v>
      </c>
      <c r="N266" s="5">
        <v>4</v>
      </c>
      <c r="O266" s="6">
        <f t="shared" si="64"/>
        <v>6.706979087931467</v>
      </c>
      <c r="P266" s="6">
        <f t="shared" si="65"/>
        <v>0.69752582514487249</v>
      </c>
      <c r="Q266" s="10">
        <f t="shared" si="66"/>
        <v>1.453178802385151E-2</v>
      </c>
      <c r="R266" s="10">
        <f t="shared" si="67"/>
        <v>6.626624143790244E-2</v>
      </c>
      <c r="S266" s="10">
        <f t="shared" si="68"/>
        <v>8.0798029461753948E-2</v>
      </c>
    </row>
    <row r="267" spans="1:19" x14ac:dyDescent="0.25">
      <c r="A267" s="5" t="s">
        <v>8</v>
      </c>
      <c r="B267" s="5" t="s">
        <v>241</v>
      </c>
      <c r="C267" s="5" t="s">
        <v>27</v>
      </c>
      <c r="D267" s="5" t="s">
        <v>385</v>
      </c>
      <c r="E267" s="5" t="s">
        <v>384</v>
      </c>
      <c r="F267" s="5" t="s">
        <v>30</v>
      </c>
      <c r="G267" s="5" t="s">
        <v>392</v>
      </c>
      <c r="H267" s="5" t="s">
        <v>40</v>
      </c>
      <c r="I267" s="5" t="s">
        <v>259</v>
      </c>
      <c r="J267" s="15">
        <v>2120</v>
      </c>
      <c r="K267" s="7">
        <v>28</v>
      </c>
      <c r="L267" s="7">
        <f t="shared" si="63"/>
        <v>75.714285714285708</v>
      </c>
      <c r="M267" s="5" t="s">
        <v>10</v>
      </c>
      <c r="N267" s="5">
        <v>4</v>
      </c>
      <c r="O267" s="6">
        <f t="shared" si="64"/>
        <v>7.5957653061224475</v>
      </c>
      <c r="P267" s="6">
        <f t="shared" si="65"/>
        <v>0.78995959183673448</v>
      </c>
      <c r="Q267" s="10">
        <f t="shared" si="66"/>
        <v>1.6457491496598635E-2</v>
      </c>
      <c r="R267" s="10">
        <f t="shared" si="67"/>
        <v>7.2748790523327542E-2</v>
      </c>
      <c r="S267" s="10">
        <f t="shared" si="68"/>
        <v>8.920628201992617E-2</v>
      </c>
    </row>
    <row r="268" spans="1:19" x14ac:dyDescent="0.25">
      <c r="A268" s="5" t="s">
        <v>8</v>
      </c>
      <c r="B268" s="5" t="s">
        <v>241</v>
      </c>
      <c r="C268" s="5" t="s">
        <v>27</v>
      </c>
      <c r="D268" s="5" t="s">
        <v>385</v>
      </c>
      <c r="E268" s="5" t="s">
        <v>384</v>
      </c>
      <c r="F268" s="5" t="s">
        <v>30</v>
      </c>
      <c r="G268" s="5" t="s">
        <v>392</v>
      </c>
      <c r="H268" s="5" t="s">
        <v>40</v>
      </c>
      <c r="I268" s="5" t="s">
        <v>50</v>
      </c>
      <c r="J268" s="15">
        <v>1960</v>
      </c>
      <c r="K268" s="7">
        <v>26.5</v>
      </c>
      <c r="L268" s="7">
        <f t="shared" si="63"/>
        <v>73.962264150943398</v>
      </c>
      <c r="M268" s="5" t="s">
        <v>10</v>
      </c>
      <c r="N268" s="5">
        <v>4</v>
      </c>
      <c r="O268" s="6">
        <f t="shared" si="64"/>
        <v>6.7012602349590606</v>
      </c>
      <c r="P268" s="6">
        <f t="shared" si="65"/>
        <v>0.69693106443574226</v>
      </c>
      <c r="Q268" s="10">
        <f t="shared" si="66"/>
        <v>1.4519397175744631E-2</v>
      </c>
      <c r="R268" s="10">
        <f t="shared" si="67"/>
        <v>6.62238593952931E-2</v>
      </c>
      <c r="S268" s="10">
        <f t="shared" si="68"/>
        <v>8.074325657103773E-2</v>
      </c>
    </row>
    <row r="269" spans="1:19" x14ac:dyDescent="0.25">
      <c r="A269" s="5" t="s">
        <v>8</v>
      </c>
      <c r="B269" s="5" t="s">
        <v>241</v>
      </c>
      <c r="C269" s="5" t="s">
        <v>27</v>
      </c>
      <c r="D269" s="5" t="s">
        <v>385</v>
      </c>
      <c r="E269" s="5" t="s">
        <v>384</v>
      </c>
      <c r="F269" s="5" t="s">
        <v>30</v>
      </c>
      <c r="G269" s="5" t="s">
        <v>392</v>
      </c>
      <c r="H269" s="5" t="s">
        <v>40</v>
      </c>
      <c r="I269" s="5" t="s">
        <v>246</v>
      </c>
      <c r="J269" s="15">
        <v>1545</v>
      </c>
      <c r="K269" s="7">
        <v>20.5</v>
      </c>
      <c r="L269" s="7">
        <f t="shared" si="63"/>
        <v>75.365853658536579</v>
      </c>
      <c r="M269" s="5" t="s">
        <v>10</v>
      </c>
      <c r="N269" s="5">
        <v>4</v>
      </c>
      <c r="O269" s="6">
        <f t="shared" si="64"/>
        <v>5.4847614886972025</v>
      </c>
      <c r="P269" s="6">
        <f t="shared" si="65"/>
        <v>0.5704151948245092</v>
      </c>
      <c r="Q269" s="10">
        <f t="shared" si="66"/>
        <v>1.1883649892177273E-2</v>
      </c>
      <c r="R269" s="10">
        <f t="shared" si="67"/>
        <v>5.6985640531587591E-2</v>
      </c>
      <c r="S269" s="10">
        <f t="shared" si="68"/>
        <v>6.8869290423764856E-2</v>
      </c>
    </row>
    <row r="270" spans="1:19" x14ac:dyDescent="0.25">
      <c r="A270" s="5" t="s">
        <v>8</v>
      </c>
      <c r="B270" s="5" t="s">
        <v>241</v>
      </c>
      <c r="C270" s="5" t="s">
        <v>27</v>
      </c>
      <c r="D270" s="5" t="s">
        <v>385</v>
      </c>
      <c r="E270" s="5" t="s">
        <v>384</v>
      </c>
      <c r="F270" s="5" t="s">
        <v>30</v>
      </c>
      <c r="G270" s="5" t="s">
        <v>392</v>
      </c>
      <c r="H270" s="5" t="s">
        <v>40</v>
      </c>
      <c r="I270" s="5" t="s">
        <v>262</v>
      </c>
      <c r="J270" s="15">
        <v>2320</v>
      </c>
      <c r="K270" s="7">
        <v>28.5</v>
      </c>
      <c r="L270" s="7">
        <f t="shared" si="63"/>
        <v>81.403508771929822</v>
      </c>
      <c r="M270" s="5" t="s">
        <v>10</v>
      </c>
      <c r="N270" s="5">
        <v>4</v>
      </c>
      <c r="O270" s="6">
        <f t="shared" si="64"/>
        <v>9.6084702985533994</v>
      </c>
      <c r="P270" s="6">
        <f t="shared" si="65"/>
        <v>0.99928091104955352</v>
      </c>
      <c r="Q270" s="10">
        <f t="shared" si="66"/>
        <v>2.0818352313532365E-2</v>
      </c>
      <c r="R270" s="10">
        <f t="shared" si="67"/>
        <v>8.6773639521385768E-2</v>
      </c>
      <c r="S270" s="10">
        <f t="shared" si="68"/>
        <v>0.10759199183491813</v>
      </c>
    </row>
    <row r="271" spans="1:19" x14ac:dyDescent="0.25">
      <c r="A271" s="5" t="s">
        <v>22</v>
      </c>
      <c r="B271" s="5" t="s">
        <v>26</v>
      </c>
      <c r="C271" s="5" t="s">
        <v>27</v>
      </c>
      <c r="D271" s="5" t="s">
        <v>385</v>
      </c>
      <c r="E271" s="5" t="s">
        <v>384</v>
      </c>
      <c r="F271" s="5" t="s">
        <v>30</v>
      </c>
      <c r="G271" s="5" t="s">
        <v>392</v>
      </c>
      <c r="H271" s="5" t="s">
        <v>40</v>
      </c>
      <c r="I271" s="5" t="s">
        <v>43</v>
      </c>
      <c r="J271" s="15">
        <v>2000</v>
      </c>
      <c r="K271" s="7">
        <v>31.5</v>
      </c>
      <c r="L271" s="7">
        <f t="shared" si="63"/>
        <v>63.492063492063494</v>
      </c>
      <c r="M271" s="5" t="s">
        <v>10</v>
      </c>
      <c r="N271" s="5">
        <v>4</v>
      </c>
      <c r="O271" s="6">
        <f t="shared" si="64"/>
        <v>5.0390526581002772</v>
      </c>
      <c r="P271" s="6">
        <f t="shared" si="65"/>
        <v>0.52406147644242884</v>
      </c>
      <c r="Q271" s="10">
        <f t="shared" si="66"/>
        <v>1.0917947425883935E-2</v>
      </c>
      <c r="R271" s="10">
        <f t="shared" si="67"/>
        <v>5.34759855037336E-2</v>
      </c>
      <c r="S271" s="10">
        <f t="shared" si="68"/>
        <v>6.4393932929617537E-2</v>
      </c>
    </row>
    <row r="272" spans="1:19" x14ac:dyDescent="0.25">
      <c r="A272" s="5" t="s">
        <v>8</v>
      </c>
      <c r="B272" s="5" t="s">
        <v>241</v>
      </c>
      <c r="C272" s="5" t="s">
        <v>27</v>
      </c>
      <c r="D272" s="5" t="s">
        <v>385</v>
      </c>
      <c r="E272" s="5" t="s">
        <v>384</v>
      </c>
      <c r="F272" s="5" t="s">
        <v>30</v>
      </c>
      <c r="G272" s="5" t="s">
        <v>392</v>
      </c>
      <c r="H272" s="5" t="s">
        <v>40</v>
      </c>
      <c r="I272" s="5" t="s">
        <v>43</v>
      </c>
      <c r="J272" s="15">
        <v>1850</v>
      </c>
      <c r="K272" s="7">
        <v>32</v>
      </c>
      <c r="L272" s="7">
        <f t="shared" si="63"/>
        <v>57.8125</v>
      </c>
      <c r="M272" s="5" t="s">
        <v>10</v>
      </c>
      <c r="N272" s="5">
        <v>4</v>
      </c>
      <c r="O272" s="6">
        <f t="shared" si="64"/>
        <v>3.8645172119140625</v>
      </c>
      <c r="P272" s="6">
        <f t="shared" si="65"/>
        <v>0.40190979003906241</v>
      </c>
      <c r="Q272" s="10">
        <f t="shared" si="66"/>
        <v>8.3731206258138013E-3</v>
      </c>
      <c r="R272" s="10">
        <f t="shared" si="67"/>
        <v>4.3824660334541701E-2</v>
      </c>
      <c r="S272" s="10">
        <f t="shared" si="68"/>
        <v>5.2197780960355503E-2</v>
      </c>
    </row>
    <row r="273" spans="1:19" x14ac:dyDescent="0.25">
      <c r="A273" s="5" t="s">
        <v>8</v>
      </c>
      <c r="B273" s="5" t="s">
        <v>241</v>
      </c>
      <c r="C273" s="5" t="s">
        <v>27</v>
      </c>
      <c r="D273" s="5" t="s">
        <v>385</v>
      </c>
      <c r="E273" s="5" t="s">
        <v>384</v>
      </c>
      <c r="F273" s="5" t="s">
        <v>30</v>
      </c>
      <c r="G273" s="5" t="s">
        <v>392</v>
      </c>
      <c r="H273" s="5" t="s">
        <v>40</v>
      </c>
      <c r="I273" s="5" t="s">
        <v>263</v>
      </c>
      <c r="J273" s="15">
        <v>2260</v>
      </c>
      <c r="K273" s="7">
        <v>33.200000000000003</v>
      </c>
      <c r="L273" s="7">
        <f t="shared" si="63"/>
        <v>68.072289156626496</v>
      </c>
      <c r="M273" s="5" t="s">
        <v>10</v>
      </c>
      <c r="N273" s="5">
        <v>4</v>
      </c>
      <c r="O273" s="6">
        <f t="shared" si="64"/>
        <v>6.5452941283205082</v>
      </c>
      <c r="P273" s="6">
        <f t="shared" si="65"/>
        <v>0.68071058934533279</v>
      </c>
      <c r="Q273" s="10">
        <f t="shared" si="66"/>
        <v>1.41814706113611E-2</v>
      </c>
      <c r="R273" s="10">
        <f t="shared" si="67"/>
        <v>6.506448548789423E-2</v>
      </c>
      <c r="S273" s="10">
        <f t="shared" si="68"/>
        <v>7.9245956099255332E-2</v>
      </c>
    </row>
    <row r="274" spans="1:19" x14ac:dyDescent="0.25">
      <c r="A274" s="5" t="s">
        <v>22</v>
      </c>
      <c r="B274" s="5" t="s">
        <v>26</v>
      </c>
      <c r="C274" s="5" t="s">
        <v>27</v>
      </c>
      <c r="D274" s="5" t="s">
        <v>385</v>
      </c>
      <c r="E274" s="5" t="s">
        <v>384</v>
      </c>
      <c r="F274" s="5" t="s">
        <v>30</v>
      </c>
      <c r="G274" s="5" t="s">
        <v>392</v>
      </c>
      <c r="H274" s="5" t="s">
        <v>40</v>
      </c>
      <c r="I274" s="5" t="s">
        <v>44</v>
      </c>
      <c r="J274" s="15">
        <v>3400</v>
      </c>
      <c r="K274" s="7">
        <v>35</v>
      </c>
      <c r="L274" s="7">
        <f t="shared" si="63"/>
        <v>97.142857142857139</v>
      </c>
      <c r="M274" s="5" t="s">
        <v>10</v>
      </c>
      <c r="N274" s="5">
        <v>4</v>
      </c>
      <c r="O274" s="6">
        <f t="shared" si="64"/>
        <v>20.053061224489795</v>
      </c>
      <c r="P274" s="6">
        <f t="shared" si="65"/>
        <v>2.0855183673469386</v>
      </c>
      <c r="Q274" s="10">
        <f t="shared" si="66"/>
        <v>4.3448299319727886E-2</v>
      </c>
      <c r="R274" s="10">
        <f t="shared" si="67"/>
        <v>0.15067202812691205</v>
      </c>
      <c r="S274" s="10">
        <f t="shared" si="68"/>
        <v>0.19412032744663993</v>
      </c>
    </row>
    <row r="275" spans="1:19" x14ac:dyDescent="0.25">
      <c r="A275" s="5" t="s">
        <v>8</v>
      </c>
      <c r="B275" s="5" t="s">
        <v>241</v>
      </c>
      <c r="C275" s="5" t="s">
        <v>27</v>
      </c>
      <c r="D275" s="5" t="s">
        <v>385</v>
      </c>
      <c r="E275" s="5" t="s">
        <v>384</v>
      </c>
      <c r="F275" s="5" t="s">
        <v>30</v>
      </c>
      <c r="G275" s="5" t="s">
        <v>392</v>
      </c>
      <c r="H275" s="5" t="s">
        <v>40</v>
      </c>
      <c r="I275" s="5" t="s">
        <v>44</v>
      </c>
      <c r="J275" s="15">
        <v>3250</v>
      </c>
      <c r="K275" s="7">
        <v>36.5</v>
      </c>
      <c r="L275" s="7">
        <f t="shared" si="63"/>
        <v>89.041095890410958</v>
      </c>
      <c r="M275" s="5" t="s">
        <v>10</v>
      </c>
      <c r="N275" s="5">
        <v>4</v>
      </c>
      <c r="O275" s="6">
        <f t="shared" si="64"/>
        <v>16.104393413398384</v>
      </c>
      <c r="P275" s="6">
        <f t="shared" si="65"/>
        <v>1.674856914993432</v>
      </c>
      <c r="Q275" s="10">
        <f t="shared" si="66"/>
        <v>3.4892852395696498E-2</v>
      </c>
      <c r="R275" s="10">
        <f t="shared" si="67"/>
        <v>0.12782193945216461</v>
      </c>
      <c r="S275" s="10">
        <f t="shared" si="68"/>
        <v>0.16271479184786111</v>
      </c>
    </row>
    <row r="276" spans="1:19" x14ac:dyDescent="0.25">
      <c r="A276" s="5" t="s">
        <v>8</v>
      </c>
      <c r="B276" s="5" t="s">
        <v>364</v>
      </c>
      <c r="C276" s="5" t="s">
        <v>27</v>
      </c>
      <c r="D276" s="5" t="s">
        <v>385</v>
      </c>
      <c r="E276" s="5" t="s">
        <v>384</v>
      </c>
      <c r="F276" s="5" t="s">
        <v>30</v>
      </c>
      <c r="G276" s="5" t="s">
        <v>392</v>
      </c>
      <c r="H276" s="5" t="s">
        <v>40</v>
      </c>
      <c r="I276" s="5" t="s">
        <v>365</v>
      </c>
      <c r="J276" s="15">
        <v>1764</v>
      </c>
      <c r="K276" s="7">
        <v>23.3</v>
      </c>
      <c r="L276" s="7">
        <f t="shared" si="63"/>
        <v>75.708154506437765</v>
      </c>
      <c r="M276" s="5" t="s">
        <v>10</v>
      </c>
      <c r="N276" s="5">
        <v>4</v>
      </c>
      <c r="O276" s="6">
        <f t="shared" si="64"/>
        <v>6.3192264362946453</v>
      </c>
      <c r="P276" s="6">
        <f t="shared" si="65"/>
        <v>0.65719954937464309</v>
      </c>
      <c r="Q276" s="10">
        <f t="shared" si="66"/>
        <v>1.3691657278638398E-2</v>
      </c>
      <c r="R276" s="10">
        <f t="shared" si="67"/>
        <v>6.3371656950773778E-2</v>
      </c>
      <c r="S276" s="10">
        <f t="shared" si="68"/>
        <v>7.7063314229412178E-2</v>
      </c>
    </row>
    <row r="277" spans="1:19" x14ac:dyDescent="0.25">
      <c r="A277" s="5" t="s">
        <v>8</v>
      </c>
      <c r="B277" s="5" t="s">
        <v>241</v>
      </c>
      <c r="C277" s="5" t="s">
        <v>27</v>
      </c>
      <c r="D277" s="5" t="s">
        <v>385</v>
      </c>
      <c r="E277" s="5" t="s">
        <v>384</v>
      </c>
      <c r="F277" s="5" t="s">
        <v>30</v>
      </c>
      <c r="G277" s="5" t="s">
        <v>392</v>
      </c>
      <c r="H277" s="5" t="s">
        <v>40</v>
      </c>
      <c r="I277" s="5" t="s">
        <v>247</v>
      </c>
      <c r="J277" s="15">
        <v>2450</v>
      </c>
      <c r="K277" s="7">
        <v>30</v>
      </c>
      <c r="L277" s="7">
        <f t="shared" si="63"/>
        <v>81.666666666666671</v>
      </c>
      <c r="M277" s="5" t="s">
        <v>10</v>
      </c>
      <c r="N277" s="5">
        <v>4</v>
      </c>
      <c r="O277" s="6">
        <f t="shared" si="64"/>
        <v>10.212586805555558</v>
      </c>
      <c r="P277" s="6">
        <f t="shared" si="65"/>
        <v>1.0621090277777778</v>
      </c>
      <c r="Q277" s="10">
        <f t="shared" si="66"/>
        <v>2.2127271412037044E-2</v>
      </c>
      <c r="R277" s="10">
        <f t="shared" si="67"/>
        <v>9.0834105769885987E-2</v>
      </c>
      <c r="S277" s="10">
        <f t="shared" si="68"/>
        <v>0.11296137718192303</v>
      </c>
    </row>
    <row r="278" spans="1:19" x14ac:dyDescent="0.25">
      <c r="A278" s="5" t="s">
        <v>8</v>
      </c>
      <c r="B278" s="5" t="s">
        <v>241</v>
      </c>
      <c r="C278" s="5" t="s">
        <v>27</v>
      </c>
      <c r="D278" s="5" t="s">
        <v>385</v>
      </c>
      <c r="E278" s="5" t="s">
        <v>384</v>
      </c>
      <c r="F278" s="5" t="s">
        <v>30</v>
      </c>
      <c r="G278" s="5" t="s">
        <v>392</v>
      </c>
      <c r="H278" s="5" t="s">
        <v>40</v>
      </c>
      <c r="I278" s="5" t="s">
        <v>253</v>
      </c>
      <c r="J278" s="15">
        <v>1750</v>
      </c>
      <c r="K278" s="7">
        <v>28.5</v>
      </c>
      <c r="L278" s="7">
        <f t="shared" si="63"/>
        <v>61.403508771929822</v>
      </c>
      <c r="M278" s="5" t="s">
        <v>10</v>
      </c>
      <c r="N278" s="5">
        <v>4</v>
      </c>
      <c r="O278" s="6">
        <f t="shared" si="64"/>
        <v>4.1238650353955055</v>
      </c>
      <c r="P278" s="6">
        <f t="shared" si="65"/>
        <v>0.42888196368113263</v>
      </c>
      <c r="Q278" s="10">
        <f t="shared" si="66"/>
        <v>8.9350409100235947E-3</v>
      </c>
      <c r="R278" s="10">
        <f t="shared" si="67"/>
        <v>4.6012460418506596E-2</v>
      </c>
      <c r="S278" s="10">
        <f t="shared" si="68"/>
        <v>5.4947501328530192E-2</v>
      </c>
    </row>
    <row r="279" spans="1:19" x14ac:dyDescent="0.25">
      <c r="A279" s="5" t="s">
        <v>8</v>
      </c>
      <c r="B279" s="5" t="s">
        <v>241</v>
      </c>
      <c r="C279" s="5" t="s">
        <v>27</v>
      </c>
      <c r="D279" s="5" t="s">
        <v>385</v>
      </c>
      <c r="E279" s="5" t="s">
        <v>384</v>
      </c>
      <c r="F279" s="5" t="s">
        <v>30</v>
      </c>
      <c r="G279" s="5" t="s">
        <v>392</v>
      </c>
      <c r="H279" s="5" t="s">
        <v>40</v>
      </c>
      <c r="I279" s="5" t="s">
        <v>245</v>
      </c>
      <c r="J279" s="15">
        <v>1340</v>
      </c>
      <c r="K279" s="7">
        <v>23</v>
      </c>
      <c r="L279" s="7">
        <f t="shared" si="63"/>
        <v>58.260869565217391</v>
      </c>
      <c r="M279" s="5" t="s">
        <v>10</v>
      </c>
      <c r="N279" s="5">
        <v>4</v>
      </c>
      <c r="O279" s="6">
        <f t="shared" si="64"/>
        <v>2.8427504725897923</v>
      </c>
      <c r="P279" s="6">
        <f t="shared" si="65"/>
        <v>0.29564604914933834</v>
      </c>
      <c r="Q279" s="10">
        <f t="shared" si="66"/>
        <v>6.1592926906112169E-3</v>
      </c>
      <c r="R279" s="10">
        <f t="shared" si="67"/>
        <v>3.4809772072794537E-2</v>
      </c>
      <c r="S279" s="10">
        <f t="shared" si="68"/>
        <v>4.0969064763405755E-2</v>
      </c>
    </row>
    <row r="280" spans="1:19" x14ac:dyDescent="0.25">
      <c r="A280" s="5" t="s">
        <v>8</v>
      </c>
      <c r="B280" s="5" t="s">
        <v>241</v>
      </c>
      <c r="C280" s="5" t="s">
        <v>27</v>
      </c>
      <c r="D280" s="5" t="s">
        <v>385</v>
      </c>
      <c r="E280" s="5" t="s">
        <v>384</v>
      </c>
      <c r="F280" s="5" t="s">
        <v>30</v>
      </c>
      <c r="G280" s="5" t="s">
        <v>392</v>
      </c>
      <c r="H280" s="5" t="s">
        <v>40</v>
      </c>
      <c r="I280" s="5" t="s">
        <v>254</v>
      </c>
      <c r="J280" s="15">
        <v>2500</v>
      </c>
      <c r="K280" s="7">
        <v>26.5</v>
      </c>
      <c r="L280" s="7">
        <f t="shared" si="63"/>
        <v>94.339622641509436</v>
      </c>
      <c r="M280" s="5" t="s">
        <v>10</v>
      </c>
      <c r="N280" s="5">
        <v>4</v>
      </c>
      <c r="O280" s="6">
        <f t="shared" si="64"/>
        <v>13.906194375222499</v>
      </c>
      <c r="P280" s="6">
        <f t="shared" si="65"/>
        <v>1.44624421502314</v>
      </c>
      <c r="Q280" s="10">
        <f t="shared" si="66"/>
        <v>3.0130087812982081E-2</v>
      </c>
      <c r="R280" s="10">
        <f t="shared" si="67"/>
        <v>0.11449943560372897</v>
      </c>
      <c r="S280" s="10">
        <f t="shared" si="68"/>
        <v>0.14462952341671104</v>
      </c>
    </row>
    <row r="281" spans="1:19" x14ac:dyDescent="0.25">
      <c r="J281" s="16">
        <f>AVERAGE(J195:J280)</f>
        <v>2058.2441860465115</v>
      </c>
      <c r="K281" s="12">
        <f t="shared" ref="K281:S281" si="69">AVERAGE(K195:K280)</f>
        <v>27.302325581395348</v>
      </c>
      <c r="L281" s="12">
        <f t="shared" si="69"/>
        <v>74.588767128538876</v>
      </c>
      <c r="M281" s="11" t="e">
        <f t="shared" si="69"/>
        <v>#DIV/0!</v>
      </c>
      <c r="N281" s="11">
        <f t="shared" si="69"/>
        <v>4</v>
      </c>
      <c r="O281" s="13">
        <f t="shared" si="69"/>
        <v>8.755131636918394</v>
      </c>
      <c r="P281" s="13">
        <f t="shared" si="69"/>
        <v>0.91053369023951303</v>
      </c>
      <c r="Q281" s="14">
        <f t="shared" si="69"/>
        <v>1.896945187998985E-2</v>
      </c>
      <c r="R281" s="14">
        <f t="shared" si="69"/>
        <v>7.6578146341620426E-2</v>
      </c>
      <c r="S281" s="14">
        <f t="shared" si="69"/>
        <v>9.5547598221610283E-2</v>
      </c>
    </row>
    <row r="282" spans="1:19" x14ac:dyDescent="0.25">
      <c r="A282" s="5" t="s">
        <v>22</v>
      </c>
      <c r="B282" s="5" t="s">
        <v>63</v>
      </c>
      <c r="C282" s="5" t="s">
        <v>27</v>
      </c>
      <c r="D282" s="5" t="s">
        <v>385</v>
      </c>
      <c r="E282" s="5" t="s">
        <v>384</v>
      </c>
      <c r="F282" s="5" t="s">
        <v>45</v>
      </c>
      <c r="G282" s="5" t="s">
        <v>390</v>
      </c>
      <c r="H282" s="5" t="s">
        <v>68</v>
      </c>
      <c r="I282" s="5" t="s">
        <v>69</v>
      </c>
      <c r="J282" s="15">
        <v>945</v>
      </c>
      <c r="K282" s="7">
        <v>21.5</v>
      </c>
      <c r="L282" s="7">
        <f t="shared" ref="L282:L313" si="70">J282/K282</f>
        <v>43.953488372093027</v>
      </c>
      <c r="M282" s="5" t="s">
        <v>10</v>
      </c>
      <c r="N282" s="5">
        <v>4</v>
      </c>
      <c r="O282" s="6">
        <f t="shared" ref="O282:O313" si="71">(J282*L282^2)/(1.6*10^6)</f>
        <v>1.1410338358572203</v>
      </c>
      <c r="P282" s="6">
        <f t="shared" ref="P282:P313" si="72">(0.104*J282*L282^2)/(1.6*10^6)</f>
        <v>0.11866751892915092</v>
      </c>
      <c r="Q282" s="10">
        <f t="shared" ref="Q282:Q313" si="73">(0.104*O282)/(12*N282)</f>
        <v>2.4722399776906439E-3</v>
      </c>
      <c r="R282" s="10">
        <f t="shared" ref="R282:R313" si="74">0.0159*O282^0.75</f>
        <v>1.7553794774037217E-2</v>
      </c>
      <c r="S282" s="10">
        <f t="shared" ref="S282:S313" si="75">Q282+R282</f>
        <v>2.0026034751727862E-2</v>
      </c>
    </row>
    <row r="283" spans="1:19" x14ac:dyDescent="0.25">
      <c r="A283" s="5" t="s">
        <v>22</v>
      </c>
      <c r="B283" s="5" t="s">
        <v>63</v>
      </c>
      <c r="C283" s="5" t="s">
        <v>27</v>
      </c>
      <c r="D283" s="5" t="s">
        <v>385</v>
      </c>
      <c r="E283" s="5" t="s">
        <v>384</v>
      </c>
      <c r="F283" s="5" t="s">
        <v>45</v>
      </c>
      <c r="G283" s="5" t="s">
        <v>390</v>
      </c>
      <c r="H283" s="5" t="s">
        <v>79</v>
      </c>
      <c r="I283" s="5" t="s">
        <v>80</v>
      </c>
      <c r="J283" s="15">
        <v>1270</v>
      </c>
      <c r="K283" s="7">
        <v>44</v>
      </c>
      <c r="L283" s="7">
        <f t="shared" si="70"/>
        <v>28.863636363636363</v>
      </c>
      <c r="M283" s="5" t="s">
        <v>10</v>
      </c>
      <c r="N283" s="5">
        <v>4</v>
      </c>
      <c r="O283" s="6">
        <f t="shared" si="71"/>
        <v>0.66128066890495862</v>
      </c>
      <c r="P283" s="6">
        <f t="shared" si="72"/>
        <v>6.8773189566115694E-2</v>
      </c>
      <c r="Q283" s="10">
        <f t="shared" si="73"/>
        <v>1.4327747826274103E-3</v>
      </c>
      <c r="R283" s="10">
        <f t="shared" si="74"/>
        <v>1.165967633207318E-2</v>
      </c>
      <c r="S283" s="10">
        <f t="shared" si="75"/>
        <v>1.3092451114700591E-2</v>
      </c>
    </row>
    <row r="284" spans="1:19" x14ac:dyDescent="0.25">
      <c r="A284" s="5" t="s">
        <v>22</v>
      </c>
      <c r="B284" s="5" t="s">
        <v>63</v>
      </c>
      <c r="C284" s="5" t="s">
        <v>27</v>
      </c>
      <c r="D284" s="5" t="s">
        <v>385</v>
      </c>
      <c r="E284" s="5" t="s">
        <v>384</v>
      </c>
      <c r="F284" s="5" t="s">
        <v>45</v>
      </c>
      <c r="G284" s="5" t="s">
        <v>390</v>
      </c>
      <c r="H284" s="5" t="s">
        <v>81</v>
      </c>
      <c r="I284" s="5" t="s">
        <v>82</v>
      </c>
      <c r="J284" s="15">
        <v>740</v>
      </c>
      <c r="K284" s="7">
        <v>27</v>
      </c>
      <c r="L284" s="7">
        <f t="shared" si="70"/>
        <v>27.407407407407408</v>
      </c>
      <c r="M284" s="5" t="s">
        <v>10</v>
      </c>
      <c r="N284" s="5">
        <v>4</v>
      </c>
      <c r="O284" s="6">
        <f t="shared" si="71"/>
        <v>0.34741426611796983</v>
      </c>
      <c r="P284" s="6">
        <f t="shared" si="72"/>
        <v>3.6131083676268862E-2</v>
      </c>
      <c r="Q284" s="10">
        <f t="shared" si="73"/>
        <v>7.5273090992226792E-4</v>
      </c>
      <c r="R284" s="10">
        <f t="shared" si="74"/>
        <v>7.1950341649546588E-3</v>
      </c>
      <c r="S284" s="10">
        <f t="shared" si="75"/>
        <v>7.9477650748769266E-3</v>
      </c>
    </row>
    <row r="285" spans="1:19" x14ac:dyDescent="0.25">
      <c r="A285" s="5" t="s">
        <v>22</v>
      </c>
      <c r="B285" s="5" t="s">
        <v>63</v>
      </c>
      <c r="C285" s="5" t="s">
        <v>27</v>
      </c>
      <c r="D285" s="5" t="s">
        <v>385</v>
      </c>
      <c r="E285" s="5" t="s">
        <v>384</v>
      </c>
      <c r="F285" s="5" t="s">
        <v>45</v>
      </c>
      <c r="G285" s="5" t="s">
        <v>390</v>
      </c>
      <c r="H285" s="5" t="s">
        <v>70</v>
      </c>
      <c r="I285" s="5" t="s">
        <v>71</v>
      </c>
      <c r="J285" s="15">
        <v>950</v>
      </c>
      <c r="K285" s="7">
        <v>37</v>
      </c>
      <c r="L285" s="7">
        <f t="shared" si="70"/>
        <v>25.675675675675677</v>
      </c>
      <c r="M285" s="5" t="s">
        <v>10</v>
      </c>
      <c r="N285" s="5">
        <v>4</v>
      </c>
      <c r="O285" s="6">
        <f t="shared" si="71"/>
        <v>0.39142394083272469</v>
      </c>
      <c r="P285" s="6">
        <f t="shared" si="72"/>
        <v>4.0708089846603367E-2</v>
      </c>
      <c r="Q285" s="10">
        <f t="shared" si="73"/>
        <v>8.4808520513757017E-4</v>
      </c>
      <c r="R285" s="10">
        <f t="shared" si="74"/>
        <v>7.8683317585654267E-3</v>
      </c>
      <c r="S285" s="10">
        <f t="shared" si="75"/>
        <v>8.716416963702997E-3</v>
      </c>
    </row>
    <row r="286" spans="1:19" x14ac:dyDescent="0.25">
      <c r="A286" s="5" t="s">
        <v>8</v>
      </c>
      <c r="B286" s="5" t="s">
        <v>161</v>
      </c>
      <c r="C286" s="5" t="s">
        <v>27</v>
      </c>
      <c r="D286" s="5" t="s">
        <v>385</v>
      </c>
      <c r="E286" s="5" t="s">
        <v>384</v>
      </c>
      <c r="F286" s="5" t="s">
        <v>45</v>
      </c>
      <c r="G286" s="5" t="s">
        <v>390</v>
      </c>
      <c r="H286" s="5" t="s">
        <v>70</v>
      </c>
      <c r="I286" s="5" t="s">
        <v>71</v>
      </c>
      <c r="J286" s="15">
        <v>940</v>
      </c>
      <c r="K286" s="7">
        <v>36</v>
      </c>
      <c r="L286" s="7">
        <f t="shared" si="70"/>
        <v>26.111111111111111</v>
      </c>
      <c r="M286" s="5" t="s">
        <v>10</v>
      </c>
      <c r="N286" s="5">
        <v>4</v>
      </c>
      <c r="O286" s="6">
        <f t="shared" si="71"/>
        <v>0.40055169753086417</v>
      </c>
      <c r="P286" s="6">
        <f t="shared" si="72"/>
        <v>4.1657376543209869E-2</v>
      </c>
      <c r="Q286" s="10">
        <f t="shared" si="73"/>
        <v>8.678620113168723E-4</v>
      </c>
      <c r="R286" s="10">
        <f t="shared" si="74"/>
        <v>8.0055478331547292E-3</v>
      </c>
      <c r="S286" s="10">
        <f t="shared" si="75"/>
        <v>8.8734098444716008E-3</v>
      </c>
    </row>
    <row r="287" spans="1:19" x14ac:dyDescent="0.25">
      <c r="A287" s="5" t="s">
        <v>22</v>
      </c>
      <c r="B287" s="5" t="s">
        <v>63</v>
      </c>
      <c r="C287" s="5" t="s">
        <v>27</v>
      </c>
      <c r="D287" s="5" t="s">
        <v>385</v>
      </c>
      <c r="E287" s="5" t="s">
        <v>384</v>
      </c>
      <c r="F287" s="5" t="s">
        <v>45</v>
      </c>
      <c r="G287" s="5" t="s">
        <v>390</v>
      </c>
      <c r="H287" s="5" t="s">
        <v>75</v>
      </c>
      <c r="I287" s="5" t="s">
        <v>76</v>
      </c>
      <c r="J287" s="15">
        <v>1700</v>
      </c>
      <c r="K287" s="7">
        <v>55</v>
      </c>
      <c r="L287" s="7">
        <f t="shared" si="70"/>
        <v>30.90909090909091</v>
      </c>
      <c r="M287" s="5" t="s">
        <v>10</v>
      </c>
      <c r="N287" s="5">
        <v>4</v>
      </c>
      <c r="O287" s="6">
        <f t="shared" si="71"/>
        <v>1.0150826446280992</v>
      </c>
      <c r="P287" s="6">
        <f t="shared" si="72"/>
        <v>0.10556859504132231</v>
      </c>
      <c r="Q287" s="10">
        <f t="shared" si="73"/>
        <v>2.1993457300275481E-3</v>
      </c>
      <c r="R287" s="10">
        <f t="shared" si="74"/>
        <v>1.6079523553745634E-2</v>
      </c>
      <c r="S287" s="10">
        <f t="shared" si="75"/>
        <v>1.8278869283773182E-2</v>
      </c>
    </row>
    <row r="288" spans="1:19" x14ac:dyDescent="0.25">
      <c r="A288" s="5" t="s">
        <v>8</v>
      </c>
      <c r="B288" s="5" t="s">
        <v>313</v>
      </c>
      <c r="C288" s="5" t="s">
        <v>27</v>
      </c>
      <c r="D288" s="5" t="s">
        <v>385</v>
      </c>
      <c r="E288" s="5" t="s">
        <v>384</v>
      </c>
      <c r="F288" s="5" t="s">
        <v>45</v>
      </c>
      <c r="G288" s="5" t="s">
        <v>390</v>
      </c>
      <c r="H288" s="5" t="s">
        <v>46</v>
      </c>
      <c r="I288" s="5" t="s">
        <v>167</v>
      </c>
      <c r="J288" s="15">
        <v>980</v>
      </c>
      <c r="K288" s="7">
        <v>26</v>
      </c>
      <c r="L288" s="7">
        <f t="shared" si="70"/>
        <v>37.692307692307693</v>
      </c>
      <c r="M288" s="5" t="s">
        <v>10</v>
      </c>
      <c r="N288" s="5">
        <v>4</v>
      </c>
      <c r="O288" s="6">
        <f t="shared" si="71"/>
        <v>0.87018491124260366</v>
      </c>
      <c r="P288" s="6">
        <f t="shared" si="72"/>
        <v>9.0499230769230776E-2</v>
      </c>
      <c r="Q288" s="10">
        <f t="shared" si="73"/>
        <v>1.8854006410256412E-3</v>
      </c>
      <c r="R288" s="10">
        <f t="shared" si="74"/>
        <v>1.4325367948525116E-2</v>
      </c>
      <c r="S288" s="10">
        <f t="shared" si="75"/>
        <v>1.6210768589550756E-2</v>
      </c>
    </row>
    <row r="289" spans="1:19" x14ac:dyDescent="0.25">
      <c r="A289" s="5" t="s">
        <v>8</v>
      </c>
      <c r="B289" s="5" t="s">
        <v>206</v>
      </c>
      <c r="C289" s="5" t="s">
        <v>27</v>
      </c>
      <c r="D289" s="5" t="s">
        <v>385</v>
      </c>
      <c r="E289" s="5" t="s">
        <v>384</v>
      </c>
      <c r="F289" s="5" t="s">
        <v>45</v>
      </c>
      <c r="G289" s="5" t="s">
        <v>390</v>
      </c>
      <c r="H289" s="5" t="s">
        <v>46</v>
      </c>
      <c r="I289" s="5" t="s">
        <v>207</v>
      </c>
      <c r="J289" s="15">
        <v>1000</v>
      </c>
      <c r="K289" s="7">
        <v>28.3</v>
      </c>
      <c r="L289" s="7">
        <f t="shared" si="70"/>
        <v>35.335689045936398</v>
      </c>
      <c r="M289" s="5" t="s">
        <v>10</v>
      </c>
      <c r="N289" s="5">
        <v>4</v>
      </c>
      <c r="O289" s="6">
        <f t="shared" si="71"/>
        <v>0.78038182521944355</v>
      </c>
      <c r="P289" s="6">
        <f t="shared" si="72"/>
        <v>8.1159709822822126E-2</v>
      </c>
      <c r="Q289" s="10">
        <f t="shared" si="73"/>
        <v>1.690827287975461E-3</v>
      </c>
      <c r="R289" s="10">
        <f t="shared" si="74"/>
        <v>1.3201627791862751E-2</v>
      </c>
      <c r="S289" s="10">
        <f t="shared" si="75"/>
        <v>1.4892455079838211E-2</v>
      </c>
    </row>
    <row r="290" spans="1:19" x14ac:dyDescent="0.25">
      <c r="A290" s="5" t="s">
        <v>8</v>
      </c>
      <c r="B290" s="5" t="s">
        <v>208</v>
      </c>
      <c r="C290" s="5" t="s">
        <v>27</v>
      </c>
      <c r="D290" s="5" t="s">
        <v>385</v>
      </c>
      <c r="E290" s="5" t="s">
        <v>384</v>
      </c>
      <c r="F290" s="5" t="s">
        <v>45</v>
      </c>
      <c r="G290" s="5" t="s">
        <v>390</v>
      </c>
      <c r="H290" s="5" t="s">
        <v>46</v>
      </c>
      <c r="I290" s="5" t="s">
        <v>207</v>
      </c>
      <c r="J290" s="15">
        <v>1070</v>
      </c>
      <c r="K290" s="7">
        <v>28.1</v>
      </c>
      <c r="L290" s="7">
        <f t="shared" si="70"/>
        <v>38.078291814946617</v>
      </c>
      <c r="M290" s="5" t="s">
        <v>10</v>
      </c>
      <c r="N290" s="5">
        <v>4</v>
      </c>
      <c r="O290" s="6">
        <f t="shared" si="71"/>
        <v>0.9696582806702041</v>
      </c>
      <c r="P290" s="6">
        <f t="shared" si="72"/>
        <v>0.10084446118970124</v>
      </c>
      <c r="Q290" s="10">
        <f t="shared" si="73"/>
        <v>2.1009262747854422E-3</v>
      </c>
      <c r="R290" s="10">
        <f t="shared" si="74"/>
        <v>1.5536785046705944E-2</v>
      </c>
      <c r="S290" s="10">
        <f t="shared" si="75"/>
        <v>1.7637711321491386E-2</v>
      </c>
    </row>
    <row r="291" spans="1:19" x14ac:dyDescent="0.25">
      <c r="A291" s="5" t="s">
        <v>8</v>
      </c>
      <c r="B291" s="5" t="s">
        <v>209</v>
      </c>
      <c r="C291" s="5" t="s">
        <v>27</v>
      </c>
      <c r="D291" s="5" t="s">
        <v>385</v>
      </c>
      <c r="E291" s="5" t="s">
        <v>384</v>
      </c>
      <c r="F291" s="5" t="s">
        <v>45</v>
      </c>
      <c r="G291" s="5" t="s">
        <v>390</v>
      </c>
      <c r="H291" s="5" t="s">
        <v>46</v>
      </c>
      <c r="I291" s="5" t="s">
        <v>207</v>
      </c>
      <c r="J291" s="15">
        <v>1500</v>
      </c>
      <c r="K291" s="7">
        <v>46.9</v>
      </c>
      <c r="L291" s="7">
        <f t="shared" si="70"/>
        <v>31.982942430703627</v>
      </c>
      <c r="M291" s="5" t="s">
        <v>10</v>
      </c>
      <c r="N291" s="5">
        <v>4</v>
      </c>
      <c r="O291" s="6">
        <f t="shared" si="71"/>
        <v>0.95897681861784601</v>
      </c>
      <c r="P291" s="6">
        <f t="shared" si="72"/>
        <v>9.973358913625599E-2</v>
      </c>
      <c r="Q291" s="10">
        <f t="shared" si="73"/>
        <v>2.0777831070053327E-3</v>
      </c>
      <c r="R291" s="10">
        <f t="shared" si="74"/>
        <v>1.5408246091418672E-2</v>
      </c>
      <c r="S291" s="10">
        <f t="shared" si="75"/>
        <v>1.7486029198424003E-2</v>
      </c>
    </row>
    <row r="292" spans="1:19" x14ac:dyDescent="0.25">
      <c r="A292" s="5" t="s">
        <v>8</v>
      </c>
      <c r="B292" s="5" t="s">
        <v>210</v>
      </c>
      <c r="C292" s="5" t="s">
        <v>27</v>
      </c>
      <c r="D292" s="5" t="s">
        <v>385</v>
      </c>
      <c r="E292" s="5" t="s">
        <v>384</v>
      </c>
      <c r="F292" s="5" t="s">
        <v>45</v>
      </c>
      <c r="G292" s="5" t="s">
        <v>390</v>
      </c>
      <c r="H292" s="5" t="s">
        <v>46</v>
      </c>
      <c r="I292" s="5" t="s">
        <v>207</v>
      </c>
      <c r="J292" s="15">
        <v>1330</v>
      </c>
      <c r="K292" s="7">
        <v>30</v>
      </c>
      <c r="L292" s="7">
        <f t="shared" si="70"/>
        <v>44.333333333333336</v>
      </c>
      <c r="M292" s="5" t="s">
        <v>10</v>
      </c>
      <c r="N292" s="5">
        <v>4</v>
      </c>
      <c r="O292" s="6">
        <f t="shared" si="71"/>
        <v>1.6337756944444446</v>
      </c>
      <c r="P292" s="6">
        <f t="shared" si="72"/>
        <v>0.1699126722222222</v>
      </c>
      <c r="Q292" s="10">
        <f t="shared" si="73"/>
        <v>3.5398473379629632E-3</v>
      </c>
      <c r="R292" s="10">
        <f t="shared" si="74"/>
        <v>2.2976900704314702E-2</v>
      </c>
      <c r="S292" s="10">
        <f t="shared" si="75"/>
        <v>2.6516748042277664E-2</v>
      </c>
    </row>
    <row r="293" spans="1:19" x14ac:dyDescent="0.25">
      <c r="A293" s="5" t="s">
        <v>8</v>
      </c>
      <c r="B293" s="5" t="s">
        <v>308</v>
      </c>
      <c r="C293" s="5" t="s">
        <v>27</v>
      </c>
      <c r="D293" s="5" t="s">
        <v>385</v>
      </c>
      <c r="E293" s="5" t="s">
        <v>384</v>
      </c>
      <c r="F293" s="5" t="s">
        <v>45</v>
      </c>
      <c r="G293" s="5" t="s">
        <v>390</v>
      </c>
      <c r="H293" s="5" t="s">
        <v>46</v>
      </c>
      <c r="I293" s="5" t="s">
        <v>310</v>
      </c>
      <c r="J293" s="15">
        <v>972</v>
      </c>
      <c r="K293" s="7">
        <v>19.7</v>
      </c>
      <c r="L293" s="7">
        <f t="shared" si="70"/>
        <v>49.340101522842644</v>
      </c>
      <c r="M293" s="5" t="s">
        <v>10</v>
      </c>
      <c r="N293" s="5">
        <v>4</v>
      </c>
      <c r="O293" s="6">
        <f t="shared" si="71"/>
        <v>1.4789257131077846</v>
      </c>
      <c r="P293" s="6">
        <f t="shared" si="72"/>
        <v>0.15380827416320958</v>
      </c>
      <c r="Q293" s="10">
        <f t="shared" si="73"/>
        <v>3.204339045066867E-3</v>
      </c>
      <c r="R293" s="10">
        <f t="shared" si="74"/>
        <v>2.1323421621601071E-2</v>
      </c>
      <c r="S293" s="10">
        <f t="shared" si="75"/>
        <v>2.4527760666667939E-2</v>
      </c>
    </row>
    <row r="294" spans="1:19" x14ac:dyDescent="0.25">
      <c r="A294" s="5" t="s">
        <v>22</v>
      </c>
      <c r="B294" s="5" t="s">
        <v>26</v>
      </c>
      <c r="C294" s="5" t="s">
        <v>27</v>
      </c>
      <c r="D294" s="5" t="s">
        <v>385</v>
      </c>
      <c r="E294" s="5" t="s">
        <v>384</v>
      </c>
      <c r="F294" s="5" t="s">
        <v>45</v>
      </c>
      <c r="G294" s="5" t="s">
        <v>390</v>
      </c>
      <c r="H294" s="5" t="s">
        <v>46</v>
      </c>
      <c r="I294" s="5" t="s">
        <v>16</v>
      </c>
      <c r="J294" s="15">
        <v>1400</v>
      </c>
      <c r="K294" s="7">
        <v>39</v>
      </c>
      <c r="L294" s="7">
        <f t="shared" si="70"/>
        <v>35.897435897435898</v>
      </c>
      <c r="M294" s="5" t="s">
        <v>10</v>
      </c>
      <c r="N294" s="5">
        <v>4</v>
      </c>
      <c r="O294" s="6">
        <f t="shared" si="71"/>
        <v>1.1275476660092045</v>
      </c>
      <c r="P294" s="6">
        <f t="shared" si="72"/>
        <v>0.11726495726495727</v>
      </c>
      <c r="Q294" s="10">
        <f t="shared" si="73"/>
        <v>2.4430199430199432E-3</v>
      </c>
      <c r="R294" s="10">
        <f t="shared" si="74"/>
        <v>1.7397959160789959E-2</v>
      </c>
      <c r="S294" s="10">
        <f t="shared" si="75"/>
        <v>1.9840979103809903E-2</v>
      </c>
    </row>
    <row r="295" spans="1:19" x14ac:dyDescent="0.25">
      <c r="A295" s="5" t="s">
        <v>8</v>
      </c>
      <c r="B295" s="5" t="s">
        <v>322</v>
      </c>
      <c r="C295" s="5" t="s">
        <v>27</v>
      </c>
      <c r="D295" s="5" t="s">
        <v>385</v>
      </c>
      <c r="E295" s="5" t="s">
        <v>384</v>
      </c>
      <c r="F295" s="5" t="s">
        <v>45</v>
      </c>
      <c r="G295" s="5" t="s">
        <v>390</v>
      </c>
      <c r="H295" s="5" t="s">
        <v>46</v>
      </c>
      <c r="I295" s="5" t="s">
        <v>323</v>
      </c>
      <c r="J295" s="15">
        <v>810</v>
      </c>
      <c r="K295" s="7">
        <v>29</v>
      </c>
      <c r="L295" s="7">
        <f t="shared" si="70"/>
        <v>27.931034482758619</v>
      </c>
      <c r="M295" s="5" t="s">
        <v>10</v>
      </c>
      <c r="N295" s="5">
        <v>4</v>
      </c>
      <c r="O295" s="6">
        <f t="shared" si="71"/>
        <v>0.39494723543400712</v>
      </c>
      <c r="P295" s="6">
        <f t="shared" si="72"/>
        <v>4.1074512485136737E-2</v>
      </c>
      <c r="Q295" s="10">
        <f t="shared" si="73"/>
        <v>8.5571901010701539E-4</v>
      </c>
      <c r="R295" s="10">
        <f t="shared" si="74"/>
        <v>7.9213906781575756E-3</v>
      </c>
      <c r="S295" s="10">
        <f t="shared" si="75"/>
        <v>8.7771096882645911E-3</v>
      </c>
    </row>
    <row r="296" spans="1:19" x14ac:dyDescent="0.25">
      <c r="A296" s="5" t="s">
        <v>22</v>
      </c>
      <c r="B296" s="5" t="s">
        <v>26</v>
      </c>
      <c r="C296" s="5" t="s">
        <v>27</v>
      </c>
      <c r="D296" s="5" t="s">
        <v>385</v>
      </c>
      <c r="E296" s="5" t="s">
        <v>384</v>
      </c>
      <c r="F296" s="5" t="s">
        <v>45</v>
      </c>
      <c r="G296" s="5" t="s">
        <v>390</v>
      </c>
      <c r="H296" s="5" t="s">
        <v>46</v>
      </c>
      <c r="I296" s="5" t="s">
        <v>47</v>
      </c>
      <c r="J296" s="15">
        <v>1200</v>
      </c>
      <c r="K296" s="7">
        <v>28</v>
      </c>
      <c r="L296" s="7">
        <f t="shared" si="70"/>
        <v>42.857142857142854</v>
      </c>
      <c r="M296" s="5" t="s">
        <v>10</v>
      </c>
      <c r="N296" s="5">
        <v>4</v>
      </c>
      <c r="O296" s="6">
        <f t="shared" si="71"/>
        <v>1.3775510204081631</v>
      </c>
      <c r="P296" s="6">
        <f t="shared" si="72"/>
        <v>0.14326530612244898</v>
      </c>
      <c r="Q296" s="10">
        <f t="shared" si="73"/>
        <v>2.9846938775510198E-3</v>
      </c>
      <c r="R296" s="10">
        <f t="shared" si="74"/>
        <v>2.0217520582724226E-2</v>
      </c>
      <c r="S296" s="10">
        <f t="shared" si="75"/>
        <v>2.3202214460275247E-2</v>
      </c>
    </row>
    <row r="297" spans="1:19" x14ac:dyDescent="0.25">
      <c r="A297" s="5" t="s">
        <v>8</v>
      </c>
      <c r="B297" s="5" t="s">
        <v>300</v>
      </c>
      <c r="C297" s="5" t="s">
        <v>27</v>
      </c>
      <c r="D297" s="5" t="s">
        <v>385</v>
      </c>
      <c r="E297" s="5" t="s">
        <v>384</v>
      </c>
      <c r="F297" s="5" t="s">
        <v>45</v>
      </c>
      <c r="G297" s="5" t="s">
        <v>390</v>
      </c>
      <c r="H297" s="5" t="s">
        <v>46</v>
      </c>
      <c r="I297" s="5" t="s">
        <v>47</v>
      </c>
      <c r="J297" s="15">
        <v>1198</v>
      </c>
      <c r="K297" s="7">
        <v>28.2</v>
      </c>
      <c r="L297" s="7">
        <f t="shared" si="70"/>
        <v>42.4822695035461</v>
      </c>
      <c r="M297" s="5" t="s">
        <v>10</v>
      </c>
      <c r="N297" s="5">
        <v>4</v>
      </c>
      <c r="O297" s="6">
        <f t="shared" si="71"/>
        <v>1.3513014876012275</v>
      </c>
      <c r="P297" s="6">
        <f t="shared" si="72"/>
        <v>0.14053535471052764</v>
      </c>
      <c r="Q297" s="10">
        <f t="shared" si="73"/>
        <v>2.927819889802659E-3</v>
      </c>
      <c r="R297" s="10">
        <f t="shared" si="74"/>
        <v>1.9927889917281474E-2</v>
      </c>
      <c r="S297" s="10">
        <f t="shared" si="75"/>
        <v>2.2855709807084134E-2</v>
      </c>
    </row>
    <row r="298" spans="1:19" x14ac:dyDescent="0.25">
      <c r="A298" s="5" t="s">
        <v>8</v>
      </c>
      <c r="B298" s="5" t="s">
        <v>202</v>
      </c>
      <c r="C298" s="5" t="s">
        <v>27</v>
      </c>
      <c r="D298" s="5" t="s">
        <v>385</v>
      </c>
      <c r="E298" s="5" t="s">
        <v>384</v>
      </c>
      <c r="F298" s="5" t="s">
        <v>45</v>
      </c>
      <c r="G298" s="5" t="s">
        <v>390</v>
      </c>
      <c r="H298" s="5" t="s">
        <v>46</v>
      </c>
      <c r="I298" s="5" t="s">
        <v>203</v>
      </c>
      <c r="J298" s="15">
        <v>1230</v>
      </c>
      <c r="K298" s="7">
        <v>25.5</v>
      </c>
      <c r="L298" s="7">
        <f t="shared" si="70"/>
        <v>48.235294117647058</v>
      </c>
      <c r="M298" s="5" t="s">
        <v>10</v>
      </c>
      <c r="N298" s="5">
        <v>4</v>
      </c>
      <c r="O298" s="6">
        <f t="shared" si="71"/>
        <v>1.788607266435986</v>
      </c>
      <c r="P298" s="6">
        <f t="shared" si="72"/>
        <v>0.18601515570934254</v>
      </c>
      <c r="Q298" s="10">
        <f t="shared" si="73"/>
        <v>3.8753157439446362E-3</v>
      </c>
      <c r="R298" s="10">
        <f t="shared" si="74"/>
        <v>2.4591406420233046E-2</v>
      </c>
      <c r="S298" s="10">
        <f t="shared" si="75"/>
        <v>2.8466722164177682E-2</v>
      </c>
    </row>
    <row r="299" spans="1:19" x14ac:dyDescent="0.25">
      <c r="A299" s="5" t="s">
        <v>8</v>
      </c>
      <c r="B299" s="5" t="s">
        <v>204</v>
      </c>
      <c r="C299" s="5" t="s">
        <v>27</v>
      </c>
      <c r="D299" s="5" t="s">
        <v>385</v>
      </c>
      <c r="E299" s="5" t="s">
        <v>384</v>
      </c>
      <c r="F299" s="5" t="s">
        <v>45</v>
      </c>
      <c r="G299" s="5" t="s">
        <v>390</v>
      </c>
      <c r="H299" s="5" t="s">
        <v>46</v>
      </c>
      <c r="I299" s="5" t="s">
        <v>203</v>
      </c>
      <c r="J299" s="15">
        <v>900</v>
      </c>
      <c r="K299" s="7">
        <v>26</v>
      </c>
      <c r="L299" s="7">
        <f t="shared" si="70"/>
        <v>34.615384615384613</v>
      </c>
      <c r="M299" s="5" t="s">
        <v>10</v>
      </c>
      <c r="N299" s="5">
        <v>4</v>
      </c>
      <c r="O299" s="6">
        <f t="shared" si="71"/>
        <v>0.67400147928994081</v>
      </c>
      <c r="P299" s="6">
        <f t="shared" si="72"/>
        <v>7.0096153846153836E-2</v>
      </c>
      <c r="Q299" s="10">
        <f t="shared" si="73"/>
        <v>1.4603365384615382E-3</v>
      </c>
      <c r="R299" s="10">
        <f t="shared" si="74"/>
        <v>1.1827494686413892E-2</v>
      </c>
      <c r="S299" s="10">
        <f t="shared" si="75"/>
        <v>1.3287831224875431E-2</v>
      </c>
    </row>
    <row r="300" spans="1:19" x14ac:dyDescent="0.25">
      <c r="A300" s="5" t="s">
        <v>8</v>
      </c>
      <c r="B300" s="5" t="s">
        <v>205</v>
      </c>
      <c r="C300" s="5" t="s">
        <v>27</v>
      </c>
      <c r="D300" s="5" t="s">
        <v>385</v>
      </c>
      <c r="E300" s="5" t="s">
        <v>384</v>
      </c>
      <c r="F300" s="5" t="s">
        <v>45</v>
      </c>
      <c r="G300" s="5" t="s">
        <v>390</v>
      </c>
      <c r="H300" s="5" t="s">
        <v>46</v>
      </c>
      <c r="I300" s="5" t="s">
        <v>203</v>
      </c>
      <c r="J300" s="15">
        <v>1100</v>
      </c>
      <c r="K300" s="7">
        <v>30</v>
      </c>
      <c r="L300" s="7">
        <f t="shared" si="70"/>
        <v>36.666666666666664</v>
      </c>
      <c r="M300" s="5" t="s">
        <v>10</v>
      </c>
      <c r="N300" s="5">
        <v>4</v>
      </c>
      <c r="O300" s="6">
        <f t="shared" si="71"/>
        <v>0.92430555555555549</v>
      </c>
      <c r="P300" s="6">
        <f t="shared" si="72"/>
        <v>9.6127777777777756E-2</v>
      </c>
      <c r="Q300" s="10">
        <f t="shared" si="73"/>
        <v>2.0026620370370367E-3</v>
      </c>
      <c r="R300" s="10">
        <f t="shared" si="74"/>
        <v>1.4988521556455617E-2</v>
      </c>
      <c r="S300" s="10">
        <f t="shared" si="75"/>
        <v>1.6991183593492654E-2</v>
      </c>
    </row>
    <row r="301" spans="1:19" x14ac:dyDescent="0.25">
      <c r="A301" s="5" t="s">
        <v>8</v>
      </c>
      <c r="B301" s="5" t="s">
        <v>201</v>
      </c>
      <c r="C301" s="5" t="s">
        <v>27</v>
      </c>
      <c r="D301" s="5" t="s">
        <v>385</v>
      </c>
      <c r="E301" s="5" t="s">
        <v>384</v>
      </c>
      <c r="F301" s="5" t="s">
        <v>45</v>
      </c>
      <c r="G301" s="5" t="s">
        <v>390</v>
      </c>
      <c r="H301" s="5" t="s">
        <v>46</v>
      </c>
      <c r="I301" s="5" t="s">
        <v>203</v>
      </c>
      <c r="J301" s="15">
        <v>1060</v>
      </c>
      <c r="K301" s="7">
        <v>29.5</v>
      </c>
      <c r="L301" s="7">
        <f t="shared" si="70"/>
        <v>35.932203389830505</v>
      </c>
      <c r="M301" s="5" t="s">
        <v>10</v>
      </c>
      <c r="N301" s="5">
        <v>4</v>
      </c>
      <c r="O301" s="6">
        <f t="shared" si="71"/>
        <v>0.85536914679689724</v>
      </c>
      <c r="P301" s="6">
        <f t="shared" si="72"/>
        <v>8.895839126687731E-2</v>
      </c>
      <c r="Q301" s="10">
        <f t="shared" si="73"/>
        <v>1.8532998180599439E-3</v>
      </c>
      <c r="R301" s="10">
        <f t="shared" si="74"/>
        <v>1.414204810560408E-2</v>
      </c>
      <c r="S301" s="10">
        <f t="shared" si="75"/>
        <v>1.5995347923664024E-2</v>
      </c>
    </row>
    <row r="302" spans="1:19" x14ac:dyDescent="0.25">
      <c r="A302" s="5" t="s">
        <v>8</v>
      </c>
      <c r="B302" s="5" t="s">
        <v>219</v>
      </c>
      <c r="C302" s="5" t="s">
        <v>27</v>
      </c>
      <c r="D302" s="5" t="s">
        <v>385</v>
      </c>
      <c r="E302" s="5" t="s">
        <v>384</v>
      </c>
      <c r="F302" s="5" t="s">
        <v>45</v>
      </c>
      <c r="G302" s="5" t="s">
        <v>390</v>
      </c>
      <c r="H302" s="5" t="s">
        <v>46</v>
      </c>
      <c r="I302" s="5" t="s">
        <v>203</v>
      </c>
      <c r="J302" s="15">
        <v>900</v>
      </c>
      <c r="K302" s="7">
        <v>26.9</v>
      </c>
      <c r="L302" s="7">
        <f t="shared" si="70"/>
        <v>33.457249070631974</v>
      </c>
      <c r="M302" s="5" t="s">
        <v>10</v>
      </c>
      <c r="N302" s="5">
        <v>4</v>
      </c>
      <c r="O302" s="6">
        <f t="shared" si="71"/>
        <v>0.62965547739804595</v>
      </c>
      <c r="P302" s="6">
        <f t="shared" si="72"/>
        <v>6.5484169649396781E-2</v>
      </c>
      <c r="Q302" s="10">
        <f t="shared" si="73"/>
        <v>1.3642535343624329E-3</v>
      </c>
      <c r="R302" s="10">
        <f t="shared" si="74"/>
        <v>1.1238914402422381E-2</v>
      </c>
      <c r="S302" s="10">
        <f t="shared" si="75"/>
        <v>1.2603167936784815E-2</v>
      </c>
    </row>
    <row r="303" spans="1:19" x14ac:dyDescent="0.25">
      <c r="A303" s="5" t="s">
        <v>8</v>
      </c>
      <c r="B303" s="5" t="s">
        <v>291</v>
      </c>
      <c r="C303" s="5" t="s">
        <v>27</v>
      </c>
      <c r="D303" s="5" t="s">
        <v>385</v>
      </c>
      <c r="E303" s="5" t="s">
        <v>384</v>
      </c>
      <c r="F303" s="5" t="s">
        <v>45</v>
      </c>
      <c r="G303" s="5" t="s">
        <v>390</v>
      </c>
      <c r="H303" s="5" t="s">
        <v>46</v>
      </c>
      <c r="I303" s="5" t="s">
        <v>203</v>
      </c>
      <c r="J303" s="15">
        <v>1221</v>
      </c>
      <c r="K303" s="7">
        <v>34.799999999999997</v>
      </c>
      <c r="L303" s="7">
        <f t="shared" si="70"/>
        <v>35.08620689655173</v>
      </c>
      <c r="M303" s="5" t="s">
        <v>10</v>
      </c>
      <c r="N303" s="5">
        <v>4</v>
      </c>
      <c r="O303" s="6">
        <f t="shared" si="71"/>
        <v>0.9394388609170633</v>
      </c>
      <c r="P303" s="6">
        <f t="shared" si="72"/>
        <v>9.770164153537457E-2</v>
      </c>
      <c r="Q303" s="10">
        <f t="shared" si="73"/>
        <v>2.035450865320304E-3</v>
      </c>
      <c r="R303" s="10">
        <f t="shared" si="74"/>
        <v>1.5172198474885332E-2</v>
      </c>
      <c r="S303" s="10">
        <f t="shared" si="75"/>
        <v>1.7207649340205636E-2</v>
      </c>
    </row>
    <row r="304" spans="1:19" x14ac:dyDescent="0.25">
      <c r="A304" s="5" t="s">
        <v>8</v>
      </c>
      <c r="B304" s="5" t="s">
        <v>291</v>
      </c>
      <c r="C304" s="5" t="s">
        <v>27</v>
      </c>
      <c r="D304" s="5" t="s">
        <v>385</v>
      </c>
      <c r="E304" s="5" t="s">
        <v>384</v>
      </c>
      <c r="F304" s="5" t="s">
        <v>45</v>
      </c>
      <c r="G304" s="5" t="s">
        <v>390</v>
      </c>
      <c r="H304" s="5" t="s">
        <v>46</v>
      </c>
      <c r="I304" s="5" t="s">
        <v>203</v>
      </c>
      <c r="J304" s="15">
        <v>1180</v>
      </c>
      <c r="K304" s="7">
        <v>28.1</v>
      </c>
      <c r="L304" s="7">
        <f t="shared" si="70"/>
        <v>41.992882562277579</v>
      </c>
      <c r="M304" s="5" t="s">
        <v>10</v>
      </c>
      <c r="N304" s="5">
        <v>4</v>
      </c>
      <c r="O304" s="6">
        <f t="shared" si="71"/>
        <v>1.3005091120933117</v>
      </c>
      <c r="P304" s="6">
        <f t="shared" si="72"/>
        <v>0.13525294765770443</v>
      </c>
      <c r="Q304" s="10">
        <f t="shared" si="73"/>
        <v>2.8177697428688419E-3</v>
      </c>
      <c r="R304" s="10">
        <f t="shared" si="74"/>
        <v>1.9363424830278701E-2</v>
      </c>
      <c r="S304" s="10">
        <f t="shared" si="75"/>
        <v>2.2181194573147541E-2</v>
      </c>
    </row>
    <row r="305" spans="1:19" x14ac:dyDescent="0.25">
      <c r="A305" s="5" t="s">
        <v>8</v>
      </c>
      <c r="B305" s="5" t="s">
        <v>291</v>
      </c>
      <c r="C305" s="5" t="s">
        <v>27</v>
      </c>
      <c r="D305" s="5" t="s">
        <v>385</v>
      </c>
      <c r="E305" s="5" t="s">
        <v>384</v>
      </c>
      <c r="F305" s="5" t="s">
        <v>45</v>
      </c>
      <c r="G305" s="5" t="s">
        <v>390</v>
      </c>
      <c r="H305" s="5" t="s">
        <v>46</v>
      </c>
      <c r="I305" s="5" t="s">
        <v>203</v>
      </c>
      <c r="J305" s="15">
        <v>1358</v>
      </c>
      <c r="K305" s="7">
        <v>27.2</v>
      </c>
      <c r="L305" s="7">
        <f t="shared" si="70"/>
        <v>49.926470588235297</v>
      </c>
      <c r="M305" s="5" t="s">
        <v>10</v>
      </c>
      <c r="N305" s="5">
        <v>4</v>
      </c>
      <c r="O305" s="6">
        <f t="shared" si="71"/>
        <v>2.115638780006488</v>
      </c>
      <c r="P305" s="6">
        <f t="shared" si="72"/>
        <v>0.22002643312067477</v>
      </c>
      <c r="Q305" s="10">
        <f t="shared" si="73"/>
        <v>4.5838840233473907E-3</v>
      </c>
      <c r="R305" s="10">
        <f t="shared" si="74"/>
        <v>2.7891910544193911E-2</v>
      </c>
      <c r="S305" s="10">
        <f t="shared" si="75"/>
        <v>3.2475794567541301E-2</v>
      </c>
    </row>
    <row r="306" spans="1:19" x14ac:dyDescent="0.25">
      <c r="A306" s="5" t="s">
        <v>8</v>
      </c>
      <c r="B306" s="5" t="s">
        <v>291</v>
      </c>
      <c r="C306" s="5" t="s">
        <v>27</v>
      </c>
      <c r="D306" s="5" t="s">
        <v>385</v>
      </c>
      <c r="E306" s="5" t="s">
        <v>384</v>
      </c>
      <c r="F306" s="5" t="s">
        <v>45</v>
      </c>
      <c r="G306" s="5" t="s">
        <v>390</v>
      </c>
      <c r="H306" s="5" t="s">
        <v>46</v>
      </c>
      <c r="I306" s="5" t="s">
        <v>203</v>
      </c>
      <c r="J306" s="15">
        <v>1194</v>
      </c>
      <c r="K306" s="7">
        <v>25.9</v>
      </c>
      <c r="L306" s="7">
        <f t="shared" si="70"/>
        <v>46.100386100386103</v>
      </c>
      <c r="M306" s="5" t="s">
        <v>10</v>
      </c>
      <c r="N306" s="5">
        <v>4</v>
      </c>
      <c r="O306" s="6">
        <f t="shared" si="71"/>
        <v>1.5859645279587367</v>
      </c>
      <c r="P306" s="6">
        <f t="shared" si="72"/>
        <v>0.16494031090770858</v>
      </c>
      <c r="Q306" s="10">
        <f t="shared" si="73"/>
        <v>3.4362564772439292E-3</v>
      </c>
      <c r="R306" s="10">
        <f t="shared" si="74"/>
        <v>2.2470732330724698E-2</v>
      </c>
      <c r="S306" s="10">
        <f t="shared" si="75"/>
        <v>2.5906988807968628E-2</v>
      </c>
    </row>
    <row r="307" spans="1:19" x14ac:dyDescent="0.25">
      <c r="A307" s="5" t="s">
        <v>8</v>
      </c>
      <c r="B307" s="5" t="s">
        <v>291</v>
      </c>
      <c r="C307" s="5" t="s">
        <v>27</v>
      </c>
      <c r="D307" s="5" t="s">
        <v>385</v>
      </c>
      <c r="E307" s="5" t="s">
        <v>384</v>
      </c>
      <c r="F307" s="5" t="s">
        <v>45</v>
      </c>
      <c r="G307" s="5" t="s">
        <v>390</v>
      </c>
      <c r="H307" s="5" t="s">
        <v>46</v>
      </c>
      <c r="I307" s="5" t="s">
        <v>203</v>
      </c>
      <c r="J307" s="15">
        <v>1038</v>
      </c>
      <c r="K307" s="7">
        <v>25.2</v>
      </c>
      <c r="L307" s="7">
        <f t="shared" si="70"/>
        <v>41.19047619047619</v>
      </c>
      <c r="M307" s="5" t="s">
        <v>10</v>
      </c>
      <c r="N307" s="5">
        <v>4</v>
      </c>
      <c r="O307" s="6">
        <f t="shared" si="71"/>
        <v>1.1007051445578231</v>
      </c>
      <c r="P307" s="6">
        <f t="shared" si="72"/>
        <v>0.11447333503401359</v>
      </c>
      <c r="Q307" s="10">
        <f t="shared" si="73"/>
        <v>2.3848611465419499E-3</v>
      </c>
      <c r="R307" s="10">
        <f t="shared" si="74"/>
        <v>1.7086392225529067E-2</v>
      </c>
      <c r="S307" s="10">
        <f t="shared" si="75"/>
        <v>1.9471253372071017E-2</v>
      </c>
    </row>
    <row r="308" spans="1:19" x14ac:dyDescent="0.25">
      <c r="A308" s="5" t="s">
        <v>8</v>
      </c>
      <c r="B308" s="5" t="s">
        <v>322</v>
      </c>
      <c r="C308" s="5" t="s">
        <v>27</v>
      </c>
      <c r="D308" s="5" t="s">
        <v>385</v>
      </c>
      <c r="E308" s="5" t="s">
        <v>384</v>
      </c>
      <c r="F308" s="5" t="s">
        <v>45</v>
      </c>
      <c r="G308" s="5" t="s">
        <v>390</v>
      </c>
      <c r="H308" s="5" t="s">
        <v>46</v>
      </c>
      <c r="I308" s="5" t="s">
        <v>203</v>
      </c>
      <c r="J308" s="15">
        <v>1000</v>
      </c>
      <c r="K308" s="7">
        <v>22</v>
      </c>
      <c r="L308" s="7">
        <f t="shared" si="70"/>
        <v>45.454545454545453</v>
      </c>
      <c r="M308" s="5" t="s">
        <v>10</v>
      </c>
      <c r="N308" s="5">
        <v>4</v>
      </c>
      <c r="O308" s="6">
        <f t="shared" si="71"/>
        <v>1.2913223140495866</v>
      </c>
      <c r="P308" s="6">
        <f t="shared" si="72"/>
        <v>0.13429752066115702</v>
      </c>
      <c r="Q308" s="10">
        <f t="shared" si="73"/>
        <v>2.7978650137741039E-3</v>
      </c>
      <c r="R308" s="10">
        <f t="shared" si="74"/>
        <v>1.9260746534398895E-2</v>
      </c>
      <c r="S308" s="10">
        <f t="shared" si="75"/>
        <v>2.2058611548172999E-2</v>
      </c>
    </row>
    <row r="309" spans="1:19" x14ac:dyDescent="0.25">
      <c r="A309" s="5" t="s">
        <v>22</v>
      </c>
      <c r="B309" s="5" t="s">
        <v>26</v>
      </c>
      <c r="C309" s="5" t="s">
        <v>27</v>
      </c>
      <c r="D309" s="5" t="s">
        <v>385</v>
      </c>
      <c r="E309" s="5" t="s">
        <v>384</v>
      </c>
      <c r="F309" s="5" t="s">
        <v>45</v>
      </c>
      <c r="G309" s="5" t="s">
        <v>390</v>
      </c>
      <c r="H309" s="5" t="s">
        <v>46</v>
      </c>
      <c r="I309" s="5" t="s">
        <v>11</v>
      </c>
      <c r="J309" s="15">
        <v>1450</v>
      </c>
      <c r="K309" s="7">
        <v>27</v>
      </c>
      <c r="L309" s="7">
        <f t="shared" si="70"/>
        <v>53.703703703703702</v>
      </c>
      <c r="M309" s="5" t="s">
        <v>10</v>
      </c>
      <c r="N309" s="5">
        <v>4</v>
      </c>
      <c r="O309" s="6">
        <f t="shared" si="71"/>
        <v>2.6137045610425238</v>
      </c>
      <c r="P309" s="6">
        <f t="shared" si="72"/>
        <v>0.27182527434842246</v>
      </c>
      <c r="Q309" s="10">
        <f t="shared" si="73"/>
        <v>5.6630265489254683E-3</v>
      </c>
      <c r="R309" s="10">
        <f t="shared" si="74"/>
        <v>3.2684323180094878E-2</v>
      </c>
      <c r="S309" s="10">
        <f t="shared" si="75"/>
        <v>3.8347349729020347E-2</v>
      </c>
    </row>
    <row r="310" spans="1:19" x14ac:dyDescent="0.25">
      <c r="A310" s="5" t="s">
        <v>8</v>
      </c>
      <c r="B310" s="5" t="s">
        <v>192</v>
      </c>
      <c r="C310" s="5" t="s">
        <v>27</v>
      </c>
      <c r="D310" s="5" t="s">
        <v>385</v>
      </c>
      <c r="E310" s="5" t="s">
        <v>384</v>
      </c>
      <c r="F310" s="5" t="s">
        <v>45</v>
      </c>
      <c r="G310" s="5" t="s">
        <v>390</v>
      </c>
      <c r="H310" s="5" t="s">
        <v>46</v>
      </c>
      <c r="I310" s="5" t="s">
        <v>11</v>
      </c>
      <c r="J310" s="15">
        <v>1050</v>
      </c>
      <c r="K310" s="7">
        <v>32</v>
      </c>
      <c r="L310" s="7">
        <f t="shared" si="70"/>
        <v>32.8125</v>
      </c>
      <c r="M310" s="5" t="s">
        <v>10</v>
      </c>
      <c r="N310" s="5">
        <v>4</v>
      </c>
      <c r="O310" s="6">
        <f t="shared" si="71"/>
        <v>0.7065582275390625</v>
      </c>
      <c r="P310" s="6">
        <f t="shared" si="72"/>
        <v>7.348205566406249E-2</v>
      </c>
      <c r="Q310" s="10">
        <f t="shared" si="73"/>
        <v>1.5308761596679685E-3</v>
      </c>
      <c r="R310" s="10">
        <f t="shared" si="74"/>
        <v>1.2253441811234738E-2</v>
      </c>
      <c r="S310" s="10">
        <f t="shared" si="75"/>
        <v>1.3784317970902706E-2</v>
      </c>
    </row>
    <row r="311" spans="1:19" x14ac:dyDescent="0.25">
      <c r="A311" s="5" t="s">
        <v>8</v>
      </c>
      <c r="B311" s="5" t="s">
        <v>214</v>
      </c>
      <c r="C311" s="5" t="s">
        <v>27</v>
      </c>
      <c r="D311" s="5" t="s">
        <v>385</v>
      </c>
      <c r="E311" s="5" t="s">
        <v>384</v>
      </c>
      <c r="F311" s="5" t="s">
        <v>45</v>
      </c>
      <c r="G311" s="5" t="s">
        <v>390</v>
      </c>
      <c r="H311" s="5" t="s">
        <v>46</v>
      </c>
      <c r="I311" s="5" t="s">
        <v>216</v>
      </c>
      <c r="J311" s="15">
        <v>910</v>
      </c>
      <c r="K311" s="7">
        <v>31</v>
      </c>
      <c r="L311" s="7">
        <f t="shared" si="70"/>
        <v>29.35483870967742</v>
      </c>
      <c r="M311" s="5" t="s">
        <v>10</v>
      </c>
      <c r="N311" s="5">
        <v>4</v>
      </c>
      <c r="O311" s="6">
        <f t="shared" si="71"/>
        <v>0.49009560353798132</v>
      </c>
      <c r="P311" s="6">
        <f t="shared" si="72"/>
        <v>5.0969942767950062E-2</v>
      </c>
      <c r="Q311" s="10">
        <f t="shared" si="73"/>
        <v>1.0618738076656261E-3</v>
      </c>
      <c r="R311" s="10">
        <f t="shared" si="74"/>
        <v>9.3133887089925389E-3</v>
      </c>
      <c r="S311" s="10">
        <f t="shared" si="75"/>
        <v>1.0375262516658166E-2</v>
      </c>
    </row>
    <row r="312" spans="1:19" x14ac:dyDescent="0.25">
      <c r="A312" s="5" t="s">
        <v>8</v>
      </c>
      <c r="B312" s="5" t="s">
        <v>281</v>
      </c>
      <c r="C312" s="5" t="s">
        <v>27</v>
      </c>
      <c r="D312" s="5" t="s">
        <v>385</v>
      </c>
      <c r="E312" s="5" t="s">
        <v>384</v>
      </c>
      <c r="F312" s="5" t="s">
        <v>45</v>
      </c>
      <c r="G312" s="5" t="s">
        <v>390</v>
      </c>
      <c r="H312" s="5" t="s">
        <v>46</v>
      </c>
      <c r="I312" s="5" t="s">
        <v>216</v>
      </c>
      <c r="J312" s="15">
        <v>990</v>
      </c>
      <c r="K312" s="7">
        <v>25.5</v>
      </c>
      <c r="L312" s="7">
        <f t="shared" si="70"/>
        <v>38.823529411764703</v>
      </c>
      <c r="M312" s="5" t="s">
        <v>10</v>
      </c>
      <c r="N312" s="5">
        <v>4</v>
      </c>
      <c r="O312" s="6">
        <f t="shared" si="71"/>
        <v>0.93262110726643588</v>
      </c>
      <c r="P312" s="6">
        <f t="shared" si="72"/>
        <v>9.6992595155709335E-2</v>
      </c>
      <c r="Q312" s="10">
        <f t="shared" si="73"/>
        <v>2.0206790657439442E-3</v>
      </c>
      <c r="R312" s="10">
        <f t="shared" si="74"/>
        <v>1.5089541872016023E-2</v>
      </c>
      <c r="S312" s="10">
        <f t="shared" si="75"/>
        <v>1.7110220937759969E-2</v>
      </c>
    </row>
    <row r="313" spans="1:19" x14ac:dyDescent="0.25">
      <c r="A313" s="5" t="s">
        <v>8</v>
      </c>
      <c r="B313" s="5" t="s">
        <v>307</v>
      </c>
      <c r="C313" s="5" t="s">
        <v>27</v>
      </c>
      <c r="D313" s="5" t="s">
        <v>385</v>
      </c>
      <c r="E313" s="5" t="s">
        <v>384</v>
      </c>
      <c r="F313" s="5" t="s">
        <v>45</v>
      </c>
      <c r="G313" s="5" t="s">
        <v>390</v>
      </c>
      <c r="H313" s="5" t="s">
        <v>46</v>
      </c>
      <c r="I313" s="5" t="s">
        <v>216</v>
      </c>
      <c r="J313" s="15">
        <v>820</v>
      </c>
      <c r="K313" s="7">
        <v>31</v>
      </c>
      <c r="L313" s="7">
        <f t="shared" si="70"/>
        <v>26.451612903225808</v>
      </c>
      <c r="M313" s="5" t="s">
        <v>10</v>
      </c>
      <c r="N313" s="5">
        <v>4</v>
      </c>
      <c r="O313" s="6">
        <f t="shared" si="71"/>
        <v>0.35859001040582733</v>
      </c>
      <c r="P313" s="6">
        <f t="shared" si="72"/>
        <v>3.7293361082206045E-2</v>
      </c>
      <c r="Q313" s="10">
        <f t="shared" si="73"/>
        <v>7.7694502254595915E-4</v>
      </c>
      <c r="R313" s="10">
        <f t="shared" si="74"/>
        <v>7.3679346366924492E-3</v>
      </c>
      <c r="S313" s="10">
        <f t="shared" si="75"/>
        <v>8.1448796592384076E-3</v>
      </c>
    </row>
    <row r="314" spans="1:19" x14ac:dyDescent="0.25">
      <c r="A314" s="5" t="s">
        <v>8</v>
      </c>
      <c r="B314" s="5" t="s">
        <v>339</v>
      </c>
      <c r="C314" s="5" t="s">
        <v>27</v>
      </c>
      <c r="D314" s="5" t="s">
        <v>385</v>
      </c>
      <c r="E314" s="5" t="s">
        <v>384</v>
      </c>
      <c r="F314" s="5" t="s">
        <v>45</v>
      </c>
      <c r="G314" s="5" t="s">
        <v>390</v>
      </c>
      <c r="H314" s="5" t="s">
        <v>46</v>
      </c>
      <c r="I314" s="5" t="s">
        <v>216</v>
      </c>
      <c r="J314" s="15">
        <v>763</v>
      </c>
      <c r="K314" s="7">
        <v>24.1</v>
      </c>
      <c r="L314" s="7">
        <f t="shared" ref="L314:L345" si="76">J314/K314</f>
        <v>31.659751037344396</v>
      </c>
      <c r="M314" s="5" t="s">
        <v>10</v>
      </c>
      <c r="N314" s="5">
        <v>4</v>
      </c>
      <c r="O314" s="6">
        <f t="shared" ref="O314:O345" si="77">(J314*L314^2)/(1.6*10^6)</f>
        <v>0.47799080917167397</v>
      </c>
      <c r="P314" s="6">
        <f t="shared" ref="P314:P345" si="78">(0.104*J314*L314^2)/(1.6*10^6)</f>
        <v>4.9711044153854085E-2</v>
      </c>
      <c r="Q314" s="10">
        <f t="shared" ref="Q314:Q345" si="79">(0.104*O314)/(12*N314)</f>
        <v>1.0356467532052936E-3</v>
      </c>
      <c r="R314" s="10">
        <f t="shared" ref="R314:R345" si="80">0.0159*O314^0.75</f>
        <v>9.1403280678869249E-3</v>
      </c>
      <c r="S314" s="10">
        <f t="shared" ref="S314:S345" si="81">Q314+R314</f>
        <v>1.0175974821092219E-2</v>
      </c>
    </row>
    <row r="315" spans="1:19" x14ac:dyDescent="0.25">
      <c r="A315" s="5" t="s">
        <v>8</v>
      </c>
      <c r="B315" s="5" t="s">
        <v>214</v>
      </c>
      <c r="C315" s="5" t="s">
        <v>27</v>
      </c>
      <c r="D315" s="5" t="s">
        <v>385</v>
      </c>
      <c r="E315" s="5" t="s">
        <v>384</v>
      </c>
      <c r="F315" s="5" t="s">
        <v>45</v>
      </c>
      <c r="G315" s="5" t="s">
        <v>390</v>
      </c>
      <c r="H315" s="5" t="s">
        <v>46</v>
      </c>
      <c r="I315" s="5" t="s">
        <v>62</v>
      </c>
      <c r="J315" s="15">
        <v>1000</v>
      </c>
      <c r="K315" s="7">
        <v>29</v>
      </c>
      <c r="L315" s="7">
        <f t="shared" si="76"/>
        <v>34.482758620689658</v>
      </c>
      <c r="M315" s="5" t="s">
        <v>10</v>
      </c>
      <c r="N315" s="5">
        <v>4</v>
      </c>
      <c r="O315" s="6">
        <f t="shared" si="77"/>
        <v>0.74316290130796681</v>
      </c>
      <c r="P315" s="6">
        <f t="shared" si="78"/>
        <v>7.7288941736028557E-2</v>
      </c>
      <c r="Q315" s="10">
        <f t="shared" si="79"/>
        <v>1.6101862861672613E-3</v>
      </c>
      <c r="R315" s="10">
        <f t="shared" si="80"/>
        <v>1.27265339526514E-2</v>
      </c>
      <c r="S315" s="10">
        <f t="shared" si="81"/>
        <v>1.4336720238818662E-2</v>
      </c>
    </row>
    <row r="316" spans="1:19" x14ac:dyDescent="0.25">
      <c r="A316" s="5" t="s">
        <v>8</v>
      </c>
      <c r="B316" s="5" t="s">
        <v>197</v>
      </c>
      <c r="C316" s="5" t="s">
        <v>27</v>
      </c>
      <c r="D316" s="5" t="s">
        <v>385</v>
      </c>
      <c r="E316" s="5" t="s">
        <v>384</v>
      </c>
      <c r="F316" s="5" t="s">
        <v>45</v>
      </c>
      <c r="G316" s="5" t="s">
        <v>390</v>
      </c>
      <c r="H316" s="5" t="s">
        <v>46</v>
      </c>
      <c r="I316" s="5" t="s">
        <v>196</v>
      </c>
      <c r="J316" s="15">
        <v>1150</v>
      </c>
      <c r="K316" s="7">
        <v>24.5</v>
      </c>
      <c r="L316" s="7">
        <f t="shared" si="76"/>
        <v>46.938775510204081</v>
      </c>
      <c r="M316" s="5" t="s">
        <v>10</v>
      </c>
      <c r="N316" s="5">
        <v>4</v>
      </c>
      <c r="O316" s="6">
        <f t="shared" si="77"/>
        <v>1.5835849645980844</v>
      </c>
      <c r="P316" s="6">
        <f t="shared" si="78"/>
        <v>0.16469283631820075</v>
      </c>
      <c r="Q316" s="10">
        <f t="shared" si="79"/>
        <v>3.4311007566291828E-3</v>
      </c>
      <c r="R316" s="10">
        <f t="shared" si="80"/>
        <v>2.2445441459619402E-2</v>
      </c>
      <c r="S316" s="10">
        <f t="shared" si="81"/>
        <v>2.5876542216248584E-2</v>
      </c>
    </row>
    <row r="317" spans="1:19" x14ac:dyDescent="0.25">
      <c r="A317" s="5" t="s">
        <v>8</v>
      </c>
      <c r="B317" s="5" t="s">
        <v>191</v>
      </c>
      <c r="C317" s="5" t="s">
        <v>27</v>
      </c>
      <c r="D317" s="5" t="s">
        <v>385</v>
      </c>
      <c r="E317" s="5" t="s">
        <v>384</v>
      </c>
      <c r="F317" s="5" t="s">
        <v>45</v>
      </c>
      <c r="G317" s="5" t="s">
        <v>390</v>
      </c>
      <c r="H317" s="5" t="s">
        <v>46</v>
      </c>
      <c r="I317" s="5" t="s">
        <v>196</v>
      </c>
      <c r="J317" s="15">
        <v>1100</v>
      </c>
      <c r="K317" s="7">
        <v>26</v>
      </c>
      <c r="L317" s="7">
        <f t="shared" si="76"/>
        <v>42.307692307692307</v>
      </c>
      <c r="M317" s="5" t="s">
        <v>10</v>
      </c>
      <c r="N317" s="5">
        <v>4</v>
      </c>
      <c r="O317" s="6">
        <f t="shared" si="77"/>
        <v>1.2305843195266273</v>
      </c>
      <c r="P317" s="6">
        <f t="shared" si="78"/>
        <v>0.12798076923076923</v>
      </c>
      <c r="Q317" s="10">
        <f t="shared" si="79"/>
        <v>2.6662660256410258E-3</v>
      </c>
      <c r="R317" s="10">
        <f t="shared" si="80"/>
        <v>1.8577217122682087E-2</v>
      </c>
      <c r="S317" s="10">
        <f t="shared" si="81"/>
        <v>2.1243483148323111E-2</v>
      </c>
    </row>
    <row r="318" spans="1:19" x14ac:dyDescent="0.25">
      <c r="A318" s="5" t="s">
        <v>8</v>
      </c>
      <c r="B318" s="5" t="s">
        <v>193</v>
      </c>
      <c r="C318" s="5" t="s">
        <v>27</v>
      </c>
      <c r="D318" s="5" t="s">
        <v>385</v>
      </c>
      <c r="E318" s="5" t="s">
        <v>384</v>
      </c>
      <c r="F318" s="5" t="s">
        <v>45</v>
      </c>
      <c r="G318" s="5" t="s">
        <v>390</v>
      </c>
      <c r="H318" s="5" t="s">
        <v>46</v>
      </c>
      <c r="I318" s="5" t="s">
        <v>196</v>
      </c>
      <c r="J318" s="15">
        <v>925</v>
      </c>
      <c r="K318" s="7">
        <v>24</v>
      </c>
      <c r="L318" s="7">
        <f t="shared" si="76"/>
        <v>38.541666666666664</v>
      </c>
      <c r="M318" s="5" t="s">
        <v>10</v>
      </c>
      <c r="N318" s="5">
        <v>4</v>
      </c>
      <c r="O318" s="6">
        <f t="shared" si="77"/>
        <v>0.85878160264756942</v>
      </c>
      <c r="P318" s="6">
        <f t="shared" si="78"/>
        <v>8.9313286675347214E-2</v>
      </c>
      <c r="Q318" s="10">
        <f t="shared" si="79"/>
        <v>1.860693472403067E-3</v>
      </c>
      <c r="R318" s="10">
        <f t="shared" si="80"/>
        <v>1.4184341326858875E-2</v>
      </c>
      <c r="S318" s="10">
        <f t="shared" si="81"/>
        <v>1.6045034799261941E-2</v>
      </c>
    </row>
    <row r="319" spans="1:19" x14ac:dyDescent="0.25">
      <c r="A319" s="5" t="s">
        <v>8</v>
      </c>
      <c r="B319" s="5" t="s">
        <v>198</v>
      </c>
      <c r="C319" s="5" t="s">
        <v>27</v>
      </c>
      <c r="D319" s="5" t="s">
        <v>385</v>
      </c>
      <c r="E319" s="5" t="s">
        <v>384</v>
      </c>
      <c r="F319" s="5" t="s">
        <v>45</v>
      </c>
      <c r="G319" s="5" t="s">
        <v>390</v>
      </c>
      <c r="H319" s="5" t="s">
        <v>46</v>
      </c>
      <c r="I319" s="5" t="s">
        <v>196</v>
      </c>
      <c r="J319" s="15">
        <v>720</v>
      </c>
      <c r="K319" s="7">
        <v>19.5</v>
      </c>
      <c r="L319" s="7">
        <f t="shared" si="76"/>
        <v>36.92307692307692</v>
      </c>
      <c r="M319" s="5" t="s">
        <v>10</v>
      </c>
      <c r="N319" s="5">
        <v>4</v>
      </c>
      <c r="O319" s="6">
        <f t="shared" si="77"/>
        <v>0.6134911242603549</v>
      </c>
      <c r="P319" s="6">
        <f t="shared" si="78"/>
        <v>6.3803076923076907E-2</v>
      </c>
      <c r="Q319" s="10">
        <f t="shared" si="79"/>
        <v>1.329230769230769E-3</v>
      </c>
      <c r="R319" s="10">
        <f t="shared" si="80"/>
        <v>1.1021820585628738E-2</v>
      </c>
      <c r="S319" s="10">
        <f t="shared" si="81"/>
        <v>1.2351051354859506E-2</v>
      </c>
    </row>
    <row r="320" spans="1:19" x14ac:dyDescent="0.25">
      <c r="A320" s="5" t="s">
        <v>8</v>
      </c>
      <c r="B320" s="5" t="s">
        <v>199</v>
      </c>
      <c r="C320" s="5" t="s">
        <v>27</v>
      </c>
      <c r="D320" s="5" t="s">
        <v>385</v>
      </c>
      <c r="E320" s="5" t="s">
        <v>384</v>
      </c>
      <c r="F320" s="5" t="s">
        <v>45</v>
      </c>
      <c r="G320" s="5" t="s">
        <v>390</v>
      </c>
      <c r="H320" s="5" t="s">
        <v>46</v>
      </c>
      <c r="I320" s="5" t="s">
        <v>196</v>
      </c>
      <c r="J320" s="15">
        <v>1090</v>
      </c>
      <c r="K320" s="7">
        <v>25</v>
      </c>
      <c r="L320" s="7">
        <f t="shared" si="76"/>
        <v>43.6</v>
      </c>
      <c r="M320" s="5" t="s">
        <v>10</v>
      </c>
      <c r="N320" s="5">
        <v>4</v>
      </c>
      <c r="O320" s="6">
        <f t="shared" si="77"/>
        <v>1.295029</v>
      </c>
      <c r="P320" s="6">
        <f t="shared" si="78"/>
        <v>0.13468301600000002</v>
      </c>
      <c r="Q320" s="10">
        <f t="shared" si="79"/>
        <v>2.8058961666666666E-3</v>
      </c>
      <c r="R320" s="10">
        <f t="shared" si="80"/>
        <v>1.9302197041295953E-2</v>
      </c>
      <c r="S320" s="10">
        <f t="shared" si="81"/>
        <v>2.2108093207962618E-2</v>
      </c>
    </row>
    <row r="321" spans="1:19" x14ac:dyDescent="0.25">
      <c r="A321" s="5" t="s">
        <v>8</v>
      </c>
      <c r="B321" s="5" t="s">
        <v>200</v>
      </c>
      <c r="C321" s="5" t="s">
        <v>27</v>
      </c>
      <c r="D321" s="5" t="s">
        <v>385</v>
      </c>
      <c r="E321" s="5" t="s">
        <v>384</v>
      </c>
      <c r="F321" s="5" t="s">
        <v>45</v>
      </c>
      <c r="G321" s="5" t="s">
        <v>390</v>
      </c>
      <c r="H321" s="5" t="s">
        <v>46</v>
      </c>
      <c r="I321" s="5" t="s">
        <v>196</v>
      </c>
      <c r="J321" s="15">
        <v>1040</v>
      </c>
      <c r="K321" s="7">
        <v>25.5</v>
      </c>
      <c r="L321" s="7">
        <f t="shared" si="76"/>
        <v>40.784313725490193</v>
      </c>
      <c r="M321" s="5" t="s">
        <v>10</v>
      </c>
      <c r="N321" s="5">
        <v>4</v>
      </c>
      <c r="O321" s="6">
        <f t="shared" si="77"/>
        <v>1.081184159938485</v>
      </c>
      <c r="P321" s="6">
        <f t="shared" si="78"/>
        <v>0.11244315263360244</v>
      </c>
      <c r="Q321" s="10">
        <f t="shared" si="79"/>
        <v>2.3425656798667176E-3</v>
      </c>
      <c r="R321" s="10">
        <f t="shared" si="80"/>
        <v>1.685861450724056E-2</v>
      </c>
      <c r="S321" s="10">
        <f t="shared" si="81"/>
        <v>1.9201180187107276E-2</v>
      </c>
    </row>
    <row r="322" spans="1:19" x14ac:dyDescent="0.25">
      <c r="A322" s="5" t="s">
        <v>8</v>
      </c>
      <c r="B322" s="5" t="s">
        <v>201</v>
      </c>
      <c r="C322" s="5" t="s">
        <v>27</v>
      </c>
      <c r="D322" s="5" t="s">
        <v>385</v>
      </c>
      <c r="E322" s="5" t="s">
        <v>384</v>
      </c>
      <c r="F322" s="5" t="s">
        <v>45</v>
      </c>
      <c r="G322" s="5" t="s">
        <v>390</v>
      </c>
      <c r="H322" s="5" t="s">
        <v>46</v>
      </c>
      <c r="I322" s="5" t="s">
        <v>196</v>
      </c>
      <c r="J322" s="15">
        <v>1020</v>
      </c>
      <c r="K322" s="7">
        <v>23.5</v>
      </c>
      <c r="L322" s="7">
        <f t="shared" si="76"/>
        <v>43.404255319148938</v>
      </c>
      <c r="M322" s="5" t="s">
        <v>10</v>
      </c>
      <c r="N322" s="5">
        <v>4</v>
      </c>
      <c r="O322" s="6">
        <f t="shared" si="77"/>
        <v>1.2010049796287914</v>
      </c>
      <c r="P322" s="6">
        <f t="shared" si="78"/>
        <v>0.1249045178813943</v>
      </c>
      <c r="Q322" s="10">
        <f t="shared" si="79"/>
        <v>2.6021774558623811E-3</v>
      </c>
      <c r="R322" s="10">
        <f t="shared" si="80"/>
        <v>1.824129766845984E-2</v>
      </c>
      <c r="S322" s="10">
        <f t="shared" si="81"/>
        <v>2.0843475124322219E-2</v>
      </c>
    </row>
    <row r="323" spans="1:19" x14ac:dyDescent="0.25">
      <c r="A323" s="5" t="s">
        <v>8</v>
      </c>
      <c r="B323" s="5" t="s">
        <v>300</v>
      </c>
      <c r="C323" s="5" t="s">
        <v>27</v>
      </c>
      <c r="D323" s="5" t="s">
        <v>385</v>
      </c>
      <c r="E323" s="5" t="s">
        <v>384</v>
      </c>
      <c r="F323" s="5" t="s">
        <v>45</v>
      </c>
      <c r="G323" s="5" t="s">
        <v>390</v>
      </c>
      <c r="H323" s="5" t="s">
        <v>46</v>
      </c>
      <c r="I323" s="5" t="s">
        <v>196</v>
      </c>
      <c r="J323" s="15">
        <v>1195</v>
      </c>
      <c r="K323" s="7">
        <v>24</v>
      </c>
      <c r="L323" s="7">
        <f t="shared" si="76"/>
        <v>49.791666666666664</v>
      </c>
      <c r="M323" s="5" t="s">
        <v>10</v>
      </c>
      <c r="N323" s="5">
        <v>4</v>
      </c>
      <c r="O323" s="6">
        <f t="shared" si="77"/>
        <v>1.8516600206163194</v>
      </c>
      <c r="P323" s="6">
        <f t="shared" si="78"/>
        <v>0.19257264214409722</v>
      </c>
      <c r="Q323" s="10">
        <f t="shared" si="79"/>
        <v>4.0119300446686918E-3</v>
      </c>
      <c r="R323" s="10">
        <f t="shared" si="80"/>
        <v>2.5238762776790758E-2</v>
      </c>
      <c r="S323" s="10">
        <f t="shared" si="81"/>
        <v>2.9250692821459451E-2</v>
      </c>
    </row>
    <row r="324" spans="1:19" x14ac:dyDescent="0.25">
      <c r="A324" s="5" t="s">
        <v>8</v>
      </c>
      <c r="B324" s="5" t="s">
        <v>322</v>
      </c>
      <c r="C324" s="5" t="s">
        <v>27</v>
      </c>
      <c r="D324" s="5" t="s">
        <v>385</v>
      </c>
      <c r="E324" s="5" t="s">
        <v>384</v>
      </c>
      <c r="F324" s="5" t="s">
        <v>45</v>
      </c>
      <c r="G324" s="5" t="s">
        <v>390</v>
      </c>
      <c r="H324" s="5" t="s">
        <v>46</v>
      </c>
      <c r="I324" s="5" t="s">
        <v>196</v>
      </c>
      <c r="J324" s="15">
        <v>840</v>
      </c>
      <c r="K324" s="7">
        <v>25</v>
      </c>
      <c r="L324" s="7">
        <f t="shared" si="76"/>
        <v>33.6</v>
      </c>
      <c r="M324" s="5" t="s">
        <v>10</v>
      </c>
      <c r="N324" s="5">
        <v>4</v>
      </c>
      <c r="O324" s="6">
        <f t="shared" si="77"/>
        <v>0.59270400000000001</v>
      </c>
      <c r="P324" s="6">
        <f t="shared" si="78"/>
        <v>6.1641216000000006E-2</v>
      </c>
      <c r="Q324" s="10">
        <f t="shared" si="79"/>
        <v>1.284192E-3</v>
      </c>
      <c r="R324" s="10">
        <f t="shared" si="80"/>
        <v>1.0740525188849282E-2</v>
      </c>
      <c r="S324" s="10">
        <f t="shared" si="81"/>
        <v>1.2024717188849282E-2</v>
      </c>
    </row>
    <row r="325" spans="1:19" x14ac:dyDescent="0.25">
      <c r="A325" s="5" t="s">
        <v>8</v>
      </c>
      <c r="B325" s="5" t="s">
        <v>328</v>
      </c>
      <c r="C325" s="5" t="s">
        <v>27</v>
      </c>
      <c r="D325" s="5" t="s">
        <v>385</v>
      </c>
      <c r="E325" s="5" t="s">
        <v>384</v>
      </c>
      <c r="F325" s="5" t="s">
        <v>45</v>
      </c>
      <c r="G325" s="5" t="s">
        <v>390</v>
      </c>
      <c r="H325" s="5" t="s">
        <v>46</v>
      </c>
      <c r="I325" s="5" t="s">
        <v>196</v>
      </c>
      <c r="J325" s="15">
        <v>1022</v>
      </c>
      <c r="K325" s="7">
        <v>24.8</v>
      </c>
      <c r="L325" s="7">
        <f t="shared" si="76"/>
        <v>41.20967741935484</v>
      </c>
      <c r="M325" s="5" t="s">
        <v>10</v>
      </c>
      <c r="N325" s="5">
        <v>4</v>
      </c>
      <c r="O325" s="6">
        <f t="shared" si="77"/>
        <v>1.0847492114334027</v>
      </c>
      <c r="P325" s="6">
        <f t="shared" si="78"/>
        <v>0.11281391798907389</v>
      </c>
      <c r="Q325" s="10">
        <f t="shared" si="79"/>
        <v>2.3502899581057056E-3</v>
      </c>
      <c r="R325" s="10">
        <f t="shared" si="80"/>
        <v>1.6900289015310911E-2</v>
      </c>
      <c r="S325" s="10">
        <f t="shared" si="81"/>
        <v>1.9250578973416616E-2</v>
      </c>
    </row>
    <row r="326" spans="1:19" x14ac:dyDescent="0.25">
      <c r="A326" s="5" t="s">
        <v>8</v>
      </c>
      <c r="B326" s="5" t="s">
        <v>339</v>
      </c>
      <c r="C326" s="5" t="s">
        <v>27</v>
      </c>
      <c r="D326" s="5" t="s">
        <v>385</v>
      </c>
      <c r="E326" s="5" t="s">
        <v>384</v>
      </c>
      <c r="F326" s="5" t="s">
        <v>45</v>
      </c>
      <c r="G326" s="5" t="s">
        <v>390</v>
      </c>
      <c r="H326" s="5" t="s">
        <v>46</v>
      </c>
      <c r="I326" s="5" t="s">
        <v>196</v>
      </c>
      <c r="J326" s="15">
        <v>880</v>
      </c>
      <c r="K326" s="7">
        <v>22.6</v>
      </c>
      <c r="L326" s="7">
        <f t="shared" si="76"/>
        <v>38.938053097345133</v>
      </c>
      <c r="M326" s="5" t="s">
        <v>10</v>
      </c>
      <c r="N326" s="5">
        <v>4</v>
      </c>
      <c r="O326" s="6">
        <f t="shared" si="77"/>
        <v>0.83389458845641784</v>
      </c>
      <c r="P326" s="6">
        <f t="shared" si="78"/>
        <v>8.6725037199467447E-2</v>
      </c>
      <c r="Q326" s="10">
        <f t="shared" si="79"/>
        <v>1.8067716083222385E-3</v>
      </c>
      <c r="R326" s="10">
        <f t="shared" si="80"/>
        <v>1.3874920102171794E-2</v>
      </c>
      <c r="S326" s="10">
        <f t="shared" si="81"/>
        <v>1.5681691710494033E-2</v>
      </c>
    </row>
    <row r="327" spans="1:19" x14ac:dyDescent="0.25">
      <c r="A327" s="5" t="s">
        <v>8</v>
      </c>
      <c r="B327" s="5" t="s">
        <v>339</v>
      </c>
      <c r="C327" s="5" t="s">
        <v>27</v>
      </c>
      <c r="D327" s="5" t="s">
        <v>385</v>
      </c>
      <c r="E327" s="5" t="s">
        <v>384</v>
      </c>
      <c r="F327" s="5" t="s">
        <v>45</v>
      </c>
      <c r="G327" s="5" t="s">
        <v>390</v>
      </c>
      <c r="H327" s="5" t="s">
        <v>46</v>
      </c>
      <c r="I327" s="5" t="s">
        <v>196</v>
      </c>
      <c r="J327" s="15">
        <v>820</v>
      </c>
      <c r="K327" s="7">
        <v>21.8</v>
      </c>
      <c r="L327" s="7">
        <f t="shared" si="76"/>
        <v>37.61467889908257</v>
      </c>
      <c r="M327" s="5" t="s">
        <v>10</v>
      </c>
      <c r="N327" s="5">
        <v>4</v>
      </c>
      <c r="O327" s="6">
        <f t="shared" si="77"/>
        <v>0.72511783519905726</v>
      </c>
      <c r="P327" s="6">
        <f t="shared" si="78"/>
        <v>7.5412254860701966E-2</v>
      </c>
      <c r="Q327" s="10">
        <f t="shared" si="79"/>
        <v>1.5710886429312907E-3</v>
      </c>
      <c r="R327" s="10">
        <f t="shared" si="80"/>
        <v>1.2494059354586017E-2</v>
      </c>
      <c r="S327" s="10">
        <f t="shared" si="81"/>
        <v>1.4065147997517308E-2</v>
      </c>
    </row>
    <row r="328" spans="1:19" x14ac:dyDescent="0.25">
      <c r="A328" s="5" t="s">
        <v>8</v>
      </c>
      <c r="B328" s="5" t="s">
        <v>192</v>
      </c>
      <c r="C328" s="5" t="s">
        <v>27</v>
      </c>
      <c r="D328" s="5" t="s">
        <v>385</v>
      </c>
      <c r="E328" s="5" t="s">
        <v>384</v>
      </c>
      <c r="F328" s="5" t="s">
        <v>45</v>
      </c>
      <c r="G328" s="5" t="s">
        <v>390</v>
      </c>
      <c r="H328" s="5" t="s">
        <v>46</v>
      </c>
      <c r="I328" s="5" t="s">
        <v>212</v>
      </c>
      <c r="J328" s="15">
        <v>730</v>
      </c>
      <c r="K328" s="7">
        <v>24.3</v>
      </c>
      <c r="L328" s="7">
        <f t="shared" si="76"/>
        <v>30.041152263374485</v>
      </c>
      <c r="M328" s="5" t="s">
        <v>10</v>
      </c>
      <c r="N328" s="5">
        <v>4</v>
      </c>
      <c r="O328" s="6">
        <f t="shared" si="77"/>
        <v>0.41175231587325783</v>
      </c>
      <c r="P328" s="6">
        <f t="shared" si="78"/>
        <v>4.2822240850818816E-2</v>
      </c>
      <c r="Q328" s="10">
        <f t="shared" si="79"/>
        <v>8.9213001772539199E-4</v>
      </c>
      <c r="R328" s="10">
        <f t="shared" si="80"/>
        <v>8.1728619312888239E-3</v>
      </c>
      <c r="S328" s="10">
        <f t="shared" si="81"/>
        <v>9.0649919490142158E-3</v>
      </c>
    </row>
    <row r="329" spans="1:19" x14ac:dyDescent="0.25">
      <c r="A329" s="5" t="s">
        <v>22</v>
      </c>
      <c r="B329" s="5" t="s">
        <v>63</v>
      </c>
      <c r="C329" s="5" t="s">
        <v>27</v>
      </c>
      <c r="D329" s="5" t="s">
        <v>385</v>
      </c>
      <c r="E329" s="5" t="s">
        <v>384</v>
      </c>
      <c r="F329" s="5" t="s">
        <v>45</v>
      </c>
      <c r="G329" s="5" t="s">
        <v>390</v>
      </c>
      <c r="H329" s="5" t="s">
        <v>46</v>
      </c>
      <c r="I329" s="5" t="s">
        <v>152</v>
      </c>
      <c r="J329" s="15">
        <v>2050</v>
      </c>
      <c r="K329" s="7">
        <v>48</v>
      </c>
      <c r="L329" s="7">
        <f t="shared" si="76"/>
        <v>42.708333333333336</v>
      </c>
      <c r="M329" s="5" t="s">
        <v>10</v>
      </c>
      <c r="N329" s="5">
        <v>4</v>
      </c>
      <c r="O329" s="6">
        <f t="shared" si="77"/>
        <v>2.3370022243923612</v>
      </c>
      <c r="P329" s="6">
        <f t="shared" si="78"/>
        <v>0.24304823133680559</v>
      </c>
      <c r="Q329" s="10">
        <f t="shared" si="79"/>
        <v>5.0635048195167825E-3</v>
      </c>
      <c r="R329" s="10">
        <f t="shared" si="80"/>
        <v>3.0053251699317985E-2</v>
      </c>
      <c r="S329" s="10">
        <f t="shared" si="81"/>
        <v>3.5116756518834766E-2</v>
      </c>
    </row>
    <row r="330" spans="1:19" x14ac:dyDescent="0.25">
      <c r="A330" s="5" t="s">
        <v>8</v>
      </c>
      <c r="B330" s="5" t="s">
        <v>375</v>
      </c>
      <c r="C330" s="5" t="s">
        <v>27</v>
      </c>
      <c r="D330" s="5" t="s">
        <v>385</v>
      </c>
      <c r="E330" s="5" t="s">
        <v>384</v>
      </c>
      <c r="F330" s="5" t="s">
        <v>45</v>
      </c>
      <c r="G330" s="5" t="s">
        <v>390</v>
      </c>
      <c r="H330" s="5" t="s">
        <v>46</v>
      </c>
      <c r="I330" s="5" t="s">
        <v>152</v>
      </c>
      <c r="J330" s="15">
        <v>2000</v>
      </c>
      <c r="K330" s="7">
        <v>47</v>
      </c>
      <c r="L330" s="7">
        <f t="shared" si="76"/>
        <v>42.553191489361701</v>
      </c>
      <c r="M330" s="5" t="s">
        <v>10</v>
      </c>
      <c r="N330" s="5">
        <v>4</v>
      </c>
      <c r="O330" s="6">
        <f t="shared" si="77"/>
        <v>2.2634676324128562</v>
      </c>
      <c r="P330" s="6">
        <f t="shared" si="78"/>
        <v>0.23540063377093706</v>
      </c>
      <c r="Q330" s="10">
        <f t="shared" si="79"/>
        <v>4.9041798702278549E-3</v>
      </c>
      <c r="R330" s="10">
        <f t="shared" si="80"/>
        <v>2.9341197903551185E-2</v>
      </c>
      <c r="S330" s="10">
        <f t="shared" si="81"/>
        <v>3.4245377773779041E-2</v>
      </c>
    </row>
    <row r="331" spans="1:19" x14ac:dyDescent="0.25">
      <c r="A331" s="5" t="s">
        <v>8</v>
      </c>
      <c r="B331" s="5" t="s">
        <v>300</v>
      </c>
      <c r="C331" s="5" t="s">
        <v>27</v>
      </c>
      <c r="D331" s="5" t="s">
        <v>385</v>
      </c>
      <c r="E331" s="5" t="s">
        <v>384</v>
      </c>
      <c r="F331" s="5" t="s">
        <v>45</v>
      </c>
      <c r="G331" s="5" t="s">
        <v>390</v>
      </c>
      <c r="H331" s="5" t="s">
        <v>46</v>
      </c>
      <c r="I331" s="5" t="s">
        <v>302</v>
      </c>
      <c r="J331" s="15">
        <v>1357</v>
      </c>
      <c r="K331" s="7">
        <v>29</v>
      </c>
      <c r="L331" s="7">
        <f t="shared" si="76"/>
        <v>46.793103448275865</v>
      </c>
      <c r="M331" s="5" t="s">
        <v>10</v>
      </c>
      <c r="N331" s="5">
        <v>4</v>
      </c>
      <c r="O331" s="6">
        <f t="shared" si="77"/>
        <v>1.8570498610285375</v>
      </c>
      <c r="P331" s="6">
        <f t="shared" si="78"/>
        <v>0.19313318554696787</v>
      </c>
      <c r="Q331" s="10">
        <f t="shared" si="79"/>
        <v>4.0236080322284982E-3</v>
      </c>
      <c r="R331" s="10">
        <f t="shared" si="80"/>
        <v>2.5293841786768613E-2</v>
      </c>
      <c r="S331" s="10">
        <f t="shared" si="81"/>
        <v>2.9317449818997112E-2</v>
      </c>
    </row>
    <row r="332" spans="1:19" x14ac:dyDescent="0.25">
      <c r="A332" s="5" t="s">
        <v>8</v>
      </c>
      <c r="B332" s="5" t="s">
        <v>328</v>
      </c>
      <c r="C332" s="5" t="s">
        <v>27</v>
      </c>
      <c r="D332" s="5" t="s">
        <v>385</v>
      </c>
      <c r="E332" s="5" t="s">
        <v>384</v>
      </c>
      <c r="F332" s="5" t="s">
        <v>45</v>
      </c>
      <c r="G332" s="5" t="s">
        <v>390</v>
      </c>
      <c r="H332" s="5" t="s">
        <v>46</v>
      </c>
      <c r="I332" s="5" t="s">
        <v>302</v>
      </c>
      <c r="J332" s="15">
        <v>1363</v>
      </c>
      <c r="K332" s="7">
        <v>28.2</v>
      </c>
      <c r="L332" s="7">
        <f t="shared" si="76"/>
        <v>48.333333333333336</v>
      </c>
      <c r="M332" s="5" t="s">
        <v>10</v>
      </c>
      <c r="N332" s="5">
        <v>4</v>
      </c>
      <c r="O332" s="6">
        <f t="shared" si="77"/>
        <v>1.9900746527777777</v>
      </c>
      <c r="P332" s="6">
        <f t="shared" si="78"/>
        <v>0.20696776388888888</v>
      </c>
      <c r="Q332" s="10">
        <f t="shared" si="79"/>
        <v>4.3118284143518516E-3</v>
      </c>
      <c r="R332" s="10">
        <f t="shared" si="80"/>
        <v>2.6640915833609679E-2</v>
      </c>
      <c r="S332" s="10">
        <f t="shared" si="81"/>
        <v>3.0952744247961531E-2</v>
      </c>
    </row>
    <row r="333" spans="1:19" x14ac:dyDescent="0.25">
      <c r="A333" s="5" t="s">
        <v>8</v>
      </c>
      <c r="B333" s="5" t="s">
        <v>354</v>
      </c>
      <c r="C333" s="5" t="s">
        <v>27</v>
      </c>
      <c r="D333" s="5" t="s">
        <v>385</v>
      </c>
      <c r="E333" s="5" t="s">
        <v>384</v>
      </c>
      <c r="F333" s="5" t="s">
        <v>45</v>
      </c>
      <c r="G333" s="5" t="s">
        <v>390</v>
      </c>
      <c r="H333" s="5" t="s">
        <v>46</v>
      </c>
      <c r="I333" s="5" t="s">
        <v>302</v>
      </c>
      <c r="J333" s="15">
        <v>1350</v>
      </c>
      <c r="K333" s="7">
        <v>32.5</v>
      </c>
      <c r="L333" s="7">
        <f t="shared" si="76"/>
        <v>41.53846153846154</v>
      </c>
      <c r="M333" s="5" t="s">
        <v>10</v>
      </c>
      <c r="N333" s="5">
        <v>4</v>
      </c>
      <c r="O333" s="6">
        <f t="shared" si="77"/>
        <v>1.4558431952662723</v>
      </c>
      <c r="P333" s="6">
        <f t="shared" si="78"/>
        <v>0.15140769230769233</v>
      </c>
      <c r="Q333" s="10">
        <f t="shared" si="79"/>
        <v>3.1543269230769229E-3</v>
      </c>
      <c r="R333" s="10">
        <f t="shared" si="80"/>
        <v>2.107332548180799E-2</v>
      </c>
      <c r="S333" s="10">
        <f t="shared" si="81"/>
        <v>2.4227652404884913E-2</v>
      </c>
    </row>
    <row r="334" spans="1:19" x14ac:dyDescent="0.25">
      <c r="A334" s="5" t="s">
        <v>22</v>
      </c>
      <c r="B334" s="5" t="s">
        <v>26</v>
      </c>
      <c r="C334" s="5" t="s">
        <v>27</v>
      </c>
      <c r="D334" s="5" t="s">
        <v>385</v>
      </c>
      <c r="E334" s="5" t="s">
        <v>384</v>
      </c>
      <c r="F334" s="5" t="s">
        <v>45</v>
      </c>
      <c r="G334" s="5" t="s">
        <v>390</v>
      </c>
      <c r="H334" s="5" t="s">
        <v>46</v>
      </c>
      <c r="I334" s="5" t="s">
        <v>48</v>
      </c>
      <c r="J334" s="15">
        <v>1300</v>
      </c>
      <c r="K334" s="7">
        <v>31.5</v>
      </c>
      <c r="L334" s="7">
        <f t="shared" si="76"/>
        <v>41.269841269841272</v>
      </c>
      <c r="M334" s="5" t="s">
        <v>10</v>
      </c>
      <c r="N334" s="5">
        <v>4</v>
      </c>
      <c r="O334" s="6">
        <f t="shared" si="77"/>
        <v>1.3838498362307887</v>
      </c>
      <c r="P334" s="6">
        <f t="shared" si="78"/>
        <v>0.14392038296800203</v>
      </c>
      <c r="Q334" s="10">
        <f t="shared" si="79"/>
        <v>2.9983413118333754E-3</v>
      </c>
      <c r="R334" s="10">
        <f t="shared" si="80"/>
        <v>2.0286814091063157E-2</v>
      </c>
      <c r="S334" s="10">
        <f t="shared" si="81"/>
        <v>2.3285155402896534E-2</v>
      </c>
    </row>
    <row r="335" spans="1:19" x14ac:dyDescent="0.25">
      <c r="A335" s="5" t="s">
        <v>8</v>
      </c>
      <c r="B335" s="5" t="s">
        <v>191</v>
      </c>
      <c r="C335" s="5" t="s">
        <v>27</v>
      </c>
      <c r="D335" s="5" t="s">
        <v>385</v>
      </c>
      <c r="E335" s="5" t="s">
        <v>384</v>
      </c>
      <c r="F335" s="5" t="s">
        <v>45</v>
      </c>
      <c r="G335" s="5" t="s">
        <v>390</v>
      </c>
      <c r="H335" s="5" t="s">
        <v>46</v>
      </c>
      <c r="I335" s="5" t="s">
        <v>48</v>
      </c>
      <c r="J335" s="15">
        <v>1700</v>
      </c>
      <c r="K335" s="7">
        <v>30</v>
      </c>
      <c r="L335" s="7">
        <f t="shared" si="76"/>
        <v>56.666666666666664</v>
      </c>
      <c r="M335" s="5" t="s">
        <v>10</v>
      </c>
      <c r="N335" s="5">
        <v>4</v>
      </c>
      <c r="O335" s="6">
        <f t="shared" si="77"/>
        <v>3.4118055555555551</v>
      </c>
      <c r="P335" s="6">
        <f t="shared" si="78"/>
        <v>0.35482777777777774</v>
      </c>
      <c r="Q335" s="10">
        <f t="shared" si="79"/>
        <v>7.3922453703703685E-3</v>
      </c>
      <c r="R335" s="10">
        <f t="shared" si="80"/>
        <v>3.9914925990768291E-2</v>
      </c>
      <c r="S335" s="10">
        <f t="shared" si="81"/>
        <v>4.7307171361138656E-2</v>
      </c>
    </row>
    <row r="336" spans="1:19" x14ac:dyDescent="0.25">
      <c r="A336" s="5" t="s">
        <v>8</v>
      </c>
      <c r="B336" s="5" t="s">
        <v>192</v>
      </c>
      <c r="C336" s="5" t="s">
        <v>27</v>
      </c>
      <c r="D336" s="5" t="s">
        <v>385</v>
      </c>
      <c r="E336" s="5" t="s">
        <v>384</v>
      </c>
      <c r="F336" s="5" t="s">
        <v>45</v>
      </c>
      <c r="G336" s="5" t="s">
        <v>390</v>
      </c>
      <c r="H336" s="5" t="s">
        <v>46</v>
      </c>
      <c r="I336" s="5" t="s">
        <v>48</v>
      </c>
      <c r="J336" s="15">
        <v>1590</v>
      </c>
      <c r="K336" s="7">
        <v>29.6</v>
      </c>
      <c r="L336" s="7">
        <f t="shared" si="76"/>
        <v>53.71621621621621</v>
      </c>
      <c r="M336" s="5" t="s">
        <v>10</v>
      </c>
      <c r="N336" s="5">
        <v>4</v>
      </c>
      <c r="O336" s="6">
        <f t="shared" si="77"/>
        <v>2.867397935308619</v>
      </c>
      <c r="P336" s="6">
        <f t="shared" si="78"/>
        <v>0.29820938527209634</v>
      </c>
      <c r="Q336" s="10">
        <f t="shared" si="79"/>
        <v>6.2126955265020068E-3</v>
      </c>
      <c r="R336" s="10">
        <f t="shared" si="80"/>
        <v>3.5035885669132544E-2</v>
      </c>
      <c r="S336" s="10">
        <f t="shared" si="81"/>
        <v>4.124858119563455E-2</v>
      </c>
    </row>
    <row r="337" spans="1:19" x14ac:dyDescent="0.25">
      <c r="A337" s="5" t="s">
        <v>8</v>
      </c>
      <c r="B337" s="5" t="s">
        <v>214</v>
      </c>
      <c r="C337" s="5" t="s">
        <v>27</v>
      </c>
      <c r="D337" s="5" t="s">
        <v>385</v>
      </c>
      <c r="E337" s="5" t="s">
        <v>384</v>
      </c>
      <c r="F337" s="5" t="s">
        <v>45</v>
      </c>
      <c r="G337" s="5" t="s">
        <v>390</v>
      </c>
      <c r="H337" s="5" t="s">
        <v>46</v>
      </c>
      <c r="I337" s="5" t="s">
        <v>48</v>
      </c>
      <c r="J337" s="15">
        <v>1100</v>
      </c>
      <c r="K337" s="7">
        <v>27</v>
      </c>
      <c r="L337" s="7">
        <f t="shared" si="76"/>
        <v>40.74074074074074</v>
      </c>
      <c r="M337" s="5" t="s">
        <v>10</v>
      </c>
      <c r="N337" s="5">
        <v>4</v>
      </c>
      <c r="O337" s="6">
        <f t="shared" si="77"/>
        <v>1.1411179698216736</v>
      </c>
      <c r="P337" s="6">
        <f t="shared" si="78"/>
        <v>0.11867626886145402</v>
      </c>
      <c r="Q337" s="10">
        <f t="shared" si="79"/>
        <v>2.4724222679469595E-3</v>
      </c>
      <c r="R337" s="10">
        <f t="shared" si="80"/>
        <v>1.7554765509974736E-2</v>
      </c>
      <c r="S337" s="10">
        <f t="shared" si="81"/>
        <v>2.0027187777921694E-2</v>
      </c>
    </row>
    <row r="338" spans="1:19" x14ac:dyDescent="0.25">
      <c r="A338" s="5" t="s">
        <v>8</v>
      </c>
      <c r="B338" s="5" t="s">
        <v>291</v>
      </c>
      <c r="C338" s="5" t="s">
        <v>27</v>
      </c>
      <c r="D338" s="5" t="s">
        <v>385</v>
      </c>
      <c r="E338" s="5" t="s">
        <v>384</v>
      </c>
      <c r="F338" s="5" t="s">
        <v>45</v>
      </c>
      <c r="G338" s="5" t="s">
        <v>390</v>
      </c>
      <c r="H338" s="5" t="s">
        <v>46</v>
      </c>
      <c r="I338" s="5" t="s">
        <v>48</v>
      </c>
      <c r="J338" s="15">
        <v>980</v>
      </c>
      <c r="K338" s="7">
        <v>26</v>
      </c>
      <c r="L338" s="7">
        <f t="shared" si="76"/>
        <v>37.692307692307693</v>
      </c>
      <c r="M338" s="5" t="s">
        <v>10</v>
      </c>
      <c r="N338" s="5">
        <v>4</v>
      </c>
      <c r="O338" s="6">
        <f t="shared" si="77"/>
        <v>0.87018491124260366</v>
      </c>
      <c r="P338" s="6">
        <f t="shared" si="78"/>
        <v>9.0499230769230776E-2</v>
      </c>
      <c r="Q338" s="10">
        <f t="shared" si="79"/>
        <v>1.8854006410256412E-3</v>
      </c>
      <c r="R338" s="10">
        <f t="shared" si="80"/>
        <v>1.4325367948525116E-2</v>
      </c>
      <c r="S338" s="10">
        <f t="shared" si="81"/>
        <v>1.6210768589550756E-2</v>
      </c>
    </row>
    <row r="339" spans="1:19" x14ac:dyDescent="0.25">
      <c r="A339" s="5" t="s">
        <v>8</v>
      </c>
      <c r="B339" s="5" t="s">
        <v>300</v>
      </c>
      <c r="C339" s="5" t="s">
        <v>27</v>
      </c>
      <c r="D339" s="5" t="s">
        <v>385</v>
      </c>
      <c r="E339" s="5" t="s">
        <v>384</v>
      </c>
      <c r="F339" s="5" t="s">
        <v>45</v>
      </c>
      <c r="G339" s="5" t="s">
        <v>390</v>
      </c>
      <c r="H339" s="5" t="s">
        <v>46</v>
      </c>
      <c r="I339" s="5" t="s">
        <v>48</v>
      </c>
      <c r="J339" s="15">
        <v>980</v>
      </c>
      <c r="K339" s="7">
        <v>26</v>
      </c>
      <c r="L339" s="7">
        <f t="shared" si="76"/>
        <v>37.692307692307693</v>
      </c>
      <c r="M339" s="5" t="s">
        <v>10</v>
      </c>
      <c r="N339" s="5">
        <v>4</v>
      </c>
      <c r="O339" s="6">
        <f t="shared" si="77"/>
        <v>0.87018491124260366</v>
      </c>
      <c r="P339" s="6">
        <f t="shared" si="78"/>
        <v>9.0499230769230776E-2</v>
      </c>
      <c r="Q339" s="10">
        <f t="shared" si="79"/>
        <v>1.8854006410256412E-3</v>
      </c>
      <c r="R339" s="10">
        <f t="shared" si="80"/>
        <v>1.4325367948525116E-2</v>
      </c>
      <c r="S339" s="10">
        <f t="shared" si="81"/>
        <v>1.6210768589550756E-2</v>
      </c>
    </row>
    <row r="340" spans="1:19" x14ac:dyDescent="0.25">
      <c r="A340" s="5" t="s">
        <v>8</v>
      </c>
      <c r="B340" s="5" t="s">
        <v>307</v>
      </c>
      <c r="C340" s="5" t="s">
        <v>27</v>
      </c>
      <c r="D340" s="5" t="s">
        <v>385</v>
      </c>
      <c r="E340" s="5" t="s">
        <v>384</v>
      </c>
      <c r="F340" s="5" t="s">
        <v>45</v>
      </c>
      <c r="G340" s="5" t="s">
        <v>390</v>
      </c>
      <c r="H340" s="5" t="s">
        <v>46</v>
      </c>
      <c r="I340" s="5" t="s">
        <v>48</v>
      </c>
      <c r="J340" s="15">
        <v>1600</v>
      </c>
      <c r="K340" s="7">
        <v>31.2</v>
      </c>
      <c r="L340" s="7">
        <f t="shared" si="76"/>
        <v>51.282051282051285</v>
      </c>
      <c r="M340" s="5" t="s">
        <v>10</v>
      </c>
      <c r="N340" s="5">
        <v>4</v>
      </c>
      <c r="O340" s="6">
        <f t="shared" si="77"/>
        <v>2.6298487836949382</v>
      </c>
      <c r="P340" s="6">
        <f t="shared" si="78"/>
        <v>0.27350427350427353</v>
      </c>
      <c r="Q340" s="10">
        <f t="shared" si="79"/>
        <v>5.6980056980057E-3</v>
      </c>
      <c r="R340" s="10">
        <f t="shared" si="80"/>
        <v>3.2835618960862005E-2</v>
      </c>
      <c r="S340" s="10">
        <f t="shared" si="81"/>
        <v>3.8533624658867706E-2</v>
      </c>
    </row>
    <row r="341" spans="1:19" x14ac:dyDescent="0.25">
      <c r="A341" s="5" t="s">
        <v>8</v>
      </c>
      <c r="B341" s="5" t="s">
        <v>339</v>
      </c>
      <c r="C341" s="5" t="s">
        <v>27</v>
      </c>
      <c r="D341" s="5" t="s">
        <v>385</v>
      </c>
      <c r="E341" s="5" t="s">
        <v>384</v>
      </c>
      <c r="F341" s="5" t="s">
        <v>45</v>
      </c>
      <c r="G341" s="5" t="s">
        <v>390</v>
      </c>
      <c r="H341" s="5" t="s">
        <v>46</v>
      </c>
      <c r="I341" s="5" t="s">
        <v>48</v>
      </c>
      <c r="J341" s="15">
        <v>1080</v>
      </c>
      <c r="K341" s="7">
        <v>28.5</v>
      </c>
      <c r="L341" s="7">
        <f t="shared" si="76"/>
        <v>37.89473684210526</v>
      </c>
      <c r="M341" s="5" t="s">
        <v>10</v>
      </c>
      <c r="N341" s="5">
        <v>4</v>
      </c>
      <c r="O341" s="6">
        <f t="shared" si="77"/>
        <v>0.96930747922437654</v>
      </c>
      <c r="P341" s="6">
        <f t="shared" si="78"/>
        <v>0.10080797783933516</v>
      </c>
      <c r="Q341" s="10">
        <f t="shared" si="79"/>
        <v>2.1001662049861488E-3</v>
      </c>
      <c r="R341" s="10">
        <f t="shared" si="80"/>
        <v>1.5532569200814635E-2</v>
      </c>
      <c r="S341" s="10">
        <f t="shared" si="81"/>
        <v>1.7632735405800785E-2</v>
      </c>
    </row>
    <row r="342" spans="1:19" x14ac:dyDescent="0.25">
      <c r="A342" s="5" t="s">
        <v>8</v>
      </c>
      <c r="B342" s="5" t="s">
        <v>339</v>
      </c>
      <c r="C342" s="5" t="s">
        <v>27</v>
      </c>
      <c r="D342" s="5" t="s">
        <v>385</v>
      </c>
      <c r="E342" s="5" t="s">
        <v>384</v>
      </c>
      <c r="F342" s="5" t="s">
        <v>45</v>
      </c>
      <c r="G342" s="5" t="s">
        <v>390</v>
      </c>
      <c r="H342" s="5" t="s">
        <v>46</v>
      </c>
      <c r="I342" s="5" t="s">
        <v>48</v>
      </c>
      <c r="J342" s="15">
        <v>962</v>
      </c>
      <c r="K342" s="7">
        <v>25</v>
      </c>
      <c r="L342" s="7">
        <f t="shared" si="76"/>
        <v>38.479999999999997</v>
      </c>
      <c r="M342" s="5" t="s">
        <v>10</v>
      </c>
      <c r="N342" s="5">
        <v>4</v>
      </c>
      <c r="O342" s="6">
        <f t="shared" si="77"/>
        <v>0.89027712799999981</v>
      </c>
      <c r="P342" s="6">
        <f t="shared" si="78"/>
        <v>9.2588821311999983E-2</v>
      </c>
      <c r="Q342" s="10">
        <f t="shared" si="79"/>
        <v>1.9289337773333328E-3</v>
      </c>
      <c r="R342" s="10">
        <f t="shared" si="80"/>
        <v>1.4572733957196257E-2</v>
      </c>
      <c r="S342" s="10">
        <f t="shared" si="81"/>
        <v>1.6501667734529591E-2</v>
      </c>
    </row>
    <row r="343" spans="1:19" x14ac:dyDescent="0.25">
      <c r="A343" s="5" t="s">
        <v>8</v>
      </c>
      <c r="B343" s="5" t="s">
        <v>339</v>
      </c>
      <c r="C343" s="5" t="s">
        <v>27</v>
      </c>
      <c r="D343" s="5" t="s">
        <v>385</v>
      </c>
      <c r="E343" s="5" t="s">
        <v>384</v>
      </c>
      <c r="F343" s="5" t="s">
        <v>45</v>
      </c>
      <c r="G343" s="5" t="s">
        <v>390</v>
      </c>
      <c r="H343" s="5" t="s">
        <v>46</v>
      </c>
      <c r="I343" s="5" t="s">
        <v>48</v>
      </c>
      <c r="J343" s="15">
        <v>970</v>
      </c>
      <c r="K343" s="7">
        <v>24.4</v>
      </c>
      <c r="L343" s="7">
        <f t="shared" si="76"/>
        <v>39.754098360655739</v>
      </c>
      <c r="M343" s="5" t="s">
        <v>10</v>
      </c>
      <c r="N343" s="5">
        <v>4</v>
      </c>
      <c r="O343" s="6">
        <f t="shared" si="77"/>
        <v>0.95811042898414411</v>
      </c>
      <c r="P343" s="6">
        <f t="shared" si="78"/>
        <v>9.9643484614350977E-2</v>
      </c>
      <c r="Q343" s="10">
        <f t="shared" si="79"/>
        <v>2.0759059294656454E-3</v>
      </c>
      <c r="R343" s="10">
        <f t="shared" si="80"/>
        <v>1.5397804452543755E-2</v>
      </c>
      <c r="S343" s="10">
        <f t="shared" si="81"/>
        <v>1.74737103820094E-2</v>
      </c>
    </row>
    <row r="344" spans="1:19" x14ac:dyDescent="0.25">
      <c r="A344" s="5" t="s">
        <v>22</v>
      </c>
      <c r="B344" s="5" t="s">
        <v>63</v>
      </c>
      <c r="C344" s="5" t="s">
        <v>27</v>
      </c>
      <c r="D344" s="5" t="s">
        <v>385</v>
      </c>
      <c r="E344" s="5" t="s">
        <v>384</v>
      </c>
      <c r="F344" s="5" t="s">
        <v>45</v>
      </c>
      <c r="G344" s="5" t="s">
        <v>390</v>
      </c>
      <c r="H344" s="5" t="s">
        <v>46</v>
      </c>
      <c r="I344" s="5" t="s">
        <v>14</v>
      </c>
      <c r="J344" s="15">
        <v>1110</v>
      </c>
      <c r="K344" s="7">
        <v>25</v>
      </c>
      <c r="L344" s="7">
        <f t="shared" si="76"/>
        <v>44.4</v>
      </c>
      <c r="M344" s="5" t="s">
        <v>10</v>
      </c>
      <c r="N344" s="5">
        <v>4</v>
      </c>
      <c r="O344" s="6">
        <f t="shared" si="77"/>
        <v>1.367631</v>
      </c>
      <c r="P344" s="6">
        <f t="shared" si="78"/>
        <v>0.14223362399999998</v>
      </c>
      <c r="Q344" s="10">
        <f t="shared" si="79"/>
        <v>2.9632005000000002E-3</v>
      </c>
      <c r="R344" s="10">
        <f t="shared" si="80"/>
        <v>2.0108229189784745E-2</v>
      </c>
      <c r="S344" s="10">
        <f t="shared" si="81"/>
        <v>2.3071429689784744E-2</v>
      </c>
    </row>
    <row r="345" spans="1:19" x14ac:dyDescent="0.25">
      <c r="A345" s="5" t="s">
        <v>8</v>
      </c>
      <c r="B345" s="5" t="s">
        <v>192</v>
      </c>
      <c r="C345" s="5" t="s">
        <v>27</v>
      </c>
      <c r="D345" s="5" t="s">
        <v>385</v>
      </c>
      <c r="E345" s="5" t="s">
        <v>384</v>
      </c>
      <c r="F345" s="5" t="s">
        <v>45</v>
      </c>
      <c r="G345" s="5" t="s">
        <v>390</v>
      </c>
      <c r="H345" s="5" t="s">
        <v>46</v>
      </c>
      <c r="I345" s="5" t="s">
        <v>14</v>
      </c>
      <c r="J345" s="15">
        <v>1090</v>
      </c>
      <c r="K345" s="7">
        <v>27.3</v>
      </c>
      <c r="L345" s="7">
        <f t="shared" si="76"/>
        <v>39.926739926739927</v>
      </c>
      <c r="M345" s="5" t="s">
        <v>10</v>
      </c>
      <c r="N345" s="5">
        <v>4</v>
      </c>
      <c r="O345" s="6">
        <f t="shared" si="77"/>
        <v>1.0860109823021911</v>
      </c>
      <c r="P345" s="6">
        <f t="shared" si="78"/>
        <v>0.11294514215942787</v>
      </c>
      <c r="Q345" s="10">
        <f t="shared" si="79"/>
        <v>2.3530237949880807E-3</v>
      </c>
      <c r="R345" s="10">
        <f t="shared" si="80"/>
        <v>1.6915030574766531E-2</v>
      </c>
      <c r="S345" s="10">
        <f t="shared" si="81"/>
        <v>1.9268054369754612E-2</v>
      </c>
    </row>
    <row r="346" spans="1:19" x14ac:dyDescent="0.25">
      <c r="A346" s="5" t="s">
        <v>8</v>
      </c>
      <c r="B346" s="5" t="s">
        <v>191</v>
      </c>
      <c r="C346" s="5" t="s">
        <v>27</v>
      </c>
      <c r="D346" s="5" t="s">
        <v>385</v>
      </c>
      <c r="E346" s="5" t="s">
        <v>384</v>
      </c>
      <c r="F346" s="5" t="s">
        <v>45</v>
      </c>
      <c r="G346" s="5" t="s">
        <v>390</v>
      </c>
      <c r="H346" s="5" t="s">
        <v>46</v>
      </c>
      <c r="I346" s="5" t="s">
        <v>14</v>
      </c>
      <c r="J346" s="15">
        <v>1200</v>
      </c>
      <c r="K346" s="7">
        <v>25</v>
      </c>
      <c r="L346" s="7">
        <f t="shared" ref="L346:L377" si="82">J346/K346</f>
        <v>48</v>
      </c>
      <c r="M346" s="5" t="s">
        <v>10</v>
      </c>
      <c r="N346" s="5">
        <v>4</v>
      </c>
      <c r="O346" s="6">
        <f t="shared" ref="O346:O377" si="83">(J346*L346^2)/(1.6*10^6)</f>
        <v>1.728</v>
      </c>
      <c r="P346" s="6">
        <f t="shared" ref="P346:P377" si="84">(0.104*J346*L346^2)/(1.6*10^6)</f>
        <v>0.17971200000000001</v>
      </c>
      <c r="Q346" s="10">
        <f t="shared" ref="Q346:Q377" si="85">(0.104*O346)/(12*N346)</f>
        <v>3.7439999999999995E-3</v>
      </c>
      <c r="R346" s="10">
        <f t="shared" ref="R346:R377" si="86">0.0159*O346^0.75</f>
        <v>2.3963758151521651E-2</v>
      </c>
      <c r="S346" s="10">
        <f t="shared" ref="S346:S377" si="87">Q346+R346</f>
        <v>2.7707758151521652E-2</v>
      </c>
    </row>
    <row r="347" spans="1:19" x14ac:dyDescent="0.25">
      <c r="A347" s="5" t="s">
        <v>8</v>
      </c>
      <c r="B347" s="5" t="s">
        <v>193</v>
      </c>
      <c r="C347" s="5" t="s">
        <v>27</v>
      </c>
      <c r="D347" s="5" t="s">
        <v>385</v>
      </c>
      <c r="E347" s="5" t="s">
        <v>384</v>
      </c>
      <c r="F347" s="5" t="s">
        <v>45</v>
      </c>
      <c r="G347" s="5" t="s">
        <v>390</v>
      </c>
      <c r="H347" s="5" t="s">
        <v>46</v>
      </c>
      <c r="I347" s="5" t="s">
        <v>14</v>
      </c>
      <c r="J347" s="15">
        <v>1110</v>
      </c>
      <c r="K347" s="7">
        <v>24.5</v>
      </c>
      <c r="L347" s="7">
        <f t="shared" si="82"/>
        <v>45.306122448979593</v>
      </c>
      <c r="M347" s="5" t="s">
        <v>10</v>
      </c>
      <c r="N347" s="5">
        <v>4</v>
      </c>
      <c r="O347" s="6">
        <f t="shared" si="83"/>
        <v>1.424022282382341</v>
      </c>
      <c r="P347" s="6">
        <f t="shared" si="84"/>
        <v>0.14809831736776344</v>
      </c>
      <c r="Q347" s="10">
        <f t="shared" si="85"/>
        <v>3.0853816118284055E-3</v>
      </c>
      <c r="R347" s="10">
        <f t="shared" si="86"/>
        <v>2.0726917227040922E-2</v>
      </c>
      <c r="S347" s="10">
        <f t="shared" si="87"/>
        <v>2.3812298838869327E-2</v>
      </c>
    </row>
    <row r="348" spans="1:19" x14ac:dyDescent="0.25">
      <c r="A348" s="5" t="s">
        <v>8</v>
      </c>
      <c r="B348" s="5" t="s">
        <v>194</v>
      </c>
      <c r="C348" s="5" t="s">
        <v>27</v>
      </c>
      <c r="D348" s="5" t="s">
        <v>385</v>
      </c>
      <c r="E348" s="5" t="s">
        <v>384</v>
      </c>
      <c r="F348" s="5" t="s">
        <v>45</v>
      </c>
      <c r="G348" s="5" t="s">
        <v>390</v>
      </c>
      <c r="H348" s="5" t="s">
        <v>46</v>
      </c>
      <c r="I348" s="5" t="s">
        <v>14</v>
      </c>
      <c r="J348" s="15">
        <v>1070</v>
      </c>
      <c r="K348" s="7">
        <v>24.5</v>
      </c>
      <c r="L348" s="7">
        <f t="shared" si="82"/>
        <v>43.673469387755105</v>
      </c>
      <c r="M348" s="5" t="s">
        <v>10</v>
      </c>
      <c r="N348" s="5">
        <v>4</v>
      </c>
      <c r="O348" s="6">
        <f t="shared" si="83"/>
        <v>1.275554977092878</v>
      </c>
      <c r="P348" s="6">
        <f t="shared" si="84"/>
        <v>0.13265771761765932</v>
      </c>
      <c r="Q348" s="10">
        <f t="shared" si="85"/>
        <v>2.7637024503679025E-3</v>
      </c>
      <c r="R348" s="10">
        <f t="shared" si="86"/>
        <v>1.9084092397598378E-2</v>
      </c>
      <c r="S348" s="10">
        <f t="shared" si="87"/>
        <v>2.1847794847966281E-2</v>
      </c>
    </row>
    <row r="349" spans="1:19" x14ac:dyDescent="0.25">
      <c r="A349" s="5" t="s">
        <v>8</v>
      </c>
      <c r="B349" s="5" t="s">
        <v>195</v>
      </c>
      <c r="C349" s="5" t="s">
        <v>27</v>
      </c>
      <c r="D349" s="5" t="s">
        <v>385</v>
      </c>
      <c r="E349" s="5" t="s">
        <v>384</v>
      </c>
      <c r="F349" s="5" t="s">
        <v>45</v>
      </c>
      <c r="G349" s="5" t="s">
        <v>390</v>
      </c>
      <c r="H349" s="5" t="s">
        <v>46</v>
      </c>
      <c r="I349" s="5" t="s">
        <v>14</v>
      </c>
      <c r="J349" s="15">
        <v>1160</v>
      </c>
      <c r="K349" s="7">
        <v>31.9</v>
      </c>
      <c r="L349" s="7">
        <f t="shared" si="82"/>
        <v>36.363636363636367</v>
      </c>
      <c r="M349" s="5" t="s">
        <v>10</v>
      </c>
      <c r="N349" s="5">
        <v>4</v>
      </c>
      <c r="O349" s="6">
        <f t="shared" si="83"/>
        <v>0.95867768595041347</v>
      </c>
      <c r="P349" s="6">
        <f t="shared" si="84"/>
        <v>9.9702479338843006E-2</v>
      </c>
      <c r="Q349" s="10">
        <f t="shared" si="85"/>
        <v>2.0771349862258957E-3</v>
      </c>
      <c r="R349" s="10">
        <f t="shared" si="86"/>
        <v>1.5404641241904566E-2</v>
      </c>
      <c r="S349" s="10">
        <f t="shared" si="87"/>
        <v>1.7481776228130463E-2</v>
      </c>
    </row>
    <row r="350" spans="1:19" x14ac:dyDescent="0.25">
      <c r="A350" s="5" t="s">
        <v>8</v>
      </c>
      <c r="B350" s="5" t="s">
        <v>214</v>
      </c>
      <c r="C350" s="5" t="s">
        <v>27</v>
      </c>
      <c r="D350" s="5" t="s">
        <v>385</v>
      </c>
      <c r="E350" s="5" t="s">
        <v>384</v>
      </c>
      <c r="F350" s="5" t="s">
        <v>45</v>
      </c>
      <c r="G350" s="5" t="s">
        <v>390</v>
      </c>
      <c r="H350" s="5" t="s">
        <v>46</v>
      </c>
      <c r="I350" s="5" t="s">
        <v>14</v>
      </c>
      <c r="J350" s="15">
        <v>1100</v>
      </c>
      <c r="K350" s="7">
        <v>32</v>
      </c>
      <c r="L350" s="7">
        <f t="shared" si="82"/>
        <v>34.375</v>
      </c>
      <c r="M350" s="5" t="s">
        <v>10</v>
      </c>
      <c r="N350" s="5">
        <v>4</v>
      </c>
      <c r="O350" s="6">
        <f t="shared" si="83"/>
        <v>0.8123779296875</v>
      </c>
      <c r="P350" s="6">
        <f t="shared" si="84"/>
        <v>8.4487304687500001E-2</v>
      </c>
      <c r="Q350" s="10">
        <f t="shared" si="85"/>
        <v>1.7601521809895834E-3</v>
      </c>
      <c r="R350" s="10">
        <f t="shared" si="86"/>
        <v>1.3605537743536752E-2</v>
      </c>
      <c r="S350" s="10">
        <f t="shared" si="87"/>
        <v>1.5365689924526336E-2</v>
      </c>
    </row>
    <row r="351" spans="1:19" x14ac:dyDescent="0.25">
      <c r="A351" s="5" t="s">
        <v>8</v>
      </c>
      <c r="B351" s="5" t="s">
        <v>329</v>
      </c>
      <c r="C351" s="5" t="s">
        <v>27</v>
      </c>
      <c r="D351" s="5" t="s">
        <v>385</v>
      </c>
      <c r="E351" s="5" t="s">
        <v>384</v>
      </c>
      <c r="F351" s="5" t="s">
        <v>45</v>
      </c>
      <c r="G351" s="5" t="s">
        <v>390</v>
      </c>
      <c r="H351" s="5" t="s">
        <v>46</v>
      </c>
      <c r="I351" s="5" t="s">
        <v>14</v>
      </c>
      <c r="J351" s="15">
        <v>1120</v>
      </c>
      <c r="K351" s="7">
        <v>36.5</v>
      </c>
      <c r="L351" s="7">
        <f t="shared" si="82"/>
        <v>30.684931506849313</v>
      </c>
      <c r="M351" s="5" t="s">
        <v>10</v>
      </c>
      <c r="N351" s="5">
        <v>4</v>
      </c>
      <c r="O351" s="6">
        <f t="shared" si="83"/>
        <v>0.65909551510602349</v>
      </c>
      <c r="P351" s="6">
        <f t="shared" si="84"/>
        <v>6.8545933571026438E-2</v>
      </c>
      <c r="Q351" s="10">
        <f t="shared" si="85"/>
        <v>1.4280402827297175E-3</v>
      </c>
      <c r="R351" s="10">
        <f t="shared" si="86"/>
        <v>1.1630767966535846E-2</v>
      </c>
      <c r="S351" s="10">
        <f t="shared" si="87"/>
        <v>1.3058808249265565E-2</v>
      </c>
    </row>
    <row r="352" spans="1:19" x14ac:dyDescent="0.25">
      <c r="A352" s="5" t="s">
        <v>8</v>
      </c>
      <c r="B352" s="5" t="s">
        <v>339</v>
      </c>
      <c r="C352" s="5" t="s">
        <v>27</v>
      </c>
      <c r="D352" s="5" t="s">
        <v>385</v>
      </c>
      <c r="E352" s="5" t="s">
        <v>384</v>
      </c>
      <c r="F352" s="5" t="s">
        <v>45</v>
      </c>
      <c r="G352" s="5" t="s">
        <v>390</v>
      </c>
      <c r="H352" s="5" t="s">
        <v>46</v>
      </c>
      <c r="I352" s="5" t="s">
        <v>14</v>
      </c>
      <c r="J352" s="15">
        <v>1010</v>
      </c>
      <c r="K352" s="7">
        <v>21.1</v>
      </c>
      <c r="L352" s="7">
        <f t="shared" si="82"/>
        <v>47.867298578199048</v>
      </c>
      <c r="M352" s="5" t="s">
        <v>10</v>
      </c>
      <c r="N352" s="5">
        <v>4</v>
      </c>
      <c r="O352" s="6">
        <f t="shared" si="83"/>
        <v>1.4463694099413755</v>
      </c>
      <c r="P352" s="6">
        <f t="shared" si="84"/>
        <v>0.15042241863390304</v>
      </c>
      <c r="Q352" s="10">
        <f t="shared" si="85"/>
        <v>3.1338003882063134E-3</v>
      </c>
      <c r="R352" s="10">
        <f t="shared" si="86"/>
        <v>2.0970391834637787E-2</v>
      </c>
      <c r="S352" s="10">
        <f t="shared" si="87"/>
        <v>2.4104192222844101E-2</v>
      </c>
    </row>
    <row r="353" spans="1:19" x14ac:dyDescent="0.25">
      <c r="A353" s="5" t="s">
        <v>8</v>
      </c>
      <c r="B353" s="5" t="s">
        <v>308</v>
      </c>
      <c r="C353" s="5" t="s">
        <v>27</v>
      </c>
      <c r="D353" s="5" t="s">
        <v>385</v>
      </c>
      <c r="E353" s="5" t="s">
        <v>384</v>
      </c>
      <c r="F353" s="5" t="s">
        <v>45</v>
      </c>
      <c r="G353" s="5" t="s">
        <v>390</v>
      </c>
      <c r="H353" s="5" t="s">
        <v>46</v>
      </c>
      <c r="I353" s="5" t="s">
        <v>71</v>
      </c>
      <c r="J353" s="15">
        <v>924</v>
      </c>
      <c r="K353" s="7">
        <v>33</v>
      </c>
      <c r="L353" s="7">
        <f t="shared" si="82"/>
        <v>28</v>
      </c>
      <c r="M353" s="5" t="s">
        <v>10</v>
      </c>
      <c r="N353" s="5">
        <v>4</v>
      </c>
      <c r="O353" s="6">
        <f t="shared" si="83"/>
        <v>0.45276</v>
      </c>
      <c r="P353" s="6">
        <f t="shared" si="84"/>
        <v>4.7087039999999997E-2</v>
      </c>
      <c r="Q353" s="10">
        <f t="shared" si="85"/>
        <v>9.8098E-4</v>
      </c>
      <c r="R353" s="10">
        <f t="shared" si="86"/>
        <v>8.7760312850900107E-3</v>
      </c>
      <c r="S353" s="10">
        <f t="shared" si="87"/>
        <v>9.7570112850900101E-3</v>
      </c>
    </row>
    <row r="354" spans="1:19" x14ac:dyDescent="0.25">
      <c r="A354" s="5" t="s">
        <v>8</v>
      </c>
      <c r="B354" s="5" t="s">
        <v>214</v>
      </c>
      <c r="C354" s="5" t="s">
        <v>27</v>
      </c>
      <c r="D354" s="5" t="s">
        <v>385</v>
      </c>
      <c r="E354" s="5" t="s">
        <v>384</v>
      </c>
      <c r="F354" s="5" t="s">
        <v>45</v>
      </c>
      <c r="G354" s="5" t="s">
        <v>390</v>
      </c>
      <c r="H354" s="5" t="s">
        <v>46</v>
      </c>
      <c r="I354" s="5" t="s">
        <v>215</v>
      </c>
      <c r="J354" s="15">
        <v>1100</v>
      </c>
      <c r="K354" s="7">
        <v>25</v>
      </c>
      <c r="L354" s="7">
        <f t="shared" si="82"/>
        <v>44</v>
      </c>
      <c r="M354" s="5" t="s">
        <v>10</v>
      </c>
      <c r="N354" s="5">
        <v>4</v>
      </c>
      <c r="O354" s="6">
        <f t="shared" si="83"/>
        <v>1.331</v>
      </c>
      <c r="P354" s="6">
        <f t="shared" si="84"/>
        <v>0.13842399999999999</v>
      </c>
      <c r="Q354" s="10">
        <f t="shared" si="85"/>
        <v>2.8838333333333333E-3</v>
      </c>
      <c r="R354" s="10">
        <f t="shared" si="86"/>
        <v>1.9702923264295638E-2</v>
      </c>
      <c r="S354" s="10">
        <f t="shared" si="87"/>
        <v>2.258675659762897E-2</v>
      </c>
    </row>
    <row r="355" spans="1:19" x14ac:dyDescent="0.25">
      <c r="A355" s="5" t="s">
        <v>8</v>
      </c>
      <c r="B355" s="5" t="s">
        <v>311</v>
      </c>
      <c r="C355" s="5" t="s">
        <v>27</v>
      </c>
      <c r="D355" s="5" t="s">
        <v>385</v>
      </c>
      <c r="E355" s="5" t="s">
        <v>384</v>
      </c>
      <c r="F355" s="5" t="s">
        <v>45</v>
      </c>
      <c r="G355" s="5" t="s">
        <v>390</v>
      </c>
      <c r="H355" s="5" t="s">
        <v>46</v>
      </c>
      <c r="I355" s="5" t="s">
        <v>215</v>
      </c>
      <c r="J355" s="15">
        <v>1200</v>
      </c>
      <c r="K355" s="7">
        <v>28</v>
      </c>
      <c r="L355" s="7">
        <f t="shared" si="82"/>
        <v>42.857142857142854</v>
      </c>
      <c r="M355" s="5" t="s">
        <v>10</v>
      </c>
      <c r="N355" s="5">
        <v>4</v>
      </c>
      <c r="O355" s="6">
        <f t="shared" si="83"/>
        <v>1.3775510204081631</v>
      </c>
      <c r="P355" s="6">
        <f t="shared" si="84"/>
        <v>0.14326530612244898</v>
      </c>
      <c r="Q355" s="10">
        <f t="shared" si="85"/>
        <v>2.9846938775510198E-3</v>
      </c>
      <c r="R355" s="10">
        <f t="shared" si="86"/>
        <v>2.0217520582724226E-2</v>
      </c>
      <c r="S355" s="10">
        <f t="shared" si="87"/>
        <v>2.3202214460275247E-2</v>
      </c>
    </row>
    <row r="356" spans="1:19" x14ac:dyDescent="0.25">
      <c r="A356" s="5" t="s">
        <v>8</v>
      </c>
      <c r="B356" s="5" t="s">
        <v>339</v>
      </c>
      <c r="C356" s="5" t="s">
        <v>27</v>
      </c>
      <c r="D356" s="5" t="s">
        <v>385</v>
      </c>
      <c r="E356" s="5" t="s">
        <v>384</v>
      </c>
      <c r="F356" s="5" t="s">
        <v>45</v>
      </c>
      <c r="G356" s="5" t="s">
        <v>390</v>
      </c>
      <c r="H356" s="5" t="s">
        <v>46</v>
      </c>
      <c r="I356" s="5" t="s">
        <v>342</v>
      </c>
      <c r="J356" s="15">
        <v>1400</v>
      </c>
      <c r="K356" s="7">
        <v>25.1</v>
      </c>
      <c r="L356" s="7">
        <f t="shared" si="82"/>
        <v>55.776892430278885</v>
      </c>
      <c r="M356" s="5" t="s">
        <v>10</v>
      </c>
      <c r="N356" s="5">
        <v>4</v>
      </c>
      <c r="O356" s="6">
        <f t="shared" si="83"/>
        <v>2.7221790130315395</v>
      </c>
      <c r="P356" s="6">
        <f t="shared" si="84"/>
        <v>0.28310661735528009</v>
      </c>
      <c r="Q356" s="10">
        <f t="shared" si="85"/>
        <v>5.8980545282350015E-3</v>
      </c>
      <c r="R356" s="10">
        <f t="shared" si="86"/>
        <v>3.3696487711617512E-2</v>
      </c>
      <c r="S356" s="10">
        <f t="shared" si="87"/>
        <v>3.9594542239852516E-2</v>
      </c>
    </row>
    <row r="357" spans="1:19" x14ac:dyDescent="0.25">
      <c r="A357" s="5" t="s">
        <v>8</v>
      </c>
      <c r="B357" s="5" t="s">
        <v>356</v>
      </c>
      <c r="C357" s="5" t="s">
        <v>27</v>
      </c>
      <c r="D357" s="5" t="s">
        <v>385</v>
      </c>
      <c r="E357" s="5" t="s">
        <v>384</v>
      </c>
      <c r="F357" s="5" t="s">
        <v>45</v>
      </c>
      <c r="G357" s="5" t="s">
        <v>390</v>
      </c>
      <c r="H357" s="5" t="s">
        <v>46</v>
      </c>
      <c r="I357" s="5" t="s">
        <v>355</v>
      </c>
      <c r="J357" s="15">
        <v>1145</v>
      </c>
      <c r="K357" s="7">
        <v>25</v>
      </c>
      <c r="L357" s="7">
        <f t="shared" si="82"/>
        <v>45.8</v>
      </c>
      <c r="M357" s="5" t="s">
        <v>10</v>
      </c>
      <c r="N357" s="5">
        <v>4</v>
      </c>
      <c r="O357" s="6">
        <f t="shared" si="83"/>
        <v>1.501123625</v>
      </c>
      <c r="P357" s="6">
        <f t="shared" si="84"/>
        <v>0.15611685699999997</v>
      </c>
      <c r="Q357" s="10">
        <f t="shared" si="85"/>
        <v>3.2524345208333333E-3</v>
      </c>
      <c r="R357" s="10">
        <f t="shared" si="86"/>
        <v>2.156301422213177E-2</v>
      </c>
      <c r="S357" s="10">
        <f t="shared" si="87"/>
        <v>2.4815448742965103E-2</v>
      </c>
    </row>
    <row r="358" spans="1:19" x14ac:dyDescent="0.25">
      <c r="A358" s="5" t="s">
        <v>8</v>
      </c>
      <c r="B358" s="5" t="s">
        <v>354</v>
      </c>
      <c r="C358" s="5" t="s">
        <v>27</v>
      </c>
      <c r="D358" s="5" t="s">
        <v>385</v>
      </c>
      <c r="E358" s="5" t="s">
        <v>384</v>
      </c>
      <c r="F358" s="5" t="s">
        <v>45</v>
      </c>
      <c r="G358" s="5" t="s">
        <v>390</v>
      </c>
      <c r="H358" s="5" t="s">
        <v>46</v>
      </c>
      <c r="I358" s="5" t="s">
        <v>355</v>
      </c>
      <c r="J358" s="15">
        <v>1110</v>
      </c>
      <c r="K358" s="7">
        <v>23.5</v>
      </c>
      <c r="L358" s="7">
        <f t="shared" si="82"/>
        <v>47.234042553191486</v>
      </c>
      <c r="M358" s="5" t="s">
        <v>10</v>
      </c>
      <c r="N358" s="5">
        <v>4</v>
      </c>
      <c r="O358" s="6">
        <f t="shared" si="83"/>
        <v>1.5477942507922133</v>
      </c>
      <c r="P358" s="6">
        <f t="shared" si="84"/>
        <v>0.16097060208239017</v>
      </c>
      <c r="Q358" s="10">
        <f t="shared" si="85"/>
        <v>3.3535542100497952E-3</v>
      </c>
      <c r="R358" s="10">
        <f t="shared" si="86"/>
        <v>2.2063888096792793E-2</v>
      </c>
      <c r="S358" s="10">
        <f t="shared" si="87"/>
        <v>2.5417442306842588E-2</v>
      </c>
    </row>
    <row r="359" spans="1:19" x14ac:dyDescent="0.25">
      <c r="A359" s="5" t="s">
        <v>22</v>
      </c>
      <c r="B359" s="5" t="s">
        <v>26</v>
      </c>
      <c r="C359" s="5" t="s">
        <v>27</v>
      </c>
      <c r="D359" s="5" t="s">
        <v>385</v>
      </c>
      <c r="E359" s="5" t="s">
        <v>384</v>
      </c>
      <c r="F359" s="5" t="s">
        <v>45</v>
      </c>
      <c r="G359" s="5" t="s">
        <v>390</v>
      </c>
      <c r="H359" s="5" t="s">
        <v>46</v>
      </c>
      <c r="I359" s="5" t="s">
        <v>49</v>
      </c>
      <c r="J359" s="15">
        <v>1350</v>
      </c>
      <c r="K359" s="7">
        <v>27</v>
      </c>
      <c r="L359" s="7">
        <f t="shared" si="82"/>
        <v>50</v>
      </c>
      <c r="M359" s="5" t="s">
        <v>10</v>
      </c>
      <c r="N359" s="5">
        <v>4</v>
      </c>
      <c r="O359" s="6">
        <f t="shared" si="83"/>
        <v>2.109375</v>
      </c>
      <c r="P359" s="6">
        <f t="shared" si="84"/>
        <v>0.21937499999999999</v>
      </c>
      <c r="Q359" s="10">
        <f t="shared" si="85"/>
        <v>4.5703124999999997E-3</v>
      </c>
      <c r="R359" s="10">
        <f t="shared" si="86"/>
        <v>2.7829952828119141E-2</v>
      </c>
      <c r="S359" s="10">
        <f t="shared" si="87"/>
        <v>3.2400265328119141E-2</v>
      </c>
    </row>
    <row r="360" spans="1:19" x14ac:dyDescent="0.25">
      <c r="A360" s="5" t="s">
        <v>8</v>
      </c>
      <c r="B360" s="5" t="s">
        <v>161</v>
      </c>
      <c r="C360" s="5" t="s">
        <v>27</v>
      </c>
      <c r="D360" s="5" t="s">
        <v>385</v>
      </c>
      <c r="E360" s="5" t="s">
        <v>384</v>
      </c>
      <c r="F360" s="5" t="s">
        <v>45</v>
      </c>
      <c r="G360" s="5" t="s">
        <v>390</v>
      </c>
      <c r="H360" s="5" t="s">
        <v>46</v>
      </c>
      <c r="I360" s="5" t="s">
        <v>49</v>
      </c>
      <c r="J360" s="15">
        <v>1280</v>
      </c>
      <c r="K360" s="7">
        <v>22</v>
      </c>
      <c r="L360" s="7">
        <f t="shared" si="82"/>
        <v>58.18181818181818</v>
      </c>
      <c r="M360" s="5" t="s">
        <v>10</v>
      </c>
      <c r="N360" s="5">
        <v>4</v>
      </c>
      <c r="O360" s="6">
        <f t="shared" si="83"/>
        <v>2.7080991735537188</v>
      </c>
      <c r="P360" s="6">
        <f t="shared" si="84"/>
        <v>0.28164231404958673</v>
      </c>
      <c r="Q360" s="10">
        <f t="shared" si="85"/>
        <v>5.8675482093663899E-3</v>
      </c>
      <c r="R360" s="10">
        <f t="shared" si="86"/>
        <v>3.3565687567479949E-2</v>
      </c>
      <c r="S360" s="10">
        <f t="shared" si="87"/>
        <v>3.9433235776846341E-2</v>
      </c>
    </row>
    <row r="361" spans="1:19" x14ac:dyDescent="0.25">
      <c r="A361" s="5" t="s">
        <v>8</v>
      </c>
      <c r="B361" s="5" t="s">
        <v>300</v>
      </c>
      <c r="C361" s="5" t="s">
        <v>27</v>
      </c>
      <c r="D361" s="5" t="s">
        <v>385</v>
      </c>
      <c r="E361" s="5" t="s">
        <v>384</v>
      </c>
      <c r="F361" s="5" t="s">
        <v>45</v>
      </c>
      <c r="G361" s="5" t="s">
        <v>390</v>
      </c>
      <c r="H361" s="5" t="s">
        <v>46</v>
      </c>
      <c r="I361" s="5" t="s">
        <v>301</v>
      </c>
      <c r="J361" s="15">
        <v>1165</v>
      </c>
      <c r="K361" s="7">
        <v>30</v>
      </c>
      <c r="L361" s="7">
        <f t="shared" si="82"/>
        <v>38.833333333333336</v>
      </c>
      <c r="M361" s="5" t="s">
        <v>10</v>
      </c>
      <c r="N361" s="5">
        <v>4</v>
      </c>
      <c r="O361" s="6">
        <f t="shared" si="83"/>
        <v>1.0980327256944447</v>
      </c>
      <c r="P361" s="6">
        <f t="shared" si="84"/>
        <v>0.11419540347222225</v>
      </c>
      <c r="Q361" s="10">
        <f t="shared" si="85"/>
        <v>2.3790709056712967E-3</v>
      </c>
      <c r="R361" s="10">
        <f t="shared" si="86"/>
        <v>1.7055269538571984E-2</v>
      </c>
      <c r="S361" s="10">
        <f t="shared" si="87"/>
        <v>1.9434340444243279E-2</v>
      </c>
    </row>
    <row r="362" spans="1:19" x14ac:dyDescent="0.25">
      <c r="A362" s="5" t="s">
        <v>8</v>
      </c>
      <c r="B362" s="5" t="s">
        <v>156</v>
      </c>
      <c r="C362" s="5" t="s">
        <v>27</v>
      </c>
      <c r="D362" s="5" t="s">
        <v>385</v>
      </c>
      <c r="E362" s="5" t="s">
        <v>384</v>
      </c>
      <c r="F362" s="5" t="s">
        <v>45</v>
      </c>
      <c r="G362" s="5" t="s">
        <v>390</v>
      </c>
      <c r="H362" s="5" t="s">
        <v>46</v>
      </c>
      <c r="I362" s="5" t="s">
        <v>159</v>
      </c>
      <c r="J362" s="15">
        <v>850</v>
      </c>
      <c r="K362" s="7">
        <v>30</v>
      </c>
      <c r="L362" s="7">
        <f t="shared" si="82"/>
        <v>28.333333333333332</v>
      </c>
      <c r="M362" s="5" t="s">
        <v>10</v>
      </c>
      <c r="N362" s="5">
        <v>4</v>
      </c>
      <c r="O362" s="6">
        <f t="shared" si="83"/>
        <v>0.42647569444444439</v>
      </c>
      <c r="P362" s="6">
        <f t="shared" si="84"/>
        <v>4.4353472222222218E-2</v>
      </c>
      <c r="Q362" s="10">
        <f t="shared" si="85"/>
        <v>9.2403067129629606E-4</v>
      </c>
      <c r="R362" s="10">
        <f t="shared" si="86"/>
        <v>8.3910795451885949E-3</v>
      </c>
      <c r="S362" s="10">
        <f t="shared" si="87"/>
        <v>9.3151102164848905E-3</v>
      </c>
    </row>
    <row r="363" spans="1:19" x14ac:dyDescent="0.25">
      <c r="A363" s="5" t="s">
        <v>8</v>
      </c>
      <c r="B363" s="5" t="s">
        <v>308</v>
      </c>
      <c r="C363" s="5" t="s">
        <v>27</v>
      </c>
      <c r="D363" s="5" t="s">
        <v>385</v>
      </c>
      <c r="E363" s="5" t="s">
        <v>384</v>
      </c>
      <c r="F363" s="5" t="s">
        <v>45</v>
      </c>
      <c r="G363" s="5" t="s">
        <v>390</v>
      </c>
      <c r="H363" s="5" t="s">
        <v>46</v>
      </c>
      <c r="I363" s="5" t="s">
        <v>159</v>
      </c>
      <c r="J363" s="15">
        <v>886</v>
      </c>
      <c r="K363" s="7">
        <v>27.7</v>
      </c>
      <c r="L363" s="7">
        <f t="shared" si="82"/>
        <v>31.985559566787003</v>
      </c>
      <c r="M363" s="5" t="s">
        <v>10</v>
      </c>
      <c r="N363" s="5">
        <v>4</v>
      </c>
      <c r="O363" s="6">
        <f t="shared" si="83"/>
        <v>0.56652834651826556</v>
      </c>
      <c r="P363" s="6">
        <f t="shared" si="84"/>
        <v>5.8918948037899606E-2</v>
      </c>
      <c r="Q363" s="10">
        <f t="shared" si="85"/>
        <v>1.2274780841229087E-3</v>
      </c>
      <c r="R363" s="10">
        <f t="shared" si="86"/>
        <v>1.0382772973710441E-2</v>
      </c>
      <c r="S363" s="10">
        <f t="shared" si="87"/>
        <v>1.1610251057833349E-2</v>
      </c>
    </row>
    <row r="364" spans="1:19" x14ac:dyDescent="0.25">
      <c r="A364" s="5" t="s">
        <v>22</v>
      </c>
      <c r="B364" s="5" t="s">
        <v>26</v>
      </c>
      <c r="C364" s="5" t="s">
        <v>27</v>
      </c>
      <c r="D364" s="5" t="s">
        <v>385</v>
      </c>
      <c r="E364" s="5" t="s">
        <v>384</v>
      </c>
      <c r="F364" s="5" t="s">
        <v>45</v>
      </c>
      <c r="G364" s="5" t="s">
        <v>390</v>
      </c>
      <c r="H364" s="5" t="s">
        <v>46</v>
      </c>
      <c r="I364" s="5" t="s">
        <v>50</v>
      </c>
      <c r="J364" s="15">
        <v>2050</v>
      </c>
      <c r="K364" s="7">
        <v>33</v>
      </c>
      <c r="L364" s="7">
        <f t="shared" si="82"/>
        <v>62.121212121212125</v>
      </c>
      <c r="M364" s="5" t="s">
        <v>10</v>
      </c>
      <c r="N364" s="5">
        <v>4</v>
      </c>
      <c r="O364" s="6">
        <f t="shared" si="83"/>
        <v>4.94440140036731</v>
      </c>
      <c r="P364" s="6">
        <f t="shared" si="84"/>
        <v>0.51421774563820022</v>
      </c>
      <c r="Q364" s="10">
        <f t="shared" si="85"/>
        <v>1.0712869700795838E-2</v>
      </c>
      <c r="R364" s="10">
        <f t="shared" si="86"/>
        <v>5.2720851367536438E-2</v>
      </c>
      <c r="S364" s="10">
        <f t="shared" si="87"/>
        <v>6.3433721068332283E-2</v>
      </c>
    </row>
    <row r="365" spans="1:19" x14ac:dyDescent="0.25">
      <c r="A365" s="5" t="s">
        <v>8</v>
      </c>
      <c r="B365" s="5" t="s">
        <v>284</v>
      </c>
      <c r="C365" s="5" t="s">
        <v>27</v>
      </c>
      <c r="D365" s="5" t="s">
        <v>385</v>
      </c>
      <c r="E365" s="5" t="s">
        <v>384</v>
      </c>
      <c r="F365" s="5" t="s">
        <v>45</v>
      </c>
      <c r="G365" s="5" t="s">
        <v>390</v>
      </c>
      <c r="H365" s="5" t="s">
        <v>46</v>
      </c>
      <c r="I365" s="5" t="s">
        <v>50</v>
      </c>
      <c r="J365" s="15">
        <v>1800</v>
      </c>
      <c r="K365" s="7">
        <v>36.700000000000003</v>
      </c>
      <c r="L365" s="7">
        <f t="shared" si="82"/>
        <v>49.046321525885553</v>
      </c>
      <c r="M365" s="5" t="s">
        <v>10</v>
      </c>
      <c r="N365" s="5">
        <v>4</v>
      </c>
      <c r="O365" s="6">
        <f t="shared" si="83"/>
        <v>2.7062343621231126</v>
      </c>
      <c r="P365" s="6">
        <f t="shared" si="84"/>
        <v>0.28144837366080372</v>
      </c>
      <c r="Q365" s="10">
        <f t="shared" si="85"/>
        <v>5.8635077846000772E-3</v>
      </c>
      <c r="R365" s="10">
        <f t="shared" si="86"/>
        <v>3.3548350942273784E-2</v>
      </c>
      <c r="S365" s="10">
        <f t="shared" si="87"/>
        <v>3.9411858726873861E-2</v>
      </c>
    </row>
    <row r="366" spans="1:19" x14ac:dyDescent="0.25">
      <c r="A366" s="5" t="s">
        <v>8</v>
      </c>
      <c r="B366" s="5" t="s">
        <v>233</v>
      </c>
      <c r="C366" s="5" t="s">
        <v>27</v>
      </c>
      <c r="D366" s="5" t="s">
        <v>385</v>
      </c>
      <c r="E366" s="5" t="s">
        <v>384</v>
      </c>
      <c r="F366" s="5" t="s">
        <v>45</v>
      </c>
      <c r="G366" s="5" t="s">
        <v>390</v>
      </c>
      <c r="H366" s="5" t="s">
        <v>46</v>
      </c>
      <c r="I366" s="5" t="s">
        <v>234</v>
      </c>
      <c r="J366" s="15">
        <v>1465</v>
      </c>
      <c r="K366" s="7">
        <v>35</v>
      </c>
      <c r="L366" s="7">
        <f t="shared" si="82"/>
        <v>41.857142857142854</v>
      </c>
      <c r="M366" s="5" t="s">
        <v>10</v>
      </c>
      <c r="N366" s="5">
        <v>4</v>
      </c>
      <c r="O366" s="6">
        <f t="shared" si="83"/>
        <v>1.6041936862244897</v>
      </c>
      <c r="P366" s="6">
        <f t="shared" si="84"/>
        <v>0.1668361433673469</v>
      </c>
      <c r="Q366" s="10">
        <f t="shared" si="85"/>
        <v>3.4757529868197274E-3</v>
      </c>
      <c r="R366" s="10">
        <f t="shared" si="86"/>
        <v>2.2664165160455583E-2</v>
      </c>
      <c r="S366" s="10">
        <f t="shared" si="87"/>
        <v>2.6139918147275312E-2</v>
      </c>
    </row>
    <row r="367" spans="1:19" x14ac:dyDescent="0.25">
      <c r="A367" s="5" t="s">
        <v>22</v>
      </c>
      <c r="B367" s="5" t="s">
        <v>26</v>
      </c>
      <c r="C367" s="5" t="s">
        <v>27</v>
      </c>
      <c r="D367" s="5" t="s">
        <v>385</v>
      </c>
      <c r="E367" s="5" t="s">
        <v>384</v>
      </c>
      <c r="F367" s="5" t="s">
        <v>45</v>
      </c>
      <c r="G367" s="5" t="s">
        <v>390</v>
      </c>
      <c r="H367" s="5" t="s">
        <v>46</v>
      </c>
      <c r="I367" s="5" t="s">
        <v>51</v>
      </c>
      <c r="J367" s="15">
        <v>1400</v>
      </c>
      <c r="K367" s="7">
        <v>30.5</v>
      </c>
      <c r="L367" s="7">
        <f t="shared" si="82"/>
        <v>45.901639344262293</v>
      </c>
      <c r="M367" s="5" t="s">
        <v>10</v>
      </c>
      <c r="N367" s="5">
        <v>4</v>
      </c>
      <c r="O367" s="6">
        <f t="shared" si="83"/>
        <v>1.843590432679387</v>
      </c>
      <c r="P367" s="6">
        <f t="shared" si="84"/>
        <v>0.19173340499865626</v>
      </c>
      <c r="Q367" s="10">
        <f t="shared" si="85"/>
        <v>3.9944459374720047E-3</v>
      </c>
      <c r="R367" s="10">
        <f t="shared" si="86"/>
        <v>2.5156224312647517E-2</v>
      </c>
      <c r="S367" s="10">
        <f t="shared" si="87"/>
        <v>2.9150670250119522E-2</v>
      </c>
    </row>
    <row r="368" spans="1:19" x14ac:dyDescent="0.25">
      <c r="A368" s="5" t="s">
        <v>8</v>
      </c>
      <c r="B368" s="5" t="s">
        <v>192</v>
      </c>
      <c r="C368" s="5" t="s">
        <v>27</v>
      </c>
      <c r="D368" s="5" t="s">
        <v>385</v>
      </c>
      <c r="E368" s="5" t="s">
        <v>384</v>
      </c>
      <c r="F368" s="5" t="s">
        <v>45</v>
      </c>
      <c r="G368" s="5" t="s">
        <v>390</v>
      </c>
      <c r="H368" s="5" t="s">
        <v>46</v>
      </c>
      <c r="I368" s="5" t="s">
        <v>51</v>
      </c>
      <c r="J368" s="15">
        <v>1100</v>
      </c>
      <c r="K368" s="7">
        <v>31</v>
      </c>
      <c r="L368" s="7">
        <f t="shared" si="82"/>
        <v>35.483870967741936</v>
      </c>
      <c r="M368" s="5" t="s">
        <v>10</v>
      </c>
      <c r="N368" s="5">
        <v>4</v>
      </c>
      <c r="O368" s="6">
        <f t="shared" si="83"/>
        <v>0.86563475546305946</v>
      </c>
      <c r="P368" s="6">
        <f t="shared" si="84"/>
        <v>9.0026014568158175E-2</v>
      </c>
      <c r="Q368" s="10">
        <f t="shared" si="85"/>
        <v>1.875541970169962E-3</v>
      </c>
      <c r="R368" s="10">
        <f t="shared" si="86"/>
        <v>1.4269151143928181E-2</v>
      </c>
      <c r="S368" s="10">
        <f t="shared" si="87"/>
        <v>1.6144693114098142E-2</v>
      </c>
    </row>
    <row r="369" spans="1:19" x14ac:dyDescent="0.25">
      <c r="A369" s="5" t="s">
        <v>8</v>
      </c>
      <c r="B369" s="5" t="s">
        <v>291</v>
      </c>
      <c r="C369" s="5" t="s">
        <v>27</v>
      </c>
      <c r="D369" s="5" t="s">
        <v>385</v>
      </c>
      <c r="E369" s="5" t="s">
        <v>384</v>
      </c>
      <c r="F369" s="5" t="s">
        <v>45</v>
      </c>
      <c r="G369" s="5" t="s">
        <v>390</v>
      </c>
      <c r="H369" s="5" t="s">
        <v>46</v>
      </c>
      <c r="I369" s="5" t="s">
        <v>51</v>
      </c>
      <c r="J369" s="15">
        <v>1294</v>
      </c>
      <c r="K369" s="7">
        <v>31.7</v>
      </c>
      <c r="L369" s="7">
        <f t="shared" si="82"/>
        <v>40.820189274447948</v>
      </c>
      <c r="M369" s="5" t="s">
        <v>10</v>
      </c>
      <c r="N369" s="5">
        <v>4</v>
      </c>
      <c r="O369" s="6">
        <f t="shared" si="83"/>
        <v>1.3476103006299196</v>
      </c>
      <c r="P369" s="6">
        <f t="shared" si="84"/>
        <v>0.14015147126551164</v>
      </c>
      <c r="Q369" s="10">
        <f t="shared" si="85"/>
        <v>2.9198223180314925E-3</v>
      </c>
      <c r="R369" s="10">
        <f t="shared" si="86"/>
        <v>1.9887050004996944E-2</v>
      </c>
      <c r="S369" s="10">
        <f t="shared" si="87"/>
        <v>2.2806872323028436E-2</v>
      </c>
    </row>
    <row r="370" spans="1:19" x14ac:dyDescent="0.25">
      <c r="A370" s="5" t="s">
        <v>8</v>
      </c>
      <c r="B370" s="5" t="s">
        <v>291</v>
      </c>
      <c r="C370" s="5" t="s">
        <v>27</v>
      </c>
      <c r="D370" s="5" t="s">
        <v>385</v>
      </c>
      <c r="E370" s="5" t="s">
        <v>384</v>
      </c>
      <c r="F370" s="5" t="s">
        <v>45</v>
      </c>
      <c r="G370" s="5" t="s">
        <v>390</v>
      </c>
      <c r="H370" s="5" t="s">
        <v>46</v>
      </c>
      <c r="I370" s="5" t="s">
        <v>51</v>
      </c>
      <c r="J370" s="15">
        <v>1309</v>
      </c>
      <c r="K370" s="7">
        <v>33.4</v>
      </c>
      <c r="L370" s="7">
        <f t="shared" si="82"/>
        <v>39.191616766467071</v>
      </c>
      <c r="M370" s="5" t="s">
        <v>10</v>
      </c>
      <c r="N370" s="5">
        <v>4</v>
      </c>
      <c r="O370" s="6">
        <f t="shared" si="83"/>
        <v>1.2566259485146476</v>
      </c>
      <c r="P370" s="6">
        <f t="shared" si="84"/>
        <v>0.13068909864552336</v>
      </c>
      <c r="Q370" s="10">
        <f t="shared" si="85"/>
        <v>2.7226895551150693E-3</v>
      </c>
      <c r="R370" s="10">
        <f t="shared" si="86"/>
        <v>1.8871292313959852E-2</v>
      </c>
      <c r="S370" s="10">
        <f t="shared" si="87"/>
        <v>2.1593981869074921E-2</v>
      </c>
    </row>
    <row r="371" spans="1:19" x14ac:dyDescent="0.25">
      <c r="A371" s="5" t="s">
        <v>8</v>
      </c>
      <c r="B371" s="5" t="s">
        <v>291</v>
      </c>
      <c r="C371" s="5" t="s">
        <v>27</v>
      </c>
      <c r="D371" s="5" t="s">
        <v>385</v>
      </c>
      <c r="E371" s="5" t="s">
        <v>384</v>
      </c>
      <c r="F371" s="5" t="s">
        <v>45</v>
      </c>
      <c r="G371" s="5" t="s">
        <v>390</v>
      </c>
      <c r="H371" s="5" t="s">
        <v>46</v>
      </c>
      <c r="I371" s="5" t="s">
        <v>51</v>
      </c>
      <c r="J371" s="15">
        <v>1245</v>
      </c>
      <c r="K371" s="7">
        <v>35.700000000000003</v>
      </c>
      <c r="L371" s="7">
        <f t="shared" si="82"/>
        <v>34.87394957983193</v>
      </c>
      <c r="M371" s="5" t="s">
        <v>10</v>
      </c>
      <c r="N371" s="5">
        <v>4</v>
      </c>
      <c r="O371" s="6">
        <f t="shared" si="83"/>
        <v>0.94634967957771321</v>
      </c>
      <c r="P371" s="6">
        <f t="shared" si="84"/>
        <v>9.8420366676082172E-2</v>
      </c>
      <c r="Q371" s="10">
        <f t="shared" si="85"/>
        <v>2.0504243057517121E-3</v>
      </c>
      <c r="R371" s="10">
        <f t="shared" si="86"/>
        <v>1.5255830466574619E-2</v>
      </c>
      <c r="S371" s="10">
        <f t="shared" si="87"/>
        <v>1.7306254772326331E-2</v>
      </c>
    </row>
    <row r="372" spans="1:19" x14ac:dyDescent="0.25">
      <c r="A372" s="5" t="s">
        <v>8</v>
      </c>
      <c r="B372" s="5" t="s">
        <v>291</v>
      </c>
      <c r="C372" s="5" t="s">
        <v>27</v>
      </c>
      <c r="D372" s="5" t="s">
        <v>385</v>
      </c>
      <c r="E372" s="5" t="s">
        <v>384</v>
      </c>
      <c r="F372" s="5" t="s">
        <v>45</v>
      </c>
      <c r="G372" s="5" t="s">
        <v>390</v>
      </c>
      <c r="H372" s="5" t="s">
        <v>46</v>
      </c>
      <c r="I372" s="5" t="s">
        <v>51</v>
      </c>
      <c r="J372" s="15">
        <v>1263</v>
      </c>
      <c r="K372" s="7">
        <v>27.6</v>
      </c>
      <c r="L372" s="7">
        <f t="shared" si="82"/>
        <v>45.760869565217391</v>
      </c>
      <c r="M372" s="5" t="s">
        <v>10</v>
      </c>
      <c r="N372" s="5">
        <v>4</v>
      </c>
      <c r="O372" s="6">
        <f t="shared" si="83"/>
        <v>1.6529963891186199</v>
      </c>
      <c r="P372" s="6">
        <f t="shared" si="84"/>
        <v>0.17191162446833649</v>
      </c>
      <c r="Q372" s="10">
        <f t="shared" si="85"/>
        <v>3.5814921764236764E-3</v>
      </c>
      <c r="R372" s="10">
        <f t="shared" si="86"/>
        <v>2.3179339312449272E-2</v>
      </c>
      <c r="S372" s="10">
        <f t="shared" si="87"/>
        <v>2.6760831488872948E-2</v>
      </c>
    </row>
    <row r="373" spans="1:19" x14ac:dyDescent="0.25">
      <c r="A373" s="5" t="s">
        <v>8</v>
      </c>
      <c r="B373" s="5" t="s">
        <v>291</v>
      </c>
      <c r="C373" s="5" t="s">
        <v>27</v>
      </c>
      <c r="D373" s="5" t="s">
        <v>385</v>
      </c>
      <c r="E373" s="5" t="s">
        <v>384</v>
      </c>
      <c r="F373" s="5" t="s">
        <v>45</v>
      </c>
      <c r="G373" s="5" t="s">
        <v>390</v>
      </c>
      <c r="H373" s="5" t="s">
        <v>46</v>
      </c>
      <c r="I373" s="5" t="s">
        <v>51</v>
      </c>
      <c r="J373" s="15">
        <v>1284</v>
      </c>
      <c r="K373" s="7">
        <v>30</v>
      </c>
      <c r="L373" s="7">
        <f t="shared" si="82"/>
        <v>42.8</v>
      </c>
      <c r="M373" s="5" t="s">
        <v>10</v>
      </c>
      <c r="N373" s="5">
        <v>4</v>
      </c>
      <c r="O373" s="6">
        <f t="shared" si="83"/>
        <v>1.4700515999999997</v>
      </c>
      <c r="P373" s="6">
        <f t="shared" si="84"/>
        <v>0.15288536639999997</v>
      </c>
      <c r="Q373" s="10">
        <f t="shared" si="85"/>
        <v>3.1851117999999994E-3</v>
      </c>
      <c r="R373" s="10">
        <f t="shared" si="86"/>
        <v>2.122738802515543E-2</v>
      </c>
      <c r="S373" s="10">
        <f t="shared" si="87"/>
        <v>2.4412499825155427E-2</v>
      </c>
    </row>
    <row r="374" spans="1:19" x14ac:dyDescent="0.25">
      <c r="A374" s="5" t="s">
        <v>8</v>
      </c>
      <c r="B374" s="5" t="s">
        <v>291</v>
      </c>
      <c r="C374" s="5" t="s">
        <v>27</v>
      </c>
      <c r="D374" s="5" t="s">
        <v>385</v>
      </c>
      <c r="E374" s="5" t="s">
        <v>384</v>
      </c>
      <c r="F374" s="5" t="s">
        <v>45</v>
      </c>
      <c r="G374" s="5" t="s">
        <v>390</v>
      </c>
      <c r="H374" s="5" t="s">
        <v>46</v>
      </c>
      <c r="I374" s="5" t="s">
        <v>51</v>
      </c>
      <c r="J374" s="15">
        <v>1251</v>
      </c>
      <c r="K374" s="7">
        <v>32.700000000000003</v>
      </c>
      <c r="L374" s="7">
        <f t="shared" si="82"/>
        <v>38.256880733944953</v>
      </c>
      <c r="M374" s="5" t="s">
        <v>10</v>
      </c>
      <c r="N374" s="5">
        <v>4</v>
      </c>
      <c r="O374" s="6">
        <f t="shared" si="83"/>
        <v>1.1443435895547511</v>
      </c>
      <c r="P374" s="6">
        <f t="shared" si="84"/>
        <v>0.11901173331369411</v>
      </c>
      <c r="Q374" s="10">
        <f t="shared" si="85"/>
        <v>2.4794111107019606E-3</v>
      </c>
      <c r="R374" s="10">
        <f t="shared" si="86"/>
        <v>1.759196916585937E-2</v>
      </c>
      <c r="S374" s="10">
        <f t="shared" si="87"/>
        <v>2.0071380276561329E-2</v>
      </c>
    </row>
    <row r="375" spans="1:19" x14ac:dyDescent="0.25">
      <c r="A375" s="5" t="s">
        <v>8</v>
      </c>
      <c r="B375" s="5" t="s">
        <v>291</v>
      </c>
      <c r="C375" s="5" t="s">
        <v>27</v>
      </c>
      <c r="D375" s="5" t="s">
        <v>385</v>
      </c>
      <c r="E375" s="5" t="s">
        <v>384</v>
      </c>
      <c r="F375" s="5" t="s">
        <v>45</v>
      </c>
      <c r="G375" s="5" t="s">
        <v>390</v>
      </c>
      <c r="H375" s="5" t="s">
        <v>46</v>
      </c>
      <c r="I375" s="5" t="s">
        <v>51</v>
      </c>
      <c r="J375" s="15">
        <v>1135</v>
      </c>
      <c r="K375" s="7">
        <v>29.2</v>
      </c>
      <c r="L375" s="7">
        <f t="shared" si="82"/>
        <v>38.869863013698634</v>
      </c>
      <c r="M375" s="5" t="s">
        <v>10</v>
      </c>
      <c r="N375" s="5">
        <v>4</v>
      </c>
      <c r="O375" s="6">
        <f t="shared" si="83"/>
        <v>1.0717707465929349</v>
      </c>
      <c r="P375" s="6">
        <f t="shared" si="84"/>
        <v>0.11146415764566524</v>
      </c>
      <c r="Q375" s="10">
        <f t="shared" si="85"/>
        <v>2.3221699509513587E-3</v>
      </c>
      <c r="R375" s="10">
        <f t="shared" si="86"/>
        <v>1.6748408640447264E-2</v>
      </c>
      <c r="S375" s="10">
        <f t="shared" si="87"/>
        <v>1.9070578591398622E-2</v>
      </c>
    </row>
    <row r="376" spans="1:19" x14ac:dyDescent="0.25">
      <c r="A376" s="5" t="s">
        <v>8</v>
      </c>
      <c r="B376" s="5" t="s">
        <v>291</v>
      </c>
      <c r="C376" s="5" t="s">
        <v>27</v>
      </c>
      <c r="D376" s="5" t="s">
        <v>385</v>
      </c>
      <c r="E376" s="5" t="s">
        <v>384</v>
      </c>
      <c r="F376" s="5" t="s">
        <v>45</v>
      </c>
      <c r="G376" s="5" t="s">
        <v>390</v>
      </c>
      <c r="H376" s="5" t="s">
        <v>46</v>
      </c>
      <c r="I376" s="5" t="s">
        <v>51</v>
      </c>
      <c r="J376" s="15">
        <v>1203</v>
      </c>
      <c r="K376" s="7">
        <v>26.7</v>
      </c>
      <c r="L376" s="7">
        <f t="shared" si="82"/>
        <v>45.056179775280903</v>
      </c>
      <c r="M376" s="5" t="s">
        <v>10</v>
      </c>
      <c r="N376" s="5">
        <v>4</v>
      </c>
      <c r="O376" s="6">
        <f t="shared" si="83"/>
        <v>1.526350863211716</v>
      </c>
      <c r="P376" s="6">
        <f t="shared" si="84"/>
        <v>0.15874048977401847</v>
      </c>
      <c r="Q376" s="10">
        <f t="shared" si="85"/>
        <v>3.3070935369587176E-3</v>
      </c>
      <c r="R376" s="10">
        <f t="shared" si="86"/>
        <v>2.1834231306130446E-2</v>
      </c>
      <c r="S376" s="10">
        <f t="shared" si="87"/>
        <v>2.5141324843089164E-2</v>
      </c>
    </row>
    <row r="377" spans="1:19" x14ac:dyDescent="0.25">
      <c r="A377" s="5" t="s">
        <v>8</v>
      </c>
      <c r="B377" s="5" t="s">
        <v>300</v>
      </c>
      <c r="C377" s="5" t="s">
        <v>27</v>
      </c>
      <c r="D377" s="5" t="s">
        <v>385</v>
      </c>
      <c r="E377" s="5" t="s">
        <v>384</v>
      </c>
      <c r="F377" s="5" t="s">
        <v>45</v>
      </c>
      <c r="G377" s="5" t="s">
        <v>390</v>
      </c>
      <c r="H377" s="5" t="s">
        <v>46</v>
      </c>
      <c r="I377" s="5" t="s">
        <v>51</v>
      </c>
      <c r="J377" s="15">
        <v>1263</v>
      </c>
      <c r="K377" s="7">
        <v>31.9</v>
      </c>
      <c r="L377" s="7">
        <f t="shared" si="82"/>
        <v>39.592476489028215</v>
      </c>
      <c r="M377" s="5" t="s">
        <v>10</v>
      </c>
      <c r="N377" s="5">
        <v>4</v>
      </c>
      <c r="O377" s="6">
        <f t="shared" si="83"/>
        <v>1.2373959860604751</v>
      </c>
      <c r="P377" s="6">
        <f t="shared" si="84"/>
        <v>0.12868918255028944</v>
      </c>
      <c r="Q377" s="10">
        <f t="shared" si="85"/>
        <v>2.6810246364643627E-3</v>
      </c>
      <c r="R377" s="10">
        <f t="shared" si="86"/>
        <v>1.8654286884243587E-2</v>
      </c>
      <c r="S377" s="10">
        <f t="shared" si="87"/>
        <v>2.1335311520707952E-2</v>
      </c>
    </row>
    <row r="378" spans="1:19" x14ac:dyDescent="0.25">
      <c r="A378" s="5" t="s">
        <v>8</v>
      </c>
      <c r="B378" s="5" t="s">
        <v>378</v>
      </c>
      <c r="C378" s="5" t="s">
        <v>27</v>
      </c>
      <c r="D378" s="5" t="s">
        <v>385</v>
      </c>
      <c r="E378" s="5" t="s">
        <v>384</v>
      </c>
      <c r="F378" s="5" t="s">
        <v>45</v>
      </c>
      <c r="G378" s="5" t="s">
        <v>390</v>
      </c>
      <c r="H378" s="5" t="s">
        <v>46</v>
      </c>
      <c r="I378" s="5" t="s">
        <v>183</v>
      </c>
      <c r="J378" s="15">
        <v>1470</v>
      </c>
      <c r="K378" s="7">
        <v>38.1</v>
      </c>
      <c r="L378" s="7">
        <f t="shared" ref="L378:L390" si="88">J378/K378</f>
        <v>38.582677165354326</v>
      </c>
      <c r="M378" s="5" t="s">
        <v>10</v>
      </c>
      <c r="N378" s="5">
        <v>4</v>
      </c>
      <c r="O378" s="6">
        <f t="shared" ref="O378:O390" si="89">(J378*L378^2)/(1.6*10^6)</f>
        <v>1.3676723603447203</v>
      </c>
      <c r="P378" s="6">
        <f t="shared" ref="P378:P390" si="90">(0.104*J378*L378^2)/(1.6*10^6)</f>
        <v>0.14223792547585093</v>
      </c>
      <c r="Q378" s="10">
        <f t="shared" ref="Q378:Q390" si="91">(0.104*O378)/(12*N378)</f>
        <v>2.963290114080227E-3</v>
      </c>
      <c r="R378" s="10">
        <f t="shared" ref="R378:R390" si="92">0.0159*O378^0.75</f>
        <v>2.010868527780138E-2</v>
      </c>
      <c r="S378" s="10">
        <f t="shared" ref="S378:S390" si="93">Q378+R378</f>
        <v>2.3071975391881609E-2</v>
      </c>
    </row>
    <row r="379" spans="1:19" x14ac:dyDescent="0.25">
      <c r="A379" s="5" t="s">
        <v>22</v>
      </c>
      <c r="B379" s="5" t="s">
        <v>63</v>
      </c>
      <c r="C379" s="5" t="s">
        <v>27</v>
      </c>
      <c r="D379" s="5" t="s">
        <v>385</v>
      </c>
      <c r="E379" s="5" t="s">
        <v>384</v>
      </c>
      <c r="F379" s="5" t="s">
        <v>45</v>
      </c>
      <c r="G379" s="5" t="s">
        <v>390</v>
      </c>
      <c r="H379" s="5" t="s">
        <v>46</v>
      </c>
      <c r="I379" s="5" t="s">
        <v>153</v>
      </c>
      <c r="J379" s="15">
        <v>1510</v>
      </c>
      <c r="K379" s="7">
        <v>39</v>
      </c>
      <c r="L379" s="7">
        <f t="shared" si="88"/>
        <v>38.717948717948715</v>
      </c>
      <c r="M379" s="5" t="s">
        <v>10</v>
      </c>
      <c r="N379" s="5">
        <v>4</v>
      </c>
      <c r="O379" s="6">
        <f t="shared" si="89"/>
        <v>1.4147563280736355</v>
      </c>
      <c r="P379" s="6">
        <f t="shared" si="90"/>
        <v>0.14713465811965809</v>
      </c>
      <c r="Q379" s="10">
        <f t="shared" si="91"/>
        <v>3.0653053774928767E-3</v>
      </c>
      <c r="R379" s="10">
        <f t="shared" si="92"/>
        <v>2.0625683925483206E-2</v>
      </c>
      <c r="S379" s="10">
        <f t="shared" si="93"/>
        <v>2.3690989302976084E-2</v>
      </c>
    </row>
    <row r="380" spans="1:19" x14ac:dyDescent="0.25">
      <c r="A380" s="5" t="s">
        <v>8</v>
      </c>
      <c r="B380" s="5" t="s">
        <v>375</v>
      </c>
      <c r="C380" s="5" t="s">
        <v>27</v>
      </c>
      <c r="D380" s="5" t="s">
        <v>385</v>
      </c>
      <c r="E380" s="5" t="s">
        <v>384</v>
      </c>
      <c r="F380" s="5" t="s">
        <v>45</v>
      </c>
      <c r="G380" s="5" t="s">
        <v>390</v>
      </c>
      <c r="H380" s="5" t="s">
        <v>46</v>
      </c>
      <c r="I380" s="5" t="s">
        <v>153</v>
      </c>
      <c r="J380" s="15">
        <v>1510</v>
      </c>
      <c r="K380" s="7">
        <v>39</v>
      </c>
      <c r="L380" s="7">
        <f t="shared" si="88"/>
        <v>38.717948717948715</v>
      </c>
      <c r="M380" s="5" t="s">
        <v>10</v>
      </c>
      <c r="N380" s="5">
        <v>4</v>
      </c>
      <c r="O380" s="6">
        <f t="shared" si="89"/>
        <v>1.4147563280736355</v>
      </c>
      <c r="P380" s="6">
        <f t="shared" si="90"/>
        <v>0.14713465811965809</v>
      </c>
      <c r="Q380" s="10">
        <f t="shared" si="91"/>
        <v>3.0653053774928767E-3</v>
      </c>
      <c r="R380" s="10">
        <f t="shared" si="92"/>
        <v>2.0625683925483206E-2</v>
      </c>
      <c r="S380" s="10">
        <f t="shared" si="93"/>
        <v>2.3690989302976084E-2</v>
      </c>
    </row>
    <row r="381" spans="1:19" x14ac:dyDescent="0.25">
      <c r="A381" s="5" t="s">
        <v>8</v>
      </c>
      <c r="B381" s="5" t="s">
        <v>328</v>
      </c>
      <c r="C381" s="5" t="s">
        <v>27</v>
      </c>
      <c r="D381" s="5" t="s">
        <v>385</v>
      </c>
      <c r="E381" s="5" t="s">
        <v>384</v>
      </c>
      <c r="F381" s="5" t="s">
        <v>45</v>
      </c>
      <c r="G381" s="5" t="s">
        <v>390</v>
      </c>
      <c r="H381" s="5" t="s">
        <v>46</v>
      </c>
      <c r="I381" s="5" t="s">
        <v>39</v>
      </c>
      <c r="J381" s="15">
        <v>1735</v>
      </c>
      <c r="K381" s="7">
        <v>27</v>
      </c>
      <c r="L381" s="7">
        <f t="shared" si="88"/>
        <v>64.259259259259252</v>
      </c>
      <c r="M381" s="5" t="s">
        <v>10</v>
      </c>
      <c r="N381" s="5">
        <v>4</v>
      </c>
      <c r="O381" s="6">
        <f t="shared" si="89"/>
        <v>4.4776580718449912</v>
      </c>
      <c r="P381" s="6">
        <f t="shared" si="90"/>
        <v>0.46567643947187914</v>
      </c>
      <c r="Q381" s="10">
        <f t="shared" si="91"/>
        <v>9.7015924889974816E-3</v>
      </c>
      <c r="R381" s="10">
        <f t="shared" si="92"/>
        <v>4.8942406422067777E-2</v>
      </c>
      <c r="S381" s="10">
        <f t="shared" si="93"/>
        <v>5.8643998911065261E-2</v>
      </c>
    </row>
    <row r="382" spans="1:19" x14ac:dyDescent="0.25">
      <c r="A382" s="5" t="s">
        <v>8</v>
      </c>
      <c r="B382" s="5" t="s">
        <v>378</v>
      </c>
      <c r="C382" s="5" t="s">
        <v>27</v>
      </c>
      <c r="D382" s="5" t="s">
        <v>385</v>
      </c>
      <c r="E382" s="5" t="s">
        <v>384</v>
      </c>
      <c r="F382" s="5" t="s">
        <v>45</v>
      </c>
      <c r="G382" s="5" t="s">
        <v>390</v>
      </c>
      <c r="H382" s="5" t="s">
        <v>46</v>
      </c>
      <c r="I382" s="5" t="s">
        <v>379</v>
      </c>
      <c r="J382" s="15">
        <v>1160</v>
      </c>
      <c r="K382" s="7">
        <v>39</v>
      </c>
      <c r="L382" s="7">
        <f t="shared" si="88"/>
        <v>29.743589743589745</v>
      </c>
      <c r="M382" s="5" t="s">
        <v>10</v>
      </c>
      <c r="N382" s="5">
        <v>4</v>
      </c>
      <c r="O382" s="6">
        <f t="shared" si="89"/>
        <v>0.64139381985535826</v>
      </c>
      <c r="P382" s="6">
        <f t="shared" si="90"/>
        <v>6.670495726495726E-2</v>
      </c>
      <c r="Q382" s="10">
        <f t="shared" si="91"/>
        <v>1.3896866096866096E-3</v>
      </c>
      <c r="R382" s="10">
        <f t="shared" si="92"/>
        <v>1.1395691995518462E-2</v>
      </c>
      <c r="S382" s="10">
        <f t="shared" si="93"/>
        <v>1.2785378605205072E-2</v>
      </c>
    </row>
    <row r="383" spans="1:19" x14ac:dyDescent="0.25">
      <c r="A383" s="5" t="s">
        <v>8</v>
      </c>
      <c r="B383" s="5" t="s">
        <v>339</v>
      </c>
      <c r="C383" s="5" t="s">
        <v>27</v>
      </c>
      <c r="D383" s="5" t="s">
        <v>385</v>
      </c>
      <c r="E383" s="5" t="s">
        <v>384</v>
      </c>
      <c r="F383" s="5" t="s">
        <v>45</v>
      </c>
      <c r="G383" s="5" t="s">
        <v>390</v>
      </c>
      <c r="H383" s="5" t="s">
        <v>46</v>
      </c>
      <c r="I383" s="5" t="s">
        <v>343</v>
      </c>
      <c r="J383" s="15">
        <v>917</v>
      </c>
      <c r="K383" s="7">
        <v>21.1</v>
      </c>
      <c r="L383" s="7">
        <f t="shared" si="88"/>
        <v>43.459715639810426</v>
      </c>
      <c r="M383" s="5" t="s">
        <v>10</v>
      </c>
      <c r="N383" s="5">
        <v>4</v>
      </c>
      <c r="O383" s="6">
        <f t="shared" si="89"/>
        <v>1.0824880576020304</v>
      </c>
      <c r="P383" s="6">
        <f t="shared" si="90"/>
        <v>0.11257875799061115</v>
      </c>
      <c r="Q383" s="10">
        <f t="shared" si="91"/>
        <v>2.3453907914710655E-3</v>
      </c>
      <c r="R383" s="10">
        <f t="shared" si="92"/>
        <v>1.6873860704511252E-2</v>
      </c>
      <c r="S383" s="10">
        <f t="shared" si="93"/>
        <v>1.9219251495982317E-2</v>
      </c>
    </row>
    <row r="384" spans="1:19" x14ac:dyDescent="0.25">
      <c r="A384" s="5" t="s">
        <v>8</v>
      </c>
      <c r="B384" s="5" t="s">
        <v>161</v>
      </c>
      <c r="C384" s="5" t="s">
        <v>27</v>
      </c>
      <c r="D384" s="5" t="s">
        <v>385</v>
      </c>
      <c r="E384" s="5" t="s">
        <v>384</v>
      </c>
      <c r="F384" s="5" t="s">
        <v>45</v>
      </c>
      <c r="G384" s="5" t="s">
        <v>390</v>
      </c>
      <c r="H384" s="5" t="s">
        <v>46</v>
      </c>
      <c r="I384" s="5" t="s">
        <v>163</v>
      </c>
      <c r="J384" s="15">
        <v>1320</v>
      </c>
      <c r="K384" s="7">
        <v>31</v>
      </c>
      <c r="L384" s="7">
        <f t="shared" si="88"/>
        <v>42.58064516129032</v>
      </c>
      <c r="M384" s="5" t="s">
        <v>10</v>
      </c>
      <c r="N384" s="5">
        <v>4</v>
      </c>
      <c r="O384" s="6">
        <f t="shared" si="89"/>
        <v>1.4958168574401665</v>
      </c>
      <c r="P384" s="6">
        <f t="shared" si="90"/>
        <v>0.1555649531737773</v>
      </c>
      <c r="Q384" s="10">
        <f t="shared" si="91"/>
        <v>3.2409365244536938E-3</v>
      </c>
      <c r="R384" s="10">
        <f t="shared" si="92"/>
        <v>2.1505816795006499E-2</v>
      </c>
      <c r="S384" s="10">
        <f t="shared" si="93"/>
        <v>2.4746753319460191E-2</v>
      </c>
    </row>
    <row r="385" spans="1:19" x14ac:dyDescent="0.25">
      <c r="A385" s="5" t="s">
        <v>22</v>
      </c>
      <c r="B385" s="5" t="s">
        <v>63</v>
      </c>
      <c r="C385" s="5" t="s">
        <v>27</v>
      </c>
      <c r="D385" s="5" t="s">
        <v>385</v>
      </c>
      <c r="E385" s="5" t="s">
        <v>384</v>
      </c>
      <c r="F385" s="5" t="s">
        <v>45</v>
      </c>
      <c r="G385" s="5" t="s">
        <v>390</v>
      </c>
      <c r="H385" s="5" t="s">
        <v>72</v>
      </c>
      <c r="I385" s="5" t="s">
        <v>73</v>
      </c>
      <c r="J385" s="15">
        <v>1100</v>
      </c>
      <c r="K385" s="7">
        <v>29</v>
      </c>
      <c r="L385" s="7">
        <f t="shared" si="88"/>
        <v>37.931034482758619</v>
      </c>
      <c r="M385" s="5" t="s">
        <v>10</v>
      </c>
      <c r="N385" s="5">
        <v>4</v>
      </c>
      <c r="O385" s="6">
        <f t="shared" si="89"/>
        <v>0.9891498216409037</v>
      </c>
      <c r="P385" s="6">
        <f t="shared" si="90"/>
        <v>0.10287158145065398</v>
      </c>
      <c r="Q385" s="10">
        <f t="shared" si="91"/>
        <v>2.1431579468886245E-3</v>
      </c>
      <c r="R385" s="10">
        <f t="shared" si="92"/>
        <v>1.5770435338965008E-2</v>
      </c>
      <c r="S385" s="10">
        <f t="shared" si="93"/>
        <v>1.7913593285853631E-2</v>
      </c>
    </row>
    <row r="386" spans="1:19" x14ac:dyDescent="0.25">
      <c r="A386" s="5" t="s">
        <v>22</v>
      </c>
      <c r="B386" s="5" t="s">
        <v>63</v>
      </c>
      <c r="C386" s="5" t="s">
        <v>27</v>
      </c>
      <c r="D386" s="5" t="s">
        <v>385</v>
      </c>
      <c r="E386" s="5" t="s">
        <v>384</v>
      </c>
      <c r="F386" s="5" t="s">
        <v>45</v>
      </c>
      <c r="G386" s="5" t="s">
        <v>390</v>
      </c>
      <c r="H386" s="5" t="s">
        <v>77</v>
      </c>
      <c r="I386" s="5" t="s">
        <v>78</v>
      </c>
      <c r="J386" s="15">
        <v>750</v>
      </c>
      <c r="K386" s="7">
        <v>25.5</v>
      </c>
      <c r="L386" s="7">
        <f t="shared" si="88"/>
        <v>29.411764705882351</v>
      </c>
      <c r="M386" s="5" t="s">
        <v>10</v>
      </c>
      <c r="N386" s="5">
        <v>4</v>
      </c>
      <c r="O386" s="6">
        <f t="shared" si="89"/>
        <v>0.40549307958477504</v>
      </c>
      <c r="P386" s="6">
        <f t="shared" si="90"/>
        <v>4.2171280276816603E-2</v>
      </c>
      <c r="Q386" s="10">
        <f t="shared" si="91"/>
        <v>8.7856833910034593E-4</v>
      </c>
      <c r="R386" s="10">
        <f t="shared" si="92"/>
        <v>8.0795041676919276E-3</v>
      </c>
      <c r="S386" s="10">
        <f t="shared" si="93"/>
        <v>8.958072506792274E-3</v>
      </c>
    </row>
    <row r="387" spans="1:19" x14ac:dyDescent="0.25">
      <c r="A387" s="5" t="s">
        <v>8</v>
      </c>
      <c r="B387" s="5" t="s">
        <v>296</v>
      </c>
      <c r="C387" s="5" t="s">
        <v>27</v>
      </c>
      <c r="D387" s="5" t="s">
        <v>385</v>
      </c>
      <c r="E387" s="5" t="s">
        <v>384</v>
      </c>
      <c r="F387" s="5" t="s">
        <v>45</v>
      </c>
      <c r="G387" s="5" t="s">
        <v>390</v>
      </c>
      <c r="H387" s="5" t="s">
        <v>77</v>
      </c>
      <c r="I387" s="5" t="s">
        <v>297</v>
      </c>
      <c r="J387" s="15">
        <v>740</v>
      </c>
      <c r="K387" s="7">
        <v>26</v>
      </c>
      <c r="L387" s="7">
        <f t="shared" si="88"/>
        <v>28.46153846153846</v>
      </c>
      <c r="M387" s="5" t="s">
        <v>10</v>
      </c>
      <c r="N387" s="5">
        <v>4</v>
      </c>
      <c r="O387" s="6">
        <f t="shared" si="89"/>
        <v>0.37465236686390524</v>
      </c>
      <c r="P387" s="6">
        <f t="shared" si="90"/>
        <v>3.8963846153846148E-2</v>
      </c>
      <c r="Q387" s="10">
        <f t="shared" si="91"/>
        <v>8.117467948717946E-4</v>
      </c>
      <c r="R387" s="10">
        <f t="shared" si="92"/>
        <v>7.6140983946227968E-3</v>
      </c>
      <c r="S387" s="10">
        <f t="shared" si="93"/>
        <v>8.4258451894945914E-3</v>
      </c>
    </row>
    <row r="388" spans="1:19" x14ac:dyDescent="0.25">
      <c r="A388" s="5" t="s">
        <v>8</v>
      </c>
      <c r="B388" s="5" t="s">
        <v>322</v>
      </c>
      <c r="C388" s="5" t="s">
        <v>27</v>
      </c>
      <c r="D388" s="5" t="s">
        <v>385</v>
      </c>
      <c r="E388" s="5" t="s">
        <v>384</v>
      </c>
      <c r="F388" s="5" t="s">
        <v>45</v>
      </c>
      <c r="G388" s="5" t="s">
        <v>390</v>
      </c>
      <c r="H388" s="5" t="s">
        <v>77</v>
      </c>
      <c r="I388" s="5" t="s">
        <v>324</v>
      </c>
      <c r="J388" s="15">
        <v>1100</v>
      </c>
      <c r="K388" s="7">
        <v>37</v>
      </c>
      <c r="L388" s="7">
        <f t="shared" si="88"/>
        <v>29.72972972972973</v>
      </c>
      <c r="M388" s="5" t="s">
        <v>10</v>
      </c>
      <c r="N388" s="5">
        <v>4</v>
      </c>
      <c r="O388" s="6">
        <f t="shared" si="89"/>
        <v>0.60765157048940832</v>
      </c>
      <c r="P388" s="6">
        <f t="shared" si="90"/>
        <v>6.3195763330898463E-2</v>
      </c>
      <c r="Q388" s="10">
        <f t="shared" si="91"/>
        <v>1.3165784027270512E-3</v>
      </c>
      <c r="R388" s="10">
        <f t="shared" si="92"/>
        <v>1.0943042674342459E-2</v>
      </c>
      <c r="S388" s="10">
        <f t="shared" si="93"/>
        <v>1.2259621077069511E-2</v>
      </c>
    </row>
    <row r="389" spans="1:19" x14ac:dyDescent="0.25">
      <c r="A389" s="5" t="s">
        <v>8</v>
      </c>
      <c r="B389" s="5" t="s">
        <v>322</v>
      </c>
      <c r="C389" s="5" t="s">
        <v>27</v>
      </c>
      <c r="D389" s="5" t="s">
        <v>385</v>
      </c>
      <c r="E389" s="5" t="s">
        <v>384</v>
      </c>
      <c r="F389" s="5" t="s">
        <v>45</v>
      </c>
      <c r="G389" s="5" t="s">
        <v>390</v>
      </c>
      <c r="H389" s="5" t="s">
        <v>77</v>
      </c>
      <c r="I389" s="5" t="s">
        <v>71</v>
      </c>
      <c r="J389" s="15">
        <v>1000</v>
      </c>
      <c r="K389" s="7">
        <v>34</v>
      </c>
      <c r="L389" s="7">
        <f t="shared" si="88"/>
        <v>29.411764705882351</v>
      </c>
      <c r="M389" s="5" t="s">
        <v>10</v>
      </c>
      <c r="N389" s="5">
        <v>4</v>
      </c>
      <c r="O389" s="6">
        <f t="shared" si="89"/>
        <v>0.54065743944636668</v>
      </c>
      <c r="P389" s="6">
        <f t="shared" si="90"/>
        <v>5.6228373702422139E-2</v>
      </c>
      <c r="Q389" s="10">
        <f t="shared" si="91"/>
        <v>1.1714244521337945E-3</v>
      </c>
      <c r="R389" s="10">
        <f t="shared" si="92"/>
        <v>1.0025101116786362E-2</v>
      </c>
      <c r="S389" s="10">
        <f t="shared" si="93"/>
        <v>1.1196525568920156E-2</v>
      </c>
    </row>
    <row r="390" spans="1:19" x14ac:dyDescent="0.25">
      <c r="A390" s="5" t="s">
        <v>22</v>
      </c>
      <c r="B390" s="5" t="s">
        <v>63</v>
      </c>
      <c r="C390" s="5" t="s">
        <v>27</v>
      </c>
      <c r="D390" s="5" t="s">
        <v>385</v>
      </c>
      <c r="E390" s="5" t="s">
        <v>384</v>
      </c>
      <c r="F390" s="5" t="s">
        <v>45</v>
      </c>
      <c r="G390" s="5" t="s">
        <v>390</v>
      </c>
      <c r="H390" s="5" t="s">
        <v>74</v>
      </c>
      <c r="I390" s="5" t="s">
        <v>24</v>
      </c>
      <c r="J390" s="15">
        <v>1000</v>
      </c>
      <c r="K390" s="7">
        <v>30</v>
      </c>
      <c r="L390" s="7">
        <f t="shared" si="88"/>
        <v>33.333333333333336</v>
      </c>
      <c r="M390" s="5" t="s">
        <v>10</v>
      </c>
      <c r="N390" s="5">
        <v>4</v>
      </c>
      <c r="O390" s="6">
        <f t="shared" si="89"/>
        <v>0.69444444444444453</v>
      </c>
      <c r="P390" s="6">
        <f t="shared" si="90"/>
        <v>7.2222222222222229E-2</v>
      </c>
      <c r="Q390" s="10">
        <f t="shared" si="91"/>
        <v>1.5046296296296298E-3</v>
      </c>
      <c r="R390" s="10">
        <f t="shared" si="92"/>
        <v>1.2095539811572421E-2</v>
      </c>
      <c r="S390" s="10">
        <f t="shared" si="93"/>
        <v>1.3600169441202051E-2</v>
      </c>
    </row>
    <row r="391" spans="1:19" x14ac:dyDescent="0.25">
      <c r="J391" s="16">
        <f>AVERAGE(J282:J390)</f>
        <v>1163.6422018348624</v>
      </c>
      <c r="K391" s="12">
        <f t="shared" ref="K391:S391" si="94">AVERAGE(K282:K390)</f>
        <v>29.391743119266042</v>
      </c>
      <c r="L391" s="12">
        <f t="shared" si="94"/>
        <v>40.102571554764225</v>
      </c>
      <c r="M391" s="11" t="e">
        <f t="shared" si="94"/>
        <v>#DIV/0!</v>
      </c>
      <c r="N391" s="11">
        <f t="shared" si="94"/>
        <v>4</v>
      </c>
      <c r="O391" s="13">
        <f t="shared" si="94"/>
        <v>1.2789920930004322</v>
      </c>
      <c r="P391" s="13">
        <f t="shared" si="94"/>
        <v>0.13301517767204496</v>
      </c>
      <c r="Q391" s="14">
        <f t="shared" si="94"/>
        <v>2.7711495348342694E-3</v>
      </c>
      <c r="R391" s="14">
        <f t="shared" si="94"/>
        <v>1.8580854296838766E-2</v>
      </c>
      <c r="S391" s="14">
        <f t="shared" si="94"/>
        <v>2.1352003831673034E-2</v>
      </c>
    </row>
    <row r="392" spans="1:19" x14ac:dyDescent="0.25">
      <c r="A392" s="5" t="s">
        <v>8</v>
      </c>
      <c r="B392" s="5" t="s">
        <v>264</v>
      </c>
      <c r="C392" s="5" t="s">
        <v>27</v>
      </c>
      <c r="D392" s="5" t="s">
        <v>385</v>
      </c>
      <c r="E392" s="5" t="s">
        <v>384</v>
      </c>
      <c r="F392" s="5" t="s">
        <v>45</v>
      </c>
      <c r="G392" s="5" t="s">
        <v>383</v>
      </c>
      <c r="H392" s="5" t="s">
        <v>89</v>
      </c>
      <c r="I392" s="5" t="s">
        <v>266</v>
      </c>
      <c r="J392" s="15">
        <v>1120</v>
      </c>
      <c r="K392" s="7">
        <v>29.2</v>
      </c>
      <c r="L392" s="7">
        <f t="shared" ref="L392:L419" si="95">J392/K392</f>
        <v>38.356164383561648</v>
      </c>
      <c r="M392" s="5" t="s">
        <v>10</v>
      </c>
      <c r="N392" s="5">
        <v>4</v>
      </c>
      <c r="O392" s="6">
        <f t="shared" ref="O392:O419" si="96">(J392*L392^2)/(1.6*10^6)</f>
        <v>1.029836742353162</v>
      </c>
      <c r="P392" s="6">
        <f t="shared" ref="P392:P419" si="97">(0.104*J392*L392^2)/(1.6*10^6)</f>
        <v>0.10710302120472885</v>
      </c>
      <c r="Q392" s="10">
        <f t="shared" ref="Q392:Q419" si="98">(0.104*O392)/(12*N392)</f>
        <v>2.2313129417651846E-3</v>
      </c>
      <c r="R392" s="10">
        <f t="shared" ref="R392:R419" si="99">0.0159*O392^0.75</f>
        <v>1.6254492377313225E-2</v>
      </c>
      <c r="S392" s="10">
        <f t="shared" ref="S392:S419" si="100">Q392+R392</f>
        <v>1.8485805319078411E-2</v>
      </c>
    </row>
    <row r="393" spans="1:19" x14ac:dyDescent="0.25">
      <c r="A393" s="5" t="s">
        <v>8</v>
      </c>
      <c r="B393" s="5" t="s">
        <v>358</v>
      </c>
      <c r="C393" s="5" t="s">
        <v>27</v>
      </c>
      <c r="D393" s="5" t="s">
        <v>385</v>
      </c>
      <c r="E393" s="5" t="s">
        <v>384</v>
      </c>
      <c r="F393" s="5" t="s">
        <v>45</v>
      </c>
      <c r="G393" s="5" t="s">
        <v>383</v>
      </c>
      <c r="H393" s="5" t="s">
        <v>89</v>
      </c>
      <c r="I393" s="5" t="s">
        <v>267</v>
      </c>
      <c r="J393" s="15">
        <v>1425</v>
      </c>
      <c r="K393" s="7">
        <v>33.5</v>
      </c>
      <c r="L393" s="7">
        <f t="shared" si="95"/>
        <v>42.537313432835823</v>
      </c>
      <c r="M393" s="5" t="s">
        <v>10</v>
      </c>
      <c r="N393" s="5">
        <v>4</v>
      </c>
      <c r="O393" s="6">
        <f t="shared" si="96"/>
        <v>1.6115173897304527</v>
      </c>
      <c r="P393" s="6">
        <f t="shared" si="97"/>
        <v>0.16759780853196707</v>
      </c>
      <c r="Q393" s="10">
        <f t="shared" si="98"/>
        <v>3.4916210110826473E-3</v>
      </c>
      <c r="R393" s="10">
        <f t="shared" si="99"/>
        <v>2.2741723321392279E-2</v>
      </c>
      <c r="S393" s="10">
        <f t="shared" si="100"/>
        <v>2.6233344332474928E-2</v>
      </c>
    </row>
    <row r="394" spans="1:19" x14ac:dyDescent="0.25">
      <c r="A394" s="5" t="s">
        <v>8</v>
      </c>
      <c r="B394" s="5" t="s">
        <v>264</v>
      </c>
      <c r="C394" s="5" t="s">
        <v>27</v>
      </c>
      <c r="D394" s="5" t="s">
        <v>385</v>
      </c>
      <c r="E394" s="5" t="s">
        <v>384</v>
      </c>
      <c r="F394" s="5" t="s">
        <v>45</v>
      </c>
      <c r="G394" s="5" t="s">
        <v>383</v>
      </c>
      <c r="H394" s="5" t="s">
        <v>89</v>
      </c>
      <c r="I394" s="5" t="s">
        <v>267</v>
      </c>
      <c r="J394" s="15">
        <v>1300</v>
      </c>
      <c r="K394" s="7">
        <v>33.5</v>
      </c>
      <c r="L394" s="7">
        <f t="shared" si="95"/>
        <v>38.805970149253731</v>
      </c>
      <c r="M394" s="5" t="s">
        <v>10</v>
      </c>
      <c r="N394" s="5">
        <v>4</v>
      </c>
      <c r="O394" s="6">
        <f t="shared" si="96"/>
        <v>1.2235464468701269</v>
      </c>
      <c r="P394" s="6">
        <f t="shared" si="97"/>
        <v>0.1272488304744932</v>
      </c>
      <c r="Q394" s="10">
        <f t="shared" si="98"/>
        <v>2.6510173015519417E-3</v>
      </c>
      <c r="R394" s="10">
        <f t="shared" si="99"/>
        <v>1.8497475870327421E-2</v>
      </c>
      <c r="S394" s="10">
        <f t="shared" si="100"/>
        <v>2.1148493171879362E-2</v>
      </c>
    </row>
    <row r="395" spans="1:19" x14ac:dyDescent="0.25">
      <c r="A395" s="5" t="s">
        <v>22</v>
      </c>
      <c r="B395" s="5" t="s">
        <v>63</v>
      </c>
      <c r="C395" s="5" t="s">
        <v>27</v>
      </c>
      <c r="D395" s="5" t="s">
        <v>385</v>
      </c>
      <c r="E395" s="5" t="s">
        <v>384</v>
      </c>
      <c r="F395" s="5" t="s">
        <v>45</v>
      </c>
      <c r="G395" s="5" t="s">
        <v>383</v>
      </c>
      <c r="H395" s="5" t="s">
        <v>89</v>
      </c>
      <c r="I395" s="5" t="s">
        <v>90</v>
      </c>
      <c r="J395" s="15">
        <v>840</v>
      </c>
      <c r="K395" s="7">
        <v>21.5</v>
      </c>
      <c r="L395" s="7">
        <f t="shared" si="95"/>
        <v>39.069767441860463</v>
      </c>
      <c r="M395" s="5" t="s">
        <v>10</v>
      </c>
      <c r="N395" s="5">
        <v>4</v>
      </c>
      <c r="O395" s="6">
        <f t="shared" si="96"/>
        <v>0.80138453217955641</v>
      </c>
      <c r="P395" s="6">
        <f t="shared" si="97"/>
        <v>8.3343991346673862E-2</v>
      </c>
      <c r="Q395" s="10">
        <f t="shared" si="98"/>
        <v>1.7363331530557055E-3</v>
      </c>
      <c r="R395" s="10">
        <f t="shared" si="99"/>
        <v>1.3467216474127932E-2</v>
      </c>
      <c r="S395" s="10">
        <f t="shared" si="100"/>
        <v>1.5203549627183637E-2</v>
      </c>
    </row>
    <row r="396" spans="1:19" x14ac:dyDescent="0.25">
      <c r="A396" s="5" t="s">
        <v>8</v>
      </c>
      <c r="B396" s="5" t="s">
        <v>359</v>
      </c>
      <c r="C396" s="5" t="s">
        <v>27</v>
      </c>
      <c r="D396" s="5" t="s">
        <v>385</v>
      </c>
      <c r="E396" s="5" t="s">
        <v>384</v>
      </c>
      <c r="F396" s="5" t="s">
        <v>45</v>
      </c>
      <c r="G396" s="5" t="s">
        <v>383</v>
      </c>
      <c r="H396" s="5" t="s">
        <v>89</v>
      </c>
      <c r="I396" s="5" t="s">
        <v>90</v>
      </c>
      <c r="J396" s="15">
        <v>840</v>
      </c>
      <c r="K396" s="7">
        <v>21.5</v>
      </c>
      <c r="L396" s="7">
        <f t="shared" si="95"/>
        <v>39.069767441860463</v>
      </c>
      <c r="M396" s="5" t="s">
        <v>10</v>
      </c>
      <c r="N396" s="5">
        <v>4</v>
      </c>
      <c r="O396" s="6">
        <f t="shared" si="96"/>
        <v>0.80138453217955641</v>
      </c>
      <c r="P396" s="6">
        <f t="shared" si="97"/>
        <v>8.3343991346673862E-2</v>
      </c>
      <c r="Q396" s="10">
        <f t="shared" si="98"/>
        <v>1.7363331530557055E-3</v>
      </c>
      <c r="R396" s="10">
        <f t="shared" si="99"/>
        <v>1.3467216474127932E-2</v>
      </c>
      <c r="S396" s="10">
        <f t="shared" si="100"/>
        <v>1.5203549627183637E-2</v>
      </c>
    </row>
    <row r="397" spans="1:19" x14ac:dyDescent="0.25">
      <c r="A397" s="5" t="s">
        <v>8</v>
      </c>
      <c r="B397" s="5" t="s">
        <v>360</v>
      </c>
      <c r="C397" s="5" t="s">
        <v>27</v>
      </c>
      <c r="D397" s="5" t="s">
        <v>385</v>
      </c>
      <c r="E397" s="5" t="s">
        <v>384</v>
      </c>
      <c r="F397" s="5" t="s">
        <v>45</v>
      </c>
      <c r="G397" s="5" t="s">
        <v>383</v>
      </c>
      <c r="H397" s="5" t="s">
        <v>89</v>
      </c>
      <c r="I397" s="5" t="s">
        <v>90</v>
      </c>
      <c r="J397" s="15">
        <v>1190</v>
      </c>
      <c r="K397" s="7">
        <v>22.5</v>
      </c>
      <c r="L397" s="7">
        <f t="shared" si="95"/>
        <v>52.888888888888886</v>
      </c>
      <c r="M397" s="5" t="s">
        <v>10</v>
      </c>
      <c r="N397" s="5">
        <v>4</v>
      </c>
      <c r="O397" s="6">
        <f t="shared" si="96"/>
        <v>2.0804432098765431</v>
      </c>
      <c r="P397" s="6">
        <f t="shared" si="97"/>
        <v>0.21636609382716043</v>
      </c>
      <c r="Q397" s="10">
        <f t="shared" si="98"/>
        <v>4.5076269547325099E-3</v>
      </c>
      <c r="R397" s="10">
        <f t="shared" si="99"/>
        <v>2.7543176383485118E-2</v>
      </c>
      <c r="S397" s="10">
        <f t="shared" si="100"/>
        <v>3.205080333821763E-2</v>
      </c>
    </row>
    <row r="398" spans="1:19" x14ac:dyDescent="0.25">
      <c r="A398" s="5" t="s">
        <v>8</v>
      </c>
      <c r="B398" s="5" t="s">
        <v>264</v>
      </c>
      <c r="C398" s="5" t="s">
        <v>27</v>
      </c>
      <c r="D398" s="5" t="s">
        <v>385</v>
      </c>
      <c r="E398" s="5" t="s">
        <v>384</v>
      </c>
      <c r="F398" s="5" t="s">
        <v>45</v>
      </c>
      <c r="G398" s="5" t="s">
        <v>383</v>
      </c>
      <c r="H398" s="5" t="s">
        <v>89</v>
      </c>
      <c r="I398" s="5" t="s">
        <v>90</v>
      </c>
      <c r="J398" s="15">
        <v>1000</v>
      </c>
      <c r="K398" s="7">
        <v>22</v>
      </c>
      <c r="L398" s="7">
        <f t="shared" si="95"/>
        <v>45.454545454545453</v>
      </c>
      <c r="M398" s="5" t="s">
        <v>10</v>
      </c>
      <c r="N398" s="5">
        <v>4</v>
      </c>
      <c r="O398" s="6">
        <f t="shared" si="96"/>
        <v>1.2913223140495866</v>
      </c>
      <c r="P398" s="6">
        <f t="shared" si="97"/>
        <v>0.13429752066115702</v>
      </c>
      <c r="Q398" s="10">
        <f t="shared" si="98"/>
        <v>2.7978650137741039E-3</v>
      </c>
      <c r="R398" s="10">
        <f t="shared" si="99"/>
        <v>1.9260746534398895E-2</v>
      </c>
      <c r="S398" s="10">
        <f t="shared" si="100"/>
        <v>2.2058611548172999E-2</v>
      </c>
    </row>
    <row r="399" spans="1:19" x14ac:dyDescent="0.25">
      <c r="A399" s="5" t="s">
        <v>8</v>
      </c>
      <c r="B399" s="5" t="s">
        <v>264</v>
      </c>
      <c r="C399" s="5" t="s">
        <v>27</v>
      </c>
      <c r="D399" s="5" t="s">
        <v>385</v>
      </c>
      <c r="E399" s="5" t="s">
        <v>384</v>
      </c>
      <c r="F399" s="5" t="s">
        <v>45</v>
      </c>
      <c r="G399" s="5" t="s">
        <v>383</v>
      </c>
      <c r="H399" s="5" t="s">
        <v>89</v>
      </c>
      <c r="I399" s="5" t="s">
        <v>265</v>
      </c>
      <c r="J399" s="15">
        <v>1000</v>
      </c>
      <c r="K399" s="7">
        <v>25</v>
      </c>
      <c r="L399" s="7">
        <f t="shared" si="95"/>
        <v>40</v>
      </c>
      <c r="M399" s="5" t="s">
        <v>10</v>
      </c>
      <c r="N399" s="5">
        <v>4</v>
      </c>
      <c r="O399" s="6">
        <f t="shared" si="96"/>
        <v>1</v>
      </c>
      <c r="P399" s="6">
        <f t="shared" si="97"/>
        <v>0.104</v>
      </c>
      <c r="Q399" s="10">
        <f t="shared" si="98"/>
        <v>2.1666666666666666E-3</v>
      </c>
      <c r="R399" s="10">
        <f t="shared" si="99"/>
        <v>1.5900000000000001E-2</v>
      </c>
      <c r="S399" s="10">
        <f t="shared" si="100"/>
        <v>1.8066666666666668E-2</v>
      </c>
    </row>
    <row r="400" spans="1:19" x14ac:dyDescent="0.25">
      <c r="A400" s="5" t="s">
        <v>8</v>
      </c>
      <c r="B400" s="5" t="s">
        <v>264</v>
      </c>
      <c r="C400" s="5" t="s">
        <v>27</v>
      </c>
      <c r="D400" s="5" t="s">
        <v>385</v>
      </c>
      <c r="E400" s="5" t="s">
        <v>384</v>
      </c>
      <c r="F400" s="5" t="s">
        <v>45</v>
      </c>
      <c r="G400" s="5" t="s">
        <v>383</v>
      </c>
      <c r="H400" s="5" t="s">
        <v>89</v>
      </c>
      <c r="I400" s="5" t="s">
        <v>268</v>
      </c>
      <c r="J400" s="15">
        <v>1300</v>
      </c>
      <c r="K400" s="7">
        <v>27.5</v>
      </c>
      <c r="L400" s="7">
        <f t="shared" si="95"/>
        <v>47.272727272727273</v>
      </c>
      <c r="M400" s="5" t="s">
        <v>10</v>
      </c>
      <c r="N400" s="5">
        <v>4</v>
      </c>
      <c r="O400" s="6">
        <f t="shared" si="96"/>
        <v>1.815702479338843</v>
      </c>
      <c r="P400" s="6">
        <f t="shared" si="97"/>
        <v>0.18883305785123963</v>
      </c>
      <c r="Q400" s="10">
        <f t="shared" si="98"/>
        <v>3.9340220385674926E-3</v>
      </c>
      <c r="R400" s="10">
        <f t="shared" si="99"/>
        <v>2.4870277967481078E-2</v>
      </c>
      <c r="S400" s="10">
        <f t="shared" si="100"/>
        <v>2.8804300006048569E-2</v>
      </c>
    </row>
    <row r="401" spans="1:19" x14ac:dyDescent="0.25">
      <c r="A401" s="5" t="s">
        <v>8</v>
      </c>
      <c r="B401" s="5" t="s">
        <v>358</v>
      </c>
      <c r="C401" s="5" t="s">
        <v>27</v>
      </c>
      <c r="D401" s="5" t="s">
        <v>385</v>
      </c>
      <c r="E401" s="5" t="s">
        <v>384</v>
      </c>
      <c r="F401" s="5" t="s">
        <v>45</v>
      </c>
      <c r="G401" s="5" t="s">
        <v>383</v>
      </c>
      <c r="H401" s="5" t="s">
        <v>89</v>
      </c>
      <c r="I401" s="5" t="s">
        <v>269</v>
      </c>
      <c r="J401" s="15">
        <v>1150</v>
      </c>
      <c r="K401" s="7">
        <v>25.8</v>
      </c>
      <c r="L401" s="7">
        <f t="shared" si="95"/>
        <v>44.573643410852711</v>
      </c>
      <c r="M401" s="5" t="s">
        <v>10</v>
      </c>
      <c r="N401" s="5">
        <v>4</v>
      </c>
      <c r="O401" s="6">
        <f t="shared" si="96"/>
        <v>1.4280194624722071</v>
      </c>
      <c r="P401" s="6">
        <f t="shared" si="97"/>
        <v>0.14851402409710951</v>
      </c>
      <c r="Q401" s="10">
        <f t="shared" si="98"/>
        <v>3.0940421686897822E-3</v>
      </c>
      <c r="R401" s="10">
        <f t="shared" si="99"/>
        <v>2.0770536726440858E-2</v>
      </c>
      <c r="S401" s="10">
        <f t="shared" si="100"/>
        <v>2.3864578895130641E-2</v>
      </c>
    </row>
    <row r="402" spans="1:19" x14ac:dyDescent="0.25">
      <c r="A402" s="5" t="s">
        <v>8</v>
      </c>
      <c r="B402" s="5" t="s">
        <v>264</v>
      </c>
      <c r="C402" s="5" t="s">
        <v>27</v>
      </c>
      <c r="D402" s="5" t="s">
        <v>385</v>
      </c>
      <c r="E402" s="5" t="s">
        <v>384</v>
      </c>
      <c r="F402" s="5" t="s">
        <v>45</v>
      </c>
      <c r="G402" s="5" t="s">
        <v>383</v>
      </c>
      <c r="H402" s="5" t="s">
        <v>89</v>
      </c>
      <c r="I402" s="5" t="s">
        <v>269</v>
      </c>
      <c r="J402" s="15">
        <v>1060</v>
      </c>
      <c r="K402" s="7">
        <v>23.5</v>
      </c>
      <c r="L402" s="7">
        <f t="shared" si="95"/>
        <v>45.106382978723403</v>
      </c>
      <c r="M402" s="5" t="s">
        <v>10</v>
      </c>
      <c r="N402" s="5">
        <v>4</v>
      </c>
      <c r="O402" s="6">
        <f t="shared" si="96"/>
        <v>1.3479130828429153</v>
      </c>
      <c r="P402" s="6">
        <f t="shared" si="97"/>
        <v>0.14018296061566318</v>
      </c>
      <c r="Q402" s="10">
        <f t="shared" si="98"/>
        <v>2.9204783461596498E-3</v>
      </c>
      <c r="R402" s="10">
        <f t="shared" si="99"/>
        <v>1.9890401090197855E-2</v>
      </c>
      <c r="S402" s="10">
        <f t="shared" si="100"/>
        <v>2.2810879436357505E-2</v>
      </c>
    </row>
    <row r="403" spans="1:19" x14ac:dyDescent="0.25">
      <c r="A403" s="5" t="s">
        <v>8</v>
      </c>
      <c r="B403" s="5" t="s">
        <v>312</v>
      </c>
      <c r="C403" s="5" t="s">
        <v>27</v>
      </c>
      <c r="D403" s="5" t="s">
        <v>385</v>
      </c>
      <c r="E403" s="5" t="s">
        <v>384</v>
      </c>
      <c r="F403" s="5" t="s">
        <v>45</v>
      </c>
      <c r="G403" s="5" t="s">
        <v>383</v>
      </c>
      <c r="H403" s="5" t="s">
        <v>89</v>
      </c>
      <c r="I403" s="5" t="s">
        <v>269</v>
      </c>
      <c r="J403" s="15">
        <v>1040</v>
      </c>
      <c r="K403" s="7">
        <v>22</v>
      </c>
      <c r="L403" s="7">
        <f t="shared" si="95"/>
        <v>47.272727272727273</v>
      </c>
      <c r="M403" s="5" t="s">
        <v>10</v>
      </c>
      <c r="N403" s="5">
        <v>4</v>
      </c>
      <c r="O403" s="6">
        <f t="shared" si="96"/>
        <v>1.4525619834710741</v>
      </c>
      <c r="P403" s="6">
        <f t="shared" si="97"/>
        <v>0.15106644628099172</v>
      </c>
      <c r="Q403" s="10">
        <f t="shared" si="98"/>
        <v>3.1472176308539935E-3</v>
      </c>
      <c r="R403" s="10">
        <f t="shared" si="99"/>
        <v>2.1037693789274791E-2</v>
      </c>
      <c r="S403" s="10">
        <f t="shared" si="100"/>
        <v>2.4184911420128786E-2</v>
      </c>
    </row>
    <row r="404" spans="1:19" x14ac:dyDescent="0.25">
      <c r="A404" s="5" t="s">
        <v>8</v>
      </c>
      <c r="B404" s="5" t="s">
        <v>312</v>
      </c>
      <c r="C404" s="5" t="s">
        <v>27</v>
      </c>
      <c r="D404" s="5" t="s">
        <v>385</v>
      </c>
      <c r="E404" s="5" t="s">
        <v>384</v>
      </c>
      <c r="F404" s="5" t="s">
        <v>45</v>
      </c>
      <c r="G404" s="5" t="s">
        <v>383</v>
      </c>
      <c r="H404" s="5" t="s">
        <v>89</v>
      </c>
      <c r="I404" s="5" t="s">
        <v>269</v>
      </c>
      <c r="J404" s="15">
        <v>1215</v>
      </c>
      <c r="K404" s="7">
        <v>26.3</v>
      </c>
      <c r="L404" s="7">
        <f t="shared" si="95"/>
        <v>46.197718631178709</v>
      </c>
      <c r="M404" s="5" t="s">
        <v>10</v>
      </c>
      <c r="N404" s="5">
        <v>4</v>
      </c>
      <c r="O404" s="6">
        <f t="shared" si="96"/>
        <v>1.6206803038572197</v>
      </c>
      <c r="P404" s="6">
        <f t="shared" si="97"/>
        <v>0.16855075160115085</v>
      </c>
      <c r="Q404" s="10">
        <f t="shared" si="98"/>
        <v>3.5114739916906426E-3</v>
      </c>
      <c r="R404" s="10">
        <f t="shared" si="99"/>
        <v>2.2838634796892455E-2</v>
      </c>
      <c r="S404" s="10">
        <f t="shared" si="100"/>
        <v>2.6350108788583099E-2</v>
      </c>
    </row>
    <row r="405" spans="1:19" x14ac:dyDescent="0.25">
      <c r="A405" s="5" t="s">
        <v>8</v>
      </c>
      <c r="B405" s="5" t="s">
        <v>264</v>
      </c>
      <c r="C405" s="5" t="s">
        <v>27</v>
      </c>
      <c r="D405" s="5" t="s">
        <v>385</v>
      </c>
      <c r="E405" s="5" t="s">
        <v>384</v>
      </c>
      <c r="F405" s="5" t="s">
        <v>45</v>
      </c>
      <c r="G405" s="5" t="s">
        <v>383</v>
      </c>
      <c r="H405" s="5" t="s">
        <v>89</v>
      </c>
      <c r="I405" s="5" t="s">
        <v>130</v>
      </c>
      <c r="J405" s="15">
        <v>1385</v>
      </c>
      <c r="K405" s="7">
        <v>26.4</v>
      </c>
      <c r="L405" s="7">
        <f t="shared" si="95"/>
        <v>52.462121212121218</v>
      </c>
      <c r="M405" s="5" t="s">
        <v>10</v>
      </c>
      <c r="N405" s="5">
        <v>4</v>
      </c>
      <c r="O405" s="6">
        <f t="shared" si="96"/>
        <v>2.3824373215464307</v>
      </c>
      <c r="P405" s="6">
        <f t="shared" si="97"/>
        <v>0.24777348144082881</v>
      </c>
      <c r="Q405" s="10">
        <f t="shared" si="98"/>
        <v>5.1619475300172663E-3</v>
      </c>
      <c r="R405" s="10">
        <f t="shared" si="99"/>
        <v>3.0490408095780776E-2</v>
      </c>
      <c r="S405" s="10">
        <f t="shared" si="100"/>
        <v>3.5652355625798042E-2</v>
      </c>
    </row>
    <row r="406" spans="1:19" x14ac:dyDescent="0.25">
      <c r="A406" s="5" t="s">
        <v>22</v>
      </c>
      <c r="B406" s="5" t="s">
        <v>63</v>
      </c>
      <c r="C406" s="5" t="s">
        <v>27</v>
      </c>
      <c r="D406" s="5" t="s">
        <v>385</v>
      </c>
      <c r="E406" s="5" t="s">
        <v>384</v>
      </c>
      <c r="F406" s="5" t="s">
        <v>45</v>
      </c>
      <c r="G406" s="5" t="s">
        <v>383</v>
      </c>
      <c r="H406" s="5" t="s">
        <v>84</v>
      </c>
      <c r="I406" s="5" t="s">
        <v>85</v>
      </c>
      <c r="J406" s="15">
        <v>1150</v>
      </c>
      <c r="K406" s="7">
        <v>26</v>
      </c>
      <c r="L406" s="7">
        <f t="shared" si="95"/>
        <v>44.230769230769234</v>
      </c>
      <c r="M406" s="5" t="s">
        <v>10</v>
      </c>
      <c r="N406" s="5">
        <v>4</v>
      </c>
      <c r="O406" s="6">
        <f t="shared" si="96"/>
        <v>1.4061344304733729</v>
      </c>
      <c r="P406" s="6">
        <f t="shared" si="97"/>
        <v>0.14623798076923078</v>
      </c>
      <c r="Q406" s="10">
        <f t="shared" si="98"/>
        <v>3.0466245993589747E-3</v>
      </c>
      <c r="R406" s="10">
        <f t="shared" si="99"/>
        <v>2.0531338164569143E-2</v>
      </c>
      <c r="S406" s="10">
        <f t="shared" si="100"/>
        <v>2.3577962763928116E-2</v>
      </c>
    </row>
    <row r="407" spans="1:19" x14ac:dyDescent="0.25">
      <c r="A407" s="5" t="s">
        <v>8</v>
      </c>
      <c r="B407" s="5" t="s">
        <v>326</v>
      </c>
      <c r="C407" s="5" t="s">
        <v>27</v>
      </c>
      <c r="D407" s="5" t="s">
        <v>385</v>
      </c>
      <c r="E407" s="5" t="s">
        <v>384</v>
      </c>
      <c r="F407" s="5" t="s">
        <v>45</v>
      </c>
      <c r="G407" s="5" t="s">
        <v>383</v>
      </c>
      <c r="H407" s="5" t="s">
        <v>84</v>
      </c>
      <c r="I407" s="5" t="s">
        <v>327</v>
      </c>
      <c r="J407" s="15">
        <v>1150</v>
      </c>
      <c r="K407" s="7">
        <v>21</v>
      </c>
      <c r="L407" s="7">
        <f t="shared" si="95"/>
        <v>54.761904761904759</v>
      </c>
      <c r="M407" s="5" t="s">
        <v>10</v>
      </c>
      <c r="N407" s="5">
        <v>4</v>
      </c>
      <c r="O407" s="6">
        <f t="shared" si="96"/>
        <v>2.1554350907029476</v>
      </c>
      <c r="P407" s="6">
        <f t="shared" si="97"/>
        <v>0.22416524943310653</v>
      </c>
      <c r="Q407" s="10">
        <f t="shared" si="98"/>
        <v>4.6701093631897192E-3</v>
      </c>
      <c r="R407" s="10">
        <f t="shared" si="99"/>
        <v>2.828448893687794E-2</v>
      </c>
      <c r="S407" s="10">
        <f t="shared" si="100"/>
        <v>3.295459830006766E-2</v>
      </c>
    </row>
    <row r="408" spans="1:19" x14ac:dyDescent="0.25">
      <c r="A408" s="5" t="s">
        <v>8</v>
      </c>
      <c r="B408" s="5" t="s">
        <v>322</v>
      </c>
      <c r="C408" s="5" t="s">
        <v>27</v>
      </c>
      <c r="D408" s="5" t="s">
        <v>385</v>
      </c>
      <c r="E408" s="5" t="s">
        <v>384</v>
      </c>
      <c r="F408" s="5" t="s">
        <v>45</v>
      </c>
      <c r="G408" s="5" t="s">
        <v>383</v>
      </c>
      <c r="H408" s="5" t="s">
        <v>84</v>
      </c>
      <c r="I408" s="5" t="s">
        <v>211</v>
      </c>
      <c r="J408" s="15">
        <v>1350</v>
      </c>
      <c r="K408" s="7">
        <v>35</v>
      </c>
      <c r="L408" s="7">
        <f t="shared" si="95"/>
        <v>38.571428571428569</v>
      </c>
      <c r="M408" s="5" t="s">
        <v>10</v>
      </c>
      <c r="N408" s="5">
        <v>4</v>
      </c>
      <c r="O408" s="6">
        <f t="shared" si="96"/>
        <v>1.2552933673469386</v>
      </c>
      <c r="P408" s="6">
        <f t="shared" si="97"/>
        <v>0.13055051020408162</v>
      </c>
      <c r="Q408" s="10">
        <f t="shared" si="98"/>
        <v>2.719802295918367E-3</v>
      </c>
      <c r="R408" s="10">
        <f t="shared" si="99"/>
        <v>1.8856281365180333E-2</v>
      </c>
      <c r="S408" s="10">
        <f t="shared" si="100"/>
        <v>2.1576083661098699E-2</v>
      </c>
    </row>
    <row r="409" spans="1:19" x14ac:dyDescent="0.25">
      <c r="A409" s="5" t="s">
        <v>8</v>
      </c>
      <c r="B409" s="5" t="s">
        <v>206</v>
      </c>
      <c r="C409" s="5" t="s">
        <v>27</v>
      </c>
      <c r="D409" s="5" t="s">
        <v>385</v>
      </c>
      <c r="E409" s="5" t="s">
        <v>384</v>
      </c>
      <c r="F409" s="5" t="s">
        <v>45</v>
      </c>
      <c r="G409" s="5" t="s">
        <v>383</v>
      </c>
      <c r="H409" s="5" t="s">
        <v>84</v>
      </c>
      <c r="I409" s="5" t="s">
        <v>211</v>
      </c>
      <c r="J409" s="15">
        <v>1050</v>
      </c>
      <c r="K409" s="7">
        <v>20</v>
      </c>
      <c r="L409" s="7">
        <f t="shared" si="95"/>
        <v>52.5</v>
      </c>
      <c r="M409" s="5" t="s">
        <v>10</v>
      </c>
      <c r="N409" s="5">
        <v>4</v>
      </c>
      <c r="O409" s="6">
        <f t="shared" si="96"/>
        <v>1.8087890625</v>
      </c>
      <c r="P409" s="6">
        <f t="shared" si="97"/>
        <v>0.18811406249999996</v>
      </c>
      <c r="Q409" s="10">
        <f t="shared" si="98"/>
        <v>3.9190429687499997E-3</v>
      </c>
      <c r="R409" s="10">
        <f t="shared" si="99"/>
        <v>2.4799222591898096E-2</v>
      </c>
      <c r="S409" s="10">
        <f t="shared" si="100"/>
        <v>2.8718265560648097E-2</v>
      </c>
    </row>
    <row r="410" spans="1:19" x14ac:dyDescent="0.25">
      <c r="A410" s="5" t="s">
        <v>8</v>
      </c>
      <c r="B410" s="5" t="s">
        <v>204</v>
      </c>
      <c r="C410" s="5" t="s">
        <v>27</v>
      </c>
      <c r="D410" s="5" t="s">
        <v>385</v>
      </c>
      <c r="E410" s="5" t="s">
        <v>384</v>
      </c>
      <c r="F410" s="5" t="s">
        <v>45</v>
      </c>
      <c r="G410" s="5" t="s">
        <v>383</v>
      </c>
      <c r="H410" s="5" t="s">
        <v>84</v>
      </c>
      <c r="I410" s="5" t="s">
        <v>211</v>
      </c>
      <c r="J410" s="15">
        <v>1300</v>
      </c>
      <c r="K410" s="7">
        <v>31</v>
      </c>
      <c r="L410" s="7">
        <f t="shared" si="95"/>
        <v>41.935483870967744</v>
      </c>
      <c r="M410" s="5" t="s">
        <v>10</v>
      </c>
      <c r="N410" s="5">
        <v>4</v>
      </c>
      <c r="O410" s="6">
        <f t="shared" si="96"/>
        <v>1.4288501560874092</v>
      </c>
      <c r="P410" s="6">
        <f t="shared" si="97"/>
        <v>0.14860041623309053</v>
      </c>
      <c r="Q410" s="10">
        <f t="shared" si="98"/>
        <v>3.0958420048560532E-3</v>
      </c>
      <c r="R410" s="10">
        <f t="shared" si="99"/>
        <v>2.0779597893882982E-2</v>
      </c>
      <c r="S410" s="10">
        <f t="shared" si="100"/>
        <v>2.3875439898739036E-2</v>
      </c>
    </row>
    <row r="411" spans="1:19" x14ac:dyDescent="0.25">
      <c r="A411" s="5" t="s">
        <v>8</v>
      </c>
      <c r="B411" s="5" t="s">
        <v>192</v>
      </c>
      <c r="C411" s="5" t="s">
        <v>27</v>
      </c>
      <c r="D411" s="5" t="s">
        <v>385</v>
      </c>
      <c r="E411" s="5" t="s">
        <v>384</v>
      </c>
      <c r="F411" s="5" t="s">
        <v>45</v>
      </c>
      <c r="G411" s="5" t="s">
        <v>383</v>
      </c>
      <c r="H411" s="5" t="s">
        <v>84</v>
      </c>
      <c r="I411" s="5" t="s">
        <v>211</v>
      </c>
      <c r="J411" s="15">
        <v>1240</v>
      </c>
      <c r="K411" s="7">
        <v>33</v>
      </c>
      <c r="L411" s="7">
        <f t="shared" si="95"/>
        <v>37.575757575757578</v>
      </c>
      <c r="M411" s="5" t="s">
        <v>10</v>
      </c>
      <c r="N411" s="5">
        <v>4</v>
      </c>
      <c r="O411" s="6">
        <f t="shared" si="96"/>
        <v>1.0942516069788797</v>
      </c>
      <c r="P411" s="6">
        <f t="shared" si="97"/>
        <v>0.1138021671258035</v>
      </c>
      <c r="Q411" s="10">
        <f t="shared" si="98"/>
        <v>2.3708784817875728E-3</v>
      </c>
      <c r="R411" s="10">
        <f t="shared" si="99"/>
        <v>1.7011202684541326E-2</v>
      </c>
      <c r="S411" s="10">
        <f t="shared" si="100"/>
        <v>1.9382081166328897E-2</v>
      </c>
    </row>
    <row r="412" spans="1:19" x14ac:dyDescent="0.25">
      <c r="A412" s="5" t="s">
        <v>22</v>
      </c>
      <c r="B412" s="5" t="s">
        <v>63</v>
      </c>
      <c r="C412" s="5" t="s">
        <v>27</v>
      </c>
      <c r="D412" s="5" t="s">
        <v>385</v>
      </c>
      <c r="E412" s="5" t="s">
        <v>384</v>
      </c>
      <c r="F412" s="5" t="s">
        <v>45</v>
      </c>
      <c r="G412" s="5" t="s">
        <v>383</v>
      </c>
      <c r="H412" s="5" t="s">
        <v>86</v>
      </c>
      <c r="I412" s="5" t="s">
        <v>87</v>
      </c>
      <c r="J412" s="15">
        <v>1500</v>
      </c>
      <c r="K412" s="7">
        <v>36</v>
      </c>
      <c r="L412" s="7">
        <f t="shared" si="95"/>
        <v>41.666666666666664</v>
      </c>
      <c r="M412" s="5" t="s">
        <v>10</v>
      </c>
      <c r="N412" s="5">
        <v>4</v>
      </c>
      <c r="O412" s="6">
        <f t="shared" si="96"/>
        <v>1.6276041666666665</v>
      </c>
      <c r="P412" s="6">
        <f t="shared" si="97"/>
        <v>0.16927083333333331</v>
      </c>
      <c r="Q412" s="10">
        <f t="shared" si="98"/>
        <v>3.5264756944444441E-3</v>
      </c>
      <c r="R412" s="10">
        <f t="shared" si="99"/>
        <v>2.2911774118795719E-2</v>
      </c>
      <c r="S412" s="10">
        <f t="shared" si="100"/>
        <v>2.6438249813240163E-2</v>
      </c>
    </row>
    <row r="413" spans="1:19" x14ac:dyDescent="0.25">
      <c r="A413" s="5" t="s">
        <v>22</v>
      </c>
      <c r="B413" s="5" t="s">
        <v>63</v>
      </c>
      <c r="C413" s="5" t="s">
        <v>27</v>
      </c>
      <c r="D413" s="5" t="s">
        <v>385</v>
      </c>
      <c r="E413" s="5" t="s">
        <v>384</v>
      </c>
      <c r="F413" s="5" t="s">
        <v>45</v>
      </c>
      <c r="G413" s="5" t="s">
        <v>383</v>
      </c>
      <c r="H413" s="5" t="s">
        <v>88</v>
      </c>
      <c r="I413" s="5" t="s">
        <v>15</v>
      </c>
      <c r="J413" s="15">
        <v>1700</v>
      </c>
      <c r="K413" s="7">
        <v>22</v>
      </c>
      <c r="L413" s="7">
        <f t="shared" si="95"/>
        <v>77.272727272727266</v>
      </c>
      <c r="M413" s="5" t="s">
        <v>10</v>
      </c>
      <c r="N413" s="5">
        <v>4</v>
      </c>
      <c r="O413" s="6">
        <f t="shared" si="96"/>
        <v>6.344266528925619</v>
      </c>
      <c r="P413" s="6">
        <f t="shared" si="97"/>
        <v>0.65980371900826429</v>
      </c>
      <c r="Q413" s="10">
        <f t="shared" si="98"/>
        <v>1.3745910812672174E-2</v>
      </c>
      <c r="R413" s="10">
        <f t="shared" si="99"/>
        <v>6.3559897650201369E-2</v>
      </c>
      <c r="S413" s="10">
        <f t="shared" si="100"/>
        <v>7.7305808462873549E-2</v>
      </c>
    </row>
    <row r="414" spans="1:19" x14ac:dyDescent="0.25">
      <c r="A414" s="5" t="s">
        <v>22</v>
      </c>
      <c r="B414" s="5" t="s">
        <v>63</v>
      </c>
      <c r="C414" s="5" t="s">
        <v>27</v>
      </c>
      <c r="D414" s="5" t="s">
        <v>385</v>
      </c>
      <c r="E414" s="5" t="s">
        <v>384</v>
      </c>
      <c r="F414" s="5" t="s">
        <v>45</v>
      </c>
      <c r="G414" s="5" t="s">
        <v>383</v>
      </c>
      <c r="H414" s="5" t="s">
        <v>83</v>
      </c>
      <c r="I414" s="5" t="s">
        <v>62</v>
      </c>
      <c r="J414" s="15">
        <v>1300</v>
      </c>
      <c r="K414" s="7">
        <v>28</v>
      </c>
      <c r="L414" s="7">
        <f t="shared" si="95"/>
        <v>46.428571428571431</v>
      </c>
      <c r="M414" s="5" t="s">
        <v>10</v>
      </c>
      <c r="N414" s="5">
        <v>4</v>
      </c>
      <c r="O414" s="6">
        <f t="shared" si="96"/>
        <v>1.751434948979592</v>
      </c>
      <c r="P414" s="6">
        <f t="shared" si="97"/>
        <v>0.18214923469387756</v>
      </c>
      <c r="Q414" s="10">
        <f t="shared" si="98"/>
        <v>3.7947757227891157E-3</v>
      </c>
      <c r="R414" s="10">
        <f t="shared" si="99"/>
        <v>2.4207092683528889E-2</v>
      </c>
      <c r="S414" s="10">
        <f t="shared" si="100"/>
        <v>2.8001868406318006E-2</v>
      </c>
    </row>
    <row r="415" spans="1:19" x14ac:dyDescent="0.25">
      <c r="A415" s="5" t="s">
        <v>8</v>
      </c>
      <c r="B415" s="5" t="s">
        <v>339</v>
      </c>
      <c r="C415" s="5" t="s">
        <v>27</v>
      </c>
      <c r="D415" s="5" t="s">
        <v>385</v>
      </c>
      <c r="E415" s="5" t="s">
        <v>384</v>
      </c>
      <c r="F415" s="5" t="s">
        <v>45</v>
      </c>
      <c r="G415" s="5" t="s">
        <v>383</v>
      </c>
      <c r="H415" s="5" t="s">
        <v>83</v>
      </c>
      <c r="I415" s="5" t="s">
        <v>341</v>
      </c>
      <c r="J415" s="15">
        <v>1103</v>
      </c>
      <c r="K415" s="7">
        <v>27.5</v>
      </c>
      <c r="L415" s="7">
        <f t="shared" si="95"/>
        <v>40.109090909090909</v>
      </c>
      <c r="M415" s="5" t="s">
        <v>10</v>
      </c>
      <c r="N415" s="5">
        <v>4</v>
      </c>
      <c r="O415" s="6">
        <f t="shared" si="96"/>
        <v>1.109024567768595</v>
      </c>
      <c r="P415" s="6">
        <f t="shared" si="97"/>
        <v>0.11533855504793387</v>
      </c>
      <c r="Q415" s="10">
        <f t="shared" si="98"/>
        <v>2.4028865634986222E-3</v>
      </c>
      <c r="R415" s="10">
        <f t="shared" si="99"/>
        <v>1.7183158637034863E-2</v>
      </c>
      <c r="S415" s="10">
        <f t="shared" si="100"/>
        <v>1.9586045200533485E-2</v>
      </c>
    </row>
    <row r="416" spans="1:19" x14ac:dyDescent="0.25">
      <c r="A416" s="5" t="s">
        <v>8</v>
      </c>
      <c r="B416" s="5" t="s">
        <v>369</v>
      </c>
      <c r="C416" s="5" t="s">
        <v>27</v>
      </c>
      <c r="D416" s="5" t="s">
        <v>385</v>
      </c>
      <c r="E416" s="5" t="s">
        <v>384</v>
      </c>
      <c r="F416" s="5" t="s">
        <v>45</v>
      </c>
      <c r="G416" s="5" t="s">
        <v>383</v>
      </c>
      <c r="H416" s="5" t="s">
        <v>83</v>
      </c>
      <c r="I416" s="5" t="s">
        <v>341</v>
      </c>
      <c r="J416" s="15">
        <v>1260</v>
      </c>
      <c r="K416" s="7">
        <v>29.9</v>
      </c>
      <c r="L416" s="7">
        <f t="shared" si="95"/>
        <v>42.140468227424748</v>
      </c>
      <c r="M416" s="5" t="s">
        <v>10</v>
      </c>
      <c r="N416" s="5">
        <v>4</v>
      </c>
      <c r="O416" s="6">
        <f t="shared" si="96"/>
        <v>1.3984575116609432</v>
      </c>
      <c r="P416" s="6">
        <f t="shared" si="97"/>
        <v>0.14543958121273809</v>
      </c>
      <c r="Q416" s="10">
        <f t="shared" si="98"/>
        <v>3.029991275265377E-3</v>
      </c>
      <c r="R416" s="10">
        <f t="shared" si="99"/>
        <v>2.0447211129455776E-2</v>
      </c>
      <c r="S416" s="10">
        <f t="shared" si="100"/>
        <v>2.3477202404721152E-2</v>
      </c>
    </row>
    <row r="417" spans="1:19" x14ac:dyDescent="0.25">
      <c r="A417" s="5" t="s">
        <v>8</v>
      </c>
      <c r="B417" s="5" t="s">
        <v>339</v>
      </c>
      <c r="C417" s="5" t="s">
        <v>27</v>
      </c>
      <c r="D417" s="5" t="s">
        <v>385</v>
      </c>
      <c r="E417" s="5" t="s">
        <v>384</v>
      </c>
      <c r="F417" s="5" t="s">
        <v>45</v>
      </c>
      <c r="G417" s="5" t="s">
        <v>383</v>
      </c>
      <c r="H417" s="5" t="s">
        <v>83</v>
      </c>
      <c r="I417" s="5" t="s">
        <v>340</v>
      </c>
      <c r="J417" s="15">
        <v>1023</v>
      </c>
      <c r="K417" s="7">
        <v>26.4</v>
      </c>
      <c r="L417" s="7">
        <f t="shared" si="95"/>
        <v>38.75</v>
      </c>
      <c r="M417" s="5" t="s">
        <v>10</v>
      </c>
      <c r="N417" s="5">
        <v>4</v>
      </c>
      <c r="O417" s="6">
        <f t="shared" si="96"/>
        <v>0.96006152343749995</v>
      </c>
      <c r="P417" s="6">
        <f t="shared" si="97"/>
        <v>9.9846398437499997E-2</v>
      </c>
      <c r="Q417" s="10">
        <f t="shared" si="98"/>
        <v>2.0801333007812498E-3</v>
      </c>
      <c r="R417" s="10">
        <f t="shared" si="99"/>
        <v>1.5421315518521045E-2</v>
      </c>
      <c r="S417" s="10">
        <f t="shared" si="100"/>
        <v>1.7501448819302295E-2</v>
      </c>
    </row>
    <row r="418" spans="1:19" x14ac:dyDescent="0.25">
      <c r="A418" s="5" t="s">
        <v>8</v>
      </c>
      <c r="B418" s="5" t="s">
        <v>339</v>
      </c>
      <c r="C418" s="5" t="s">
        <v>27</v>
      </c>
      <c r="D418" s="5" t="s">
        <v>385</v>
      </c>
      <c r="E418" s="5" t="s">
        <v>384</v>
      </c>
      <c r="F418" s="5" t="s">
        <v>45</v>
      </c>
      <c r="G418" s="5" t="s">
        <v>383</v>
      </c>
      <c r="H418" s="5" t="s">
        <v>83</v>
      </c>
      <c r="I418" s="5" t="s">
        <v>340</v>
      </c>
      <c r="J418" s="15">
        <v>1009</v>
      </c>
      <c r="K418" s="7">
        <v>22.1</v>
      </c>
      <c r="L418" s="7">
        <f t="shared" si="95"/>
        <v>45.656108597285062</v>
      </c>
      <c r="M418" s="5" t="s">
        <v>10</v>
      </c>
      <c r="N418" s="5">
        <v>4</v>
      </c>
      <c r="O418" s="6">
        <f t="shared" si="96"/>
        <v>1.314525359073319</v>
      </c>
      <c r="P418" s="6">
        <f t="shared" si="97"/>
        <v>0.13671063734362518</v>
      </c>
      <c r="Q418" s="10">
        <f t="shared" si="98"/>
        <v>2.8481382779921914E-3</v>
      </c>
      <c r="R418" s="10">
        <f t="shared" si="99"/>
        <v>1.9519732008710461E-2</v>
      </c>
      <c r="S418" s="10">
        <f t="shared" si="100"/>
        <v>2.2367870286702653E-2</v>
      </c>
    </row>
    <row r="419" spans="1:19" x14ac:dyDescent="0.25">
      <c r="A419" s="5" t="s">
        <v>8</v>
      </c>
      <c r="B419" s="5" t="s">
        <v>369</v>
      </c>
      <c r="C419" s="5" t="s">
        <v>27</v>
      </c>
      <c r="D419" s="5" t="s">
        <v>385</v>
      </c>
      <c r="E419" s="5" t="s">
        <v>384</v>
      </c>
      <c r="F419" s="5" t="s">
        <v>45</v>
      </c>
      <c r="G419" s="5" t="s">
        <v>383</v>
      </c>
      <c r="H419" s="5" t="s">
        <v>83</v>
      </c>
      <c r="I419" s="5" t="s">
        <v>340</v>
      </c>
      <c r="J419" s="15">
        <v>1340</v>
      </c>
      <c r="K419" s="7">
        <v>36.5</v>
      </c>
      <c r="L419" s="7">
        <f t="shared" si="95"/>
        <v>36.712328767123289</v>
      </c>
      <c r="M419" s="5" t="s">
        <v>10</v>
      </c>
      <c r="N419" s="5">
        <v>4</v>
      </c>
      <c r="O419" s="6">
        <f t="shared" si="96"/>
        <v>1.1287783824357291</v>
      </c>
      <c r="P419" s="6">
        <f t="shared" si="97"/>
        <v>0.11739295177331582</v>
      </c>
      <c r="Q419" s="10">
        <f t="shared" si="98"/>
        <v>2.4456864952774131E-3</v>
      </c>
      <c r="R419" s="10">
        <f t="shared" si="99"/>
        <v>1.7412199601379269E-2</v>
      </c>
      <c r="S419" s="10">
        <f t="shared" si="100"/>
        <v>1.9857886096656681E-2</v>
      </c>
    </row>
    <row r="420" spans="1:19" x14ac:dyDescent="0.25">
      <c r="J420" s="16">
        <f>AVERAGE(J392:J419)</f>
        <v>1190.7142857142858</v>
      </c>
      <c r="K420" s="12">
        <f t="shared" ref="K420:S420" si="101">AVERAGE(K392:K419)</f>
        <v>26.95</v>
      </c>
      <c r="L420" s="12">
        <f t="shared" si="101"/>
        <v>44.906394423244798</v>
      </c>
      <c r="M420" s="11" t="e">
        <f t="shared" si="101"/>
        <v>#DIV/0!</v>
      </c>
      <c r="N420" s="11">
        <f t="shared" si="101"/>
        <v>4</v>
      </c>
      <c r="O420" s="13">
        <f t="shared" si="101"/>
        <v>1.5953448751358998</v>
      </c>
      <c r="P420" s="13">
        <f t="shared" si="101"/>
        <v>0.16591586701413358</v>
      </c>
      <c r="Q420" s="14">
        <f t="shared" si="101"/>
        <v>3.4565805627944485E-3</v>
      </c>
      <c r="R420" s="14">
        <f t="shared" si="101"/>
        <v>2.2069804031636359E-2</v>
      </c>
      <c r="S420" s="14">
        <f t="shared" si="101"/>
        <v>2.5526384594430795E-2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"/>
  <sheetViews>
    <sheetView topLeftCell="R1" workbookViewId="0">
      <pane ySplit="1" topLeftCell="A110" activePane="bottomLeft" state="frozen"/>
      <selection pane="bottomLeft" activeCell="T1" sqref="T1:AB1048576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386</v>
      </c>
      <c r="H2" s="5" t="s">
        <v>29</v>
      </c>
      <c r="I2" s="5" t="s">
        <v>23</v>
      </c>
      <c r="J2" s="15">
        <v>890</v>
      </c>
      <c r="K2" s="7">
        <v>19</v>
      </c>
      <c r="L2" s="7">
        <f>J2/K2</f>
        <v>46.842105263157897</v>
      </c>
      <c r="M2" s="5" t="s">
        <v>9</v>
      </c>
      <c r="N2" s="5">
        <v>4</v>
      </c>
      <c r="O2" s="6">
        <f>(J2*L2^2)/(1.6*10^6)</f>
        <v>1.2205141966759003</v>
      </c>
      <c r="P2" s="6">
        <f>(0.104*J2*L2^2)/(1.6*10^6)</f>
        <v>0.12693347645429362</v>
      </c>
      <c r="Q2" s="10">
        <f>(0.104*O2)/(12*N2)</f>
        <v>2.6444474261311172E-3</v>
      </c>
      <c r="R2" s="10">
        <f>0.0159*O2^0.75</f>
        <v>1.8463084224508496E-2</v>
      </c>
      <c r="S2" s="10">
        <f>Q2+R2</f>
        <v>2.1107531650639614E-2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386</v>
      </c>
      <c r="H3" s="5" t="s">
        <v>29</v>
      </c>
      <c r="I3" s="5" t="s">
        <v>13</v>
      </c>
      <c r="J3" s="15">
        <v>850</v>
      </c>
      <c r="K3" s="7">
        <v>13</v>
      </c>
      <c r="L3" s="7">
        <f>J3/K3</f>
        <v>65.384615384615387</v>
      </c>
      <c r="M3" s="5" t="s">
        <v>9</v>
      </c>
      <c r="N3" s="5">
        <v>4</v>
      </c>
      <c r="O3" s="6">
        <f>(J3*L3^2)/(1.6*10^6)</f>
        <v>2.2711723372781067</v>
      </c>
      <c r="P3" s="6">
        <f>(0.104*J3*L3^2)/(1.6*10^6)</f>
        <v>0.23620192307692309</v>
      </c>
      <c r="Q3" s="10">
        <f>(0.104*O3)/(12*N3)</f>
        <v>4.9208733974358976E-3</v>
      </c>
      <c r="R3" s="10">
        <f>0.0159*O3^0.75</f>
        <v>2.9416072803725764E-2</v>
      </c>
      <c r="S3" s="10">
        <f>Q3+R3</f>
        <v>3.4336946201161664E-2</v>
      </c>
    </row>
    <row r="4" spans="1:19" x14ac:dyDescent="0.25">
      <c r="J4" s="16">
        <f>AVERAGE(J2:J3)</f>
        <v>870</v>
      </c>
      <c r="K4" s="12">
        <f t="shared" ref="K4:S4" si="0">AVERAGE(K2:K3)</f>
        <v>16</v>
      </c>
      <c r="L4" s="12">
        <f t="shared" si="0"/>
        <v>56.113360323886639</v>
      </c>
      <c r="M4" s="11" t="e">
        <f t="shared" si="0"/>
        <v>#DIV/0!</v>
      </c>
      <c r="N4" s="11">
        <f t="shared" si="0"/>
        <v>4</v>
      </c>
      <c r="O4" s="13">
        <f t="shared" si="0"/>
        <v>1.7458432669770034</v>
      </c>
      <c r="P4" s="13">
        <f t="shared" si="0"/>
        <v>0.18156769976560835</v>
      </c>
      <c r="Q4" s="14">
        <f t="shared" si="0"/>
        <v>3.7826604117835077E-3</v>
      </c>
      <c r="R4" s="14">
        <f t="shared" si="0"/>
        <v>2.393957851411713E-2</v>
      </c>
      <c r="S4" s="14">
        <f t="shared" si="0"/>
        <v>2.7722238925900637E-2</v>
      </c>
    </row>
    <row r="5" spans="1:19" x14ac:dyDescent="0.25">
      <c r="A5" s="5" t="s">
        <v>22</v>
      </c>
      <c r="B5" s="5" t="s">
        <v>63</v>
      </c>
      <c r="C5" s="5" t="s">
        <v>27</v>
      </c>
      <c r="D5" s="5" t="s">
        <v>389</v>
      </c>
      <c r="E5" s="5" t="s">
        <v>388</v>
      </c>
      <c r="F5" s="5" t="s">
        <v>28</v>
      </c>
      <c r="G5" s="5" t="s">
        <v>398</v>
      </c>
      <c r="H5" s="5" t="s">
        <v>133</v>
      </c>
      <c r="I5" s="5" t="s">
        <v>25</v>
      </c>
      <c r="J5" s="15">
        <v>1900</v>
      </c>
      <c r="K5" s="7">
        <v>50</v>
      </c>
      <c r="L5" s="7">
        <f>J5/K5</f>
        <v>38</v>
      </c>
      <c r="M5" s="5" t="s">
        <v>9</v>
      </c>
      <c r="N5" s="5">
        <v>4</v>
      </c>
      <c r="O5" s="6">
        <f>(J5*L5^2)/(1.6*10^6)</f>
        <v>1.71475</v>
      </c>
      <c r="P5" s="6">
        <f>(0.104*J5*L5^2)/(1.6*10^6)</f>
        <v>0.17833399999999996</v>
      </c>
      <c r="Q5" s="10">
        <f>(0.104*O5)/(12*N5)</f>
        <v>3.7152916666666667E-3</v>
      </c>
      <c r="R5" s="10">
        <f>0.0159*O5^0.75</f>
        <v>2.3825813226263679E-2</v>
      </c>
      <c r="S5" s="10">
        <f>Q5+R5</f>
        <v>2.7541104892930345E-2</v>
      </c>
    </row>
    <row r="7" spans="1:19" x14ac:dyDescent="0.25">
      <c r="A7" s="5" t="s">
        <v>8</v>
      </c>
      <c r="B7" s="5" t="s">
        <v>277</v>
      </c>
      <c r="C7" s="5" t="s">
        <v>27</v>
      </c>
      <c r="D7" s="5" t="s">
        <v>385</v>
      </c>
      <c r="E7" s="5" t="s">
        <v>387</v>
      </c>
      <c r="F7" s="5" t="s">
        <v>52</v>
      </c>
      <c r="G7" s="5" t="s">
        <v>386</v>
      </c>
      <c r="H7" s="5" t="s">
        <v>58</v>
      </c>
      <c r="I7" s="5" t="s">
        <v>278</v>
      </c>
      <c r="J7" s="15">
        <v>1640</v>
      </c>
      <c r="K7" s="7">
        <v>34.5</v>
      </c>
      <c r="L7" s="7">
        <f t="shared" ref="L7:L27" si="1">J7/K7</f>
        <v>47.536231884057969</v>
      </c>
      <c r="M7" s="5" t="s">
        <v>9</v>
      </c>
      <c r="N7" s="5">
        <v>4</v>
      </c>
      <c r="O7" s="6">
        <f t="shared" ref="O7:O27" si="2">(J7*L7^2)/(1.6*10^6)</f>
        <v>2.316185675278303</v>
      </c>
      <c r="P7" s="6">
        <f t="shared" ref="P7:P27" si="3">(0.104*J7*L7^2)/(1.6*10^6)</f>
        <v>0.24088331022894349</v>
      </c>
      <c r="Q7" s="10">
        <f t="shared" ref="Q7:Q27" si="4">(0.104*O7)/(12*N7)</f>
        <v>5.0184022964363225E-3</v>
      </c>
      <c r="R7" s="10">
        <f t="shared" ref="R7:R27" si="5">0.0159*O7^0.75</f>
        <v>2.9852255693463999E-2</v>
      </c>
      <c r="S7" s="10">
        <f t="shared" ref="S7:S27" si="6">Q7+R7</f>
        <v>3.4870657989900321E-2</v>
      </c>
    </row>
    <row r="8" spans="1:19" x14ac:dyDescent="0.25">
      <c r="A8" s="5" t="s">
        <v>8</v>
      </c>
      <c r="B8" s="5" t="s">
        <v>291</v>
      </c>
      <c r="C8" s="5" t="s">
        <v>27</v>
      </c>
      <c r="D8" s="5" t="s">
        <v>385</v>
      </c>
      <c r="E8" s="5" t="s">
        <v>387</v>
      </c>
      <c r="F8" s="5" t="s">
        <v>52</v>
      </c>
      <c r="G8" s="5" t="s">
        <v>386</v>
      </c>
      <c r="H8" s="5" t="s">
        <v>58</v>
      </c>
      <c r="I8" s="5" t="s">
        <v>278</v>
      </c>
      <c r="J8" s="15">
        <v>1650</v>
      </c>
      <c r="K8" s="7">
        <v>36.5</v>
      </c>
      <c r="L8" s="7">
        <f t="shared" si="1"/>
        <v>45.205479452054796</v>
      </c>
      <c r="M8" s="5" t="s">
        <v>9</v>
      </c>
      <c r="N8" s="5">
        <v>4</v>
      </c>
      <c r="O8" s="6">
        <f t="shared" si="2"/>
        <v>2.1073958528804653</v>
      </c>
      <c r="P8" s="6">
        <f t="shared" si="3"/>
        <v>0.2191691686995684</v>
      </c>
      <c r="Q8" s="10">
        <f t="shared" si="4"/>
        <v>4.5660243479076741E-3</v>
      </c>
      <c r="R8" s="10">
        <f t="shared" si="5"/>
        <v>2.7810366682914086E-2</v>
      </c>
      <c r="S8" s="10">
        <f t="shared" si="6"/>
        <v>3.2376391030821759E-2</v>
      </c>
    </row>
    <row r="9" spans="1:19" x14ac:dyDescent="0.25">
      <c r="A9" s="5" t="s">
        <v>8</v>
      </c>
      <c r="B9" s="5" t="s">
        <v>291</v>
      </c>
      <c r="C9" s="5" t="s">
        <v>27</v>
      </c>
      <c r="D9" s="5" t="s">
        <v>385</v>
      </c>
      <c r="E9" s="5" t="s">
        <v>387</v>
      </c>
      <c r="F9" s="5" t="s">
        <v>52</v>
      </c>
      <c r="G9" s="5" t="s">
        <v>386</v>
      </c>
      <c r="H9" s="5" t="s">
        <v>58</v>
      </c>
      <c r="I9" s="5" t="s">
        <v>257</v>
      </c>
      <c r="J9" s="15">
        <v>3200</v>
      </c>
      <c r="K9" s="7">
        <v>50</v>
      </c>
      <c r="L9" s="7">
        <f t="shared" si="1"/>
        <v>64</v>
      </c>
      <c r="M9" s="5" t="s">
        <v>9</v>
      </c>
      <c r="N9" s="5">
        <v>4</v>
      </c>
      <c r="O9" s="6">
        <f t="shared" si="2"/>
        <v>8.1920000000000002</v>
      </c>
      <c r="P9" s="6">
        <f t="shared" si="3"/>
        <v>0.85196800000000006</v>
      </c>
      <c r="Q9" s="10">
        <f t="shared" si="4"/>
        <v>1.7749333333333332E-2</v>
      </c>
      <c r="R9" s="10">
        <f t="shared" si="5"/>
        <v>7.6990932905730558E-2</v>
      </c>
      <c r="S9" s="10">
        <f t="shared" si="6"/>
        <v>9.4740266239063897E-2</v>
      </c>
    </row>
    <row r="10" spans="1:19" x14ac:dyDescent="0.25">
      <c r="A10" s="5" t="s">
        <v>8</v>
      </c>
      <c r="B10" s="5" t="s">
        <v>291</v>
      </c>
      <c r="C10" s="5" t="s">
        <v>27</v>
      </c>
      <c r="D10" s="5" t="s">
        <v>385</v>
      </c>
      <c r="E10" s="5" t="s">
        <v>387</v>
      </c>
      <c r="F10" s="5" t="s">
        <v>52</v>
      </c>
      <c r="G10" s="5" t="s">
        <v>386</v>
      </c>
      <c r="H10" s="5" t="s">
        <v>58</v>
      </c>
      <c r="I10" s="5" t="s">
        <v>292</v>
      </c>
      <c r="J10" s="15">
        <v>2200</v>
      </c>
      <c r="K10" s="7">
        <v>30.5</v>
      </c>
      <c r="L10" s="7">
        <f t="shared" si="1"/>
        <v>72.131147540983605</v>
      </c>
      <c r="M10" s="5" t="s">
        <v>9</v>
      </c>
      <c r="N10" s="5">
        <v>4</v>
      </c>
      <c r="O10" s="6">
        <f t="shared" si="2"/>
        <v>7.153990862671324</v>
      </c>
      <c r="P10" s="6">
        <f t="shared" si="3"/>
        <v>0.74401504971781773</v>
      </c>
      <c r="Q10" s="10">
        <f t="shared" si="4"/>
        <v>1.5500313535787867E-2</v>
      </c>
      <c r="R10" s="10">
        <f t="shared" si="5"/>
        <v>6.9551805788942461E-2</v>
      </c>
      <c r="S10" s="10">
        <f t="shared" si="6"/>
        <v>8.5052119324730335E-2</v>
      </c>
    </row>
    <row r="11" spans="1:19" x14ac:dyDescent="0.25">
      <c r="A11" s="5" t="s">
        <v>22</v>
      </c>
      <c r="B11" s="5" t="s">
        <v>26</v>
      </c>
      <c r="C11" s="5" t="s">
        <v>27</v>
      </c>
      <c r="D11" s="5" t="s">
        <v>385</v>
      </c>
      <c r="E11" s="5" t="s">
        <v>387</v>
      </c>
      <c r="F11" s="5" t="s">
        <v>52</v>
      </c>
      <c r="G11" s="5" t="s">
        <v>386</v>
      </c>
      <c r="H11" s="5" t="s">
        <v>58</v>
      </c>
      <c r="I11" s="5" t="s">
        <v>59</v>
      </c>
      <c r="J11" s="15">
        <v>1650</v>
      </c>
      <c r="K11" s="7">
        <v>33</v>
      </c>
      <c r="L11" s="7">
        <f t="shared" si="1"/>
        <v>50</v>
      </c>
      <c r="M11" s="5" t="s">
        <v>9</v>
      </c>
      <c r="N11" s="5">
        <v>4</v>
      </c>
      <c r="O11" s="6">
        <f t="shared" si="2"/>
        <v>2.578125</v>
      </c>
      <c r="P11" s="6">
        <f t="shared" si="3"/>
        <v>0.268125</v>
      </c>
      <c r="Q11" s="10">
        <f t="shared" si="4"/>
        <v>5.5859374999999998E-3</v>
      </c>
      <c r="R11" s="10">
        <f t="shared" si="5"/>
        <v>3.2350060856390632E-2</v>
      </c>
      <c r="S11" s="10">
        <f t="shared" si="6"/>
        <v>3.7935998356390631E-2</v>
      </c>
    </row>
    <row r="12" spans="1:19" x14ac:dyDescent="0.25">
      <c r="A12" s="5" t="s">
        <v>8</v>
      </c>
      <c r="B12" s="5" t="s">
        <v>291</v>
      </c>
      <c r="C12" s="5" t="s">
        <v>27</v>
      </c>
      <c r="D12" s="5" t="s">
        <v>385</v>
      </c>
      <c r="E12" s="5" t="s">
        <v>387</v>
      </c>
      <c r="F12" s="5" t="s">
        <v>52</v>
      </c>
      <c r="G12" s="5" t="s">
        <v>386</v>
      </c>
      <c r="H12" s="5" t="s">
        <v>58</v>
      </c>
      <c r="I12" s="5" t="s">
        <v>59</v>
      </c>
      <c r="J12" s="15">
        <v>1650</v>
      </c>
      <c r="K12" s="7">
        <v>33</v>
      </c>
      <c r="L12" s="7">
        <f t="shared" si="1"/>
        <v>50</v>
      </c>
      <c r="M12" s="5" t="s">
        <v>9</v>
      </c>
      <c r="N12" s="5">
        <v>4</v>
      </c>
      <c r="O12" s="6">
        <f t="shared" si="2"/>
        <v>2.578125</v>
      </c>
      <c r="P12" s="6">
        <f t="shared" si="3"/>
        <v>0.268125</v>
      </c>
      <c r="Q12" s="10">
        <f t="shared" si="4"/>
        <v>5.5859374999999998E-3</v>
      </c>
      <c r="R12" s="10">
        <f t="shared" si="5"/>
        <v>3.2350060856390632E-2</v>
      </c>
      <c r="S12" s="10">
        <f t="shared" si="6"/>
        <v>3.7935998356390631E-2</v>
      </c>
    </row>
    <row r="13" spans="1:19" x14ac:dyDescent="0.25">
      <c r="A13" s="5" t="s">
        <v>8</v>
      </c>
      <c r="B13" s="5" t="s">
        <v>291</v>
      </c>
      <c r="C13" s="5" t="s">
        <v>27</v>
      </c>
      <c r="D13" s="5" t="s">
        <v>385</v>
      </c>
      <c r="E13" s="5" t="s">
        <v>387</v>
      </c>
      <c r="F13" s="5" t="s">
        <v>52</v>
      </c>
      <c r="G13" s="5" t="s">
        <v>386</v>
      </c>
      <c r="H13" s="5" t="s">
        <v>58</v>
      </c>
      <c r="I13" s="5" t="s">
        <v>59</v>
      </c>
      <c r="J13" s="15">
        <v>1650</v>
      </c>
      <c r="K13" s="7">
        <v>28</v>
      </c>
      <c r="L13" s="7">
        <f t="shared" si="1"/>
        <v>58.928571428571431</v>
      </c>
      <c r="M13" s="5" t="s">
        <v>9</v>
      </c>
      <c r="N13" s="5">
        <v>4</v>
      </c>
      <c r="O13" s="6">
        <f t="shared" si="2"/>
        <v>3.581094547193878</v>
      </c>
      <c r="P13" s="6">
        <f t="shared" si="3"/>
        <v>0.37243383290816329</v>
      </c>
      <c r="Q13" s="10">
        <f t="shared" si="4"/>
        <v>7.7590381855867354E-3</v>
      </c>
      <c r="R13" s="10">
        <f t="shared" si="5"/>
        <v>4.1391290283335047E-2</v>
      </c>
      <c r="S13" s="10">
        <f t="shared" si="6"/>
        <v>4.9150328468921783E-2</v>
      </c>
    </row>
    <row r="14" spans="1:19" x14ac:dyDescent="0.25">
      <c r="A14" s="5" t="s">
        <v>8</v>
      </c>
      <c r="B14" s="5" t="s">
        <v>291</v>
      </c>
      <c r="C14" s="5" t="s">
        <v>27</v>
      </c>
      <c r="D14" s="5" t="s">
        <v>385</v>
      </c>
      <c r="E14" s="5" t="s">
        <v>387</v>
      </c>
      <c r="F14" s="5" t="s">
        <v>52</v>
      </c>
      <c r="G14" s="5" t="s">
        <v>386</v>
      </c>
      <c r="H14" s="5" t="s">
        <v>58</v>
      </c>
      <c r="I14" s="5" t="s">
        <v>59</v>
      </c>
      <c r="J14" s="15">
        <v>1650</v>
      </c>
      <c r="K14" s="7">
        <v>21</v>
      </c>
      <c r="L14" s="7">
        <f t="shared" si="1"/>
        <v>78.571428571428569</v>
      </c>
      <c r="M14" s="5" t="s">
        <v>9</v>
      </c>
      <c r="N14" s="5">
        <v>4</v>
      </c>
      <c r="O14" s="6">
        <f t="shared" si="2"/>
        <v>6.3663903061224483</v>
      </c>
      <c r="P14" s="6">
        <f t="shared" si="3"/>
        <v>0.66210459183673465</v>
      </c>
      <c r="Q14" s="10">
        <f t="shared" si="4"/>
        <v>1.3793845663265303E-2</v>
      </c>
      <c r="R14" s="10">
        <f t="shared" si="5"/>
        <v>6.3726060232505155E-2</v>
      </c>
      <c r="S14" s="10">
        <f t="shared" si="6"/>
        <v>7.7519905895770458E-2</v>
      </c>
    </row>
    <row r="15" spans="1:19" x14ac:dyDescent="0.25">
      <c r="A15" s="5" t="s">
        <v>8</v>
      </c>
      <c r="B15" s="5" t="s">
        <v>291</v>
      </c>
      <c r="C15" s="5" t="s">
        <v>27</v>
      </c>
      <c r="D15" s="5" t="s">
        <v>385</v>
      </c>
      <c r="E15" s="5" t="s">
        <v>387</v>
      </c>
      <c r="F15" s="5" t="s">
        <v>52</v>
      </c>
      <c r="G15" s="5" t="s">
        <v>386</v>
      </c>
      <c r="H15" s="5" t="s">
        <v>58</v>
      </c>
      <c r="I15" s="5" t="s">
        <v>59</v>
      </c>
      <c r="J15" s="15">
        <v>1800</v>
      </c>
      <c r="K15" s="7">
        <v>35.5</v>
      </c>
      <c r="L15" s="7">
        <f t="shared" si="1"/>
        <v>50.70422535211268</v>
      </c>
      <c r="M15" s="5" t="s">
        <v>9</v>
      </c>
      <c r="N15" s="5">
        <v>4</v>
      </c>
      <c r="O15" s="6">
        <f t="shared" si="2"/>
        <v>2.8922832771275542</v>
      </c>
      <c r="P15" s="6">
        <f t="shared" si="3"/>
        <v>0.30079746082126563</v>
      </c>
      <c r="Q15" s="10">
        <f t="shared" si="4"/>
        <v>6.2666137671097003E-3</v>
      </c>
      <c r="R15" s="10">
        <f t="shared" si="5"/>
        <v>3.526368912472827E-2</v>
      </c>
      <c r="S15" s="10">
        <f t="shared" si="6"/>
        <v>4.153030289183797E-2</v>
      </c>
    </row>
    <row r="16" spans="1:19" x14ac:dyDescent="0.25">
      <c r="A16" s="5" t="s">
        <v>8</v>
      </c>
      <c r="B16" s="5" t="s">
        <v>319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59</v>
      </c>
      <c r="J16" s="15">
        <v>1850</v>
      </c>
      <c r="K16" s="7">
        <v>35</v>
      </c>
      <c r="L16" s="7">
        <f t="shared" si="1"/>
        <v>52.857142857142854</v>
      </c>
      <c r="M16" s="5" t="s">
        <v>9</v>
      </c>
      <c r="N16" s="5">
        <v>4</v>
      </c>
      <c r="O16" s="6">
        <f t="shared" si="2"/>
        <v>3.2304209183673462</v>
      </c>
      <c r="P16" s="6">
        <f t="shared" si="3"/>
        <v>0.33596377551020401</v>
      </c>
      <c r="Q16" s="10">
        <f t="shared" si="4"/>
        <v>6.9992453231292502E-3</v>
      </c>
      <c r="R16" s="10">
        <f t="shared" si="5"/>
        <v>3.8312585381453851E-2</v>
      </c>
      <c r="S16" s="10">
        <f t="shared" si="6"/>
        <v>4.5311830704583098E-2</v>
      </c>
    </row>
    <row r="17" spans="1:19" x14ac:dyDescent="0.25">
      <c r="A17" s="5" t="s">
        <v>8</v>
      </c>
      <c r="B17" s="5" t="s">
        <v>291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295</v>
      </c>
      <c r="J17" s="15">
        <v>2000</v>
      </c>
      <c r="K17" s="7">
        <v>35</v>
      </c>
      <c r="L17" s="7">
        <f t="shared" si="1"/>
        <v>57.142857142857146</v>
      </c>
      <c r="M17" s="5" t="s">
        <v>9</v>
      </c>
      <c r="N17" s="5">
        <v>4</v>
      </c>
      <c r="O17" s="6">
        <f t="shared" si="2"/>
        <v>4.0816326530612246</v>
      </c>
      <c r="P17" s="6">
        <f t="shared" si="3"/>
        <v>0.42448979591836739</v>
      </c>
      <c r="Q17" s="10">
        <f t="shared" si="4"/>
        <v>8.8435374149659855E-3</v>
      </c>
      <c r="R17" s="10">
        <f t="shared" si="5"/>
        <v>4.5658596864765109E-2</v>
      </c>
      <c r="S17" s="10">
        <f t="shared" si="6"/>
        <v>5.4502134279731093E-2</v>
      </c>
    </row>
    <row r="18" spans="1:19" x14ac:dyDescent="0.25">
      <c r="A18" s="5" t="s">
        <v>22</v>
      </c>
      <c r="B18" s="5" t="s">
        <v>26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60</v>
      </c>
      <c r="J18" s="15">
        <v>2050</v>
      </c>
      <c r="K18" s="7">
        <v>33.5</v>
      </c>
      <c r="L18" s="7">
        <f t="shared" si="1"/>
        <v>61.194029850746269</v>
      </c>
      <c r="M18" s="5" t="s">
        <v>9</v>
      </c>
      <c r="N18" s="5">
        <v>4</v>
      </c>
      <c r="O18" s="6">
        <f t="shared" si="2"/>
        <v>4.7979087770104698</v>
      </c>
      <c r="P18" s="6">
        <f t="shared" si="3"/>
        <v>0.4989825128090889</v>
      </c>
      <c r="Q18" s="10">
        <f t="shared" si="4"/>
        <v>1.0395469016856018E-2</v>
      </c>
      <c r="R18" s="10">
        <f t="shared" si="5"/>
        <v>5.1544948987063487E-2</v>
      </c>
      <c r="S18" s="10">
        <f t="shared" si="6"/>
        <v>6.1940418003919501E-2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60</v>
      </c>
      <c r="J19" s="15">
        <v>1900</v>
      </c>
      <c r="K19" s="7">
        <v>30</v>
      </c>
      <c r="L19" s="7">
        <f t="shared" si="1"/>
        <v>63.333333333333336</v>
      </c>
      <c r="M19" s="5" t="s">
        <v>9</v>
      </c>
      <c r="N19" s="5">
        <v>4</v>
      </c>
      <c r="O19" s="6">
        <f t="shared" si="2"/>
        <v>4.7631944444444452</v>
      </c>
      <c r="P19" s="6">
        <f t="shared" si="3"/>
        <v>0.49537222222222227</v>
      </c>
      <c r="Q19" s="10">
        <f t="shared" si="4"/>
        <v>1.0320254629629631E-2</v>
      </c>
      <c r="R19" s="10">
        <f t="shared" si="5"/>
        <v>5.1264987686204244E-2</v>
      </c>
      <c r="S19" s="10">
        <f t="shared" si="6"/>
        <v>6.1585242315833871E-2</v>
      </c>
    </row>
    <row r="20" spans="1:19" x14ac:dyDescent="0.25">
      <c r="A20" s="5" t="s">
        <v>8</v>
      </c>
      <c r="B20" s="5" t="s">
        <v>291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60</v>
      </c>
      <c r="J20" s="15">
        <v>2050</v>
      </c>
      <c r="K20" s="7">
        <v>33.5</v>
      </c>
      <c r="L20" s="7">
        <f t="shared" si="1"/>
        <v>61.194029850746269</v>
      </c>
      <c r="M20" s="5" t="s">
        <v>9</v>
      </c>
      <c r="N20" s="5">
        <v>4</v>
      </c>
      <c r="O20" s="6">
        <f t="shared" si="2"/>
        <v>4.7979087770104698</v>
      </c>
      <c r="P20" s="6">
        <f t="shared" si="3"/>
        <v>0.4989825128090889</v>
      </c>
      <c r="Q20" s="10">
        <f t="shared" si="4"/>
        <v>1.0395469016856018E-2</v>
      </c>
      <c r="R20" s="10">
        <f t="shared" si="5"/>
        <v>5.1544948987063487E-2</v>
      </c>
      <c r="S20" s="10">
        <f t="shared" si="6"/>
        <v>6.1940418003919501E-2</v>
      </c>
    </row>
    <row r="21" spans="1:19" x14ac:dyDescent="0.25">
      <c r="A21" s="5" t="s">
        <v>22</v>
      </c>
      <c r="B21" s="5" t="s">
        <v>26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61</v>
      </c>
      <c r="J21" s="15">
        <v>2550</v>
      </c>
      <c r="K21" s="7">
        <v>35</v>
      </c>
      <c r="L21" s="7">
        <f t="shared" si="1"/>
        <v>72.857142857142861</v>
      </c>
      <c r="M21" s="5" t="s">
        <v>9</v>
      </c>
      <c r="N21" s="5">
        <v>4</v>
      </c>
      <c r="O21" s="6">
        <f t="shared" si="2"/>
        <v>8.459885204081635</v>
      </c>
      <c r="P21" s="6">
        <f t="shared" si="3"/>
        <v>0.87982806122448998</v>
      </c>
      <c r="Q21" s="10">
        <f t="shared" si="4"/>
        <v>1.8329751275510207E-2</v>
      </c>
      <c r="R21" s="10">
        <f t="shared" si="5"/>
        <v>7.8871568346940854E-2</v>
      </c>
      <c r="S21" s="10">
        <f t="shared" si="6"/>
        <v>9.7201319622451057E-2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61</v>
      </c>
      <c r="J22" s="15">
        <v>2600</v>
      </c>
      <c r="K22" s="7">
        <v>35</v>
      </c>
      <c r="L22" s="7">
        <f t="shared" si="1"/>
        <v>74.285714285714292</v>
      </c>
      <c r="M22" s="5" t="s">
        <v>9</v>
      </c>
      <c r="N22" s="5">
        <v>4</v>
      </c>
      <c r="O22" s="6">
        <f t="shared" si="2"/>
        <v>8.9673469387755116</v>
      </c>
      <c r="P22" s="6">
        <f t="shared" si="3"/>
        <v>0.93260408163265329</v>
      </c>
      <c r="Q22" s="10">
        <f t="shared" si="4"/>
        <v>1.9429251700680276E-2</v>
      </c>
      <c r="R22" s="10">
        <f t="shared" si="5"/>
        <v>8.2393908285298398E-2</v>
      </c>
      <c r="S22" s="10">
        <f t="shared" si="6"/>
        <v>0.10182315998597867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61</v>
      </c>
      <c r="J23" s="15">
        <v>2350</v>
      </c>
      <c r="K23" s="7">
        <v>30</v>
      </c>
      <c r="L23" s="7">
        <f t="shared" si="1"/>
        <v>78.333333333333329</v>
      </c>
      <c r="M23" s="5" t="s">
        <v>9</v>
      </c>
      <c r="N23" s="5">
        <v>4</v>
      </c>
      <c r="O23" s="6">
        <f t="shared" si="2"/>
        <v>9.0124131944444432</v>
      </c>
      <c r="P23" s="6">
        <f t="shared" si="3"/>
        <v>0.93729097222222202</v>
      </c>
      <c r="Q23" s="10">
        <f t="shared" si="4"/>
        <v>1.9526895254629625E-2</v>
      </c>
      <c r="R23" s="10">
        <f t="shared" si="5"/>
        <v>8.2704272421860542E-2</v>
      </c>
      <c r="S23" s="10">
        <f t="shared" si="6"/>
        <v>0.10223116767649017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61</v>
      </c>
      <c r="J24" s="15">
        <v>2600</v>
      </c>
      <c r="K24" s="7">
        <v>30</v>
      </c>
      <c r="L24" s="7">
        <f t="shared" si="1"/>
        <v>86.666666666666671</v>
      </c>
      <c r="M24" s="5" t="s">
        <v>9</v>
      </c>
      <c r="N24" s="5">
        <v>4</v>
      </c>
      <c r="O24" s="6">
        <f t="shared" si="2"/>
        <v>12.205555555555557</v>
      </c>
      <c r="P24" s="6">
        <f t="shared" si="3"/>
        <v>1.2693777777777777</v>
      </c>
      <c r="Q24" s="10">
        <f t="shared" si="4"/>
        <v>2.6445370370370373E-2</v>
      </c>
      <c r="R24" s="10">
        <f t="shared" si="5"/>
        <v>0.10382819119660902</v>
      </c>
      <c r="S24" s="10">
        <f t="shared" si="6"/>
        <v>0.13027356156697939</v>
      </c>
    </row>
    <row r="25" spans="1:19" x14ac:dyDescent="0.25">
      <c r="A25" s="5" t="s">
        <v>8</v>
      </c>
      <c r="B25" s="5" t="s">
        <v>291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61</v>
      </c>
      <c r="J25" s="15">
        <v>2550</v>
      </c>
      <c r="K25" s="7">
        <v>35</v>
      </c>
      <c r="L25" s="7">
        <f t="shared" si="1"/>
        <v>72.857142857142861</v>
      </c>
      <c r="M25" s="5" t="s">
        <v>9</v>
      </c>
      <c r="N25" s="5">
        <v>4</v>
      </c>
      <c r="O25" s="6">
        <f t="shared" si="2"/>
        <v>8.459885204081635</v>
      </c>
      <c r="P25" s="6">
        <f t="shared" si="3"/>
        <v>0.87982806122448998</v>
      </c>
      <c r="Q25" s="10">
        <f t="shared" si="4"/>
        <v>1.8329751275510207E-2</v>
      </c>
      <c r="R25" s="10">
        <f t="shared" si="5"/>
        <v>7.8871568346940854E-2</v>
      </c>
      <c r="S25" s="10">
        <f t="shared" si="6"/>
        <v>9.7201319622451057E-2</v>
      </c>
    </row>
    <row r="26" spans="1:19" x14ac:dyDescent="0.25">
      <c r="A26" s="5" t="s">
        <v>8</v>
      </c>
      <c r="B26" s="5" t="s">
        <v>319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61</v>
      </c>
      <c r="J26" s="15">
        <v>2400</v>
      </c>
      <c r="K26" s="7">
        <v>30</v>
      </c>
      <c r="L26" s="7">
        <f t="shared" si="1"/>
        <v>80</v>
      </c>
      <c r="M26" s="5" t="s">
        <v>9</v>
      </c>
      <c r="N26" s="5">
        <v>4</v>
      </c>
      <c r="O26" s="6">
        <f t="shared" si="2"/>
        <v>9.6</v>
      </c>
      <c r="P26" s="6">
        <f t="shared" si="3"/>
        <v>0.99839999999999995</v>
      </c>
      <c r="Q26" s="10">
        <f t="shared" si="4"/>
        <v>2.0799999999999999E-2</v>
      </c>
      <c r="R26" s="10">
        <f t="shared" si="5"/>
        <v>8.671626204879955E-2</v>
      </c>
      <c r="S26" s="10">
        <f t="shared" si="6"/>
        <v>0.10751626204879955</v>
      </c>
    </row>
    <row r="27" spans="1:19" x14ac:dyDescent="0.25">
      <c r="A27" s="5" t="s">
        <v>22</v>
      </c>
      <c r="B27" s="5" t="s">
        <v>63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97</v>
      </c>
      <c r="I27" s="5" t="s">
        <v>61</v>
      </c>
      <c r="J27" s="15">
        <v>2600</v>
      </c>
      <c r="K27" s="7">
        <v>35</v>
      </c>
      <c r="L27" s="7">
        <f t="shared" si="1"/>
        <v>74.285714285714292</v>
      </c>
      <c r="M27" s="5" t="s">
        <v>9</v>
      </c>
      <c r="N27" s="5">
        <v>4</v>
      </c>
      <c r="O27" s="6">
        <f t="shared" si="2"/>
        <v>8.9673469387755116</v>
      </c>
      <c r="P27" s="6">
        <f t="shared" si="3"/>
        <v>0.93260408163265329</v>
      </c>
      <c r="Q27" s="10">
        <f t="shared" si="4"/>
        <v>1.9429251700680276E-2</v>
      </c>
      <c r="R27" s="10">
        <f t="shared" si="5"/>
        <v>8.2393908285298398E-2</v>
      </c>
      <c r="S27" s="10">
        <f t="shared" si="6"/>
        <v>0.10182315998597867</v>
      </c>
    </row>
    <row r="28" spans="1:19" x14ac:dyDescent="0.25">
      <c r="J28" s="16">
        <f>AVERAGE(J7:J27)</f>
        <v>2123.3333333333335</v>
      </c>
      <c r="K28" s="12">
        <f t="shared" ref="K28:S28" si="7">AVERAGE(K7:K27)</f>
        <v>33.285714285714285</v>
      </c>
      <c r="L28" s="12">
        <f t="shared" si="7"/>
        <v>64.384961502369009</v>
      </c>
      <c r="M28" s="11" t="e">
        <f t="shared" si="7"/>
        <v>#DIV/0!</v>
      </c>
      <c r="N28" s="11">
        <f t="shared" si="7"/>
        <v>4</v>
      </c>
      <c r="O28" s="13">
        <f t="shared" si="7"/>
        <v>5.9575756727086766</v>
      </c>
      <c r="P28" s="13">
        <f t="shared" si="7"/>
        <v>0.61958786996170256</v>
      </c>
      <c r="Q28" s="14">
        <f t="shared" si="7"/>
        <v>1.2908080624202133E-2</v>
      </c>
      <c r="R28" s="14">
        <f t="shared" si="7"/>
        <v>5.9209155679176124E-2</v>
      </c>
      <c r="S28" s="14">
        <f t="shared" si="7"/>
        <v>7.2117236303378254E-2</v>
      </c>
    </row>
    <row r="29" spans="1:19" x14ac:dyDescent="0.25">
      <c r="A29" s="5" t="s">
        <v>8</v>
      </c>
      <c r="B29" s="5" t="s">
        <v>287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102</v>
      </c>
      <c r="I29" s="5" t="s">
        <v>218</v>
      </c>
      <c r="J29" s="15">
        <v>2300</v>
      </c>
      <c r="K29" s="7">
        <v>35.700000000000003</v>
      </c>
      <c r="L29" s="7">
        <f>J29/K29</f>
        <v>64.425770308123248</v>
      </c>
      <c r="M29" s="5" t="s">
        <v>9</v>
      </c>
      <c r="N29" s="5">
        <v>4</v>
      </c>
      <c r="O29" s="6">
        <f>(J29*L29^2)/(1.6*10^6)</f>
        <v>5.9666023272053916</v>
      </c>
      <c r="P29" s="6">
        <f>(0.104*J29*L29^2)/(1.6*10^6)</f>
        <v>0.6205266420293607</v>
      </c>
      <c r="Q29" s="10">
        <f>(0.104*O29)/(12*N29)</f>
        <v>1.2927638375611681E-2</v>
      </c>
      <c r="R29" s="10">
        <f>0.0159*O29^0.75</f>
        <v>6.0700524564906364E-2</v>
      </c>
      <c r="S29" s="10">
        <f>Q29+R29</f>
        <v>7.3628162940518049E-2</v>
      </c>
    </row>
    <row r="31" spans="1:19" x14ac:dyDescent="0.25">
      <c r="A31" s="5" t="s">
        <v>22</v>
      </c>
      <c r="B31" s="5" t="s">
        <v>63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98</v>
      </c>
      <c r="I31" s="5" t="s">
        <v>99</v>
      </c>
      <c r="J31" s="15">
        <v>2950</v>
      </c>
      <c r="K31" s="7">
        <v>38</v>
      </c>
      <c r="L31" s="7">
        <f>J31/K31</f>
        <v>77.631578947368425</v>
      </c>
      <c r="M31" s="5" t="s">
        <v>9</v>
      </c>
      <c r="N31" s="5">
        <v>4</v>
      </c>
      <c r="O31" s="6">
        <f>(J31*L31^2)/(1.6*10^6)</f>
        <v>11.111658154432133</v>
      </c>
      <c r="P31" s="6">
        <f>(0.104*J31*L31^2)/(1.6*10^6)</f>
        <v>1.155612448060942</v>
      </c>
      <c r="Q31" s="10">
        <f>(0.104*O31)/(12*N31)</f>
        <v>2.4075259334602955E-2</v>
      </c>
      <c r="R31" s="10">
        <f>0.0159*O31^0.75</f>
        <v>9.6767891534095082E-2</v>
      </c>
      <c r="S31" s="10">
        <f>Q31+R31</f>
        <v>0.12084315086869804</v>
      </c>
    </row>
    <row r="32" spans="1:19" x14ac:dyDescent="0.25">
      <c r="A32" s="5" t="s">
        <v>8</v>
      </c>
      <c r="B32" s="5" t="s">
        <v>319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98</v>
      </c>
      <c r="I32" s="5" t="s">
        <v>99</v>
      </c>
      <c r="J32" s="15">
        <v>2300</v>
      </c>
      <c r="K32" s="7">
        <v>27.5</v>
      </c>
      <c r="L32" s="7">
        <f>J32/K32</f>
        <v>83.63636363636364</v>
      </c>
      <c r="M32" s="5" t="s">
        <v>9</v>
      </c>
      <c r="N32" s="5">
        <v>4</v>
      </c>
      <c r="O32" s="6">
        <f>(J32*L32^2)/(1.6*10^6)</f>
        <v>10.055371900826447</v>
      </c>
      <c r="P32" s="6">
        <f>(0.104*J32*L32^2)/(1.6*10^6)</f>
        <v>1.0457586776859504</v>
      </c>
      <c r="Q32" s="10">
        <f>(0.104*O32)/(12*N32)</f>
        <v>2.17866391184573E-2</v>
      </c>
      <c r="R32" s="10">
        <f>0.0159*O32^0.75</f>
        <v>8.9783333841978313E-2</v>
      </c>
      <c r="S32" s="10">
        <f>Q32+R32</f>
        <v>0.11156997296043561</v>
      </c>
    </row>
    <row r="33" spans="1:19" x14ac:dyDescent="0.25">
      <c r="A33" s="5" t="s">
        <v>8</v>
      </c>
      <c r="B33" s="5" t="s">
        <v>319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386</v>
      </c>
      <c r="H33" s="5" t="s">
        <v>98</v>
      </c>
      <c r="I33" s="5" t="s">
        <v>321</v>
      </c>
      <c r="J33" s="15">
        <v>2379</v>
      </c>
      <c r="K33" s="7">
        <v>28</v>
      </c>
      <c r="L33" s="7">
        <f>J33/K33</f>
        <v>84.964285714285708</v>
      </c>
      <c r="M33" s="5" t="s">
        <v>9</v>
      </c>
      <c r="N33" s="5">
        <v>4</v>
      </c>
      <c r="O33" s="6">
        <f>(J33*L33^2)/(1.6*10^6)</f>
        <v>10.733646316167091</v>
      </c>
      <c r="P33" s="6">
        <f>(0.104*J33*L33^2)/(1.6*10^6)</f>
        <v>1.1162992168813775</v>
      </c>
      <c r="Q33" s="10">
        <f>(0.104*O33)/(12*N33)</f>
        <v>2.3256233685028698E-2</v>
      </c>
      <c r="R33" s="10">
        <f>0.0159*O33^0.75</f>
        <v>9.4288252092691066E-2</v>
      </c>
      <c r="S33" s="10">
        <f>Q33+R33</f>
        <v>0.11754448577771977</v>
      </c>
    </row>
    <row r="34" spans="1:19" x14ac:dyDescent="0.25">
      <c r="J34" s="16">
        <f>AVERAGE(J31:J33)</f>
        <v>2543</v>
      </c>
      <c r="K34" s="12">
        <f t="shared" ref="K34:S34" si="8">AVERAGE(K31:K33)</f>
        <v>31.166666666666668</v>
      </c>
      <c r="L34" s="12">
        <f t="shared" si="8"/>
        <v>82.077409432672596</v>
      </c>
      <c r="M34" s="11" t="e">
        <f t="shared" si="8"/>
        <v>#DIV/0!</v>
      </c>
      <c r="N34" s="11">
        <f t="shared" si="8"/>
        <v>4</v>
      </c>
      <c r="O34" s="13">
        <f t="shared" si="8"/>
        <v>10.633558790475222</v>
      </c>
      <c r="P34" s="13">
        <f t="shared" si="8"/>
        <v>1.1058901142094233</v>
      </c>
      <c r="Q34" s="14">
        <f t="shared" si="8"/>
        <v>2.3039377379362985E-2</v>
      </c>
      <c r="R34" s="14">
        <f t="shared" si="8"/>
        <v>9.361315915625483E-2</v>
      </c>
      <c r="S34" s="14">
        <f t="shared" si="8"/>
        <v>0.1166525365356178</v>
      </c>
    </row>
    <row r="35" spans="1:19" x14ac:dyDescent="0.25">
      <c r="A35" s="5" t="s">
        <v>22</v>
      </c>
      <c r="B35" s="5" t="s">
        <v>63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386</v>
      </c>
      <c r="H35" s="5" t="s">
        <v>100</v>
      </c>
      <c r="I35" s="5" t="s">
        <v>101</v>
      </c>
      <c r="J35" s="15">
        <v>2550</v>
      </c>
      <c r="K35" s="7">
        <v>41.5</v>
      </c>
      <c r="L35" s="7">
        <f>J35/K35</f>
        <v>61.445783132530117</v>
      </c>
      <c r="M35" s="5" t="s">
        <v>9</v>
      </c>
      <c r="N35" s="5">
        <v>4</v>
      </c>
      <c r="O35" s="6">
        <f>(J35*L35^2)/(1.6*10^6)</f>
        <v>6.0173374219770652</v>
      </c>
      <c r="P35" s="6">
        <f>(0.104*J35*L35^2)/(1.6*10^6)</f>
        <v>0.62580309188561467</v>
      </c>
      <c r="Q35" s="10">
        <f>(0.104*O35)/(12*N35)</f>
        <v>1.3037564414283642E-2</v>
      </c>
      <c r="R35" s="10">
        <f>0.0159*O35^0.75</f>
        <v>6.1087225180813873E-2</v>
      </c>
      <c r="S35" s="10">
        <f>Q35+R35</f>
        <v>7.4124789595097509E-2</v>
      </c>
    </row>
    <row r="37" spans="1:19" x14ac:dyDescent="0.25">
      <c r="A37" s="5" t="s">
        <v>22</v>
      </c>
      <c r="B37" s="5" t="s">
        <v>63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394</v>
      </c>
      <c r="H37" s="5" t="s">
        <v>104</v>
      </c>
      <c r="I37" s="5" t="s">
        <v>105</v>
      </c>
      <c r="J37" s="15">
        <v>1150</v>
      </c>
      <c r="K37" s="7">
        <v>33.5</v>
      </c>
      <c r="L37" s="7">
        <f>J37/K37</f>
        <v>34.328358208955223</v>
      </c>
      <c r="M37" s="5" t="s">
        <v>9</v>
      </c>
      <c r="N37" s="5">
        <v>4</v>
      </c>
      <c r="O37" s="6">
        <f>(J37*L37^2)/(1.6*10^6)</f>
        <v>0.8470010024504343</v>
      </c>
      <c r="P37" s="6">
        <f>(0.104*J37*L37^2)/(1.6*10^6)</f>
        <v>8.8088104254845159E-2</v>
      </c>
      <c r="Q37" s="10">
        <f>(0.104*O37)/(12*N37)</f>
        <v>1.8351688386426075E-3</v>
      </c>
      <c r="R37" s="10">
        <f>0.0159*O37^0.75</f>
        <v>1.4038156107889724E-2</v>
      </c>
      <c r="S37" s="10">
        <f>Q37+R37</f>
        <v>1.5873324946532333E-2</v>
      </c>
    </row>
    <row r="39" spans="1:19" x14ac:dyDescent="0.25">
      <c r="A39" s="5" t="s">
        <v>22</v>
      </c>
      <c r="B39" s="5" t="s">
        <v>63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394</v>
      </c>
      <c r="H39" s="5" t="s">
        <v>110</v>
      </c>
      <c r="I39" s="5" t="s">
        <v>111</v>
      </c>
      <c r="J39" s="15">
        <v>3075</v>
      </c>
      <c r="K39" s="7">
        <v>36</v>
      </c>
      <c r="L39" s="7">
        <f>J39/K39</f>
        <v>85.416666666666671</v>
      </c>
      <c r="M39" s="5" t="s">
        <v>9</v>
      </c>
      <c r="N39" s="5">
        <v>4</v>
      </c>
      <c r="O39" s="6">
        <f>(J39*L39^2)/(1.6*10^6)</f>
        <v>14.022013346354168</v>
      </c>
      <c r="P39" s="6">
        <f>(0.104*J39*L39^2)/(1.6*10^6)</f>
        <v>1.4582893880208334</v>
      </c>
      <c r="Q39" s="10">
        <f>(0.104*O39)/(12*N39)</f>
        <v>3.0381028917100695E-2</v>
      </c>
      <c r="R39" s="10">
        <f>0.0159*O39^0.75</f>
        <v>0.11521390760074078</v>
      </c>
      <c r="S39" s="10">
        <f>Q39+R39</f>
        <v>0.14559493651784147</v>
      </c>
    </row>
    <row r="40" spans="1:19" x14ac:dyDescent="0.25">
      <c r="A40" s="5" t="s">
        <v>8</v>
      </c>
      <c r="B40" s="5" t="s">
        <v>161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394</v>
      </c>
      <c r="H40" s="5" t="s">
        <v>110</v>
      </c>
      <c r="I40" s="5" t="s">
        <v>162</v>
      </c>
      <c r="J40" s="15">
        <v>2220</v>
      </c>
      <c r="K40" s="7">
        <v>45.5</v>
      </c>
      <c r="L40" s="7">
        <f>J40/K40</f>
        <v>48.791208791208788</v>
      </c>
      <c r="M40" s="5" t="s">
        <v>9</v>
      </c>
      <c r="N40" s="5">
        <v>4</v>
      </c>
      <c r="O40" s="6">
        <f>(J40*L40^2)/(1.6*10^6)</f>
        <v>3.3030576017389204</v>
      </c>
      <c r="P40" s="6">
        <f>(0.104*J40*L40^2)/(1.6*10^6)</f>
        <v>0.3435179905808477</v>
      </c>
      <c r="Q40" s="10">
        <f>(0.104*O40)/(12*N40)</f>
        <v>7.1566248037676604E-3</v>
      </c>
      <c r="R40" s="10">
        <f>0.0159*O40^0.75</f>
        <v>3.8956886034440183E-2</v>
      </c>
      <c r="S40" s="10">
        <f>Q40+R40</f>
        <v>4.6113510838207847E-2</v>
      </c>
    </row>
    <row r="41" spans="1:19" x14ac:dyDescent="0.25">
      <c r="A41" s="5" t="s">
        <v>8</v>
      </c>
      <c r="B41" s="5" t="s">
        <v>161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394</v>
      </c>
      <c r="H41" s="5" t="s">
        <v>110</v>
      </c>
      <c r="I41" s="5" t="s">
        <v>162</v>
      </c>
      <c r="J41" s="15">
        <v>2035</v>
      </c>
      <c r="K41" s="7">
        <v>39.5</v>
      </c>
      <c r="L41" s="7">
        <f>J41/K41</f>
        <v>51.518987341772153</v>
      </c>
      <c r="M41" s="5" t="s">
        <v>9</v>
      </c>
      <c r="N41" s="5">
        <v>4</v>
      </c>
      <c r="O41" s="6">
        <f>(J41*L41^2)/(1.6*10^6)</f>
        <v>3.3758183283928864</v>
      </c>
      <c r="P41" s="6">
        <f>(0.104*J41*L41^2)/(1.6*10^6)</f>
        <v>0.35108510615286009</v>
      </c>
      <c r="Q41" s="10">
        <f>(0.104*O41)/(12*N41)</f>
        <v>7.3142730448512534E-3</v>
      </c>
      <c r="R41" s="10">
        <f>0.0159*O41^0.75</f>
        <v>3.9598745211520084E-2</v>
      </c>
      <c r="S41" s="10">
        <f>Q41+R41</f>
        <v>4.6913018256371335E-2</v>
      </c>
    </row>
    <row r="42" spans="1:19" x14ac:dyDescent="0.25">
      <c r="J42" s="16">
        <f>AVERAGE(J39:J41)</f>
        <v>2443.3333333333335</v>
      </c>
      <c r="K42" s="12">
        <f t="shared" ref="K42:S42" si="9">AVERAGE(K39:K41)</f>
        <v>40.333333333333336</v>
      </c>
      <c r="L42" s="12">
        <f t="shared" si="9"/>
        <v>61.908954266549195</v>
      </c>
      <c r="M42" s="11" t="e">
        <f t="shared" si="9"/>
        <v>#DIV/0!</v>
      </c>
      <c r="N42" s="11">
        <f t="shared" si="9"/>
        <v>4</v>
      </c>
      <c r="O42" s="13">
        <f t="shared" si="9"/>
        <v>6.9002964254953243</v>
      </c>
      <c r="P42" s="13">
        <f t="shared" si="9"/>
        <v>0.7176308282515137</v>
      </c>
      <c r="Q42" s="14">
        <f t="shared" si="9"/>
        <v>1.4950642255239869E-2</v>
      </c>
      <c r="R42" s="14">
        <f t="shared" si="9"/>
        <v>6.4589846282233687E-2</v>
      </c>
      <c r="S42" s="14">
        <f t="shared" si="9"/>
        <v>7.9540488537473544E-2</v>
      </c>
    </row>
    <row r="43" spans="1:19" x14ac:dyDescent="0.25">
      <c r="A43" s="5" t="s">
        <v>22</v>
      </c>
      <c r="B43" s="5" t="s">
        <v>63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394</v>
      </c>
      <c r="H43" s="5" t="s">
        <v>56</v>
      </c>
      <c r="I43" s="5" t="s">
        <v>103</v>
      </c>
      <c r="J43" s="15">
        <v>1600</v>
      </c>
      <c r="K43" s="7">
        <v>36.5</v>
      </c>
      <c r="L43" s="7">
        <f t="shared" ref="L43:L51" si="10">J43/K43</f>
        <v>43.835616438356162</v>
      </c>
      <c r="M43" s="5" t="s">
        <v>9</v>
      </c>
      <c r="N43" s="5">
        <v>4</v>
      </c>
      <c r="O43" s="6">
        <f t="shared" ref="O43:O51" si="11">(J43*L43^2)/(1.6*10^6)</f>
        <v>1.9215612685306809</v>
      </c>
      <c r="P43" s="6">
        <f t="shared" ref="P43:P51" si="12">(0.104*J43*L43^2)/(1.6*10^6)</f>
        <v>0.19984237192719084</v>
      </c>
      <c r="Q43" s="10">
        <f t="shared" ref="Q43:Q51" si="13">(0.104*O43)/(12*N43)</f>
        <v>4.163382748483142E-3</v>
      </c>
      <c r="R43" s="10">
        <f t="shared" ref="R43:R51" si="14">0.0159*O43^0.75</f>
        <v>2.5950026257178908E-2</v>
      </c>
      <c r="S43" s="10">
        <f t="shared" ref="S43:S51" si="15">Q43+R43</f>
        <v>3.0113409005662048E-2</v>
      </c>
    </row>
    <row r="44" spans="1:19" x14ac:dyDescent="0.25">
      <c r="A44" s="5" t="s">
        <v>8</v>
      </c>
      <c r="B44" s="5" t="s">
        <v>165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394</v>
      </c>
      <c r="H44" s="5" t="s">
        <v>56</v>
      </c>
      <c r="I44" s="5" t="s">
        <v>169</v>
      </c>
      <c r="J44" s="15">
        <v>1980</v>
      </c>
      <c r="K44" s="7">
        <v>32</v>
      </c>
      <c r="L44" s="7">
        <f t="shared" si="10"/>
        <v>61.875</v>
      </c>
      <c r="M44" s="5" t="s">
        <v>9</v>
      </c>
      <c r="N44" s="5">
        <v>4</v>
      </c>
      <c r="O44" s="6">
        <f t="shared" si="11"/>
        <v>4.7377880859374999</v>
      </c>
      <c r="P44" s="6">
        <f t="shared" si="12"/>
        <v>0.49272996093749999</v>
      </c>
      <c r="Q44" s="10">
        <f t="shared" si="13"/>
        <v>1.026520751953125E-2</v>
      </c>
      <c r="R44" s="10">
        <f t="shared" si="14"/>
        <v>5.1059769265745597E-2</v>
      </c>
      <c r="S44" s="10">
        <f t="shared" si="15"/>
        <v>6.1324976785276847E-2</v>
      </c>
    </row>
    <row r="45" spans="1:19" x14ac:dyDescent="0.25">
      <c r="A45" s="5" t="s">
        <v>22</v>
      </c>
      <c r="B45" s="5" t="s">
        <v>26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394</v>
      </c>
      <c r="H45" s="5" t="s">
        <v>56</v>
      </c>
      <c r="I45" s="5" t="s">
        <v>57</v>
      </c>
      <c r="J45" s="15">
        <v>1750</v>
      </c>
      <c r="K45" s="7">
        <v>28.5</v>
      </c>
      <c r="L45" s="7">
        <f t="shared" si="10"/>
        <v>61.403508771929822</v>
      </c>
      <c r="M45" s="5" t="s">
        <v>9</v>
      </c>
      <c r="N45" s="5">
        <v>4</v>
      </c>
      <c r="O45" s="6">
        <f t="shared" si="11"/>
        <v>4.1238650353955055</v>
      </c>
      <c r="P45" s="6">
        <f t="shared" si="12"/>
        <v>0.42888196368113263</v>
      </c>
      <c r="Q45" s="10">
        <f t="shared" si="13"/>
        <v>8.9350409100235947E-3</v>
      </c>
      <c r="R45" s="10">
        <f t="shared" si="14"/>
        <v>4.6012460418506596E-2</v>
      </c>
      <c r="S45" s="10">
        <f t="shared" si="15"/>
        <v>5.4947501328530192E-2</v>
      </c>
    </row>
    <row r="46" spans="1:19" x14ac:dyDescent="0.25">
      <c r="A46" s="5" t="s">
        <v>8</v>
      </c>
      <c r="B46" s="5" t="s">
        <v>187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394</v>
      </c>
      <c r="H46" s="5" t="s">
        <v>56</v>
      </c>
      <c r="I46" s="5" t="s">
        <v>57</v>
      </c>
      <c r="J46" s="15">
        <v>2120</v>
      </c>
      <c r="K46" s="7">
        <v>32.200000000000003</v>
      </c>
      <c r="L46" s="7">
        <f t="shared" si="10"/>
        <v>65.838509316770185</v>
      </c>
      <c r="M46" s="5" t="s">
        <v>9</v>
      </c>
      <c r="N46" s="5">
        <v>4</v>
      </c>
      <c r="O46" s="6">
        <f t="shared" si="11"/>
        <v>5.7434898344971259</v>
      </c>
      <c r="P46" s="6">
        <f t="shared" si="12"/>
        <v>0.59732294278770115</v>
      </c>
      <c r="Q46" s="10">
        <f t="shared" si="13"/>
        <v>1.2444227974743772E-2</v>
      </c>
      <c r="R46" s="10">
        <f t="shared" si="14"/>
        <v>5.89900843101481E-2</v>
      </c>
      <c r="S46" s="10">
        <f t="shared" si="15"/>
        <v>7.1434312284891874E-2</v>
      </c>
    </row>
    <row r="47" spans="1:19" x14ac:dyDescent="0.25">
      <c r="A47" s="5" t="s">
        <v>8</v>
      </c>
      <c r="B47" s="5" t="s">
        <v>187</v>
      </c>
      <c r="C47" s="5" t="s">
        <v>27</v>
      </c>
      <c r="D47" s="5" t="s">
        <v>385</v>
      </c>
      <c r="E47" s="5" t="s">
        <v>387</v>
      </c>
      <c r="F47" s="5" t="s">
        <v>52</v>
      </c>
      <c r="G47" s="5" t="s">
        <v>394</v>
      </c>
      <c r="H47" s="5" t="s">
        <v>56</v>
      </c>
      <c r="I47" s="5" t="s">
        <v>57</v>
      </c>
      <c r="J47" s="15">
        <v>2070</v>
      </c>
      <c r="K47" s="7">
        <v>31.4</v>
      </c>
      <c r="L47" s="7">
        <f t="shared" si="10"/>
        <v>65.923566878980893</v>
      </c>
      <c r="M47" s="5" t="s">
        <v>9</v>
      </c>
      <c r="N47" s="5">
        <v>4</v>
      </c>
      <c r="O47" s="6">
        <f t="shared" si="11"/>
        <v>5.6225296918739085</v>
      </c>
      <c r="P47" s="6">
        <f t="shared" si="12"/>
        <v>0.58474308795488661</v>
      </c>
      <c r="Q47" s="10">
        <f t="shared" si="13"/>
        <v>1.2182147665726803E-2</v>
      </c>
      <c r="R47" s="10">
        <f t="shared" si="14"/>
        <v>5.8055843919859323E-2</v>
      </c>
      <c r="S47" s="10">
        <f t="shared" si="15"/>
        <v>7.0237991585586121E-2</v>
      </c>
    </row>
    <row r="48" spans="1:19" x14ac:dyDescent="0.25">
      <c r="A48" s="5" t="s">
        <v>8</v>
      </c>
      <c r="B48" s="5" t="s">
        <v>187</v>
      </c>
      <c r="C48" s="5" t="s">
        <v>27</v>
      </c>
      <c r="D48" s="5" t="s">
        <v>385</v>
      </c>
      <c r="E48" s="5" t="s">
        <v>387</v>
      </c>
      <c r="F48" s="5" t="s">
        <v>52</v>
      </c>
      <c r="G48" s="5" t="s">
        <v>394</v>
      </c>
      <c r="H48" s="5" t="s">
        <v>56</v>
      </c>
      <c r="I48" s="5" t="s">
        <v>57</v>
      </c>
      <c r="J48" s="15">
        <v>2010</v>
      </c>
      <c r="K48" s="7">
        <v>31.4</v>
      </c>
      <c r="L48" s="7">
        <f t="shared" si="10"/>
        <v>64.012738853503194</v>
      </c>
      <c r="M48" s="5" t="s">
        <v>9</v>
      </c>
      <c r="N48" s="5">
        <v>4</v>
      </c>
      <c r="O48" s="6">
        <f t="shared" si="11"/>
        <v>5.1476486115055389</v>
      </c>
      <c r="P48" s="6">
        <f t="shared" si="12"/>
        <v>0.53535545559657605</v>
      </c>
      <c r="Q48" s="10">
        <f t="shared" si="13"/>
        <v>1.1153238658262002E-2</v>
      </c>
      <c r="R48" s="10">
        <f t="shared" si="14"/>
        <v>5.4338018137809183E-2</v>
      </c>
      <c r="S48" s="10">
        <f t="shared" si="15"/>
        <v>6.5491256796071179E-2</v>
      </c>
    </row>
    <row r="49" spans="1:19" x14ac:dyDescent="0.25">
      <c r="A49" s="5" t="s">
        <v>8</v>
      </c>
      <c r="B49" s="5" t="s">
        <v>187</v>
      </c>
      <c r="C49" s="5" t="s">
        <v>27</v>
      </c>
      <c r="D49" s="5" t="s">
        <v>385</v>
      </c>
      <c r="E49" s="5" t="s">
        <v>387</v>
      </c>
      <c r="F49" s="5" t="s">
        <v>52</v>
      </c>
      <c r="G49" s="5" t="s">
        <v>394</v>
      </c>
      <c r="H49" s="5" t="s">
        <v>56</v>
      </c>
      <c r="I49" s="5" t="s">
        <v>57</v>
      </c>
      <c r="J49" s="15">
        <v>1990</v>
      </c>
      <c r="K49" s="7">
        <v>29.5</v>
      </c>
      <c r="L49" s="7">
        <f t="shared" si="10"/>
        <v>67.457627118644069</v>
      </c>
      <c r="M49" s="5" t="s">
        <v>9</v>
      </c>
      <c r="N49" s="5">
        <v>4</v>
      </c>
      <c r="O49" s="6">
        <f t="shared" si="11"/>
        <v>5.6597234989945413</v>
      </c>
      <c r="P49" s="6">
        <f t="shared" si="12"/>
        <v>0.58861124389543229</v>
      </c>
      <c r="Q49" s="10">
        <f t="shared" si="13"/>
        <v>1.2262734247821505E-2</v>
      </c>
      <c r="R49" s="10">
        <f t="shared" si="14"/>
        <v>5.8343641943083634E-2</v>
      </c>
      <c r="S49" s="10">
        <f t="shared" si="15"/>
        <v>7.0606376190905137E-2</v>
      </c>
    </row>
    <row r="50" spans="1:19" x14ac:dyDescent="0.25">
      <c r="A50" s="5" t="s">
        <v>22</v>
      </c>
      <c r="B50" s="5" t="s">
        <v>63</v>
      </c>
      <c r="C50" s="5" t="s">
        <v>27</v>
      </c>
      <c r="D50" s="5" t="s">
        <v>385</v>
      </c>
      <c r="E50" s="5" t="s">
        <v>387</v>
      </c>
      <c r="F50" s="5" t="s">
        <v>52</v>
      </c>
      <c r="G50" s="5" t="s">
        <v>394</v>
      </c>
      <c r="H50" s="5" t="s">
        <v>56</v>
      </c>
      <c r="I50" s="5" t="s">
        <v>151</v>
      </c>
      <c r="J50" s="15">
        <v>3550</v>
      </c>
      <c r="K50" s="7">
        <v>33.5</v>
      </c>
      <c r="L50" s="7">
        <f t="shared" si="10"/>
        <v>105.97014925373135</v>
      </c>
      <c r="M50" s="5" t="s">
        <v>9</v>
      </c>
      <c r="N50" s="5">
        <v>4</v>
      </c>
      <c r="O50" s="6">
        <f t="shared" si="11"/>
        <v>24.91583593227891</v>
      </c>
      <c r="P50" s="6">
        <f t="shared" si="12"/>
        <v>2.5912469369570066</v>
      </c>
      <c r="Q50" s="10">
        <f t="shared" si="13"/>
        <v>5.3984311186604302E-2</v>
      </c>
      <c r="R50" s="10">
        <f t="shared" si="14"/>
        <v>0.1773183662256573</v>
      </c>
      <c r="S50" s="10">
        <f t="shared" si="15"/>
        <v>0.2313026774122616</v>
      </c>
    </row>
    <row r="51" spans="1:19" x14ac:dyDescent="0.25">
      <c r="A51" s="5" t="s">
        <v>8</v>
      </c>
      <c r="B51" s="5" t="s">
        <v>217</v>
      </c>
      <c r="C51" s="5" t="s">
        <v>27</v>
      </c>
      <c r="D51" s="5" t="s">
        <v>385</v>
      </c>
      <c r="E51" s="5" t="s">
        <v>387</v>
      </c>
      <c r="F51" s="5" t="s">
        <v>52</v>
      </c>
      <c r="G51" s="5" t="s">
        <v>394</v>
      </c>
      <c r="H51" s="5" t="s">
        <v>56</v>
      </c>
      <c r="I51" s="5" t="s">
        <v>151</v>
      </c>
      <c r="J51" s="15">
        <v>3550</v>
      </c>
      <c r="K51" s="7">
        <v>33.5</v>
      </c>
      <c r="L51" s="7">
        <f t="shared" si="10"/>
        <v>105.97014925373135</v>
      </c>
      <c r="M51" s="5" t="s">
        <v>9</v>
      </c>
      <c r="N51" s="5">
        <v>4</v>
      </c>
      <c r="O51" s="6">
        <f t="shared" si="11"/>
        <v>24.91583593227891</v>
      </c>
      <c r="P51" s="6">
        <f t="shared" si="12"/>
        <v>2.5912469369570066</v>
      </c>
      <c r="Q51" s="10">
        <f t="shared" si="13"/>
        <v>5.3984311186604302E-2</v>
      </c>
      <c r="R51" s="10">
        <f t="shared" si="14"/>
        <v>0.1773183662256573</v>
      </c>
      <c r="S51" s="10">
        <f t="shared" si="15"/>
        <v>0.2313026774122616</v>
      </c>
    </row>
    <row r="52" spans="1:19" x14ac:dyDescent="0.25">
      <c r="J52" s="16">
        <f t="shared" ref="J52:S52" si="16">AVERAGE(J43:J51)</f>
        <v>2291.1111111111113</v>
      </c>
      <c r="K52" s="12">
        <f t="shared" si="16"/>
        <v>32.055555555555557</v>
      </c>
      <c r="L52" s="12">
        <f t="shared" si="16"/>
        <v>71.365207320627462</v>
      </c>
      <c r="M52" s="11" t="e">
        <f t="shared" si="16"/>
        <v>#DIV/0!</v>
      </c>
      <c r="N52" s="11">
        <f t="shared" si="16"/>
        <v>4</v>
      </c>
      <c r="O52" s="13">
        <f t="shared" si="16"/>
        <v>9.1986975434769587</v>
      </c>
      <c r="P52" s="13">
        <f t="shared" si="16"/>
        <v>0.95666454452160365</v>
      </c>
      <c r="Q52" s="14">
        <f t="shared" si="16"/>
        <v>1.9930511344200076E-2</v>
      </c>
      <c r="R52" s="14">
        <f t="shared" si="16"/>
        <v>7.8598508522627328E-2</v>
      </c>
      <c r="S52" s="14">
        <f t="shared" si="16"/>
        <v>9.8529019866827411E-2</v>
      </c>
    </row>
    <row r="53" spans="1:19" x14ac:dyDescent="0.25">
      <c r="A53" s="5" t="s">
        <v>22</v>
      </c>
      <c r="B53" s="5" t="s">
        <v>63</v>
      </c>
      <c r="C53" s="5" t="s">
        <v>27</v>
      </c>
      <c r="D53" s="5" t="s">
        <v>385</v>
      </c>
      <c r="E53" s="5" t="s">
        <v>387</v>
      </c>
      <c r="F53" s="5" t="s">
        <v>52</v>
      </c>
      <c r="G53" s="5" t="s">
        <v>394</v>
      </c>
      <c r="H53" s="5" t="s">
        <v>108</v>
      </c>
      <c r="I53" s="5" t="s">
        <v>109</v>
      </c>
      <c r="J53" s="15">
        <v>1600</v>
      </c>
      <c r="K53" s="7">
        <v>36</v>
      </c>
      <c r="L53" s="7">
        <f>J53/K53</f>
        <v>44.444444444444443</v>
      </c>
      <c r="M53" s="5" t="s">
        <v>9</v>
      </c>
      <c r="N53" s="5">
        <v>4</v>
      </c>
      <c r="O53" s="6">
        <f>(J53*L53^2)/(1.6*10^6)</f>
        <v>1.9753086419753083</v>
      </c>
      <c r="P53" s="6">
        <f>(0.104*J53*L53^2)/(1.6*10^6)</f>
        <v>0.20543209876543209</v>
      </c>
      <c r="Q53" s="10">
        <f>(0.104*O53)/(12*N53)</f>
        <v>4.2798353909465009E-3</v>
      </c>
      <c r="R53" s="10">
        <f>0.0159*O53^0.75</f>
        <v>2.6492524653412002E-2</v>
      </c>
      <c r="S53" s="10">
        <f>Q53+R53</f>
        <v>3.0772360044358502E-2</v>
      </c>
    </row>
    <row r="55" spans="1:19" x14ac:dyDescent="0.25">
      <c r="A55" s="5" t="s">
        <v>22</v>
      </c>
      <c r="B55" s="5" t="s">
        <v>63</v>
      </c>
      <c r="C55" s="5" t="s">
        <v>27</v>
      </c>
      <c r="D55" s="5" t="s">
        <v>385</v>
      </c>
      <c r="E55" s="5" t="s">
        <v>387</v>
      </c>
      <c r="F55" s="5" t="s">
        <v>112</v>
      </c>
      <c r="G55" s="5" t="s">
        <v>395</v>
      </c>
      <c r="H55" s="5" t="s">
        <v>129</v>
      </c>
      <c r="I55" s="5" t="s">
        <v>130</v>
      </c>
      <c r="J55" s="15">
        <v>2560</v>
      </c>
      <c r="K55" s="7">
        <v>44</v>
      </c>
      <c r="L55" s="7">
        <f>J55/K55</f>
        <v>58.18181818181818</v>
      </c>
      <c r="M55" s="5" t="s">
        <v>9</v>
      </c>
      <c r="N55" s="5">
        <v>4</v>
      </c>
      <c r="O55" s="6">
        <f>(J55*L55^2)/(1.6*10^6)</f>
        <v>5.4161983471074375</v>
      </c>
      <c r="P55" s="6">
        <f>(0.104*J55*L55^2)/(1.6*10^6)</f>
        <v>0.56328462809917346</v>
      </c>
      <c r="Q55" s="10">
        <f>(0.104*O55)/(12*N55)</f>
        <v>1.173509641873278E-2</v>
      </c>
      <c r="R55" s="10">
        <f>0.0159*O55^0.75</f>
        <v>5.6450532702040132E-2</v>
      </c>
      <c r="S55" s="10">
        <f>Q55+R55</f>
        <v>6.8185629120772917E-2</v>
      </c>
    </row>
    <row r="57" spans="1:19" x14ac:dyDescent="0.25">
      <c r="A57" s="5" t="s">
        <v>22</v>
      </c>
      <c r="B57" s="5" t="s">
        <v>63</v>
      </c>
      <c r="C57" s="5" t="s">
        <v>27</v>
      </c>
      <c r="D57" s="5" t="s">
        <v>385</v>
      </c>
      <c r="E57" s="5" t="s">
        <v>387</v>
      </c>
      <c r="F57" s="5" t="s">
        <v>112</v>
      </c>
      <c r="G57" s="5" t="s">
        <v>395</v>
      </c>
      <c r="H57" s="5" t="s">
        <v>123</v>
      </c>
      <c r="I57" s="5" t="s">
        <v>124</v>
      </c>
      <c r="J57" s="15">
        <v>1700</v>
      </c>
      <c r="K57" s="7">
        <v>36.5</v>
      </c>
      <c r="L57" s="7">
        <f>J57/K57</f>
        <v>46.575342465753423</v>
      </c>
      <c r="M57" s="5" t="s">
        <v>9</v>
      </c>
      <c r="N57" s="5">
        <v>4</v>
      </c>
      <c r="O57" s="6">
        <f>(J57*L57^2)/(1.6*10^6)</f>
        <v>2.3048414336648522</v>
      </c>
      <c r="P57" s="6">
        <f>(0.104*J57*L57^2)/(1.6*10^6)</f>
        <v>0.23970350910114463</v>
      </c>
      <c r="Q57" s="10">
        <f>(0.104*O57)/(12*N57)</f>
        <v>4.9938231062738462E-3</v>
      </c>
      <c r="R57" s="10">
        <f>0.0159*O57^0.75</f>
        <v>2.974253037207969E-2</v>
      </c>
      <c r="S57" s="10">
        <f>Q57+R57</f>
        <v>3.4736353478353535E-2</v>
      </c>
    </row>
    <row r="59" spans="1:19" x14ac:dyDescent="0.25">
      <c r="A59" s="5" t="s">
        <v>22</v>
      </c>
      <c r="B59" s="5" t="s">
        <v>63</v>
      </c>
      <c r="C59" s="5" t="s">
        <v>27</v>
      </c>
      <c r="D59" s="5" t="s">
        <v>385</v>
      </c>
      <c r="E59" s="5" t="s">
        <v>387</v>
      </c>
      <c r="F59" s="5" t="s">
        <v>112</v>
      </c>
      <c r="G59" s="5" t="s">
        <v>395</v>
      </c>
      <c r="H59" s="5" t="s">
        <v>127</v>
      </c>
      <c r="I59" s="5" t="s">
        <v>128</v>
      </c>
      <c r="J59" s="15">
        <v>2495</v>
      </c>
      <c r="K59" s="7">
        <v>37</v>
      </c>
      <c r="L59" s="7">
        <f>J59/K59</f>
        <v>67.432432432432435</v>
      </c>
      <c r="M59" s="5" t="s">
        <v>9</v>
      </c>
      <c r="N59" s="5">
        <v>4</v>
      </c>
      <c r="O59" s="6">
        <f>(J59*L59^2)/(1.6*10^6)</f>
        <v>7.090685434167276</v>
      </c>
      <c r="P59" s="6">
        <f>(0.104*J59*L59^2)/(1.6*10^6)</f>
        <v>0.73743128515339662</v>
      </c>
      <c r="Q59" s="10">
        <f>(0.104*O59)/(12*N59)</f>
        <v>1.5363151774029096E-2</v>
      </c>
      <c r="R59" s="10">
        <f>0.0159*O59^0.75</f>
        <v>6.9089697094163655E-2</v>
      </c>
      <c r="S59" s="10">
        <f>Q59+R59</f>
        <v>8.4452848868192751E-2</v>
      </c>
    </row>
    <row r="60" spans="1:19" x14ac:dyDescent="0.25">
      <c r="A60" s="5" t="s">
        <v>8</v>
      </c>
      <c r="B60" s="5" t="s">
        <v>239</v>
      </c>
      <c r="C60" s="5" t="s">
        <v>27</v>
      </c>
      <c r="D60" s="5" t="s">
        <v>385</v>
      </c>
      <c r="E60" s="5" t="s">
        <v>387</v>
      </c>
      <c r="F60" s="5" t="s">
        <v>112</v>
      </c>
      <c r="G60" s="5" t="s">
        <v>395</v>
      </c>
      <c r="H60" s="5" t="s">
        <v>127</v>
      </c>
      <c r="I60" s="5" t="s">
        <v>240</v>
      </c>
      <c r="J60" s="15">
        <v>3180</v>
      </c>
      <c r="K60" s="7">
        <v>49.3</v>
      </c>
      <c r="L60" s="7">
        <f>J60/K60</f>
        <v>64.503042596348891</v>
      </c>
      <c r="M60" s="5" t="s">
        <v>9</v>
      </c>
      <c r="N60" s="5">
        <v>4</v>
      </c>
      <c r="O60" s="6">
        <f>(J60*L60^2)/(1.6*10^6)</f>
        <v>8.2692769770704686</v>
      </c>
      <c r="P60" s="6">
        <f>(0.104*J60*L60^2)/(1.6*10^6)</f>
        <v>0.86000480561532866</v>
      </c>
      <c r="Q60" s="10">
        <f>(0.104*O60)/(12*N60)</f>
        <v>1.7916766783652682E-2</v>
      </c>
      <c r="R60" s="10">
        <f>0.0159*O60^0.75</f>
        <v>7.7534997706638811E-2</v>
      </c>
      <c r="S60" s="10">
        <f>Q60+R60</f>
        <v>9.5451764490291496E-2</v>
      </c>
    </row>
    <row r="61" spans="1:19" x14ac:dyDescent="0.25">
      <c r="A61" s="5" t="s">
        <v>8</v>
      </c>
      <c r="B61" s="5" t="s">
        <v>333</v>
      </c>
      <c r="C61" s="5" t="s">
        <v>27</v>
      </c>
      <c r="D61" s="5" t="s">
        <v>385</v>
      </c>
      <c r="E61" s="5" t="s">
        <v>387</v>
      </c>
      <c r="F61" s="5" t="s">
        <v>112</v>
      </c>
      <c r="G61" s="5" t="s">
        <v>395</v>
      </c>
      <c r="H61" s="5" t="s">
        <v>127</v>
      </c>
      <c r="I61" s="5" t="s">
        <v>240</v>
      </c>
      <c r="J61" s="15">
        <v>2290</v>
      </c>
      <c r="K61" s="7">
        <v>25.4</v>
      </c>
      <c r="L61" s="7">
        <f>J61/K61</f>
        <v>90.157480314960637</v>
      </c>
      <c r="M61" s="5" t="s">
        <v>9</v>
      </c>
      <c r="N61" s="5">
        <v>4</v>
      </c>
      <c r="O61" s="6">
        <f>(J61*L61^2)/(1.6*10^6)</f>
        <v>11.633731361212723</v>
      </c>
      <c r="P61" s="6">
        <f>(0.104*J61*L61^2)/(1.6*10^6)</f>
        <v>1.2099080615661233</v>
      </c>
      <c r="Q61" s="10">
        <f>(0.104*O61)/(12*N61)</f>
        <v>2.5206417949294232E-2</v>
      </c>
      <c r="R61" s="10">
        <f>0.0159*O61^0.75</f>
        <v>0.10015817386585321</v>
      </c>
      <c r="S61" s="10">
        <f>Q61+R61</f>
        <v>0.12536459181514745</v>
      </c>
    </row>
    <row r="62" spans="1:19" x14ac:dyDescent="0.25">
      <c r="A62" s="5" t="s">
        <v>8</v>
      </c>
      <c r="B62" s="5" t="s">
        <v>333</v>
      </c>
      <c r="C62" s="5" t="s">
        <v>27</v>
      </c>
      <c r="D62" s="5" t="s">
        <v>385</v>
      </c>
      <c r="E62" s="5" t="s">
        <v>387</v>
      </c>
      <c r="F62" s="5" t="s">
        <v>112</v>
      </c>
      <c r="G62" s="5" t="s">
        <v>395</v>
      </c>
      <c r="H62" s="5" t="s">
        <v>127</v>
      </c>
      <c r="I62" s="5" t="s">
        <v>334</v>
      </c>
      <c r="J62" s="15">
        <v>1900</v>
      </c>
      <c r="K62" s="7">
        <v>34.200000000000003</v>
      </c>
      <c r="L62" s="7">
        <f>J62/K62</f>
        <v>55.55555555555555</v>
      </c>
      <c r="M62" s="5" t="s">
        <v>9</v>
      </c>
      <c r="N62" s="5">
        <v>4</v>
      </c>
      <c r="O62" s="6">
        <f>(J62*L62^2)/(1.6*10^6)</f>
        <v>3.6651234567901225</v>
      </c>
      <c r="P62" s="6">
        <f>(0.104*J62*L62^2)/(1.6*10^6)</f>
        <v>0.38117283950617276</v>
      </c>
      <c r="Q62" s="10">
        <f>(0.104*O62)/(12*N62)</f>
        <v>7.9411008230452652E-3</v>
      </c>
      <c r="R62" s="10">
        <f>0.0159*O62^0.75</f>
        <v>4.2117596577025559E-2</v>
      </c>
      <c r="S62" s="10">
        <f>Q62+R62</f>
        <v>5.0058697400070823E-2</v>
      </c>
    </row>
    <row r="63" spans="1:19" x14ac:dyDescent="0.25">
      <c r="J63" s="16">
        <f>AVERAGE(J59:J62)</f>
        <v>2466.25</v>
      </c>
      <c r="K63" s="12">
        <f t="shared" ref="K63:S63" si="17">AVERAGE(K59:K62)</f>
        <v>36.474999999999994</v>
      </c>
      <c r="L63" s="12">
        <f t="shared" si="17"/>
        <v>69.412127724824373</v>
      </c>
      <c r="M63" s="11" t="e">
        <f t="shared" si="17"/>
        <v>#DIV/0!</v>
      </c>
      <c r="N63" s="11">
        <f t="shared" si="17"/>
        <v>4</v>
      </c>
      <c r="O63" s="13">
        <f t="shared" si="17"/>
        <v>7.6647043073101484</v>
      </c>
      <c r="P63" s="13">
        <f t="shared" si="17"/>
        <v>0.7971292479602553</v>
      </c>
      <c r="Q63" s="14">
        <f t="shared" si="17"/>
        <v>1.660685933250532E-2</v>
      </c>
      <c r="R63" s="14">
        <f t="shared" si="17"/>
        <v>7.2225116310920309E-2</v>
      </c>
      <c r="S63" s="14">
        <f t="shared" si="17"/>
        <v>8.8831975643425626E-2</v>
      </c>
    </row>
    <row r="64" spans="1:19" x14ac:dyDescent="0.25">
      <c r="A64" s="5" t="s">
        <v>8</v>
      </c>
      <c r="B64" s="5" t="s">
        <v>350</v>
      </c>
      <c r="C64" s="5" t="s">
        <v>27</v>
      </c>
      <c r="D64" s="5" t="s">
        <v>385</v>
      </c>
      <c r="E64" s="5" t="s">
        <v>387</v>
      </c>
      <c r="F64" s="5" t="s">
        <v>112</v>
      </c>
      <c r="G64" s="5" t="s">
        <v>391</v>
      </c>
      <c r="H64" s="5" t="s">
        <v>53</v>
      </c>
      <c r="I64" s="5" t="s">
        <v>349</v>
      </c>
      <c r="J64" s="15">
        <v>2700</v>
      </c>
      <c r="K64" s="7">
        <v>40.5</v>
      </c>
      <c r="L64" s="7">
        <f t="shared" ref="L64:L76" si="18">J64/K64</f>
        <v>66.666666666666671</v>
      </c>
      <c r="M64" s="5" t="s">
        <v>9</v>
      </c>
      <c r="N64" s="5">
        <v>4</v>
      </c>
      <c r="O64" s="6">
        <f t="shared" ref="O64:O76" si="19">(J64*L64^2)/(1.6*10^6)</f>
        <v>7.5000000000000009</v>
      </c>
      <c r="P64" s="6">
        <f t="shared" ref="P64:P76" si="20">(0.104*J64*L64^2)/(1.6*10^6)</f>
        <v>0.78000000000000014</v>
      </c>
      <c r="Q64" s="10">
        <f t="shared" ref="Q64:Q76" si="21">(0.104*O64)/(12*N64)</f>
        <v>1.6250000000000001E-2</v>
      </c>
      <c r="R64" s="10">
        <f t="shared" ref="R64:R76" si="22">0.0159*O64^0.75</f>
        <v>7.2059803226958916E-2</v>
      </c>
      <c r="S64" s="10">
        <f t="shared" ref="S64:S76" si="23">Q64+R64</f>
        <v>8.8309803226958916E-2</v>
      </c>
    </row>
    <row r="65" spans="1:19" x14ac:dyDescent="0.25">
      <c r="A65" s="5" t="s">
        <v>8</v>
      </c>
      <c r="B65" s="5" t="s">
        <v>347</v>
      </c>
      <c r="C65" s="5" t="s">
        <v>27</v>
      </c>
      <c r="D65" s="5" t="s">
        <v>385</v>
      </c>
      <c r="E65" s="5" t="s">
        <v>387</v>
      </c>
      <c r="F65" s="5" t="s">
        <v>112</v>
      </c>
      <c r="G65" s="5" t="s">
        <v>391</v>
      </c>
      <c r="H65" s="5" t="s">
        <v>53</v>
      </c>
      <c r="I65" s="5" t="s">
        <v>349</v>
      </c>
      <c r="J65" s="15">
        <v>2500</v>
      </c>
      <c r="K65" s="7">
        <v>31</v>
      </c>
      <c r="L65" s="7">
        <f t="shared" si="18"/>
        <v>80.645161290322577</v>
      </c>
      <c r="M65" s="5" t="s">
        <v>9</v>
      </c>
      <c r="N65" s="5">
        <v>4</v>
      </c>
      <c r="O65" s="6">
        <f t="shared" si="19"/>
        <v>10.161940686784598</v>
      </c>
      <c r="P65" s="6">
        <f t="shared" si="20"/>
        <v>1.0568418314255983</v>
      </c>
      <c r="Q65" s="10">
        <f t="shared" si="21"/>
        <v>2.2017538154699964E-2</v>
      </c>
      <c r="R65" s="10">
        <f t="shared" si="22"/>
        <v>9.0496048477232735E-2</v>
      </c>
      <c r="S65" s="10">
        <f t="shared" si="23"/>
        <v>0.1125135866319327</v>
      </c>
    </row>
    <row r="66" spans="1:19" x14ac:dyDescent="0.25">
      <c r="A66" s="5" t="s">
        <v>22</v>
      </c>
      <c r="B66" s="5" t="s">
        <v>63</v>
      </c>
      <c r="C66" s="5" t="s">
        <v>27</v>
      </c>
      <c r="D66" s="5" t="s">
        <v>385</v>
      </c>
      <c r="E66" s="5" t="s">
        <v>387</v>
      </c>
      <c r="F66" s="5" t="s">
        <v>112</v>
      </c>
      <c r="G66" s="5" t="s">
        <v>391</v>
      </c>
      <c r="H66" s="5" t="s">
        <v>53</v>
      </c>
      <c r="I66" s="5" t="s">
        <v>145</v>
      </c>
      <c r="J66" s="15">
        <v>2200</v>
      </c>
      <c r="K66" s="7">
        <v>42.5</v>
      </c>
      <c r="L66" s="7">
        <f t="shared" si="18"/>
        <v>51.764705882352942</v>
      </c>
      <c r="M66" s="5" t="s">
        <v>9</v>
      </c>
      <c r="N66" s="5">
        <v>4</v>
      </c>
      <c r="O66" s="6">
        <f t="shared" si="19"/>
        <v>3.6844290657439451</v>
      </c>
      <c r="P66" s="6">
        <f t="shared" si="20"/>
        <v>0.38318062283737025</v>
      </c>
      <c r="Q66" s="10">
        <f t="shared" si="21"/>
        <v>7.9829296424452131E-3</v>
      </c>
      <c r="R66" s="10">
        <f t="shared" si="22"/>
        <v>4.2283874397514749E-2</v>
      </c>
      <c r="S66" s="10">
        <f t="shared" si="23"/>
        <v>5.0266804039959964E-2</v>
      </c>
    </row>
    <row r="67" spans="1:19" x14ac:dyDescent="0.25">
      <c r="A67" s="5" t="s">
        <v>8</v>
      </c>
      <c r="B67" s="5" t="s">
        <v>303</v>
      </c>
      <c r="C67" s="5" t="s">
        <v>27</v>
      </c>
      <c r="D67" s="5" t="s">
        <v>385</v>
      </c>
      <c r="E67" s="5" t="s">
        <v>387</v>
      </c>
      <c r="F67" s="5" t="s">
        <v>112</v>
      </c>
      <c r="G67" s="5" t="s">
        <v>391</v>
      </c>
      <c r="H67" s="5" t="s">
        <v>53</v>
      </c>
      <c r="I67" s="5" t="s">
        <v>305</v>
      </c>
      <c r="J67" s="15">
        <v>2710</v>
      </c>
      <c r="K67" s="7">
        <v>38</v>
      </c>
      <c r="L67" s="7">
        <f t="shared" si="18"/>
        <v>71.315789473684205</v>
      </c>
      <c r="M67" s="5" t="s">
        <v>9</v>
      </c>
      <c r="N67" s="5">
        <v>4</v>
      </c>
      <c r="O67" s="6">
        <f t="shared" si="19"/>
        <v>8.6143139716066468</v>
      </c>
      <c r="P67" s="6">
        <f t="shared" si="20"/>
        <v>0.8958886530470912</v>
      </c>
      <c r="Q67" s="10">
        <f t="shared" si="21"/>
        <v>1.8664346938481065E-2</v>
      </c>
      <c r="R67" s="10">
        <f t="shared" si="22"/>
        <v>7.9948928370579042E-2</v>
      </c>
      <c r="S67" s="10">
        <f t="shared" si="23"/>
        <v>9.8613275309060111E-2</v>
      </c>
    </row>
    <row r="68" spans="1:19" x14ac:dyDescent="0.25">
      <c r="A68" s="5" t="s">
        <v>8</v>
      </c>
      <c r="B68" s="5" t="s">
        <v>303</v>
      </c>
      <c r="C68" s="5" t="s">
        <v>27</v>
      </c>
      <c r="D68" s="5" t="s">
        <v>385</v>
      </c>
      <c r="E68" s="5" t="s">
        <v>387</v>
      </c>
      <c r="F68" s="5" t="s">
        <v>112</v>
      </c>
      <c r="G68" s="5" t="s">
        <v>391</v>
      </c>
      <c r="H68" s="5" t="s">
        <v>53</v>
      </c>
      <c r="I68" s="5" t="s">
        <v>305</v>
      </c>
      <c r="J68" s="15">
        <v>2500</v>
      </c>
      <c r="K68" s="7">
        <v>35</v>
      </c>
      <c r="L68" s="7">
        <f t="shared" si="18"/>
        <v>71.428571428571431</v>
      </c>
      <c r="M68" s="5" t="s">
        <v>9</v>
      </c>
      <c r="N68" s="5">
        <v>4</v>
      </c>
      <c r="O68" s="6">
        <f t="shared" si="19"/>
        <v>7.9719387755102051</v>
      </c>
      <c r="P68" s="6">
        <f t="shared" si="20"/>
        <v>0.82908163265306123</v>
      </c>
      <c r="Q68" s="10">
        <f t="shared" si="21"/>
        <v>1.7272534013605446E-2</v>
      </c>
      <c r="R68" s="10">
        <f t="shared" si="22"/>
        <v>7.5434512896593864E-2</v>
      </c>
      <c r="S68" s="10">
        <f t="shared" si="23"/>
        <v>9.2707046910199306E-2</v>
      </c>
    </row>
    <row r="69" spans="1:19" x14ac:dyDescent="0.25">
      <c r="A69" s="5" t="s">
        <v>8</v>
      </c>
      <c r="B69" s="5" t="s">
        <v>228</v>
      </c>
      <c r="C69" s="5" t="s">
        <v>27</v>
      </c>
      <c r="D69" s="5" t="s">
        <v>385</v>
      </c>
      <c r="E69" s="5" t="s">
        <v>387</v>
      </c>
      <c r="F69" s="5" t="s">
        <v>112</v>
      </c>
      <c r="G69" s="5" t="s">
        <v>391</v>
      </c>
      <c r="H69" s="5" t="s">
        <v>53</v>
      </c>
      <c r="I69" s="5" t="s">
        <v>230</v>
      </c>
      <c r="J69" s="15">
        <v>2600</v>
      </c>
      <c r="K69" s="7">
        <v>39.5</v>
      </c>
      <c r="L69" s="7">
        <f t="shared" si="18"/>
        <v>65.822784810126578</v>
      </c>
      <c r="M69" s="5" t="s">
        <v>9</v>
      </c>
      <c r="N69" s="5">
        <v>4</v>
      </c>
      <c r="O69" s="6">
        <f t="shared" si="19"/>
        <v>7.0405383752603745</v>
      </c>
      <c r="P69" s="6">
        <f t="shared" si="20"/>
        <v>0.73221599102707891</v>
      </c>
      <c r="Q69" s="10">
        <f t="shared" si="21"/>
        <v>1.5254499813064143E-2</v>
      </c>
      <c r="R69" s="10">
        <f t="shared" si="22"/>
        <v>6.8722907763020355E-2</v>
      </c>
      <c r="S69" s="10">
        <f t="shared" si="23"/>
        <v>8.3977407576084503E-2</v>
      </c>
    </row>
    <row r="70" spans="1:19" x14ac:dyDescent="0.25">
      <c r="A70" s="5" t="s">
        <v>8</v>
      </c>
      <c r="B70" s="5" t="s">
        <v>284</v>
      </c>
      <c r="C70" s="5" t="s">
        <v>27</v>
      </c>
      <c r="D70" s="5" t="s">
        <v>385</v>
      </c>
      <c r="E70" s="5" t="s">
        <v>387</v>
      </c>
      <c r="F70" s="5" t="s">
        <v>112</v>
      </c>
      <c r="G70" s="5" t="s">
        <v>391</v>
      </c>
      <c r="H70" s="5" t="s">
        <v>53</v>
      </c>
      <c r="I70" s="5" t="s">
        <v>285</v>
      </c>
      <c r="J70" s="15">
        <v>3000</v>
      </c>
      <c r="K70" s="7">
        <v>46.3</v>
      </c>
      <c r="L70" s="7">
        <f t="shared" si="18"/>
        <v>64.794816414686835</v>
      </c>
      <c r="M70" s="5" t="s">
        <v>9</v>
      </c>
      <c r="N70" s="5">
        <v>4</v>
      </c>
      <c r="O70" s="6">
        <f t="shared" si="19"/>
        <v>7.8719404391493191</v>
      </c>
      <c r="P70" s="6">
        <f t="shared" si="20"/>
        <v>0.81868180567152926</v>
      </c>
      <c r="Q70" s="10">
        <f t="shared" si="21"/>
        <v>1.7055870951490189E-2</v>
      </c>
      <c r="R70" s="10">
        <f t="shared" si="22"/>
        <v>7.4723718195041214E-2</v>
      </c>
      <c r="S70" s="10">
        <f t="shared" si="23"/>
        <v>9.1779589146531407E-2</v>
      </c>
    </row>
    <row r="71" spans="1:19" x14ac:dyDescent="0.25">
      <c r="A71" s="5" t="s">
        <v>8</v>
      </c>
      <c r="B71" s="5" t="s">
        <v>303</v>
      </c>
      <c r="C71" s="5" t="s">
        <v>27</v>
      </c>
      <c r="D71" s="5" t="s">
        <v>385</v>
      </c>
      <c r="E71" s="5" t="s">
        <v>387</v>
      </c>
      <c r="F71" s="5" t="s">
        <v>112</v>
      </c>
      <c r="G71" s="5" t="s">
        <v>391</v>
      </c>
      <c r="H71" s="5" t="s">
        <v>53</v>
      </c>
      <c r="I71" s="5" t="s">
        <v>304</v>
      </c>
      <c r="J71" s="15">
        <v>2330</v>
      </c>
      <c r="K71" s="7">
        <v>32</v>
      </c>
      <c r="L71" s="7">
        <f t="shared" si="18"/>
        <v>72.8125</v>
      </c>
      <c r="M71" s="5" t="s">
        <v>9</v>
      </c>
      <c r="N71" s="5">
        <v>4</v>
      </c>
      <c r="O71" s="6">
        <f t="shared" si="19"/>
        <v>7.7205426025390622</v>
      </c>
      <c r="P71" s="6">
        <f t="shared" si="20"/>
        <v>0.80293643066406251</v>
      </c>
      <c r="Q71" s="10">
        <f t="shared" si="21"/>
        <v>1.6727842305501301E-2</v>
      </c>
      <c r="R71" s="10">
        <f t="shared" si="22"/>
        <v>7.3643257759382366E-2</v>
      </c>
      <c r="S71" s="10">
        <f t="shared" si="23"/>
        <v>9.0371100064883664E-2</v>
      </c>
    </row>
    <row r="72" spans="1:19" x14ac:dyDescent="0.25">
      <c r="A72" s="5" t="s">
        <v>22</v>
      </c>
      <c r="B72" s="5" t="s">
        <v>63</v>
      </c>
      <c r="C72" s="5" t="s">
        <v>27</v>
      </c>
      <c r="D72" s="5" t="s">
        <v>385</v>
      </c>
      <c r="E72" s="5" t="s">
        <v>387</v>
      </c>
      <c r="F72" s="5" t="s">
        <v>112</v>
      </c>
      <c r="G72" s="5" t="s">
        <v>391</v>
      </c>
      <c r="H72" s="5" t="s">
        <v>53</v>
      </c>
      <c r="I72" s="5" t="s">
        <v>147</v>
      </c>
      <c r="J72" s="15">
        <v>2200</v>
      </c>
      <c r="K72" s="7">
        <v>33</v>
      </c>
      <c r="L72" s="7">
        <f t="shared" si="18"/>
        <v>66.666666666666671</v>
      </c>
      <c r="M72" s="5" t="s">
        <v>9</v>
      </c>
      <c r="N72" s="5">
        <v>4</v>
      </c>
      <c r="O72" s="6">
        <f t="shared" si="19"/>
        <v>6.1111111111111125</v>
      </c>
      <c r="P72" s="6">
        <f t="shared" si="20"/>
        <v>0.63555555555555565</v>
      </c>
      <c r="Q72" s="10">
        <f t="shared" si="21"/>
        <v>1.3240740740740742E-2</v>
      </c>
      <c r="R72" s="10">
        <f t="shared" si="22"/>
        <v>6.1799827002558427E-2</v>
      </c>
      <c r="S72" s="10">
        <f t="shared" si="23"/>
        <v>7.5040567743299175E-2</v>
      </c>
    </row>
    <row r="73" spans="1:19" x14ac:dyDescent="0.25">
      <c r="A73" s="5" t="s">
        <v>8</v>
      </c>
      <c r="B73" s="5" t="s">
        <v>228</v>
      </c>
      <c r="C73" s="5" t="s">
        <v>27</v>
      </c>
      <c r="D73" s="5" t="s">
        <v>385</v>
      </c>
      <c r="E73" s="5" t="s">
        <v>387</v>
      </c>
      <c r="F73" s="5" t="s">
        <v>112</v>
      </c>
      <c r="G73" s="5" t="s">
        <v>391</v>
      </c>
      <c r="H73" s="5" t="s">
        <v>53</v>
      </c>
      <c r="I73" s="5" t="s">
        <v>229</v>
      </c>
      <c r="J73" s="15">
        <v>2100</v>
      </c>
      <c r="K73" s="7">
        <v>34</v>
      </c>
      <c r="L73" s="7">
        <f t="shared" si="18"/>
        <v>61.764705882352942</v>
      </c>
      <c r="M73" s="5" t="s">
        <v>9</v>
      </c>
      <c r="N73" s="5">
        <v>4</v>
      </c>
      <c r="O73" s="6">
        <f t="shared" si="19"/>
        <v>5.0070285467128031</v>
      </c>
      <c r="P73" s="6">
        <f t="shared" si="20"/>
        <v>0.52073096885813142</v>
      </c>
      <c r="Q73" s="10">
        <f t="shared" si="21"/>
        <v>1.0848561851211073E-2</v>
      </c>
      <c r="R73" s="10">
        <f t="shared" si="22"/>
        <v>5.3220895151738591E-2</v>
      </c>
      <c r="S73" s="10">
        <f t="shared" si="23"/>
        <v>6.4069457002949665E-2</v>
      </c>
    </row>
    <row r="74" spans="1:19" x14ac:dyDescent="0.25">
      <c r="A74" s="5" t="s">
        <v>22</v>
      </c>
      <c r="B74" s="5" t="s">
        <v>26</v>
      </c>
      <c r="C74" s="5" t="s">
        <v>27</v>
      </c>
      <c r="D74" s="5" t="s">
        <v>385</v>
      </c>
      <c r="E74" s="5" t="s">
        <v>387</v>
      </c>
      <c r="F74" s="5" t="s">
        <v>112</v>
      </c>
      <c r="G74" s="5" t="s">
        <v>391</v>
      </c>
      <c r="H74" s="5" t="s">
        <v>53</v>
      </c>
      <c r="I74" s="5" t="s">
        <v>55</v>
      </c>
      <c r="J74" s="15">
        <v>3400</v>
      </c>
      <c r="K74" s="7">
        <v>37.5</v>
      </c>
      <c r="L74" s="7">
        <f t="shared" si="18"/>
        <v>90.666666666666671</v>
      </c>
      <c r="M74" s="5" t="s">
        <v>9</v>
      </c>
      <c r="N74" s="5">
        <v>4</v>
      </c>
      <c r="O74" s="6">
        <f t="shared" si="19"/>
        <v>17.468444444444447</v>
      </c>
      <c r="P74" s="6">
        <f t="shared" si="20"/>
        <v>1.8167182222222222</v>
      </c>
      <c r="Q74" s="10">
        <f t="shared" si="21"/>
        <v>3.7848296296296303E-2</v>
      </c>
      <c r="R74" s="10">
        <f t="shared" si="22"/>
        <v>0.13585880775908216</v>
      </c>
      <c r="S74" s="10">
        <f t="shared" si="23"/>
        <v>0.17370710405537845</v>
      </c>
    </row>
    <row r="75" spans="1:19" x14ac:dyDescent="0.25">
      <c r="A75" s="5" t="s">
        <v>8</v>
      </c>
      <c r="B75" s="5" t="s">
        <v>372</v>
      </c>
      <c r="C75" s="5" t="s">
        <v>27</v>
      </c>
      <c r="D75" s="5" t="s">
        <v>385</v>
      </c>
      <c r="E75" s="5" t="s">
        <v>387</v>
      </c>
      <c r="F75" s="5" t="s">
        <v>112</v>
      </c>
      <c r="G75" s="5" t="s">
        <v>391</v>
      </c>
      <c r="H75" s="5" t="s">
        <v>53</v>
      </c>
      <c r="I75" s="5" t="s">
        <v>374</v>
      </c>
      <c r="J75" s="15">
        <v>3460</v>
      </c>
      <c r="K75" s="7">
        <v>50.7</v>
      </c>
      <c r="L75" s="7">
        <f t="shared" si="18"/>
        <v>68.244575936883621</v>
      </c>
      <c r="M75" s="5" t="s">
        <v>9</v>
      </c>
      <c r="N75" s="5">
        <v>4</v>
      </c>
      <c r="O75" s="6">
        <f t="shared" si="19"/>
        <v>10.071459138140973</v>
      </c>
      <c r="P75" s="6">
        <f t="shared" si="20"/>
        <v>1.0474317503666613</v>
      </c>
      <c r="Q75" s="10">
        <f t="shared" si="21"/>
        <v>2.1821494799305442E-2</v>
      </c>
      <c r="R75" s="10">
        <f t="shared" si="22"/>
        <v>8.9891043220326733E-2</v>
      </c>
      <c r="S75" s="10">
        <f t="shared" si="23"/>
        <v>0.11171253801963217</v>
      </c>
    </row>
    <row r="76" spans="1:19" x14ac:dyDescent="0.25">
      <c r="A76" s="5" t="s">
        <v>22</v>
      </c>
      <c r="B76" s="5" t="s">
        <v>63</v>
      </c>
      <c r="C76" s="5" t="s">
        <v>27</v>
      </c>
      <c r="D76" s="5" t="s">
        <v>385</v>
      </c>
      <c r="E76" s="5" t="s">
        <v>387</v>
      </c>
      <c r="F76" s="5" t="s">
        <v>112</v>
      </c>
      <c r="G76" s="5" t="s">
        <v>391</v>
      </c>
      <c r="H76" s="5" t="s">
        <v>53</v>
      </c>
      <c r="I76" s="5" t="s">
        <v>114</v>
      </c>
      <c r="J76" s="15">
        <v>1700</v>
      </c>
      <c r="K76" s="7">
        <v>28</v>
      </c>
      <c r="L76" s="7">
        <f t="shared" si="18"/>
        <v>60.714285714285715</v>
      </c>
      <c r="M76" s="5" t="s">
        <v>9</v>
      </c>
      <c r="N76" s="5">
        <v>4</v>
      </c>
      <c r="O76" s="6">
        <f t="shared" si="19"/>
        <v>3.9166135204081631</v>
      </c>
      <c r="P76" s="6">
        <f t="shared" si="20"/>
        <v>0.40732780612244895</v>
      </c>
      <c r="Q76" s="10">
        <f t="shared" si="21"/>
        <v>8.4859959608843526E-3</v>
      </c>
      <c r="R76" s="10">
        <f t="shared" si="22"/>
        <v>4.4267007423098879E-2</v>
      </c>
      <c r="S76" s="10">
        <f t="shared" si="23"/>
        <v>5.2753003383983234E-2</v>
      </c>
    </row>
    <row r="77" spans="1:19" x14ac:dyDescent="0.25">
      <c r="J77" s="16">
        <f>AVERAGE(J64:J76)</f>
        <v>2569.2307692307691</v>
      </c>
      <c r="K77" s="12">
        <f t="shared" ref="K77:S77" si="24">AVERAGE(K64:K76)</f>
        <v>37.53846153846154</v>
      </c>
      <c r="L77" s="12">
        <f t="shared" si="24"/>
        <v>68.715992064097435</v>
      </c>
      <c r="M77" s="11" t="e">
        <f t="shared" si="24"/>
        <v>#DIV/0!</v>
      </c>
      <c r="N77" s="11">
        <f t="shared" si="24"/>
        <v>4</v>
      </c>
      <c r="O77" s="13">
        <f t="shared" si="24"/>
        <v>7.9338692828778203</v>
      </c>
      <c r="P77" s="13">
        <f t="shared" si="24"/>
        <v>0.82512240541929316</v>
      </c>
      <c r="Q77" s="14">
        <f t="shared" si="24"/>
        <v>1.7190050112901943E-2</v>
      </c>
      <c r="R77" s="14">
        <f t="shared" si="24"/>
        <v>7.4026971664856001E-2</v>
      </c>
      <c r="S77" s="14">
        <f t="shared" si="24"/>
        <v>9.1217021777757937E-2</v>
      </c>
    </row>
    <row r="78" spans="1:19" x14ac:dyDescent="0.25">
      <c r="A78" s="5" t="s">
        <v>22</v>
      </c>
      <c r="B78" s="5" t="s">
        <v>63</v>
      </c>
      <c r="C78" s="5" t="s">
        <v>27</v>
      </c>
      <c r="D78" s="5" t="s">
        <v>385</v>
      </c>
      <c r="E78" s="5" t="s">
        <v>387</v>
      </c>
      <c r="F78" s="5" t="s">
        <v>112</v>
      </c>
      <c r="G78" s="5" t="s">
        <v>391</v>
      </c>
      <c r="H78" s="5" t="s">
        <v>115</v>
      </c>
      <c r="I78" s="5" t="s">
        <v>116</v>
      </c>
      <c r="J78" s="15">
        <v>750</v>
      </c>
      <c r="K78" s="7">
        <v>23</v>
      </c>
      <c r="L78" s="7">
        <f>J78/K78</f>
        <v>32.608695652173914</v>
      </c>
      <c r="M78" s="5" t="s">
        <v>9</v>
      </c>
      <c r="N78" s="5">
        <v>4</v>
      </c>
      <c r="O78" s="6">
        <f>(J78*L78^2)/(1.6*10^6)</f>
        <v>0.49843454631379974</v>
      </c>
      <c r="P78" s="6">
        <f>(0.104*J78*L78^2)/(1.6*10^6)</f>
        <v>5.1837192816635173E-2</v>
      </c>
      <c r="Q78" s="10">
        <f>(0.104*O78)/(12*N78)</f>
        <v>1.0799415170132329E-3</v>
      </c>
      <c r="R78" s="10">
        <f>0.0159*O78^0.75</f>
        <v>9.431987704294223E-3</v>
      </c>
      <c r="S78" s="10">
        <f>Q78+R78</f>
        <v>1.0511929221307456E-2</v>
      </c>
    </row>
    <row r="80" spans="1:19" x14ac:dyDescent="0.25">
      <c r="A80" s="5" t="s">
        <v>8</v>
      </c>
      <c r="B80" s="5" t="s">
        <v>372</v>
      </c>
      <c r="C80" s="5" t="s">
        <v>27</v>
      </c>
      <c r="D80" s="5" t="s">
        <v>385</v>
      </c>
      <c r="E80" s="5" t="s">
        <v>384</v>
      </c>
      <c r="F80" s="5" t="s">
        <v>91</v>
      </c>
      <c r="G80" s="5" t="s">
        <v>393</v>
      </c>
      <c r="H80" s="5" t="s">
        <v>92</v>
      </c>
      <c r="I80" s="5" t="s">
        <v>373</v>
      </c>
      <c r="J80" s="15">
        <v>2510</v>
      </c>
      <c r="K80" s="7">
        <v>41.4</v>
      </c>
      <c r="L80" s="7">
        <f>J80/K80</f>
        <v>60.628019323671502</v>
      </c>
      <c r="M80" s="5" t="s">
        <v>9</v>
      </c>
      <c r="N80" s="5">
        <v>4</v>
      </c>
      <c r="O80" s="6">
        <f>(J80*L80^2)/(1.6*10^6)</f>
        <v>5.7663433656561418</v>
      </c>
      <c r="P80" s="6">
        <f>(0.104*J80*L80^2)/(1.6*10^6)</f>
        <v>0.59969971002823874</v>
      </c>
      <c r="Q80" s="10">
        <f>(0.104*O80)/(12*N80)</f>
        <v>1.249374395892164E-2</v>
      </c>
      <c r="R80" s="10">
        <f>0.0159*O80^0.75</f>
        <v>5.9166039480103155E-2</v>
      </c>
      <c r="S80" s="10">
        <f>Q80+R80</f>
        <v>7.1659783439024793E-2</v>
      </c>
    </row>
    <row r="81" spans="1:19" x14ac:dyDescent="0.25">
      <c r="A81" s="5" t="s">
        <v>22</v>
      </c>
      <c r="B81" s="5" t="s">
        <v>63</v>
      </c>
      <c r="C81" s="5" t="s">
        <v>27</v>
      </c>
      <c r="D81" s="5" t="s">
        <v>385</v>
      </c>
      <c r="E81" s="5" t="s">
        <v>384</v>
      </c>
      <c r="F81" s="5" t="s">
        <v>91</v>
      </c>
      <c r="G81" s="5" t="s">
        <v>393</v>
      </c>
      <c r="H81" s="5" t="s">
        <v>92</v>
      </c>
      <c r="I81" s="5" t="s">
        <v>19</v>
      </c>
      <c r="J81" s="15">
        <v>1585</v>
      </c>
      <c r="K81" s="7">
        <v>66</v>
      </c>
      <c r="L81" s="7">
        <f>J81/K81</f>
        <v>24.015151515151516</v>
      </c>
      <c r="M81" s="5" t="s">
        <v>9</v>
      </c>
      <c r="N81" s="5">
        <v>4</v>
      </c>
      <c r="O81" s="6">
        <f>(J81*L81^2)/(1.6*10^6)</f>
        <v>0.57132068196166208</v>
      </c>
      <c r="P81" s="6">
        <f>(0.104*J81*L81^2)/(1.6*10^6)</f>
        <v>5.941735092401286E-2</v>
      </c>
      <c r="Q81" s="10">
        <f>(0.104*O81)/(12*N81)</f>
        <v>1.2378614775836012E-3</v>
      </c>
      <c r="R81" s="10">
        <f>0.0159*O81^0.75</f>
        <v>1.0448575464998765E-2</v>
      </c>
      <c r="S81" s="10">
        <f>Q81+R81</f>
        <v>1.1686436942582366E-2</v>
      </c>
    </row>
    <row r="82" spans="1:19" x14ac:dyDescent="0.25">
      <c r="A82" s="5" t="s">
        <v>8</v>
      </c>
      <c r="B82" s="5" t="s">
        <v>308</v>
      </c>
      <c r="C82" s="5" t="s">
        <v>27</v>
      </c>
      <c r="D82" s="5" t="s">
        <v>385</v>
      </c>
      <c r="E82" s="5" t="s">
        <v>384</v>
      </c>
      <c r="F82" s="5" t="s">
        <v>91</v>
      </c>
      <c r="G82" s="5" t="s">
        <v>393</v>
      </c>
      <c r="H82" s="5" t="s">
        <v>92</v>
      </c>
      <c r="I82" s="5" t="s">
        <v>309</v>
      </c>
      <c r="J82" s="15">
        <v>1215</v>
      </c>
      <c r="K82" s="7">
        <v>41</v>
      </c>
      <c r="L82" s="7">
        <f>J82/K82</f>
        <v>29.634146341463413</v>
      </c>
      <c r="M82" s="5" t="s">
        <v>9</v>
      </c>
      <c r="N82" s="5">
        <v>4</v>
      </c>
      <c r="O82" s="6">
        <f>(J82*L82^2)/(1.6*10^6)</f>
        <v>0.66686993419095775</v>
      </c>
      <c r="P82" s="6">
        <f>(0.104*J82*L82^2)/(1.6*10^6)</f>
        <v>6.9354473155859603E-2</v>
      </c>
      <c r="Q82" s="10">
        <f>(0.104*O82)/(12*N82)</f>
        <v>1.4448848574137418E-3</v>
      </c>
      <c r="R82" s="10">
        <f>0.0159*O82^0.75</f>
        <v>1.1733510805087846E-2</v>
      </c>
      <c r="S82" s="10">
        <f>Q82+R82</f>
        <v>1.3178395662501587E-2</v>
      </c>
    </row>
    <row r="83" spans="1:19" x14ac:dyDescent="0.25">
      <c r="J83" s="16">
        <f>AVERAGE(J80:J82)</f>
        <v>1770</v>
      </c>
      <c r="K83" s="12">
        <f t="shared" ref="K83:S83" si="25">AVERAGE(K80:K82)</f>
        <v>49.466666666666669</v>
      </c>
      <c r="L83" s="12">
        <f t="shared" si="25"/>
        <v>38.092439060095472</v>
      </c>
      <c r="M83" s="11" t="e">
        <f t="shared" si="25"/>
        <v>#DIV/0!</v>
      </c>
      <c r="N83" s="11">
        <f t="shared" si="25"/>
        <v>4</v>
      </c>
      <c r="O83" s="13">
        <f t="shared" si="25"/>
        <v>2.3348446606029207</v>
      </c>
      <c r="P83" s="13">
        <f t="shared" si="25"/>
        <v>0.24282384470270377</v>
      </c>
      <c r="Q83" s="14">
        <f t="shared" si="25"/>
        <v>5.0588300979729937E-3</v>
      </c>
      <c r="R83" s="14">
        <f t="shared" si="25"/>
        <v>2.7116041916729922E-2</v>
      </c>
      <c r="S83" s="14">
        <f t="shared" si="25"/>
        <v>3.217487201470292E-2</v>
      </c>
    </row>
    <row r="84" spans="1:19" x14ac:dyDescent="0.25">
      <c r="A84" s="5" t="s">
        <v>22</v>
      </c>
      <c r="B84" s="5" t="s">
        <v>63</v>
      </c>
      <c r="C84" s="5" t="s">
        <v>27</v>
      </c>
      <c r="D84" s="5" t="s">
        <v>385</v>
      </c>
      <c r="E84" s="5" t="s">
        <v>384</v>
      </c>
      <c r="F84" s="5" t="s">
        <v>91</v>
      </c>
      <c r="G84" s="5" t="s">
        <v>393</v>
      </c>
      <c r="H84" s="5" t="s">
        <v>93</v>
      </c>
      <c r="I84" s="5" t="s">
        <v>94</v>
      </c>
      <c r="J84" s="15">
        <v>2400</v>
      </c>
      <c r="K84" s="7">
        <v>30</v>
      </c>
      <c r="L84" s="7">
        <f>J84/K84</f>
        <v>80</v>
      </c>
      <c r="M84" s="5" t="s">
        <v>9</v>
      </c>
      <c r="N84" s="5">
        <v>4</v>
      </c>
      <c r="O84" s="6">
        <f>(J84*L84^2)/(1.6*10^6)</f>
        <v>9.6</v>
      </c>
      <c r="P84" s="6">
        <f>(0.104*J84*L84^2)/(1.6*10^6)</f>
        <v>0.99839999999999995</v>
      </c>
      <c r="Q84" s="10">
        <f>(0.104*O84)/(12*N84)</f>
        <v>2.0799999999999999E-2</v>
      </c>
      <c r="R84" s="10">
        <f>0.0159*O84^0.75</f>
        <v>8.671626204879955E-2</v>
      </c>
      <c r="S84" s="10">
        <f>Q84+R84</f>
        <v>0.10751626204879955</v>
      </c>
    </row>
    <row r="85" spans="1:19" x14ac:dyDescent="0.25">
      <c r="A85" s="5" t="s">
        <v>8</v>
      </c>
      <c r="B85" s="5" t="s">
        <v>336</v>
      </c>
      <c r="C85" s="5" t="s">
        <v>27</v>
      </c>
      <c r="D85" s="5" t="s">
        <v>385</v>
      </c>
      <c r="E85" s="5" t="s">
        <v>384</v>
      </c>
      <c r="F85" s="5" t="s">
        <v>91</v>
      </c>
      <c r="G85" s="5" t="s">
        <v>393</v>
      </c>
      <c r="H85" s="5" t="s">
        <v>93</v>
      </c>
      <c r="I85" s="5" t="s">
        <v>94</v>
      </c>
      <c r="J85" s="15">
        <v>2840</v>
      </c>
      <c r="K85" s="7">
        <v>30</v>
      </c>
      <c r="L85" s="7">
        <f>J85/K85</f>
        <v>94.666666666666671</v>
      </c>
      <c r="M85" s="5" t="s">
        <v>9</v>
      </c>
      <c r="N85" s="5">
        <v>4</v>
      </c>
      <c r="O85" s="6">
        <f>(J85*L85^2)/(1.6*10^6)</f>
        <v>15.907155555555557</v>
      </c>
      <c r="P85" s="6">
        <f>(0.104*J85*L85^2)/(1.6*10^6)</f>
        <v>1.6543441777777783</v>
      </c>
      <c r="Q85" s="10">
        <f>(0.104*O85)/(12*N85)</f>
        <v>3.4465503703703708E-2</v>
      </c>
      <c r="R85" s="10">
        <f>0.0159*O85^0.75</f>
        <v>0.12664601248462076</v>
      </c>
      <c r="S85" s="10">
        <f>Q85+R85</f>
        <v>0.16111151618832448</v>
      </c>
    </row>
    <row r="86" spans="1:19" x14ac:dyDescent="0.25">
      <c r="A86" s="5" t="s">
        <v>8</v>
      </c>
      <c r="B86" s="5" t="s">
        <v>336</v>
      </c>
      <c r="C86" s="5" t="s">
        <v>27</v>
      </c>
      <c r="D86" s="5" t="s">
        <v>385</v>
      </c>
      <c r="E86" s="5" t="s">
        <v>384</v>
      </c>
      <c r="F86" s="5" t="s">
        <v>91</v>
      </c>
      <c r="G86" s="5" t="s">
        <v>393</v>
      </c>
      <c r="H86" s="5" t="s">
        <v>93</v>
      </c>
      <c r="I86" s="5" t="s">
        <v>338</v>
      </c>
      <c r="J86" s="15">
        <v>2620</v>
      </c>
      <c r="K86" s="7">
        <v>30.5</v>
      </c>
      <c r="L86" s="7">
        <f>J86/K86</f>
        <v>85.901639344262293</v>
      </c>
      <c r="M86" s="5" t="s">
        <v>9</v>
      </c>
      <c r="N86" s="5">
        <v>4</v>
      </c>
      <c r="O86" s="6">
        <f>(J86*L86^2)/(1.6*10^6)</f>
        <v>12.083262563826928</v>
      </c>
      <c r="P86" s="6">
        <f>(0.104*J86*L86^2)/(1.6*10^6)</f>
        <v>1.2566593066380003</v>
      </c>
      <c r="Q86" s="10">
        <f>(0.104*O86)/(12*N86)</f>
        <v>2.6180402221625012E-2</v>
      </c>
      <c r="R86" s="10">
        <f>0.0159*O86^0.75</f>
        <v>0.10304698364299147</v>
      </c>
      <c r="S86" s="10">
        <f>Q86+R86</f>
        <v>0.12922738586461649</v>
      </c>
    </row>
    <row r="87" spans="1:19" x14ac:dyDescent="0.25">
      <c r="J87" s="16">
        <f>AVERAGE(J84:J86)</f>
        <v>2620</v>
      </c>
      <c r="K87" s="12">
        <f t="shared" ref="K87:S87" si="26">AVERAGE(K84:K86)</f>
        <v>30.166666666666668</v>
      </c>
      <c r="L87" s="12">
        <f t="shared" si="26"/>
        <v>86.856102003642988</v>
      </c>
      <c r="M87" s="11" t="e">
        <f t="shared" si="26"/>
        <v>#DIV/0!</v>
      </c>
      <c r="N87" s="11">
        <f t="shared" si="26"/>
        <v>4</v>
      </c>
      <c r="O87" s="13">
        <f t="shared" si="26"/>
        <v>12.530139373127495</v>
      </c>
      <c r="P87" s="13">
        <f t="shared" si="26"/>
        <v>1.3031344948052597</v>
      </c>
      <c r="Q87" s="14">
        <f t="shared" si="26"/>
        <v>2.7148635308442904E-2</v>
      </c>
      <c r="R87" s="14">
        <f t="shared" si="26"/>
        <v>0.1054697527254706</v>
      </c>
      <c r="S87" s="14">
        <f t="shared" si="26"/>
        <v>0.13261838803391349</v>
      </c>
    </row>
    <row r="88" spans="1:19" x14ac:dyDescent="0.25">
      <c r="A88" s="5" t="s">
        <v>8</v>
      </c>
      <c r="B88" s="5" t="s">
        <v>165</v>
      </c>
      <c r="C88" s="5" t="s">
        <v>27</v>
      </c>
      <c r="D88" s="5" t="s">
        <v>385</v>
      </c>
      <c r="E88" s="5" t="s">
        <v>384</v>
      </c>
      <c r="F88" s="5" t="s">
        <v>30</v>
      </c>
      <c r="G88" s="5" t="s">
        <v>397</v>
      </c>
      <c r="H88" s="5" t="s">
        <v>36</v>
      </c>
      <c r="I88" s="5" t="s">
        <v>173</v>
      </c>
      <c r="J88" s="15">
        <v>3000</v>
      </c>
      <c r="K88" s="7">
        <v>21.5</v>
      </c>
      <c r="L88" s="7">
        <f t="shared" ref="L88:L103" si="27">J88/K88</f>
        <v>139.53488372093022</v>
      </c>
      <c r="M88" s="5" t="s">
        <v>9</v>
      </c>
      <c r="N88" s="5">
        <v>4</v>
      </c>
      <c r="O88" s="6">
        <f t="shared" ref="O88:O103" si="28">(J88*L88^2)/(1.6*10^6)</f>
        <v>36.50621957815035</v>
      </c>
      <c r="P88" s="6">
        <f t="shared" ref="P88:P103" si="29">(0.104*J88*L88^2)/(1.6*10^6)</f>
        <v>3.7966468361276364</v>
      </c>
      <c r="Q88" s="10">
        <f t="shared" ref="Q88:Q103" si="30">(0.104*O88)/(12*N88)</f>
        <v>7.9096809085992426E-2</v>
      </c>
      <c r="R88" s="10">
        <f t="shared" ref="R88:R103" si="31">0.0159*O88^0.75</f>
        <v>0.23614147442789565</v>
      </c>
      <c r="S88" s="10">
        <f t="shared" ref="S88:S103" si="32">Q88+R88</f>
        <v>0.31523828351388805</v>
      </c>
    </row>
    <row r="89" spans="1:19" x14ac:dyDescent="0.25">
      <c r="A89" s="5" t="s">
        <v>8</v>
      </c>
      <c r="B89" s="5" t="s">
        <v>165</v>
      </c>
      <c r="C89" s="5" t="s">
        <v>27</v>
      </c>
      <c r="D89" s="5" t="s">
        <v>385</v>
      </c>
      <c r="E89" s="5" t="s">
        <v>384</v>
      </c>
      <c r="F89" s="5" t="s">
        <v>30</v>
      </c>
      <c r="G89" s="5" t="s">
        <v>397</v>
      </c>
      <c r="H89" s="5" t="s">
        <v>36</v>
      </c>
      <c r="I89" s="5" t="s">
        <v>174</v>
      </c>
      <c r="J89" s="15">
        <v>4700</v>
      </c>
      <c r="K89" s="7">
        <v>37</v>
      </c>
      <c r="L89" s="7">
        <f t="shared" si="27"/>
        <v>127.02702702702703</v>
      </c>
      <c r="M89" s="5" t="s">
        <v>9</v>
      </c>
      <c r="N89" s="5">
        <v>4</v>
      </c>
      <c r="O89" s="6">
        <f t="shared" si="28"/>
        <v>47.399105186267356</v>
      </c>
      <c r="P89" s="6">
        <f t="shared" si="29"/>
        <v>4.9295069393718043</v>
      </c>
      <c r="Q89" s="10">
        <f t="shared" si="30"/>
        <v>0.10269806123691261</v>
      </c>
      <c r="R89" s="10">
        <f t="shared" si="31"/>
        <v>0.28722664908804313</v>
      </c>
      <c r="S89" s="10">
        <f t="shared" si="32"/>
        <v>0.38992471032495574</v>
      </c>
    </row>
    <row r="90" spans="1:19" x14ac:dyDescent="0.25">
      <c r="A90" s="5" t="s">
        <v>22</v>
      </c>
      <c r="B90" s="5" t="s">
        <v>26</v>
      </c>
      <c r="C90" s="5" t="s">
        <v>27</v>
      </c>
      <c r="D90" s="5" t="s">
        <v>385</v>
      </c>
      <c r="E90" s="5" t="s">
        <v>384</v>
      </c>
      <c r="F90" s="5" t="s">
        <v>30</v>
      </c>
      <c r="G90" s="5" t="s">
        <v>397</v>
      </c>
      <c r="H90" s="5" t="s">
        <v>36</v>
      </c>
      <c r="I90" s="5" t="s">
        <v>18</v>
      </c>
      <c r="J90" s="15">
        <v>1850</v>
      </c>
      <c r="K90" s="7">
        <v>29</v>
      </c>
      <c r="L90" s="7">
        <f t="shared" si="27"/>
        <v>63.793103448275865</v>
      </c>
      <c r="M90" s="5" t="s">
        <v>9</v>
      </c>
      <c r="N90" s="5">
        <v>4</v>
      </c>
      <c r="O90" s="6">
        <f t="shared" si="28"/>
        <v>4.7054288049940549</v>
      </c>
      <c r="P90" s="6">
        <f t="shared" si="29"/>
        <v>0.48936459571938168</v>
      </c>
      <c r="Q90" s="10">
        <f t="shared" si="30"/>
        <v>1.0195095744153785E-2</v>
      </c>
      <c r="R90" s="10">
        <f t="shared" si="31"/>
        <v>5.0797990133562676E-2</v>
      </c>
      <c r="S90" s="10">
        <f t="shared" si="32"/>
        <v>6.0993085877716458E-2</v>
      </c>
    </row>
    <row r="91" spans="1:19" x14ac:dyDescent="0.25">
      <c r="A91" s="5" t="s">
        <v>8</v>
      </c>
      <c r="B91" s="5" t="s">
        <v>165</v>
      </c>
      <c r="C91" s="5" t="s">
        <v>27</v>
      </c>
      <c r="D91" s="5" t="s">
        <v>385</v>
      </c>
      <c r="E91" s="5" t="s">
        <v>384</v>
      </c>
      <c r="F91" s="5" t="s">
        <v>30</v>
      </c>
      <c r="G91" s="5" t="s">
        <v>397</v>
      </c>
      <c r="H91" s="5" t="s">
        <v>36</v>
      </c>
      <c r="I91" s="5" t="s">
        <v>18</v>
      </c>
      <c r="J91" s="15">
        <v>1600</v>
      </c>
      <c r="K91" s="7">
        <v>29</v>
      </c>
      <c r="L91" s="7">
        <f t="shared" si="27"/>
        <v>55.172413793103445</v>
      </c>
      <c r="M91" s="5" t="s">
        <v>9</v>
      </c>
      <c r="N91" s="5">
        <v>4</v>
      </c>
      <c r="O91" s="6">
        <f t="shared" si="28"/>
        <v>3.0439952437574314</v>
      </c>
      <c r="P91" s="6">
        <f t="shared" si="29"/>
        <v>0.31657550535077283</v>
      </c>
      <c r="Q91" s="10">
        <f t="shared" si="30"/>
        <v>6.5953230281411007E-3</v>
      </c>
      <c r="R91" s="10">
        <f t="shared" si="31"/>
        <v>3.6642078556231465E-2</v>
      </c>
      <c r="S91" s="10">
        <f t="shared" si="32"/>
        <v>4.3237401584372566E-2</v>
      </c>
    </row>
    <row r="92" spans="1:19" x14ac:dyDescent="0.25">
      <c r="A92" s="5" t="s">
        <v>8</v>
      </c>
      <c r="B92" s="5" t="s">
        <v>165</v>
      </c>
      <c r="C92" s="5" t="s">
        <v>27</v>
      </c>
      <c r="D92" s="5" t="s">
        <v>385</v>
      </c>
      <c r="E92" s="5" t="s">
        <v>384</v>
      </c>
      <c r="F92" s="5" t="s">
        <v>30</v>
      </c>
      <c r="G92" s="5" t="s">
        <v>397</v>
      </c>
      <c r="H92" s="5" t="s">
        <v>36</v>
      </c>
      <c r="I92" s="5" t="s">
        <v>180</v>
      </c>
      <c r="J92" s="15">
        <v>3850</v>
      </c>
      <c r="K92" s="7">
        <v>31</v>
      </c>
      <c r="L92" s="7">
        <f t="shared" si="27"/>
        <v>124.19354838709677</v>
      </c>
      <c r="M92" s="5" t="s">
        <v>9</v>
      </c>
      <c r="N92" s="5">
        <v>4</v>
      </c>
      <c r="O92" s="6">
        <f t="shared" si="28"/>
        <v>37.114090140478666</v>
      </c>
      <c r="P92" s="6">
        <f t="shared" si="29"/>
        <v>3.8598653746097806</v>
      </c>
      <c r="Q92" s="10">
        <f t="shared" si="30"/>
        <v>8.0413861971037101E-2</v>
      </c>
      <c r="R92" s="10">
        <f t="shared" si="31"/>
        <v>0.23908439899747766</v>
      </c>
      <c r="S92" s="10">
        <f t="shared" si="32"/>
        <v>0.31949826096851475</v>
      </c>
    </row>
    <row r="93" spans="1:19" x14ac:dyDescent="0.25">
      <c r="A93" s="5" t="s">
        <v>8</v>
      </c>
      <c r="B93" s="5" t="s">
        <v>165</v>
      </c>
      <c r="C93" s="5" t="s">
        <v>27</v>
      </c>
      <c r="D93" s="5" t="s">
        <v>385</v>
      </c>
      <c r="E93" s="5" t="s">
        <v>384</v>
      </c>
      <c r="F93" s="5" t="s">
        <v>30</v>
      </c>
      <c r="G93" s="5" t="s">
        <v>397</v>
      </c>
      <c r="H93" s="5" t="s">
        <v>36</v>
      </c>
      <c r="I93" s="5" t="s">
        <v>71</v>
      </c>
      <c r="J93" s="15">
        <v>2850</v>
      </c>
      <c r="K93" s="7">
        <v>31.5</v>
      </c>
      <c r="L93" s="7">
        <f t="shared" si="27"/>
        <v>90.476190476190482</v>
      </c>
      <c r="M93" s="5" t="s">
        <v>9</v>
      </c>
      <c r="N93" s="5">
        <v>4</v>
      </c>
      <c r="O93" s="6">
        <f t="shared" si="28"/>
        <v>14.5812074829932</v>
      </c>
      <c r="P93" s="6">
        <f t="shared" si="29"/>
        <v>1.5164455782312927</v>
      </c>
      <c r="Q93" s="10">
        <f t="shared" si="30"/>
        <v>3.1592616213151931E-2</v>
      </c>
      <c r="R93" s="10">
        <f t="shared" si="31"/>
        <v>0.11864303331746644</v>
      </c>
      <c r="S93" s="10">
        <f t="shared" si="32"/>
        <v>0.15023564953061835</v>
      </c>
    </row>
    <row r="94" spans="1:19" x14ac:dyDescent="0.25">
      <c r="A94" s="5" t="s">
        <v>22</v>
      </c>
      <c r="B94" s="5" t="s">
        <v>26</v>
      </c>
      <c r="C94" s="5" t="s">
        <v>27</v>
      </c>
      <c r="D94" s="5" t="s">
        <v>385</v>
      </c>
      <c r="E94" s="5" t="s">
        <v>384</v>
      </c>
      <c r="F94" s="5" t="s">
        <v>30</v>
      </c>
      <c r="G94" s="5" t="s">
        <v>397</v>
      </c>
      <c r="H94" s="5" t="s">
        <v>36</v>
      </c>
      <c r="I94" s="5" t="s">
        <v>37</v>
      </c>
      <c r="J94" s="15">
        <v>3100</v>
      </c>
      <c r="K94" s="7">
        <v>36</v>
      </c>
      <c r="L94" s="7">
        <f t="shared" si="27"/>
        <v>86.111111111111114</v>
      </c>
      <c r="M94" s="5" t="s">
        <v>9</v>
      </c>
      <c r="N94" s="5">
        <v>4</v>
      </c>
      <c r="O94" s="6">
        <f t="shared" si="28"/>
        <v>14.366801697530866</v>
      </c>
      <c r="P94" s="6">
        <f t="shared" si="29"/>
        <v>1.4941473765432098</v>
      </c>
      <c r="Q94" s="10">
        <f t="shared" si="30"/>
        <v>3.1128070344650208E-2</v>
      </c>
      <c r="R94" s="10">
        <f t="shared" si="31"/>
        <v>0.11733219553044927</v>
      </c>
      <c r="S94" s="10">
        <f t="shared" si="32"/>
        <v>0.14846026587509947</v>
      </c>
    </row>
    <row r="95" spans="1:19" x14ac:dyDescent="0.25">
      <c r="A95" s="5" t="s">
        <v>8</v>
      </c>
      <c r="B95" s="5" t="s">
        <v>165</v>
      </c>
      <c r="C95" s="5" t="s">
        <v>27</v>
      </c>
      <c r="D95" s="5" t="s">
        <v>385</v>
      </c>
      <c r="E95" s="5" t="s">
        <v>384</v>
      </c>
      <c r="F95" s="5" t="s">
        <v>30</v>
      </c>
      <c r="G95" s="5" t="s">
        <v>397</v>
      </c>
      <c r="H95" s="5" t="s">
        <v>36</v>
      </c>
      <c r="I95" s="5" t="s">
        <v>37</v>
      </c>
      <c r="J95" s="15">
        <v>3000</v>
      </c>
      <c r="K95" s="7">
        <v>34</v>
      </c>
      <c r="L95" s="7">
        <f t="shared" si="27"/>
        <v>88.235294117647058</v>
      </c>
      <c r="M95" s="5" t="s">
        <v>9</v>
      </c>
      <c r="N95" s="5">
        <v>4</v>
      </c>
      <c r="O95" s="6">
        <f t="shared" si="28"/>
        <v>14.597750865051902</v>
      </c>
      <c r="P95" s="6">
        <f t="shared" si="29"/>
        <v>1.5181660899653979</v>
      </c>
      <c r="Q95" s="10">
        <f t="shared" si="30"/>
        <v>3.1628460207612452E-2</v>
      </c>
      <c r="R95" s="10">
        <f t="shared" si="31"/>
        <v>0.11874397551321185</v>
      </c>
      <c r="S95" s="10">
        <f t="shared" si="32"/>
        <v>0.15037243572082432</v>
      </c>
    </row>
    <row r="96" spans="1:19" x14ac:dyDescent="0.25">
      <c r="A96" s="5" t="s">
        <v>8</v>
      </c>
      <c r="B96" s="5" t="s">
        <v>165</v>
      </c>
      <c r="C96" s="5" t="s">
        <v>27</v>
      </c>
      <c r="D96" s="5" t="s">
        <v>385</v>
      </c>
      <c r="E96" s="5" t="s">
        <v>384</v>
      </c>
      <c r="F96" s="5" t="s">
        <v>30</v>
      </c>
      <c r="G96" s="5" t="s">
        <v>397</v>
      </c>
      <c r="H96" s="5" t="s">
        <v>36</v>
      </c>
      <c r="I96" s="5" t="s">
        <v>182</v>
      </c>
      <c r="J96" s="15">
        <v>1450</v>
      </c>
      <c r="K96" s="7">
        <v>32</v>
      </c>
      <c r="L96" s="7">
        <f t="shared" si="27"/>
        <v>45.3125</v>
      </c>
      <c r="M96" s="5" t="s">
        <v>9</v>
      </c>
      <c r="N96" s="5">
        <v>4</v>
      </c>
      <c r="O96" s="6">
        <f t="shared" si="28"/>
        <v>1.8607330322265625</v>
      </c>
      <c r="P96" s="6">
        <f t="shared" si="29"/>
        <v>0.19351623535156245</v>
      </c>
      <c r="Q96" s="10">
        <f t="shared" si="30"/>
        <v>4.031588236490885E-3</v>
      </c>
      <c r="R96" s="10">
        <f t="shared" si="31"/>
        <v>2.5331457284123761E-2</v>
      </c>
      <c r="S96" s="10">
        <f t="shared" si="32"/>
        <v>2.9363045520614646E-2</v>
      </c>
    </row>
    <row r="97" spans="1:19" x14ac:dyDescent="0.25">
      <c r="A97" s="5" t="s">
        <v>8</v>
      </c>
      <c r="B97" s="5" t="s">
        <v>165</v>
      </c>
      <c r="C97" s="5" t="s">
        <v>27</v>
      </c>
      <c r="D97" s="5" t="s">
        <v>385</v>
      </c>
      <c r="E97" s="5" t="s">
        <v>384</v>
      </c>
      <c r="F97" s="5" t="s">
        <v>30</v>
      </c>
      <c r="G97" s="5" t="s">
        <v>397</v>
      </c>
      <c r="H97" s="5" t="s">
        <v>36</v>
      </c>
      <c r="I97" s="5" t="s">
        <v>184</v>
      </c>
      <c r="J97" s="15">
        <v>5250</v>
      </c>
      <c r="K97" s="7">
        <v>42.5</v>
      </c>
      <c r="L97" s="7">
        <f t="shared" si="27"/>
        <v>123.52941176470588</v>
      </c>
      <c r="M97" s="5" t="s">
        <v>9</v>
      </c>
      <c r="N97" s="5">
        <v>4</v>
      </c>
      <c r="O97" s="6">
        <f t="shared" si="28"/>
        <v>50.070285467128031</v>
      </c>
      <c r="P97" s="6">
        <f t="shared" si="29"/>
        <v>5.207309688581315</v>
      </c>
      <c r="Q97" s="10">
        <f t="shared" si="30"/>
        <v>0.10848561851211073</v>
      </c>
      <c r="R97" s="10">
        <f t="shared" si="31"/>
        <v>0.29928308707445306</v>
      </c>
      <c r="S97" s="10">
        <f t="shared" si="32"/>
        <v>0.40776870558656381</v>
      </c>
    </row>
    <row r="98" spans="1:19" x14ac:dyDescent="0.25">
      <c r="A98" s="5" t="s">
        <v>8</v>
      </c>
      <c r="B98" s="5" t="s">
        <v>165</v>
      </c>
      <c r="C98" s="5" t="s">
        <v>27</v>
      </c>
      <c r="D98" s="5" t="s">
        <v>385</v>
      </c>
      <c r="E98" s="5" t="s">
        <v>384</v>
      </c>
      <c r="F98" s="5" t="s">
        <v>30</v>
      </c>
      <c r="G98" s="5" t="s">
        <v>397</v>
      </c>
      <c r="H98" s="5" t="s">
        <v>36</v>
      </c>
      <c r="I98" s="5" t="s">
        <v>185</v>
      </c>
      <c r="J98" s="15">
        <v>3800</v>
      </c>
      <c r="K98" s="7">
        <v>19.5</v>
      </c>
      <c r="L98" s="7">
        <f t="shared" si="27"/>
        <v>194.87179487179486</v>
      </c>
      <c r="M98" s="5" t="s">
        <v>9</v>
      </c>
      <c r="N98" s="5">
        <v>4</v>
      </c>
      <c r="O98" s="6">
        <f t="shared" si="28"/>
        <v>90.190664036817864</v>
      </c>
      <c r="P98" s="6">
        <f t="shared" si="29"/>
        <v>9.3798290598290581</v>
      </c>
      <c r="Q98" s="10">
        <f t="shared" si="30"/>
        <v>0.19541310541310539</v>
      </c>
      <c r="R98" s="10">
        <f t="shared" si="31"/>
        <v>0.4653377789945094</v>
      </c>
      <c r="S98" s="10">
        <f t="shared" si="32"/>
        <v>0.66075088440761476</v>
      </c>
    </row>
    <row r="99" spans="1:19" x14ac:dyDescent="0.25">
      <c r="A99" s="5" t="s">
        <v>22</v>
      </c>
      <c r="B99" s="5" t="s">
        <v>26</v>
      </c>
      <c r="C99" s="5" t="s">
        <v>27</v>
      </c>
      <c r="D99" s="5" t="s">
        <v>385</v>
      </c>
      <c r="E99" s="5" t="s">
        <v>384</v>
      </c>
      <c r="F99" s="5" t="s">
        <v>30</v>
      </c>
      <c r="G99" s="5" t="s">
        <v>397</v>
      </c>
      <c r="H99" s="5" t="s">
        <v>36</v>
      </c>
      <c r="I99" s="5" t="s">
        <v>39</v>
      </c>
      <c r="J99" s="15">
        <v>1950</v>
      </c>
      <c r="K99" s="7">
        <v>38.5</v>
      </c>
      <c r="L99" s="7">
        <f t="shared" si="27"/>
        <v>50.649350649350652</v>
      </c>
      <c r="M99" s="5" t="s">
        <v>9</v>
      </c>
      <c r="N99" s="5">
        <v>4</v>
      </c>
      <c r="O99" s="6">
        <f t="shared" si="28"/>
        <v>3.1265285039635695</v>
      </c>
      <c r="P99" s="6">
        <f t="shared" si="29"/>
        <v>0.3251589644122112</v>
      </c>
      <c r="Q99" s="10">
        <f t="shared" si="30"/>
        <v>6.7741450919210668E-3</v>
      </c>
      <c r="R99" s="10">
        <f t="shared" si="31"/>
        <v>3.7384701610242169E-2</v>
      </c>
      <c r="S99" s="10">
        <f t="shared" si="32"/>
        <v>4.4158846702163232E-2</v>
      </c>
    </row>
    <row r="100" spans="1:19" x14ac:dyDescent="0.25">
      <c r="A100" s="5" t="s">
        <v>22</v>
      </c>
      <c r="B100" s="5" t="s">
        <v>63</v>
      </c>
      <c r="C100" s="5" t="s">
        <v>27</v>
      </c>
      <c r="D100" s="5" t="s">
        <v>385</v>
      </c>
      <c r="E100" s="5" t="s">
        <v>384</v>
      </c>
      <c r="F100" s="5" t="s">
        <v>30</v>
      </c>
      <c r="G100" s="5" t="s">
        <v>397</v>
      </c>
      <c r="H100" s="5" t="s">
        <v>36</v>
      </c>
      <c r="I100" s="5" t="s">
        <v>39</v>
      </c>
      <c r="J100" s="15">
        <v>1950</v>
      </c>
      <c r="K100" s="7">
        <v>38.5</v>
      </c>
      <c r="L100" s="7">
        <f t="shared" si="27"/>
        <v>50.649350649350652</v>
      </c>
      <c r="M100" s="5" t="s">
        <v>9</v>
      </c>
      <c r="N100" s="5">
        <v>4</v>
      </c>
      <c r="O100" s="6">
        <f t="shared" si="28"/>
        <v>3.1265285039635695</v>
      </c>
      <c r="P100" s="6">
        <f t="shared" si="29"/>
        <v>0.3251589644122112</v>
      </c>
      <c r="Q100" s="10">
        <f t="shared" si="30"/>
        <v>6.7741450919210668E-3</v>
      </c>
      <c r="R100" s="10">
        <f t="shared" si="31"/>
        <v>3.7384701610242169E-2</v>
      </c>
      <c r="S100" s="10">
        <f t="shared" si="32"/>
        <v>4.4158846702163232E-2</v>
      </c>
    </row>
    <row r="101" spans="1:19" x14ac:dyDescent="0.25">
      <c r="A101" s="5" t="s">
        <v>8</v>
      </c>
      <c r="B101" s="5" t="s">
        <v>165</v>
      </c>
      <c r="C101" s="5" t="s">
        <v>27</v>
      </c>
      <c r="D101" s="5" t="s">
        <v>385</v>
      </c>
      <c r="E101" s="5" t="s">
        <v>384</v>
      </c>
      <c r="F101" s="5" t="s">
        <v>30</v>
      </c>
      <c r="G101" s="5" t="s">
        <v>397</v>
      </c>
      <c r="H101" s="5" t="s">
        <v>36</v>
      </c>
      <c r="I101" s="5" t="s">
        <v>39</v>
      </c>
      <c r="J101" s="15">
        <v>1800</v>
      </c>
      <c r="K101" s="7">
        <v>38</v>
      </c>
      <c r="L101" s="7">
        <f t="shared" si="27"/>
        <v>47.368421052631582</v>
      </c>
      <c r="M101" s="5" t="s">
        <v>9</v>
      </c>
      <c r="N101" s="5">
        <v>4</v>
      </c>
      <c r="O101" s="6">
        <f t="shared" si="28"/>
        <v>2.5242382271468147</v>
      </c>
      <c r="P101" s="6">
        <f t="shared" si="29"/>
        <v>0.2625207756232687</v>
      </c>
      <c r="Q101" s="10">
        <f t="shared" si="30"/>
        <v>5.4691828254847643E-3</v>
      </c>
      <c r="R101" s="10">
        <f t="shared" si="31"/>
        <v>3.1841599745227871E-2</v>
      </c>
      <c r="S101" s="10">
        <f t="shared" si="32"/>
        <v>3.7310782570712638E-2</v>
      </c>
    </row>
    <row r="102" spans="1:19" x14ac:dyDescent="0.25">
      <c r="A102" s="5" t="s">
        <v>8</v>
      </c>
      <c r="B102" s="5" t="s">
        <v>165</v>
      </c>
      <c r="C102" s="5" t="s">
        <v>27</v>
      </c>
      <c r="D102" s="5" t="s">
        <v>385</v>
      </c>
      <c r="E102" s="5" t="s">
        <v>384</v>
      </c>
      <c r="F102" s="5" t="s">
        <v>30</v>
      </c>
      <c r="G102" s="5" t="s">
        <v>397</v>
      </c>
      <c r="H102" s="5" t="s">
        <v>36</v>
      </c>
      <c r="I102" s="5" t="s">
        <v>39</v>
      </c>
      <c r="J102" s="15">
        <v>1850</v>
      </c>
      <c r="K102" s="7">
        <v>38.5</v>
      </c>
      <c r="L102" s="7">
        <f t="shared" si="27"/>
        <v>48.051948051948052</v>
      </c>
      <c r="M102" s="5" t="s">
        <v>9</v>
      </c>
      <c r="N102" s="5">
        <v>4</v>
      </c>
      <c r="O102" s="6">
        <f t="shared" si="28"/>
        <v>2.6697693540226006</v>
      </c>
      <c r="P102" s="6">
        <f t="shared" si="29"/>
        <v>0.27765601281835045</v>
      </c>
      <c r="Q102" s="10">
        <f t="shared" si="30"/>
        <v>5.7845002670489677E-3</v>
      </c>
      <c r="R102" s="10">
        <f t="shared" si="31"/>
        <v>3.3208742598630749E-2</v>
      </c>
      <c r="S102" s="10">
        <f t="shared" si="32"/>
        <v>3.899324286567972E-2</v>
      </c>
    </row>
    <row r="103" spans="1:19" x14ac:dyDescent="0.25">
      <c r="A103" s="5" t="s">
        <v>8</v>
      </c>
      <c r="B103" s="5" t="s">
        <v>165</v>
      </c>
      <c r="C103" s="5" t="s">
        <v>27</v>
      </c>
      <c r="D103" s="5" t="s">
        <v>385</v>
      </c>
      <c r="E103" s="5" t="s">
        <v>384</v>
      </c>
      <c r="F103" s="5" t="s">
        <v>30</v>
      </c>
      <c r="G103" s="5" t="s">
        <v>397</v>
      </c>
      <c r="H103" s="5" t="s">
        <v>36</v>
      </c>
      <c r="I103" s="5" t="s">
        <v>186</v>
      </c>
      <c r="J103" s="15">
        <v>1250</v>
      </c>
      <c r="K103" s="7">
        <v>34</v>
      </c>
      <c r="L103" s="7">
        <f t="shared" si="27"/>
        <v>36.764705882352942</v>
      </c>
      <c r="M103" s="5" t="s">
        <v>9</v>
      </c>
      <c r="N103" s="5">
        <v>4</v>
      </c>
      <c r="O103" s="6">
        <f t="shared" si="28"/>
        <v>1.0559715614186851</v>
      </c>
      <c r="P103" s="6">
        <f t="shared" si="29"/>
        <v>0.10982104238754326</v>
      </c>
      <c r="Q103" s="10">
        <f t="shared" si="30"/>
        <v>2.2879383830738177E-3</v>
      </c>
      <c r="R103" s="10">
        <f t="shared" si="31"/>
        <v>1.65628966155872E-2</v>
      </c>
      <c r="S103" s="10">
        <f t="shared" si="32"/>
        <v>1.8850834998661019E-2</v>
      </c>
    </row>
    <row r="104" spans="1:19" x14ac:dyDescent="0.25">
      <c r="J104" s="16">
        <f>AVERAGE(J88:J103)</f>
        <v>2703.125</v>
      </c>
      <c r="K104" s="12">
        <f t="shared" ref="K104:S104" si="33">AVERAGE(K88:K103)</f>
        <v>33.15625</v>
      </c>
      <c r="L104" s="12">
        <f t="shared" si="33"/>
        <v>85.733815937719797</v>
      </c>
      <c r="M104" s="11" t="e">
        <f t="shared" si="33"/>
        <v>#DIV/0!</v>
      </c>
      <c r="N104" s="11">
        <f t="shared" si="33"/>
        <v>4</v>
      </c>
      <c r="O104" s="13">
        <f t="shared" si="33"/>
        <v>20.433707355369474</v>
      </c>
      <c r="P104" s="13">
        <f t="shared" si="33"/>
        <v>2.1251055649584245</v>
      </c>
      <c r="Q104" s="14">
        <f t="shared" si="33"/>
        <v>4.4273032603300531E-2</v>
      </c>
      <c r="R104" s="14">
        <f t="shared" si="33"/>
        <v>0.13443417256858461</v>
      </c>
      <c r="S104" s="14">
        <f t="shared" si="33"/>
        <v>0.17870720517188521</v>
      </c>
    </row>
    <row r="105" spans="1:19" x14ac:dyDescent="0.25">
      <c r="A105" s="5" t="s">
        <v>8</v>
      </c>
      <c r="B105" s="5" t="s">
        <v>220</v>
      </c>
      <c r="C105" s="5" t="s">
        <v>27</v>
      </c>
      <c r="D105" s="5" t="s">
        <v>385</v>
      </c>
      <c r="E105" s="5" t="s">
        <v>384</v>
      </c>
      <c r="F105" s="5" t="s">
        <v>30</v>
      </c>
      <c r="G105" s="5" t="s">
        <v>397</v>
      </c>
      <c r="H105" s="5" t="s">
        <v>64</v>
      </c>
      <c r="I105" s="5" t="s">
        <v>221</v>
      </c>
      <c r="J105" s="15">
        <v>4675</v>
      </c>
      <c r="K105" s="7">
        <v>30</v>
      </c>
      <c r="L105" s="7">
        <f>J105/K105</f>
        <v>155.83333333333334</v>
      </c>
      <c r="M105" s="5" t="s">
        <v>9</v>
      </c>
      <c r="N105" s="5">
        <v>4</v>
      </c>
      <c r="O105" s="6">
        <f>(J105*L105^2)/(1.6*10^6)</f>
        <v>70.954893663194454</v>
      </c>
      <c r="P105" s="6">
        <f>(0.104*J105*L105^2)/(1.6*10^6)</f>
        <v>7.3793089409722228</v>
      </c>
      <c r="Q105" s="10">
        <f>(0.104*O105)/(12*N105)</f>
        <v>0.15373560293692132</v>
      </c>
      <c r="R105" s="10">
        <f>0.0159*O105^0.75</f>
        <v>0.38871731788170716</v>
      </c>
      <c r="S105" s="10">
        <f>Q105+R105</f>
        <v>0.5424529208186285</v>
      </c>
    </row>
    <row r="106" spans="1:19" x14ac:dyDescent="0.25">
      <c r="A106" s="5" t="s">
        <v>8</v>
      </c>
      <c r="B106" s="5" t="s">
        <v>220</v>
      </c>
      <c r="C106" s="5" t="s">
        <v>27</v>
      </c>
      <c r="D106" s="5" t="s">
        <v>385</v>
      </c>
      <c r="E106" s="5" t="s">
        <v>384</v>
      </c>
      <c r="F106" s="5" t="s">
        <v>30</v>
      </c>
      <c r="G106" s="5" t="s">
        <v>397</v>
      </c>
      <c r="H106" s="5" t="s">
        <v>64</v>
      </c>
      <c r="I106" s="5" t="s">
        <v>222</v>
      </c>
      <c r="J106" s="15">
        <v>7318</v>
      </c>
      <c r="K106" s="7">
        <v>42</v>
      </c>
      <c r="L106" s="7">
        <f>J106/K106</f>
        <v>174.23809523809524</v>
      </c>
      <c r="M106" s="5" t="s">
        <v>9</v>
      </c>
      <c r="N106" s="5">
        <v>4</v>
      </c>
      <c r="O106" s="6">
        <f>(J106*L106^2)/(1.6*10^6)</f>
        <v>138.85408214002268</v>
      </c>
      <c r="P106" s="6">
        <f>(0.104*J106*L106^2)/(1.6*10^6)</f>
        <v>14.440824542562359</v>
      </c>
      <c r="Q106" s="10">
        <f>(0.104*O106)/(12*N106)</f>
        <v>0.30085051130338247</v>
      </c>
      <c r="R106" s="10">
        <f>0.0159*O106^0.75</f>
        <v>0.64315568574253767</v>
      </c>
      <c r="S106" s="10">
        <f>Q106+R106</f>
        <v>0.94400619704592015</v>
      </c>
    </row>
    <row r="107" spans="1:19" x14ac:dyDescent="0.25">
      <c r="A107" s="5" t="s">
        <v>8</v>
      </c>
      <c r="B107" s="5" t="s">
        <v>220</v>
      </c>
      <c r="C107" s="5" t="s">
        <v>27</v>
      </c>
      <c r="D107" s="5" t="s">
        <v>385</v>
      </c>
      <c r="E107" s="5" t="s">
        <v>384</v>
      </c>
      <c r="F107" s="5" t="s">
        <v>30</v>
      </c>
      <c r="G107" s="5" t="s">
        <v>397</v>
      </c>
      <c r="H107" s="5" t="s">
        <v>64</v>
      </c>
      <c r="I107" s="5" t="s">
        <v>222</v>
      </c>
      <c r="J107" s="15">
        <v>7175</v>
      </c>
      <c r="K107" s="7">
        <v>38</v>
      </c>
      <c r="L107" s="7">
        <f>J107/K107</f>
        <v>188.81578947368422</v>
      </c>
      <c r="M107" s="5" t="s">
        <v>9</v>
      </c>
      <c r="N107" s="5">
        <v>4</v>
      </c>
      <c r="O107" s="6">
        <f>(J107*L107^2)/(1.6*10^6)</f>
        <v>159.87425743377773</v>
      </c>
      <c r="P107" s="6">
        <f>(0.104*J107*L107^2)/(1.6*10^6)</f>
        <v>16.626922773112884</v>
      </c>
      <c r="Q107" s="10">
        <f>(0.104*O107)/(12*N107)</f>
        <v>0.34639422443985174</v>
      </c>
      <c r="R107" s="10">
        <f>0.0159*O107^0.75</f>
        <v>0.71487651439725008</v>
      </c>
      <c r="S107" s="10">
        <f>Q107+R107</f>
        <v>1.0612707388371019</v>
      </c>
    </row>
    <row r="108" spans="1:19" x14ac:dyDescent="0.25">
      <c r="A108" s="5" t="s">
        <v>8</v>
      </c>
      <c r="B108" s="5" t="s">
        <v>220</v>
      </c>
      <c r="C108" s="5" t="s">
        <v>27</v>
      </c>
      <c r="D108" s="5" t="s">
        <v>385</v>
      </c>
      <c r="E108" s="5" t="s">
        <v>384</v>
      </c>
      <c r="F108" s="5" t="s">
        <v>30</v>
      </c>
      <c r="G108" s="5" t="s">
        <v>397</v>
      </c>
      <c r="H108" s="5" t="s">
        <v>64</v>
      </c>
      <c r="I108" s="5" t="s">
        <v>223</v>
      </c>
      <c r="J108" s="15">
        <v>2448</v>
      </c>
      <c r="K108" s="7">
        <v>17</v>
      </c>
      <c r="L108" s="7">
        <f>J108/K108</f>
        <v>144</v>
      </c>
      <c r="M108" s="5" t="s">
        <v>9</v>
      </c>
      <c r="N108" s="5">
        <v>4</v>
      </c>
      <c r="O108" s="6">
        <f>(J108*L108^2)/(1.6*10^6)</f>
        <v>31.72608</v>
      </c>
      <c r="P108" s="6">
        <f>(0.104*J108*L108^2)/(1.6*10^6)</f>
        <v>3.2995123199999994</v>
      </c>
      <c r="Q108" s="10">
        <f>(0.104*O108)/(12*N108)</f>
        <v>6.8739839999999997E-2</v>
      </c>
      <c r="R108" s="10">
        <f>0.0159*O108^0.75</f>
        <v>0.21254918085556765</v>
      </c>
      <c r="S108" s="10">
        <f>Q108+R108</f>
        <v>0.28128902085556762</v>
      </c>
    </row>
    <row r="109" spans="1:19" x14ac:dyDescent="0.25">
      <c r="J109" s="16">
        <f t="shared" ref="J109:S109" si="34">AVERAGE(J105:J108)</f>
        <v>5404</v>
      </c>
      <c r="K109" s="12">
        <f t="shared" si="34"/>
        <v>31.75</v>
      </c>
      <c r="L109" s="12">
        <f t="shared" si="34"/>
        <v>165.72180451127821</v>
      </c>
      <c r="M109" s="11" t="e">
        <f t="shared" si="34"/>
        <v>#DIV/0!</v>
      </c>
      <c r="N109" s="11">
        <f t="shared" si="34"/>
        <v>4</v>
      </c>
      <c r="O109" s="13">
        <f t="shared" si="34"/>
        <v>100.35232830924872</v>
      </c>
      <c r="P109" s="13">
        <f t="shared" si="34"/>
        <v>10.436642144161867</v>
      </c>
      <c r="Q109" s="14">
        <f t="shared" si="34"/>
        <v>0.21743004467003887</v>
      </c>
      <c r="R109" s="14">
        <f t="shared" si="34"/>
        <v>0.48982467471926566</v>
      </c>
      <c r="S109" s="14">
        <f t="shared" si="34"/>
        <v>0.70725471938930451</v>
      </c>
    </row>
    <row r="110" spans="1:19" x14ac:dyDescent="0.25">
      <c r="A110" s="5" t="s">
        <v>22</v>
      </c>
      <c r="B110" s="5" t="s">
        <v>26</v>
      </c>
      <c r="C110" s="5" t="s">
        <v>27</v>
      </c>
      <c r="D110" s="5" t="s">
        <v>385</v>
      </c>
      <c r="E110" s="5" t="s">
        <v>384</v>
      </c>
      <c r="F110" s="5" t="s">
        <v>30</v>
      </c>
      <c r="G110" s="5" t="s">
        <v>392</v>
      </c>
      <c r="H110" s="5" t="s">
        <v>31</v>
      </c>
      <c r="I110" s="5" t="s">
        <v>33</v>
      </c>
      <c r="J110" s="15">
        <v>1250</v>
      </c>
      <c r="K110" s="7">
        <v>25</v>
      </c>
      <c r="L110" s="7">
        <f>J110/K110</f>
        <v>50</v>
      </c>
      <c r="M110" s="5" t="s">
        <v>9</v>
      </c>
      <c r="N110" s="5">
        <v>4</v>
      </c>
      <c r="O110" s="6">
        <f>(J110*L110^2)/(1.6*10^6)</f>
        <v>1.953125</v>
      </c>
      <c r="P110" s="6">
        <f>(0.104*J110*L110^2)/(1.6*10^6)</f>
        <v>0.203125</v>
      </c>
      <c r="Q110" s="10">
        <f>(0.104*O110)/(12*N110)</f>
        <v>4.231770833333333E-3</v>
      </c>
      <c r="R110" s="10">
        <f>0.0159*O110^0.75</f>
        <v>2.6269067326101514E-2</v>
      </c>
      <c r="S110" s="10">
        <f>Q110+R110</f>
        <v>3.0500838159434846E-2</v>
      </c>
    </row>
    <row r="111" spans="1:19" x14ac:dyDescent="0.25">
      <c r="A111" s="5" t="s">
        <v>22</v>
      </c>
      <c r="B111" s="5" t="s">
        <v>63</v>
      </c>
      <c r="C111" s="5" t="s">
        <v>27</v>
      </c>
      <c r="D111" s="5" t="s">
        <v>385</v>
      </c>
      <c r="E111" s="5" t="s">
        <v>384</v>
      </c>
      <c r="F111" s="5" t="s">
        <v>30</v>
      </c>
      <c r="G111" s="5" t="s">
        <v>392</v>
      </c>
      <c r="H111" s="5" t="s">
        <v>31</v>
      </c>
      <c r="I111" s="5" t="s">
        <v>33</v>
      </c>
      <c r="J111" s="15">
        <v>1050</v>
      </c>
      <c r="K111" s="7">
        <v>24.5</v>
      </c>
      <c r="L111" s="7">
        <f>J111/K111</f>
        <v>42.857142857142854</v>
      </c>
      <c r="M111" s="5" t="s">
        <v>9</v>
      </c>
      <c r="N111" s="5">
        <v>4</v>
      </c>
      <c r="O111" s="6">
        <f>(J111*L111^2)/(1.6*10^6)</f>
        <v>1.2053571428571428</v>
      </c>
      <c r="P111" s="6">
        <f>(0.104*J111*L111^2)/(1.6*10^6)</f>
        <v>0.12535714285714283</v>
      </c>
      <c r="Q111" s="10">
        <f>(0.104*O111)/(12*N111)</f>
        <v>2.6116071428571425E-3</v>
      </c>
      <c r="R111" s="10">
        <f>0.0159*O111^0.75</f>
        <v>1.8290851916478671E-2</v>
      </c>
      <c r="S111" s="10">
        <f>Q111+R111</f>
        <v>2.0902459059335812E-2</v>
      </c>
    </row>
    <row r="112" spans="1:19" x14ac:dyDescent="0.25">
      <c r="A112" s="5" t="s">
        <v>8</v>
      </c>
      <c r="B112" s="5" t="s">
        <v>287</v>
      </c>
      <c r="C112" s="5" t="s">
        <v>27</v>
      </c>
      <c r="D112" s="5" t="s">
        <v>385</v>
      </c>
      <c r="E112" s="5" t="s">
        <v>384</v>
      </c>
      <c r="F112" s="5" t="s">
        <v>30</v>
      </c>
      <c r="G112" s="5" t="s">
        <v>392</v>
      </c>
      <c r="H112" s="5" t="s">
        <v>31</v>
      </c>
      <c r="I112" s="5" t="s">
        <v>33</v>
      </c>
      <c r="J112" s="15">
        <v>1000</v>
      </c>
      <c r="K112" s="7">
        <v>26.5</v>
      </c>
      <c r="L112" s="7">
        <f>J112/K112</f>
        <v>37.735849056603776</v>
      </c>
      <c r="M112" s="5" t="s">
        <v>9</v>
      </c>
      <c r="N112" s="5">
        <v>4</v>
      </c>
      <c r="O112" s="6">
        <f>(J112*L112^2)/(1.6*10^6)</f>
        <v>0.88999644001424005</v>
      </c>
      <c r="P112" s="6">
        <f>(0.104*J112*L112^2)/(1.6*10^6)</f>
        <v>9.2559629761480952E-2</v>
      </c>
      <c r="Q112" s="10">
        <f>(0.104*O112)/(12*N112)</f>
        <v>1.9283256200308535E-3</v>
      </c>
      <c r="R112" s="10">
        <f>0.0159*O112^0.75</f>
        <v>1.4569287935358966E-2</v>
      </c>
      <c r="S112" s="10">
        <f>Q112+R112</f>
        <v>1.6497613555389819E-2</v>
      </c>
    </row>
    <row r="113" spans="1:19" x14ac:dyDescent="0.25">
      <c r="A113" s="5" t="s">
        <v>22</v>
      </c>
      <c r="B113" s="5" t="s">
        <v>63</v>
      </c>
      <c r="C113" s="5" t="s">
        <v>27</v>
      </c>
      <c r="D113" s="5" t="s">
        <v>385</v>
      </c>
      <c r="E113" s="5" t="s">
        <v>384</v>
      </c>
      <c r="F113" s="5" t="s">
        <v>30</v>
      </c>
      <c r="G113" s="5" t="s">
        <v>392</v>
      </c>
      <c r="H113" s="5" t="s">
        <v>31</v>
      </c>
      <c r="I113" s="5" t="s">
        <v>141</v>
      </c>
      <c r="J113" s="15">
        <v>3070</v>
      </c>
      <c r="K113" s="7">
        <v>32.5</v>
      </c>
      <c r="L113" s="7">
        <f>J113/K113</f>
        <v>94.461538461538467</v>
      </c>
      <c r="M113" s="5" t="s">
        <v>9</v>
      </c>
      <c r="N113" s="5">
        <v>4</v>
      </c>
      <c r="O113" s="6">
        <f>(J113*L113^2)/(1.6*10^6)</f>
        <v>17.120972189349114</v>
      </c>
      <c r="P113" s="6">
        <f>(0.104*J113*L113^2)/(1.6*10^6)</f>
        <v>1.7805811076923079</v>
      </c>
      <c r="Q113" s="10">
        <f>(0.104*O113)/(12*N113)</f>
        <v>3.7095439743589746E-2</v>
      </c>
      <c r="R113" s="10">
        <f>0.0159*O113^0.75</f>
        <v>0.13382690699889258</v>
      </c>
      <c r="S113" s="10">
        <f>Q113+R113</f>
        <v>0.17092234674248233</v>
      </c>
    </row>
    <row r="114" spans="1:19" x14ac:dyDescent="0.25">
      <c r="J114" s="16">
        <f>AVERAGE(J110:J113)</f>
        <v>1592.5</v>
      </c>
      <c r="K114" s="12">
        <f t="shared" ref="K114:S114" si="35">AVERAGE(K110:K113)</f>
        <v>27.125</v>
      </c>
      <c r="L114" s="12">
        <f t="shared" si="35"/>
        <v>56.263632593821271</v>
      </c>
      <c r="M114" s="11" t="e">
        <f t="shared" si="35"/>
        <v>#DIV/0!</v>
      </c>
      <c r="N114" s="11">
        <f t="shared" si="35"/>
        <v>4</v>
      </c>
      <c r="O114" s="13">
        <f t="shared" si="35"/>
        <v>5.2923626930551242</v>
      </c>
      <c r="P114" s="13">
        <f t="shared" si="35"/>
        <v>0.55040572007773292</v>
      </c>
      <c r="Q114" s="14">
        <f t="shared" si="35"/>
        <v>1.1466785834952769E-2</v>
      </c>
      <c r="R114" s="14">
        <f t="shared" si="35"/>
        <v>4.8239028544207932E-2</v>
      </c>
      <c r="S114" s="14">
        <f t="shared" si="35"/>
        <v>5.9705814379160699E-2</v>
      </c>
    </row>
    <row r="115" spans="1:19" x14ac:dyDescent="0.25">
      <c r="A115" s="5" t="s">
        <v>8</v>
      </c>
      <c r="B115" s="5" t="s">
        <v>370</v>
      </c>
      <c r="C115" s="5" t="s">
        <v>27</v>
      </c>
      <c r="D115" s="5" t="s">
        <v>385</v>
      </c>
      <c r="E115" s="5" t="s">
        <v>384</v>
      </c>
      <c r="F115" s="5" t="s">
        <v>30</v>
      </c>
      <c r="G115" s="5" t="s">
        <v>392</v>
      </c>
      <c r="H115" s="5" t="s">
        <v>34</v>
      </c>
      <c r="I115" s="5" t="s">
        <v>371</v>
      </c>
      <c r="J115" s="15">
        <v>799</v>
      </c>
      <c r="K115" s="7">
        <v>21.8</v>
      </c>
      <c r="L115" s="7">
        <f t="shared" ref="L115:L124" si="36">J115/K115</f>
        <v>36.651376146788991</v>
      </c>
      <c r="M115" s="5" t="s">
        <v>9</v>
      </c>
      <c r="N115" s="5">
        <v>4</v>
      </c>
      <c r="O115" s="6">
        <f t="shared" ref="O115:O124" si="37">(J115*L115^2)/(1.6*10^6)</f>
        <v>0.67082210961829813</v>
      </c>
      <c r="P115" s="6">
        <f t="shared" ref="P115:P124" si="38">(0.104*J115*L115^2)/(1.6*10^6)</f>
        <v>6.9765499400302994E-2</v>
      </c>
      <c r="Q115" s="10">
        <f t="shared" ref="Q115:Q124" si="39">(0.104*O115)/(12*N115)</f>
        <v>1.4534479041729794E-3</v>
      </c>
      <c r="R115" s="10">
        <f t="shared" ref="R115:R124" si="40">0.0159*O115^0.75</f>
        <v>1.1785625867435959E-2</v>
      </c>
      <c r="S115" s="10">
        <f t="shared" ref="S115:S124" si="41">Q115+R115</f>
        <v>1.3239073771608939E-2</v>
      </c>
    </row>
    <row r="116" spans="1:19" x14ac:dyDescent="0.25">
      <c r="A116" s="5" t="s">
        <v>8</v>
      </c>
      <c r="B116" s="5" t="s">
        <v>370</v>
      </c>
      <c r="C116" s="5" t="s">
        <v>27</v>
      </c>
      <c r="D116" s="5" t="s">
        <v>385</v>
      </c>
      <c r="E116" s="5" t="s">
        <v>384</v>
      </c>
      <c r="F116" s="5" t="s">
        <v>30</v>
      </c>
      <c r="G116" s="5" t="s">
        <v>392</v>
      </c>
      <c r="H116" s="5" t="s">
        <v>34</v>
      </c>
      <c r="I116" s="5" t="s">
        <v>371</v>
      </c>
      <c r="J116" s="15">
        <v>695</v>
      </c>
      <c r="K116" s="7">
        <v>19.5</v>
      </c>
      <c r="L116" s="7">
        <f t="shared" si="36"/>
        <v>35.641025641025642</v>
      </c>
      <c r="M116" s="5" t="s">
        <v>9</v>
      </c>
      <c r="N116" s="5">
        <v>4</v>
      </c>
      <c r="O116" s="6">
        <f t="shared" si="37"/>
        <v>0.55177905161078245</v>
      </c>
      <c r="P116" s="6">
        <f t="shared" si="38"/>
        <v>5.7385021367521369E-2</v>
      </c>
      <c r="Q116" s="10">
        <f t="shared" si="39"/>
        <v>1.1955212784900285E-3</v>
      </c>
      <c r="R116" s="10">
        <f t="shared" si="40"/>
        <v>1.0179373052067059E-2</v>
      </c>
      <c r="S116" s="10">
        <f t="shared" si="41"/>
        <v>1.1374894330557089E-2</v>
      </c>
    </row>
    <row r="117" spans="1:19" x14ac:dyDescent="0.25">
      <c r="A117" s="5" t="s">
        <v>8</v>
      </c>
      <c r="B117" s="5" t="s">
        <v>270</v>
      </c>
      <c r="C117" s="5" t="s">
        <v>27</v>
      </c>
      <c r="D117" s="5" t="s">
        <v>385</v>
      </c>
      <c r="E117" s="5" t="s">
        <v>384</v>
      </c>
      <c r="F117" s="5" t="s">
        <v>30</v>
      </c>
      <c r="G117" s="5" t="s">
        <v>392</v>
      </c>
      <c r="H117" s="5" t="s">
        <v>34</v>
      </c>
      <c r="I117" s="5" t="s">
        <v>274</v>
      </c>
      <c r="J117" s="15">
        <v>3450</v>
      </c>
      <c r="K117" s="7">
        <v>45</v>
      </c>
      <c r="L117" s="7">
        <f t="shared" si="36"/>
        <v>76.666666666666671</v>
      </c>
      <c r="M117" s="5" t="s">
        <v>9</v>
      </c>
      <c r="N117" s="5">
        <v>4</v>
      </c>
      <c r="O117" s="6">
        <f t="shared" si="37"/>
        <v>12.673958333333335</v>
      </c>
      <c r="P117" s="6">
        <f t="shared" si="38"/>
        <v>1.3180916666666669</v>
      </c>
      <c r="Q117" s="10">
        <f t="shared" si="39"/>
        <v>2.7460243055555559E-2</v>
      </c>
      <c r="R117" s="10">
        <f t="shared" si="40"/>
        <v>0.10680247834350282</v>
      </c>
      <c r="S117" s="10">
        <f t="shared" si="41"/>
        <v>0.13426272139905837</v>
      </c>
    </row>
    <row r="118" spans="1:19" x14ac:dyDescent="0.25">
      <c r="A118" s="5" t="s">
        <v>8</v>
      </c>
      <c r="B118" s="5" t="s">
        <v>270</v>
      </c>
      <c r="C118" s="5" t="s">
        <v>27</v>
      </c>
      <c r="D118" s="5" t="s">
        <v>385</v>
      </c>
      <c r="E118" s="5" t="s">
        <v>384</v>
      </c>
      <c r="F118" s="5" t="s">
        <v>30</v>
      </c>
      <c r="G118" s="5" t="s">
        <v>392</v>
      </c>
      <c r="H118" s="5" t="s">
        <v>34</v>
      </c>
      <c r="I118" s="5" t="s">
        <v>271</v>
      </c>
      <c r="J118" s="15">
        <v>3400</v>
      </c>
      <c r="K118" s="7">
        <v>38</v>
      </c>
      <c r="L118" s="7">
        <f t="shared" si="36"/>
        <v>89.473684210526315</v>
      </c>
      <c r="M118" s="5" t="s">
        <v>9</v>
      </c>
      <c r="N118" s="5">
        <v>4</v>
      </c>
      <c r="O118" s="6">
        <f t="shared" si="37"/>
        <v>17.011772853185594</v>
      </c>
      <c r="P118" s="6">
        <f t="shared" si="38"/>
        <v>1.7692243767313018</v>
      </c>
      <c r="Q118" s="10">
        <f t="shared" si="39"/>
        <v>3.6858841181902115E-2</v>
      </c>
      <c r="R118" s="10">
        <f t="shared" si="40"/>
        <v>0.13318622383409978</v>
      </c>
      <c r="S118" s="10">
        <f t="shared" si="41"/>
        <v>0.17004506501600189</v>
      </c>
    </row>
    <row r="119" spans="1:19" x14ac:dyDescent="0.25">
      <c r="A119" s="5" t="s">
        <v>8</v>
      </c>
      <c r="B119" s="5" t="s">
        <v>270</v>
      </c>
      <c r="C119" s="5" t="s">
        <v>27</v>
      </c>
      <c r="D119" s="5" t="s">
        <v>385</v>
      </c>
      <c r="E119" s="5" t="s">
        <v>384</v>
      </c>
      <c r="F119" s="5" t="s">
        <v>30</v>
      </c>
      <c r="G119" s="5" t="s">
        <v>392</v>
      </c>
      <c r="H119" s="5" t="s">
        <v>34</v>
      </c>
      <c r="I119" s="5" t="s">
        <v>276</v>
      </c>
      <c r="J119" s="15">
        <v>1900</v>
      </c>
      <c r="K119" s="7">
        <v>29.8</v>
      </c>
      <c r="L119" s="7">
        <f t="shared" si="36"/>
        <v>63.758389261744966</v>
      </c>
      <c r="M119" s="5" t="s">
        <v>9</v>
      </c>
      <c r="N119" s="5">
        <v>4</v>
      </c>
      <c r="O119" s="6">
        <f t="shared" si="37"/>
        <v>4.8273444889869825</v>
      </c>
      <c r="P119" s="6">
        <f t="shared" si="38"/>
        <v>0.50204382685464621</v>
      </c>
      <c r="Q119" s="10">
        <f t="shared" si="39"/>
        <v>1.0459246392805129E-2</v>
      </c>
      <c r="R119" s="10">
        <f t="shared" si="40"/>
        <v>5.1781943123725895E-2</v>
      </c>
      <c r="S119" s="10">
        <f t="shared" si="41"/>
        <v>6.2241189516531022E-2</v>
      </c>
    </row>
    <row r="120" spans="1:19" x14ac:dyDescent="0.25">
      <c r="A120" s="5" t="s">
        <v>8</v>
      </c>
      <c r="B120" s="5" t="s">
        <v>270</v>
      </c>
      <c r="C120" s="5" t="s">
        <v>27</v>
      </c>
      <c r="D120" s="5" t="s">
        <v>385</v>
      </c>
      <c r="E120" s="5" t="s">
        <v>384</v>
      </c>
      <c r="F120" s="5" t="s">
        <v>30</v>
      </c>
      <c r="G120" s="5" t="s">
        <v>392</v>
      </c>
      <c r="H120" s="5" t="s">
        <v>34</v>
      </c>
      <c r="I120" s="5" t="s">
        <v>275</v>
      </c>
      <c r="J120" s="15">
        <v>2390</v>
      </c>
      <c r="K120" s="7">
        <v>31.7</v>
      </c>
      <c r="L120" s="7">
        <f t="shared" si="36"/>
        <v>75.394321766561518</v>
      </c>
      <c r="M120" s="5" t="s">
        <v>9</v>
      </c>
      <c r="N120" s="5">
        <v>4</v>
      </c>
      <c r="O120" s="6">
        <f t="shared" si="37"/>
        <v>8.4909287334932184</v>
      </c>
      <c r="P120" s="6">
        <f t="shared" si="38"/>
        <v>0.88305658828329481</v>
      </c>
      <c r="Q120" s="10">
        <f t="shared" si="39"/>
        <v>1.8397012255901974E-2</v>
      </c>
      <c r="R120" s="10">
        <f t="shared" si="40"/>
        <v>7.9088533214020734E-2</v>
      </c>
      <c r="S120" s="10">
        <f t="shared" si="41"/>
        <v>9.7485545469922705E-2</v>
      </c>
    </row>
    <row r="121" spans="1:19" x14ac:dyDescent="0.25">
      <c r="A121" s="5" t="s">
        <v>8</v>
      </c>
      <c r="B121" s="5" t="s">
        <v>270</v>
      </c>
      <c r="C121" s="5" t="s">
        <v>27</v>
      </c>
      <c r="D121" s="5" t="s">
        <v>385</v>
      </c>
      <c r="E121" s="5" t="s">
        <v>384</v>
      </c>
      <c r="F121" s="5" t="s">
        <v>30</v>
      </c>
      <c r="G121" s="5" t="s">
        <v>392</v>
      </c>
      <c r="H121" s="5" t="s">
        <v>34</v>
      </c>
      <c r="I121" s="5" t="s">
        <v>272</v>
      </c>
      <c r="J121" s="15">
        <v>3180</v>
      </c>
      <c r="K121" s="7">
        <v>35</v>
      </c>
      <c r="L121" s="7">
        <f t="shared" si="36"/>
        <v>90.857142857142861</v>
      </c>
      <c r="M121" s="5" t="s">
        <v>9</v>
      </c>
      <c r="N121" s="5">
        <v>4</v>
      </c>
      <c r="O121" s="6">
        <f t="shared" si="37"/>
        <v>16.406853061224488</v>
      </c>
      <c r="P121" s="6">
        <f t="shared" si="38"/>
        <v>1.706312718367347</v>
      </c>
      <c r="Q121" s="10">
        <f t="shared" si="39"/>
        <v>3.554818163265306E-2</v>
      </c>
      <c r="R121" s="10">
        <f t="shared" si="40"/>
        <v>0.12961823122752753</v>
      </c>
      <c r="S121" s="10">
        <f t="shared" si="41"/>
        <v>0.16516641286018058</v>
      </c>
    </row>
    <row r="122" spans="1:19" x14ac:dyDescent="0.25">
      <c r="A122" s="5" t="s">
        <v>8</v>
      </c>
      <c r="B122" s="5" t="s">
        <v>270</v>
      </c>
      <c r="C122" s="5" t="s">
        <v>27</v>
      </c>
      <c r="D122" s="5" t="s">
        <v>385</v>
      </c>
      <c r="E122" s="5" t="s">
        <v>384</v>
      </c>
      <c r="F122" s="5" t="s">
        <v>30</v>
      </c>
      <c r="G122" s="5" t="s">
        <v>392</v>
      </c>
      <c r="H122" s="5" t="s">
        <v>34</v>
      </c>
      <c r="I122" s="5" t="s">
        <v>272</v>
      </c>
      <c r="J122" s="15">
        <v>3510</v>
      </c>
      <c r="K122" s="7">
        <v>38.200000000000003</v>
      </c>
      <c r="L122" s="7">
        <f t="shared" si="36"/>
        <v>91.8848167539267</v>
      </c>
      <c r="M122" s="5" t="s">
        <v>9</v>
      </c>
      <c r="N122" s="5">
        <v>4</v>
      </c>
      <c r="O122" s="6">
        <f t="shared" si="37"/>
        <v>18.52143538759902</v>
      </c>
      <c r="P122" s="6">
        <f t="shared" si="38"/>
        <v>1.9262292803102978</v>
      </c>
      <c r="Q122" s="10">
        <f t="shared" si="39"/>
        <v>4.0129776673131209E-2</v>
      </c>
      <c r="R122" s="10">
        <f t="shared" si="40"/>
        <v>0.14195578806050616</v>
      </c>
      <c r="S122" s="10">
        <f t="shared" si="41"/>
        <v>0.18208556473363735</v>
      </c>
    </row>
    <row r="123" spans="1:19" x14ac:dyDescent="0.25">
      <c r="A123" s="5" t="s">
        <v>8</v>
      </c>
      <c r="B123" s="5" t="s">
        <v>357</v>
      </c>
      <c r="C123" s="5" t="s">
        <v>27</v>
      </c>
      <c r="D123" s="5" t="s">
        <v>385</v>
      </c>
      <c r="E123" s="5" t="s">
        <v>384</v>
      </c>
      <c r="F123" s="5" t="s">
        <v>30</v>
      </c>
      <c r="G123" s="5" t="s">
        <v>392</v>
      </c>
      <c r="H123" s="5" t="s">
        <v>34</v>
      </c>
      <c r="I123" s="5" t="s">
        <v>318</v>
      </c>
      <c r="J123" s="15">
        <v>1800</v>
      </c>
      <c r="K123" s="7">
        <v>32</v>
      </c>
      <c r="L123" s="7">
        <f t="shared" si="36"/>
        <v>56.25</v>
      </c>
      <c r="M123" s="5" t="s">
        <v>9</v>
      </c>
      <c r="N123" s="5">
        <v>4</v>
      </c>
      <c r="O123" s="6">
        <f t="shared" si="37"/>
        <v>3.5595703125</v>
      </c>
      <c r="P123" s="6">
        <f t="shared" si="38"/>
        <v>0.37019531249999998</v>
      </c>
      <c r="Q123" s="10">
        <f t="shared" si="39"/>
        <v>7.71240234375E-3</v>
      </c>
      <c r="R123" s="10">
        <f t="shared" si="40"/>
        <v>4.1204562411128992E-2</v>
      </c>
      <c r="S123" s="10">
        <f t="shared" si="41"/>
        <v>4.8916964754878993E-2</v>
      </c>
    </row>
    <row r="124" spans="1:19" x14ac:dyDescent="0.25">
      <c r="A124" s="5" t="s">
        <v>22</v>
      </c>
      <c r="B124" s="5" t="s">
        <v>26</v>
      </c>
      <c r="C124" s="5" t="s">
        <v>27</v>
      </c>
      <c r="D124" s="5" t="s">
        <v>385</v>
      </c>
      <c r="E124" s="5" t="s">
        <v>384</v>
      </c>
      <c r="F124" s="5" t="s">
        <v>30</v>
      </c>
      <c r="G124" s="5" t="s">
        <v>392</v>
      </c>
      <c r="H124" s="5" t="s">
        <v>34</v>
      </c>
      <c r="I124" s="5" t="s">
        <v>35</v>
      </c>
      <c r="J124" s="15">
        <v>2500</v>
      </c>
      <c r="K124" s="7">
        <v>29.5</v>
      </c>
      <c r="L124" s="7">
        <f t="shared" si="36"/>
        <v>84.745762711864401</v>
      </c>
      <c r="M124" s="5" t="s">
        <v>9</v>
      </c>
      <c r="N124" s="5">
        <v>4</v>
      </c>
      <c r="O124" s="6">
        <f t="shared" si="37"/>
        <v>11.221631715024417</v>
      </c>
      <c r="P124" s="6">
        <f t="shared" si="38"/>
        <v>1.1670496983625394</v>
      </c>
      <c r="Q124" s="10">
        <f t="shared" si="39"/>
        <v>2.4313535382552903E-2</v>
      </c>
      <c r="R124" s="10">
        <f t="shared" si="40"/>
        <v>9.7485300079983322E-2</v>
      </c>
      <c r="S124" s="10">
        <f t="shared" si="41"/>
        <v>0.12179883546253623</v>
      </c>
    </row>
    <row r="125" spans="1:19" x14ac:dyDescent="0.25">
      <c r="J125" s="16">
        <f>AVERAGE(J115:J124)</f>
        <v>2362.4</v>
      </c>
      <c r="K125" s="12">
        <f t="shared" ref="K125:S125" si="42">AVERAGE(K115:K124)</f>
        <v>32.049999999999997</v>
      </c>
      <c r="L125" s="12">
        <f t="shared" si="42"/>
        <v>70.132318601624803</v>
      </c>
      <c r="M125" s="11" t="e">
        <f t="shared" si="42"/>
        <v>#DIV/0!</v>
      </c>
      <c r="N125" s="11">
        <f t="shared" si="42"/>
        <v>4</v>
      </c>
      <c r="O125" s="13">
        <f t="shared" si="42"/>
        <v>9.3936096046576125</v>
      </c>
      <c r="P125" s="13">
        <f t="shared" si="42"/>
        <v>0.97693539888439196</v>
      </c>
      <c r="Q125" s="14">
        <f t="shared" si="42"/>
        <v>2.0352820810091498E-2</v>
      </c>
      <c r="R125" s="14">
        <f t="shared" si="42"/>
        <v>8.0308805921399828E-2</v>
      </c>
      <c r="S125" s="14">
        <f t="shared" si="42"/>
        <v>0.1006616267314913</v>
      </c>
    </row>
    <row r="126" spans="1:19" x14ac:dyDescent="0.25">
      <c r="A126" s="5" t="s">
        <v>8</v>
      </c>
      <c r="B126" s="5" t="s">
        <v>366</v>
      </c>
      <c r="C126" s="5" t="s">
        <v>27</v>
      </c>
      <c r="D126" s="5" t="s">
        <v>385</v>
      </c>
      <c r="E126" s="5" t="s">
        <v>384</v>
      </c>
      <c r="F126" s="5" t="s">
        <v>30</v>
      </c>
      <c r="G126" s="5" t="s">
        <v>392</v>
      </c>
      <c r="H126" s="5" t="s">
        <v>232</v>
      </c>
      <c r="I126" s="5" t="s">
        <v>367</v>
      </c>
      <c r="J126" s="15">
        <v>2530</v>
      </c>
      <c r="K126" s="7">
        <v>31.5</v>
      </c>
      <c r="L126" s="7">
        <f t="shared" ref="L126:L134" si="43">J126/K126</f>
        <v>80.317460317460316</v>
      </c>
      <c r="M126" s="5" t="s">
        <v>9</v>
      </c>
      <c r="N126" s="5">
        <v>4</v>
      </c>
      <c r="O126" s="6">
        <f t="shared" ref="O126:O134" si="44">(J126*L126^2)/(1.6*10^6)</f>
        <v>10.200476820357773</v>
      </c>
      <c r="P126" s="6">
        <f t="shared" ref="P126:P134" si="45">(0.104*J126*L126^2)/(1.6*10^6)</f>
        <v>1.0608495893172085</v>
      </c>
      <c r="Q126" s="10">
        <f t="shared" ref="Q126:Q134" si="46">(0.104*O126)/(12*N126)</f>
        <v>2.2101033110775173E-2</v>
      </c>
      <c r="R126" s="10">
        <f t="shared" ref="R126:R134" si="47">0.0159*O126^0.75</f>
        <v>9.07533111467419E-2</v>
      </c>
      <c r="S126" s="10">
        <f t="shared" ref="S126:S134" si="48">Q126+R126</f>
        <v>0.11285434425751707</v>
      </c>
    </row>
    <row r="127" spans="1:19" x14ac:dyDescent="0.25">
      <c r="A127" s="5" t="s">
        <v>8</v>
      </c>
      <c r="B127" s="5" t="s">
        <v>346</v>
      </c>
      <c r="C127" s="5" t="s">
        <v>27</v>
      </c>
      <c r="D127" s="5" t="s">
        <v>385</v>
      </c>
      <c r="E127" s="5" t="s">
        <v>384</v>
      </c>
      <c r="F127" s="5" t="s">
        <v>30</v>
      </c>
      <c r="G127" s="5" t="s">
        <v>392</v>
      </c>
      <c r="H127" s="5" t="s">
        <v>232</v>
      </c>
      <c r="I127" s="5" t="s">
        <v>345</v>
      </c>
      <c r="J127" s="15">
        <v>3230</v>
      </c>
      <c r="K127" s="7">
        <v>33</v>
      </c>
      <c r="L127" s="7">
        <f t="shared" si="43"/>
        <v>97.878787878787875</v>
      </c>
      <c r="M127" s="5" t="s">
        <v>9</v>
      </c>
      <c r="N127" s="5">
        <v>4</v>
      </c>
      <c r="O127" s="6">
        <f t="shared" si="44"/>
        <v>19.340144054178143</v>
      </c>
      <c r="P127" s="6">
        <f t="shared" si="45"/>
        <v>2.0113749816345265</v>
      </c>
      <c r="Q127" s="10">
        <f t="shared" si="46"/>
        <v>4.1903645450719312E-2</v>
      </c>
      <c r="R127" s="10">
        <f t="shared" si="47"/>
        <v>0.14663643809535123</v>
      </c>
      <c r="S127" s="10">
        <f t="shared" si="48"/>
        <v>0.18854008354607055</v>
      </c>
    </row>
    <row r="128" spans="1:19" x14ac:dyDescent="0.25">
      <c r="A128" s="5" t="s">
        <v>8</v>
      </c>
      <c r="B128" s="5" t="s">
        <v>346</v>
      </c>
      <c r="C128" s="5" t="s">
        <v>27</v>
      </c>
      <c r="D128" s="5" t="s">
        <v>385</v>
      </c>
      <c r="E128" s="5" t="s">
        <v>384</v>
      </c>
      <c r="F128" s="5" t="s">
        <v>30</v>
      </c>
      <c r="G128" s="5" t="s">
        <v>392</v>
      </c>
      <c r="H128" s="5" t="s">
        <v>232</v>
      </c>
      <c r="I128" s="5" t="s">
        <v>345</v>
      </c>
      <c r="J128" s="15">
        <v>2950</v>
      </c>
      <c r="K128" s="7">
        <v>27.5</v>
      </c>
      <c r="L128" s="7">
        <f t="shared" si="43"/>
        <v>107.27272727272727</v>
      </c>
      <c r="M128" s="5" t="s">
        <v>9</v>
      </c>
      <c r="N128" s="5">
        <v>4</v>
      </c>
      <c r="O128" s="6">
        <f t="shared" si="44"/>
        <v>21.216838842975204</v>
      </c>
      <c r="P128" s="6">
        <f t="shared" si="45"/>
        <v>2.2065512396694213</v>
      </c>
      <c r="Q128" s="10">
        <f t="shared" si="46"/>
        <v>4.5969817493112936E-2</v>
      </c>
      <c r="R128" s="10">
        <f t="shared" si="47"/>
        <v>0.15718374523111669</v>
      </c>
      <c r="S128" s="10">
        <f t="shared" si="48"/>
        <v>0.20315356272422963</v>
      </c>
    </row>
    <row r="129" spans="1:19" x14ac:dyDescent="0.25">
      <c r="A129" s="5" t="s">
        <v>8</v>
      </c>
      <c r="B129" s="5" t="s">
        <v>344</v>
      </c>
      <c r="C129" s="5" t="s">
        <v>27</v>
      </c>
      <c r="D129" s="5" t="s">
        <v>385</v>
      </c>
      <c r="E129" s="5" t="s">
        <v>384</v>
      </c>
      <c r="F129" s="5" t="s">
        <v>30</v>
      </c>
      <c r="G129" s="5" t="s">
        <v>392</v>
      </c>
      <c r="H129" s="5" t="s">
        <v>232</v>
      </c>
      <c r="I129" s="5" t="s">
        <v>345</v>
      </c>
      <c r="J129" s="15">
        <v>3320</v>
      </c>
      <c r="K129" s="7">
        <v>30.8</v>
      </c>
      <c r="L129" s="7">
        <f t="shared" si="43"/>
        <v>107.79220779220779</v>
      </c>
      <c r="M129" s="5" t="s">
        <v>9</v>
      </c>
      <c r="N129" s="5">
        <v>4</v>
      </c>
      <c r="O129" s="6">
        <f t="shared" si="44"/>
        <v>24.109757125990889</v>
      </c>
      <c r="P129" s="6">
        <f t="shared" si="45"/>
        <v>2.5074147411030521</v>
      </c>
      <c r="Q129" s="10">
        <f t="shared" si="46"/>
        <v>5.2237807106313594E-2</v>
      </c>
      <c r="R129" s="10">
        <f t="shared" si="47"/>
        <v>0.17299826631519027</v>
      </c>
      <c r="S129" s="10">
        <f t="shared" si="48"/>
        <v>0.22523607342150387</v>
      </c>
    </row>
    <row r="130" spans="1:19" x14ac:dyDescent="0.25">
      <c r="A130" s="5" t="s">
        <v>8</v>
      </c>
      <c r="B130" s="5" t="s">
        <v>231</v>
      </c>
      <c r="C130" s="5" t="s">
        <v>27</v>
      </c>
      <c r="D130" s="5" t="s">
        <v>385</v>
      </c>
      <c r="E130" s="5" t="s">
        <v>384</v>
      </c>
      <c r="F130" s="5" t="s">
        <v>30</v>
      </c>
      <c r="G130" s="5" t="s">
        <v>392</v>
      </c>
      <c r="H130" s="5" t="s">
        <v>232</v>
      </c>
      <c r="I130" s="5" t="s">
        <v>67</v>
      </c>
      <c r="J130" s="15">
        <v>2290</v>
      </c>
      <c r="K130" s="7">
        <v>29</v>
      </c>
      <c r="L130" s="7">
        <f t="shared" si="43"/>
        <v>78.965517241379317</v>
      </c>
      <c r="M130" s="5" t="s">
        <v>9</v>
      </c>
      <c r="N130" s="5">
        <v>4</v>
      </c>
      <c r="O130" s="6">
        <f t="shared" si="44"/>
        <v>8.9246351070154581</v>
      </c>
      <c r="P130" s="6">
        <f t="shared" si="45"/>
        <v>0.9281620511296077</v>
      </c>
      <c r="Q130" s="10">
        <f t="shared" si="46"/>
        <v>1.9336709398533491E-2</v>
      </c>
      <c r="R130" s="10">
        <f t="shared" si="47"/>
        <v>8.2099398588030822E-2</v>
      </c>
      <c r="S130" s="10">
        <f t="shared" si="48"/>
        <v>0.10143610798656431</v>
      </c>
    </row>
    <row r="131" spans="1:19" x14ac:dyDescent="0.25">
      <c r="A131" s="5" t="s">
        <v>8</v>
      </c>
      <c r="B131" s="5" t="s">
        <v>366</v>
      </c>
      <c r="C131" s="5" t="s">
        <v>27</v>
      </c>
      <c r="D131" s="5" t="s">
        <v>385</v>
      </c>
      <c r="E131" s="5" t="s">
        <v>384</v>
      </c>
      <c r="F131" s="5" t="s">
        <v>30</v>
      </c>
      <c r="G131" s="5" t="s">
        <v>392</v>
      </c>
      <c r="H131" s="5" t="s">
        <v>232</v>
      </c>
      <c r="I131" s="5" t="s">
        <v>368</v>
      </c>
      <c r="J131" s="15">
        <v>2450</v>
      </c>
      <c r="K131" s="7">
        <v>30.5</v>
      </c>
      <c r="L131" s="7">
        <f t="shared" si="43"/>
        <v>80.327868852459019</v>
      </c>
      <c r="M131" s="5" t="s">
        <v>9</v>
      </c>
      <c r="N131" s="5">
        <v>4</v>
      </c>
      <c r="O131" s="6">
        <f t="shared" si="44"/>
        <v>9.880492475141093</v>
      </c>
      <c r="P131" s="6">
        <f t="shared" si="45"/>
        <v>1.0275712174146734</v>
      </c>
      <c r="Q131" s="10">
        <f t="shared" si="46"/>
        <v>2.1407733696139034E-2</v>
      </c>
      <c r="R131" s="10">
        <f t="shared" si="47"/>
        <v>8.8609659587763734E-2</v>
      </c>
      <c r="S131" s="10">
        <f t="shared" si="48"/>
        <v>0.11001739328390277</v>
      </c>
    </row>
    <row r="132" spans="1:19" x14ac:dyDescent="0.25">
      <c r="A132" s="5" t="s">
        <v>8</v>
      </c>
      <c r="B132" s="5" t="s">
        <v>366</v>
      </c>
      <c r="C132" s="5" t="s">
        <v>27</v>
      </c>
      <c r="D132" s="5" t="s">
        <v>385</v>
      </c>
      <c r="E132" s="5" t="s">
        <v>384</v>
      </c>
      <c r="F132" s="5" t="s">
        <v>30</v>
      </c>
      <c r="G132" s="5" t="s">
        <v>392</v>
      </c>
      <c r="H132" s="5" t="s">
        <v>232</v>
      </c>
      <c r="I132" s="5" t="s">
        <v>368</v>
      </c>
      <c r="J132" s="15">
        <v>2753</v>
      </c>
      <c r="K132" s="7">
        <v>32.799999999999997</v>
      </c>
      <c r="L132" s="7">
        <f t="shared" si="43"/>
        <v>83.932926829268297</v>
      </c>
      <c r="M132" s="5" t="s">
        <v>9</v>
      </c>
      <c r="N132" s="5">
        <v>4</v>
      </c>
      <c r="O132" s="6">
        <f t="shared" si="44"/>
        <v>12.121349234667795</v>
      </c>
      <c r="P132" s="6">
        <f t="shared" si="45"/>
        <v>1.2606203204054509</v>
      </c>
      <c r="Q132" s="10">
        <f t="shared" si="46"/>
        <v>2.6262923341780223E-2</v>
      </c>
      <c r="R132" s="10">
        <f t="shared" si="47"/>
        <v>0.10329049231083934</v>
      </c>
      <c r="S132" s="10">
        <f t="shared" si="48"/>
        <v>0.12955341565261957</v>
      </c>
    </row>
    <row r="133" spans="1:19" x14ac:dyDescent="0.25">
      <c r="A133" s="5" t="s">
        <v>8</v>
      </c>
      <c r="B133" s="5" t="s">
        <v>366</v>
      </c>
      <c r="C133" s="5" t="s">
        <v>27</v>
      </c>
      <c r="D133" s="5" t="s">
        <v>385</v>
      </c>
      <c r="E133" s="5" t="s">
        <v>384</v>
      </c>
      <c r="F133" s="5" t="s">
        <v>30</v>
      </c>
      <c r="G133" s="5" t="s">
        <v>392</v>
      </c>
      <c r="H133" s="5" t="s">
        <v>232</v>
      </c>
      <c r="I133" s="5" t="s">
        <v>35</v>
      </c>
      <c r="J133" s="15">
        <v>2748</v>
      </c>
      <c r="K133" s="7">
        <v>36.6</v>
      </c>
      <c r="L133" s="7">
        <f t="shared" si="43"/>
        <v>75.081967213114751</v>
      </c>
      <c r="M133" s="5" t="s">
        <v>9</v>
      </c>
      <c r="N133" s="5">
        <v>4</v>
      </c>
      <c r="O133" s="6">
        <f t="shared" si="44"/>
        <v>9.6820658425154509</v>
      </c>
      <c r="P133" s="6">
        <f t="shared" si="45"/>
        <v>1.0069348476216069</v>
      </c>
      <c r="Q133" s="10">
        <f t="shared" si="46"/>
        <v>2.0977809325450143E-2</v>
      </c>
      <c r="R133" s="10">
        <f t="shared" si="47"/>
        <v>8.7271642179623674E-2</v>
      </c>
      <c r="S133" s="10">
        <f t="shared" si="48"/>
        <v>0.10824945150507381</v>
      </c>
    </row>
    <row r="134" spans="1:19" x14ac:dyDescent="0.25">
      <c r="A134" s="5" t="s">
        <v>22</v>
      </c>
      <c r="B134" s="5" t="s">
        <v>63</v>
      </c>
      <c r="C134" s="5" t="s">
        <v>27</v>
      </c>
      <c r="D134" s="5" t="s">
        <v>385</v>
      </c>
      <c r="E134" s="5" t="s">
        <v>384</v>
      </c>
      <c r="F134" s="5" t="s">
        <v>30</v>
      </c>
      <c r="G134" s="5" t="s">
        <v>392</v>
      </c>
      <c r="H134" s="5" t="s">
        <v>66</v>
      </c>
      <c r="I134" s="5" t="s">
        <v>67</v>
      </c>
      <c r="J134" s="15">
        <v>2280</v>
      </c>
      <c r="K134" s="7">
        <v>29</v>
      </c>
      <c r="L134" s="7">
        <f t="shared" si="43"/>
        <v>78.620689655172413</v>
      </c>
      <c r="M134" s="5" t="s">
        <v>9</v>
      </c>
      <c r="N134" s="5">
        <v>4</v>
      </c>
      <c r="O134" s="6">
        <f t="shared" si="44"/>
        <v>8.8082282996432824</v>
      </c>
      <c r="P134" s="6">
        <f t="shared" si="45"/>
        <v>0.91605574316290117</v>
      </c>
      <c r="Q134" s="10">
        <f t="shared" si="46"/>
        <v>1.908449464922711E-2</v>
      </c>
      <c r="R134" s="10">
        <f t="shared" si="47"/>
        <v>8.1294945871818847E-2</v>
      </c>
      <c r="S134" s="10">
        <f t="shared" si="48"/>
        <v>0.10037944052104596</v>
      </c>
    </row>
    <row r="135" spans="1:19" x14ac:dyDescent="0.25">
      <c r="J135" s="16">
        <f>AVERAGE(J126:J134)</f>
        <v>2727.8888888888887</v>
      </c>
      <c r="K135" s="12">
        <f t="shared" ref="K135:S135" si="49">AVERAGE(K126:K134)</f>
        <v>31.188888888888894</v>
      </c>
      <c r="L135" s="12">
        <f t="shared" si="49"/>
        <v>87.798905894730765</v>
      </c>
      <c r="M135" s="11" t="e">
        <f t="shared" si="49"/>
        <v>#DIV/0!</v>
      </c>
      <c r="N135" s="11">
        <f t="shared" si="49"/>
        <v>4</v>
      </c>
      <c r="O135" s="13">
        <f t="shared" si="49"/>
        <v>13.809331978053898</v>
      </c>
      <c r="P135" s="13">
        <f t="shared" si="49"/>
        <v>1.4361705257176056</v>
      </c>
      <c r="Q135" s="14">
        <f t="shared" si="49"/>
        <v>2.992021928578344E-2</v>
      </c>
      <c r="R135" s="14">
        <f t="shared" si="49"/>
        <v>0.11223754436960852</v>
      </c>
      <c r="S135" s="14">
        <f t="shared" si="49"/>
        <v>0.14215776365539196</v>
      </c>
    </row>
    <row r="136" spans="1:19" x14ac:dyDescent="0.25">
      <c r="A136" s="5" t="s">
        <v>8</v>
      </c>
      <c r="B136" s="5" t="s">
        <v>241</v>
      </c>
      <c r="C136" s="5" t="s">
        <v>27</v>
      </c>
      <c r="D136" s="5" t="s">
        <v>385</v>
      </c>
      <c r="E136" s="5" t="s">
        <v>384</v>
      </c>
      <c r="F136" s="5" t="s">
        <v>30</v>
      </c>
      <c r="G136" s="5" t="s">
        <v>392</v>
      </c>
      <c r="H136" s="5" t="s">
        <v>40</v>
      </c>
      <c r="I136" s="5" t="s">
        <v>190</v>
      </c>
      <c r="J136" s="15">
        <v>2720</v>
      </c>
      <c r="K136" s="7">
        <v>30.3</v>
      </c>
      <c r="L136" s="7">
        <f t="shared" ref="L136:L153" si="50">J136/K136</f>
        <v>89.768976897689768</v>
      </c>
      <c r="M136" s="5" t="s">
        <v>9</v>
      </c>
      <c r="N136" s="5">
        <v>4</v>
      </c>
      <c r="O136" s="6">
        <f t="shared" ref="O136:O153" si="51">(J136*L136^2)/(1.6*10^6)</f>
        <v>13.69939766253853</v>
      </c>
      <c r="P136" s="6">
        <f t="shared" ref="P136:P153" si="52">(0.104*J136*L136^2)/(1.6*10^6)</f>
        <v>1.4247373569040074</v>
      </c>
      <c r="Q136" s="10">
        <f t="shared" ref="Q136:Q153" si="53">(0.104*O136)/(12*N136)</f>
        <v>2.9682028268833482E-2</v>
      </c>
      <c r="R136" s="10">
        <f t="shared" ref="R136:R153" si="54">0.0159*O136^0.75</f>
        <v>0.11322002036146131</v>
      </c>
      <c r="S136" s="10">
        <f t="shared" ref="S136:S153" si="55">Q136+R136</f>
        <v>0.14290204863029479</v>
      </c>
    </row>
    <row r="137" spans="1:19" x14ac:dyDescent="0.25">
      <c r="A137" s="5" t="s">
        <v>8</v>
      </c>
      <c r="B137" s="5" t="s">
        <v>241</v>
      </c>
      <c r="C137" s="5" t="s">
        <v>27</v>
      </c>
      <c r="D137" s="5" t="s">
        <v>385</v>
      </c>
      <c r="E137" s="5" t="s">
        <v>384</v>
      </c>
      <c r="F137" s="5" t="s">
        <v>30</v>
      </c>
      <c r="G137" s="5" t="s">
        <v>392</v>
      </c>
      <c r="H137" s="5" t="s">
        <v>40</v>
      </c>
      <c r="I137" s="5" t="s">
        <v>258</v>
      </c>
      <c r="J137" s="15">
        <v>2320</v>
      </c>
      <c r="K137" s="7">
        <v>27.8</v>
      </c>
      <c r="L137" s="7">
        <f t="shared" si="50"/>
        <v>83.453237410071935</v>
      </c>
      <c r="M137" s="5" t="s">
        <v>9</v>
      </c>
      <c r="N137" s="5">
        <v>4</v>
      </c>
      <c r="O137" s="6">
        <f t="shared" si="51"/>
        <v>10.098442109621653</v>
      </c>
      <c r="P137" s="6">
        <f t="shared" si="52"/>
        <v>1.050237979400652</v>
      </c>
      <c r="Q137" s="10">
        <f t="shared" si="53"/>
        <v>2.1879957904180247E-2</v>
      </c>
      <c r="R137" s="10">
        <f t="shared" si="54"/>
        <v>9.0071606634706189E-2</v>
      </c>
      <c r="S137" s="10">
        <f t="shared" si="55"/>
        <v>0.11195156453888644</v>
      </c>
    </row>
    <row r="138" spans="1:19" x14ac:dyDescent="0.25">
      <c r="A138" s="5" t="s">
        <v>8</v>
      </c>
      <c r="B138" s="5" t="s">
        <v>241</v>
      </c>
      <c r="C138" s="5" t="s">
        <v>27</v>
      </c>
      <c r="D138" s="5" t="s">
        <v>385</v>
      </c>
      <c r="E138" s="5" t="s">
        <v>384</v>
      </c>
      <c r="F138" s="5" t="s">
        <v>30</v>
      </c>
      <c r="G138" s="5" t="s">
        <v>392</v>
      </c>
      <c r="H138" s="5" t="s">
        <v>40</v>
      </c>
      <c r="I138" s="5" t="s">
        <v>251</v>
      </c>
      <c r="J138" s="15">
        <v>1810</v>
      </c>
      <c r="K138" s="7">
        <v>26.5</v>
      </c>
      <c r="L138" s="7">
        <f t="shared" si="50"/>
        <v>68.301886792452834</v>
      </c>
      <c r="M138" s="5" t="s">
        <v>9</v>
      </c>
      <c r="N138" s="5">
        <v>4</v>
      </c>
      <c r="O138" s="6">
        <f t="shared" si="51"/>
        <v>5.2774483802064802</v>
      </c>
      <c r="P138" s="6">
        <f t="shared" si="52"/>
        <v>0.54885463154147374</v>
      </c>
      <c r="Q138" s="10">
        <f t="shared" si="53"/>
        <v>1.1434471490447374E-2</v>
      </c>
      <c r="R138" s="10">
        <f t="shared" si="54"/>
        <v>5.536242690304656E-2</v>
      </c>
      <c r="S138" s="10">
        <f t="shared" si="55"/>
        <v>6.6796898393493939E-2</v>
      </c>
    </row>
    <row r="139" spans="1:19" x14ac:dyDescent="0.25">
      <c r="A139" s="5" t="s">
        <v>8</v>
      </c>
      <c r="B139" s="5" t="s">
        <v>241</v>
      </c>
      <c r="C139" s="5" t="s">
        <v>27</v>
      </c>
      <c r="D139" s="5" t="s">
        <v>385</v>
      </c>
      <c r="E139" s="5" t="s">
        <v>384</v>
      </c>
      <c r="F139" s="5" t="s">
        <v>30</v>
      </c>
      <c r="G139" s="5" t="s">
        <v>392</v>
      </c>
      <c r="H139" s="5" t="s">
        <v>40</v>
      </c>
      <c r="I139" s="5" t="s">
        <v>261</v>
      </c>
      <c r="J139" s="15">
        <v>2450</v>
      </c>
      <c r="K139" s="7">
        <v>28</v>
      </c>
      <c r="L139" s="7">
        <f t="shared" si="50"/>
        <v>87.5</v>
      </c>
      <c r="M139" s="5" t="s">
        <v>9</v>
      </c>
      <c r="N139" s="5">
        <v>4</v>
      </c>
      <c r="O139" s="6">
        <f t="shared" si="51"/>
        <v>11.7236328125</v>
      </c>
      <c r="P139" s="6">
        <f t="shared" si="52"/>
        <v>1.2192578124999998</v>
      </c>
      <c r="Q139" s="10">
        <f t="shared" si="53"/>
        <v>2.5401204427083334E-2</v>
      </c>
      <c r="R139" s="10">
        <f t="shared" si="54"/>
        <v>0.10073810572305898</v>
      </c>
      <c r="S139" s="10">
        <f t="shared" si="55"/>
        <v>0.12613931015014232</v>
      </c>
    </row>
    <row r="140" spans="1:19" x14ac:dyDescent="0.25">
      <c r="A140" s="5" t="s">
        <v>8</v>
      </c>
      <c r="B140" s="5" t="s">
        <v>241</v>
      </c>
      <c r="C140" s="5" t="s">
        <v>27</v>
      </c>
      <c r="D140" s="5" t="s">
        <v>385</v>
      </c>
      <c r="E140" s="5" t="s">
        <v>384</v>
      </c>
      <c r="F140" s="5" t="s">
        <v>30</v>
      </c>
      <c r="G140" s="5" t="s">
        <v>392</v>
      </c>
      <c r="H140" s="5" t="s">
        <v>40</v>
      </c>
      <c r="I140" s="5" t="s">
        <v>243</v>
      </c>
      <c r="J140" s="15">
        <v>4550</v>
      </c>
      <c r="K140" s="7">
        <v>36</v>
      </c>
      <c r="L140" s="7">
        <f t="shared" si="50"/>
        <v>126.38888888888889</v>
      </c>
      <c r="M140" s="5" t="s">
        <v>9</v>
      </c>
      <c r="N140" s="5">
        <v>4</v>
      </c>
      <c r="O140" s="6">
        <f t="shared" si="51"/>
        <v>45.426492573302461</v>
      </c>
      <c r="P140" s="6">
        <f t="shared" si="52"/>
        <v>4.7243552276234562</v>
      </c>
      <c r="Q140" s="10">
        <f t="shared" si="53"/>
        <v>9.8424067242155341E-2</v>
      </c>
      <c r="R140" s="10">
        <f t="shared" si="54"/>
        <v>0.27821403095946923</v>
      </c>
      <c r="S140" s="10">
        <f t="shared" si="55"/>
        <v>0.37663809820162458</v>
      </c>
    </row>
    <row r="141" spans="1:19" x14ac:dyDescent="0.25">
      <c r="A141" s="5" t="s">
        <v>22</v>
      </c>
      <c r="B141" s="5" t="s">
        <v>63</v>
      </c>
      <c r="C141" s="5" t="s">
        <v>27</v>
      </c>
      <c r="D141" s="5" t="s">
        <v>385</v>
      </c>
      <c r="E141" s="5" t="s">
        <v>384</v>
      </c>
      <c r="F141" s="5" t="s">
        <v>30</v>
      </c>
      <c r="G141" s="5" t="s">
        <v>392</v>
      </c>
      <c r="H141" s="5" t="s">
        <v>40</v>
      </c>
      <c r="I141" s="5" t="s">
        <v>65</v>
      </c>
      <c r="J141" s="15">
        <v>2330</v>
      </c>
      <c r="K141" s="7">
        <v>27.5</v>
      </c>
      <c r="L141" s="7">
        <f t="shared" si="50"/>
        <v>84.727272727272734</v>
      </c>
      <c r="M141" s="5" t="s">
        <v>9</v>
      </c>
      <c r="N141" s="5">
        <v>4</v>
      </c>
      <c r="O141" s="6">
        <f t="shared" si="51"/>
        <v>10.453997520661158</v>
      </c>
      <c r="P141" s="6">
        <f t="shared" si="52"/>
        <v>1.0872157421487605</v>
      </c>
      <c r="Q141" s="10">
        <f t="shared" si="53"/>
        <v>2.2650327961432504E-2</v>
      </c>
      <c r="R141" s="10">
        <f t="shared" si="54"/>
        <v>9.2439783335974496E-2</v>
      </c>
      <c r="S141" s="10">
        <f t="shared" si="55"/>
        <v>0.115090111297407</v>
      </c>
    </row>
    <row r="142" spans="1:19" x14ac:dyDescent="0.25">
      <c r="A142" s="5" t="s">
        <v>22</v>
      </c>
      <c r="B142" s="5" t="s">
        <v>26</v>
      </c>
      <c r="C142" s="5" t="s">
        <v>27</v>
      </c>
      <c r="D142" s="5" t="s">
        <v>385</v>
      </c>
      <c r="E142" s="5" t="s">
        <v>384</v>
      </c>
      <c r="F142" s="5" t="s">
        <v>30</v>
      </c>
      <c r="G142" s="5" t="s">
        <v>392</v>
      </c>
      <c r="H142" s="5" t="s">
        <v>40</v>
      </c>
      <c r="I142" s="5" t="s">
        <v>42</v>
      </c>
      <c r="J142" s="15">
        <v>2100</v>
      </c>
      <c r="K142" s="7">
        <v>36</v>
      </c>
      <c r="L142" s="7">
        <f t="shared" si="50"/>
        <v>58.333333333333336</v>
      </c>
      <c r="M142" s="5" t="s">
        <v>9</v>
      </c>
      <c r="N142" s="5">
        <v>4</v>
      </c>
      <c r="O142" s="6">
        <f t="shared" si="51"/>
        <v>4.466145833333333</v>
      </c>
      <c r="P142" s="6">
        <f t="shared" si="52"/>
        <v>0.46447916666666667</v>
      </c>
      <c r="Q142" s="10">
        <f t="shared" si="53"/>
        <v>9.6766493055555538E-3</v>
      </c>
      <c r="R142" s="10">
        <f t="shared" si="54"/>
        <v>4.8848001391821147E-2</v>
      </c>
      <c r="S142" s="10">
        <f t="shared" si="55"/>
        <v>5.8524650697376703E-2</v>
      </c>
    </row>
    <row r="143" spans="1:19" x14ac:dyDescent="0.25">
      <c r="A143" s="5" t="s">
        <v>8</v>
      </c>
      <c r="B143" s="5" t="s">
        <v>241</v>
      </c>
      <c r="C143" s="5" t="s">
        <v>27</v>
      </c>
      <c r="D143" s="5" t="s">
        <v>385</v>
      </c>
      <c r="E143" s="5" t="s">
        <v>384</v>
      </c>
      <c r="F143" s="5" t="s">
        <v>30</v>
      </c>
      <c r="G143" s="5" t="s">
        <v>392</v>
      </c>
      <c r="H143" s="5" t="s">
        <v>40</v>
      </c>
      <c r="I143" s="5" t="s">
        <v>42</v>
      </c>
      <c r="J143" s="15">
        <v>2200</v>
      </c>
      <c r="K143" s="7">
        <v>36.5</v>
      </c>
      <c r="L143" s="7">
        <f t="shared" si="50"/>
        <v>60.273972602739725</v>
      </c>
      <c r="M143" s="5" t="s">
        <v>9</v>
      </c>
      <c r="N143" s="5">
        <v>4</v>
      </c>
      <c r="O143" s="6">
        <f t="shared" si="51"/>
        <v>4.995308688309251</v>
      </c>
      <c r="P143" s="6">
        <f t="shared" si="52"/>
        <v>0.51951210358416211</v>
      </c>
      <c r="Q143" s="10">
        <f t="shared" si="53"/>
        <v>1.0823168824670043E-2</v>
      </c>
      <c r="R143" s="10">
        <f t="shared" si="54"/>
        <v>5.3127437920794114E-2</v>
      </c>
      <c r="S143" s="10">
        <f t="shared" si="55"/>
        <v>6.3950606745464156E-2</v>
      </c>
    </row>
    <row r="144" spans="1:19" x14ac:dyDescent="0.25">
      <c r="A144" s="5" t="s">
        <v>8</v>
      </c>
      <c r="B144" s="5" t="s">
        <v>241</v>
      </c>
      <c r="C144" s="5" t="s">
        <v>27</v>
      </c>
      <c r="D144" s="5" t="s">
        <v>385</v>
      </c>
      <c r="E144" s="5" t="s">
        <v>384</v>
      </c>
      <c r="F144" s="5" t="s">
        <v>30</v>
      </c>
      <c r="G144" s="5" t="s">
        <v>392</v>
      </c>
      <c r="H144" s="5" t="s">
        <v>40</v>
      </c>
      <c r="I144" s="5" t="s">
        <v>259</v>
      </c>
      <c r="J144" s="15">
        <v>2340</v>
      </c>
      <c r="K144" s="7">
        <v>34.200000000000003</v>
      </c>
      <c r="L144" s="7">
        <f t="shared" si="50"/>
        <v>68.421052631578945</v>
      </c>
      <c r="M144" s="5" t="s">
        <v>9</v>
      </c>
      <c r="N144" s="5">
        <v>4</v>
      </c>
      <c r="O144" s="6">
        <f t="shared" si="51"/>
        <v>6.8466066481994456</v>
      </c>
      <c r="P144" s="6">
        <f t="shared" si="52"/>
        <v>0.71204709141274225</v>
      </c>
      <c r="Q144" s="10">
        <f t="shared" si="53"/>
        <v>1.4834314404432133E-2</v>
      </c>
      <c r="R144" s="10">
        <f t="shared" si="54"/>
        <v>6.7298232379061906E-2</v>
      </c>
      <c r="S144" s="10">
        <f t="shared" si="55"/>
        <v>8.2132546783494034E-2</v>
      </c>
    </row>
    <row r="145" spans="1:19" x14ac:dyDescent="0.25">
      <c r="A145" s="5" t="s">
        <v>8</v>
      </c>
      <c r="B145" s="5" t="s">
        <v>241</v>
      </c>
      <c r="C145" s="5" t="s">
        <v>27</v>
      </c>
      <c r="D145" s="5" t="s">
        <v>385</v>
      </c>
      <c r="E145" s="5" t="s">
        <v>384</v>
      </c>
      <c r="F145" s="5" t="s">
        <v>30</v>
      </c>
      <c r="G145" s="5" t="s">
        <v>392</v>
      </c>
      <c r="H145" s="5" t="s">
        <v>40</v>
      </c>
      <c r="I145" s="5" t="s">
        <v>50</v>
      </c>
      <c r="J145" s="15">
        <v>1915</v>
      </c>
      <c r="K145" s="7">
        <v>30</v>
      </c>
      <c r="L145" s="7">
        <f t="shared" si="50"/>
        <v>63.833333333333336</v>
      </c>
      <c r="M145" s="5" t="s">
        <v>9</v>
      </c>
      <c r="N145" s="5">
        <v>4</v>
      </c>
      <c r="O145" s="6">
        <f t="shared" si="51"/>
        <v>4.8768999131944453</v>
      </c>
      <c r="P145" s="6">
        <f t="shared" si="52"/>
        <v>0.50719759097222228</v>
      </c>
      <c r="Q145" s="10">
        <f t="shared" si="53"/>
        <v>1.0566616478587964E-2</v>
      </c>
      <c r="R145" s="10">
        <f t="shared" si="54"/>
        <v>5.2180111939267297E-2</v>
      </c>
      <c r="S145" s="10">
        <f t="shared" si="55"/>
        <v>6.2746728417855266E-2</v>
      </c>
    </row>
    <row r="146" spans="1:19" x14ac:dyDescent="0.25">
      <c r="A146" s="5" t="s">
        <v>8</v>
      </c>
      <c r="B146" s="5" t="s">
        <v>241</v>
      </c>
      <c r="C146" s="5" t="s">
        <v>27</v>
      </c>
      <c r="D146" s="5" t="s">
        <v>385</v>
      </c>
      <c r="E146" s="5" t="s">
        <v>384</v>
      </c>
      <c r="F146" s="5" t="s">
        <v>30</v>
      </c>
      <c r="G146" s="5" t="s">
        <v>392</v>
      </c>
      <c r="H146" s="5" t="s">
        <v>40</v>
      </c>
      <c r="I146" s="5" t="s">
        <v>262</v>
      </c>
      <c r="J146" s="15">
        <v>2100</v>
      </c>
      <c r="K146" s="7">
        <v>32</v>
      </c>
      <c r="L146" s="7">
        <f t="shared" si="50"/>
        <v>65.625</v>
      </c>
      <c r="M146" s="5" t="s">
        <v>9</v>
      </c>
      <c r="N146" s="5">
        <v>4</v>
      </c>
      <c r="O146" s="6">
        <f t="shared" si="51"/>
        <v>5.6524658203125</v>
      </c>
      <c r="P146" s="6">
        <f t="shared" si="52"/>
        <v>0.58785644531249992</v>
      </c>
      <c r="Q146" s="10">
        <f t="shared" si="53"/>
        <v>1.2247009277343748E-2</v>
      </c>
      <c r="R146" s="10">
        <f t="shared" si="54"/>
        <v>5.8287520740768706E-2</v>
      </c>
      <c r="S146" s="10">
        <f t="shared" si="55"/>
        <v>7.0534530018112454E-2</v>
      </c>
    </row>
    <row r="147" spans="1:19" x14ac:dyDescent="0.25">
      <c r="A147" s="5" t="s">
        <v>22</v>
      </c>
      <c r="B147" s="5" t="s">
        <v>26</v>
      </c>
      <c r="C147" s="5" t="s">
        <v>27</v>
      </c>
      <c r="D147" s="5" t="s">
        <v>385</v>
      </c>
      <c r="E147" s="5" t="s">
        <v>384</v>
      </c>
      <c r="F147" s="5" t="s">
        <v>30</v>
      </c>
      <c r="G147" s="5" t="s">
        <v>392</v>
      </c>
      <c r="H147" s="5" t="s">
        <v>40</v>
      </c>
      <c r="I147" s="5" t="s">
        <v>43</v>
      </c>
      <c r="J147" s="15">
        <v>2200</v>
      </c>
      <c r="K147" s="7">
        <v>36</v>
      </c>
      <c r="L147" s="7">
        <f t="shared" si="50"/>
        <v>61.111111111111114</v>
      </c>
      <c r="M147" s="5" t="s">
        <v>9</v>
      </c>
      <c r="N147" s="5">
        <v>4</v>
      </c>
      <c r="O147" s="6">
        <f t="shared" si="51"/>
        <v>5.1350308641975309</v>
      </c>
      <c r="P147" s="6">
        <f t="shared" si="52"/>
        <v>0.53404320987654319</v>
      </c>
      <c r="Q147" s="10">
        <f t="shared" si="53"/>
        <v>1.1125900205761317E-2</v>
      </c>
      <c r="R147" s="10">
        <f t="shared" si="54"/>
        <v>5.4238093824659765E-2</v>
      </c>
      <c r="S147" s="10">
        <f t="shared" si="55"/>
        <v>6.5363994030421077E-2</v>
      </c>
    </row>
    <row r="148" spans="1:19" x14ac:dyDescent="0.25">
      <c r="A148" s="5" t="s">
        <v>8</v>
      </c>
      <c r="B148" s="5" t="s">
        <v>241</v>
      </c>
      <c r="C148" s="5" t="s">
        <v>27</v>
      </c>
      <c r="D148" s="5" t="s">
        <v>385</v>
      </c>
      <c r="E148" s="5" t="s">
        <v>384</v>
      </c>
      <c r="F148" s="5" t="s">
        <v>30</v>
      </c>
      <c r="G148" s="5" t="s">
        <v>392</v>
      </c>
      <c r="H148" s="5" t="s">
        <v>40</v>
      </c>
      <c r="I148" s="5" t="s">
        <v>43</v>
      </c>
      <c r="J148" s="15">
        <v>2200</v>
      </c>
      <c r="K148" s="7">
        <v>33</v>
      </c>
      <c r="L148" s="7">
        <f t="shared" si="50"/>
        <v>66.666666666666671</v>
      </c>
      <c r="M148" s="5" t="s">
        <v>9</v>
      </c>
      <c r="N148" s="5">
        <v>4</v>
      </c>
      <c r="O148" s="6">
        <f t="shared" si="51"/>
        <v>6.1111111111111125</v>
      </c>
      <c r="P148" s="6">
        <f t="shared" si="52"/>
        <v>0.63555555555555565</v>
      </c>
      <c r="Q148" s="10">
        <f t="shared" si="53"/>
        <v>1.3240740740740742E-2</v>
      </c>
      <c r="R148" s="10">
        <f t="shared" si="54"/>
        <v>6.1799827002558427E-2</v>
      </c>
      <c r="S148" s="10">
        <f t="shared" si="55"/>
        <v>7.5040567743299175E-2</v>
      </c>
    </row>
    <row r="149" spans="1:19" x14ac:dyDescent="0.25">
      <c r="A149" s="5" t="s">
        <v>8</v>
      </c>
      <c r="B149" s="5" t="s">
        <v>241</v>
      </c>
      <c r="C149" s="5" t="s">
        <v>27</v>
      </c>
      <c r="D149" s="5" t="s">
        <v>385</v>
      </c>
      <c r="E149" s="5" t="s">
        <v>384</v>
      </c>
      <c r="F149" s="5" t="s">
        <v>30</v>
      </c>
      <c r="G149" s="5" t="s">
        <v>392</v>
      </c>
      <c r="H149" s="5" t="s">
        <v>40</v>
      </c>
      <c r="I149" s="5" t="s">
        <v>263</v>
      </c>
      <c r="J149" s="15">
        <v>2340</v>
      </c>
      <c r="K149" s="7">
        <v>42.5</v>
      </c>
      <c r="L149" s="7">
        <f t="shared" si="50"/>
        <v>55.058823529411768</v>
      </c>
      <c r="M149" s="5" t="s">
        <v>9</v>
      </c>
      <c r="N149" s="5">
        <v>4</v>
      </c>
      <c r="O149" s="6">
        <f t="shared" si="51"/>
        <v>4.4335307958477514</v>
      </c>
      <c r="P149" s="6">
        <f t="shared" si="52"/>
        <v>0.46108720276816617</v>
      </c>
      <c r="Q149" s="10">
        <f t="shared" si="53"/>
        <v>9.6059833910034607E-3</v>
      </c>
      <c r="R149" s="10">
        <f t="shared" si="54"/>
        <v>4.8580213759297074E-2</v>
      </c>
      <c r="S149" s="10">
        <f t="shared" si="55"/>
        <v>5.8186197150300531E-2</v>
      </c>
    </row>
    <row r="150" spans="1:19" x14ac:dyDescent="0.25">
      <c r="A150" s="5" t="s">
        <v>22</v>
      </c>
      <c r="B150" s="5" t="s">
        <v>26</v>
      </c>
      <c r="C150" s="5" t="s">
        <v>27</v>
      </c>
      <c r="D150" s="5" t="s">
        <v>385</v>
      </c>
      <c r="E150" s="5" t="s">
        <v>384</v>
      </c>
      <c r="F150" s="5" t="s">
        <v>30</v>
      </c>
      <c r="G150" s="5" t="s">
        <v>392</v>
      </c>
      <c r="H150" s="5" t="s">
        <v>40</v>
      </c>
      <c r="I150" s="5" t="s">
        <v>44</v>
      </c>
      <c r="J150" s="15">
        <v>3100</v>
      </c>
      <c r="K150" s="7">
        <v>40</v>
      </c>
      <c r="L150" s="7">
        <f t="shared" si="50"/>
        <v>77.5</v>
      </c>
      <c r="M150" s="5" t="s">
        <v>9</v>
      </c>
      <c r="N150" s="5">
        <v>4</v>
      </c>
      <c r="O150" s="6">
        <f t="shared" si="51"/>
        <v>11.637109375</v>
      </c>
      <c r="P150" s="6">
        <f t="shared" si="52"/>
        <v>1.2102593749999999</v>
      </c>
      <c r="Q150" s="10">
        <f t="shared" si="53"/>
        <v>2.5213736979166665E-2</v>
      </c>
      <c r="R150" s="10">
        <f t="shared" si="54"/>
        <v>0.10017998480100093</v>
      </c>
      <c r="S150" s="10">
        <f t="shared" si="55"/>
        <v>0.12539372178016761</v>
      </c>
    </row>
    <row r="151" spans="1:19" x14ac:dyDescent="0.25">
      <c r="A151" s="5" t="s">
        <v>8</v>
      </c>
      <c r="B151" s="5" t="s">
        <v>241</v>
      </c>
      <c r="C151" s="5" t="s">
        <v>27</v>
      </c>
      <c r="D151" s="5" t="s">
        <v>385</v>
      </c>
      <c r="E151" s="5" t="s">
        <v>384</v>
      </c>
      <c r="F151" s="5" t="s">
        <v>30</v>
      </c>
      <c r="G151" s="5" t="s">
        <v>392</v>
      </c>
      <c r="H151" s="5" t="s">
        <v>40</v>
      </c>
      <c r="I151" s="5" t="s">
        <v>44</v>
      </c>
      <c r="J151" s="15">
        <v>3100</v>
      </c>
      <c r="K151" s="7">
        <v>42.5</v>
      </c>
      <c r="L151" s="7">
        <f t="shared" si="50"/>
        <v>72.941176470588232</v>
      </c>
      <c r="M151" s="5" t="s">
        <v>9</v>
      </c>
      <c r="N151" s="5">
        <v>4</v>
      </c>
      <c r="O151" s="6">
        <f t="shared" si="51"/>
        <v>10.308304498269894</v>
      </c>
      <c r="P151" s="6">
        <f t="shared" si="52"/>
        <v>1.072063667820069</v>
      </c>
      <c r="Q151" s="10">
        <f t="shared" si="53"/>
        <v>2.2334659746251439E-2</v>
      </c>
      <c r="R151" s="10">
        <f t="shared" si="54"/>
        <v>9.1471869100578224E-2</v>
      </c>
      <c r="S151" s="10">
        <f t="shared" si="55"/>
        <v>0.11380652884682967</v>
      </c>
    </row>
    <row r="152" spans="1:19" x14ac:dyDescent="0.25">
      <c r="A152" s="5" t="s">
        <v>8</v>
      </c>
      <c r="B152" s="5" t="s">
        <v>241</v>
      </c>
      <c r="C152" s="5" t="s">
        <v>27</v>
      </c>
      <c r="D152" s="5" t="s">
        <v>385</v>
      </c>
      <c r="E152" s="5" t="s">
        <v>384</v>
      </c>
      <c r="F152" s="5" t="s">
        <v>30</v>
      </c>
      <c r="G152" s="5" t="s">
        <v>392</v>
      </c>
      <c r="H152" s="5" t="s">
        <v>40</v>
      </c>
      <c r="I152" s="5" t="s">
        <v>247</v>
      </c>
      <c r="J152" s="15">
        <v>2470</v>
      </c>
      <c r="K152" s="7">
        <v>33.5</v>
      </c>
      <c r="L152" s="7">
        <f t="shared" si="50"/>
        <v>73.731343283582092</v>
      </c>
      <c r="M152" s="5" t="s">
        <v>9</v>
      </c>
      <c r="N152" s="5">
        <v>4</v>
      </c>
      <c r="O152" s="6">
        <f t="shared" si="51"/>
        <v>8.3923050790822025</v>
      </c>
      <c r="P152" s="6">
        <f t="shared" si="52"/>
        <v>0.87279972822454899</v>
      </c>
      <c r="Q152" s="10">
        <f t="shared" si="53"/>
        <v>1.8183327671344771E-2</v>
      </c>
      <c r="R152" s="10">
        <f t="shared" si="54"/>
        <v>7.8398557442714095E-2</v>
      </c>
      <c r="S152" s="10">
        <f t="shared" si="55"/>
        <v>9.6581885114058866E-2</v>
      </c>
    </row>
    <row r="153" spans="1:19" x14ac:dyDescent="0.25">
      <c r="A153" s="5" t="s">
        <v>8</v>
      </c>
      <c r="B153" s="5" t="s">
        <v>241</v>
      </c>
      <c r="C153" s="5" t="s">
        <v>27</v>
      </c>
      <c r="D153" s="5" t="s">
        <v>385</v>
      </c>
      <c r="E153" s="5" t="s">
        <v>384</v>
      </c>
      <c r="F153" s="5" t="s">
        <v>30</v>
      </c>
      <c r="G153" s="5" t="s">
        <v>392</v>
      </c>
      <c r="H153" s="5" t="s">
        <v>40</v>
      </c>
      <c r="I153" s="5" t="s">
        <v>245</v>
      </c>
      <c r="J153" s="15">
        <v>1200</v>
      </c>
      <c r="K153" s="7">
        <v>18</v>
      </c>
      <c r="L153" s="7">
        <f t="shared" si="50"/>
        <v>66.666666666666671</v>
      </c>
      <c r="M153" s="5" t="s">
        <v>9</v>
      </c>
      <c r="N153" s="5">
        <v>4</v>
      </c>
      <c r="O153" s="6">
        <f t="shared" si="51"/>
        <v>3.3333333333333339</v>
      </c>
      <c r="P153" s="6">
        <f t="shared" si="52"/>
        <v>0.34666666666666673</v>
      </c>
      <c r="Q153" s="10">
        <f t="shared" si="53"/>
        <v>7.2222222222222236E-3</v>
      </c>
      <c r="R153" s="10">
        <f t="shared" si="54"/>
        <v>3.9224388638091127E-2</v>
      </c>
      <c r="S153" s="10">
        <f t="shared" si="55"/>
        <v>4.6446610860313348E-2</v>
      </c>
    </row>
    <row r="154" spans="1:19" x14ac:dyDescent="0.25">
      <c r="J154" s="16">
        <f>AVERAGE(J136:J153)</f>
        <v>2413.6111111111113</v>
      </c>
      <c r="K154" s="12">
        <f t="shared" ref="K154:S154" si="56">AVERAGE(K136:K153)</f>
        <v>32.794444444444444</v>
      </c>
      <c r="L154" s="12">
        <f t="shared" si="56"/>
        <v>73.905707908077119</v>
      </c>
      <c r="M154" s="11" t="e">
        <f t="shared" si="56"/>
        <v>#DIV/0!</v>
      </c>
      <c r="N154" s="11">
        <f t="shared" si="56"/>
        <v>4</v>
      </c>
      <c r="O154" s="13">
        <f t="shared" si="56"/>
        <v>9.6037535010567279</v>
      </c>
      <c r="P154" s="13">
        <f t="shared" si="56"/>
        <v>0.99879036410989963</v>
      </c>
      <c r="Q154" s="14">
        <f t="shared" si="56"/>
        <v>2.0808132585622908E-2</v>
      </c>
      <c r="R154" s="14">
        <f t="shared" si="56"/>
        <v>8.2426678492129424E-2</v>
      </c>
      <c r="S154" s="14">
        <f t="shared" si="56"/>
        <v>0.10323481107775234</v>
      </c>
    </row>
    <row r="155" spans="1:19" x14ac:dyDescent="0.25">
      <c r="A155" s="5" t="s">
        <v>22</v>
      </c>
      <c r="B155" s="5" t="s">
        <v>63</v>
      </c>
      <c r="C155" s="5" t="s">
        <v>27</v>
      </c>
      <c r="D155" s="5" t="s">
        <v>385</v>
      </c>
      <c r="E155" s="5" t="s">
        <v>384</v>
      </c>
      <c r="F155" s="5" t="s">
        <v>45</v>
      </c>
      <c r="G155" s="5" t="s">
        <v>390</v>
      </c>
      <c r="H155" s="5" t="s">
        <v>79</v>
      </c>
      <c r="I155" s="5" t="s">
        <v>80</v>
      </c>
      <c r="J155" s="15">
        <v>1225</v>
      </c>
      <c r="K155" s="7">
        <v>45</v>
      </c>
      <c r="L155" s="7">
        <f>J155/K155</f>
        <v>27.222222222222221</v>
      </c>
      <c r="M155" s="5" t="s">
        <v>9</v>
      </c>
      <c r="N155" s="5">
        <v>4</v>
      </c>
      <c r="O155" s="6">
        <f>(J155*L155^2)/(1.6*10^6)</f>
        <v>0.5673659336419753</v>
      </c>
      <c r="P155" s="6">
        <f>(0.104*J155*L155^2)/(1.6*10^6)</f>
        <v>5.900605709876542E-2</v>
      </c>
      <c r="Q155" s="10">
        <f>(0.104*O155)/(12*N155)</f>
        <v>1.2292928562242797E-3</v>
      </c>
      <c r="R155" s="10">
        <f>0.0159*O155^0.75</f>
        <v>1.0394283700610837E-2</v>
      </c>
      <c r="S155" s="10">
        <f>Q155+R155</f>
        <v>1.1623576556835116E-2</v>
      </c>
    </row>
    <row r="157" spans="1:19" x14ac:dyDescent="0.25">
      <c r="A157" s="5" t="s">
        <v>22</v>
      </c>
      <c r="B157" s="5" t="s">
        <v>63</v>
      </c>
      <c r="C157" s="5" t="s">
        <v>27</v>
      </c>
      <c r="D157" s="5" t="s">
        <v>385</v>
      </c>
      <c r="E157" s="5" t="s">
        <v>384</v>
      </c>
      <c r="F157" s="5" t="s">
        <v>45</v>
      </c>
      <c r="G157" s="5" t="s">
        <v>390</v>
      </c>
      <c r="H157" s="5" t="s">
        <v>75</v>
      </c>
      <c r="I157" s="5" t="s">
        <v>76</v>
      </c>
      <c r="J157" s="15">
        <v>1450</v>
      </c>
      <c r="K157" s="7">
        <v>48.5</v>
      </c>
      <c r="L157" s="7">
        <f>J157/K157</f>
        <v>29.896907216494846</v>
      </c>
      <c r="M157" s="5" t="s">
        <v>9</v>
      </c>
      <c r="N157" s="5">
        <v>4</v>
      </c>
      <c r="O157" s="6">
        <f>(J157*L157^2)/(1.6*10^6)</f>
        <v>0.81002896163247951</v>
      </c>
      <c r="P157" s="6">
        <f>(0.104*J157*L157^2)/(1.6*10^6)</f>
        <v>8.4243012009777865E-2</v>
      </c>
      <c r="Q157" s="10">
        <f>(0.104*O157)/(12*N157)</f>
        <v>1.7550627502037055E-3</v>
      </c>
      <c r="R157" s="10">
        <f>0.0159*O157^0.75</f>
        <v>1.3576022042751284E-2</v>
      </c>
      <c r="S157" s="10">
        <f>Q157+R157</f>
        <v>1.5331084792954988E-2</v>
      </c>
    </row>
    <row r="159" spans="1:19" x14ac:dyDescent="0.25">
      <c r="A159" s="5" t="s">
        <v>8</v>
      </c>
      <c r="B159" s="5" t="s">
        <v>206</v>
      </c>
      <c r="C159" s="5" t="s">
        <v>27</v>
      </c>
      <c r="D159" s="5" t="s">
        <v>385</v>
      </c>
      <c r="E159" s="5" t="s">
        <v>384</v>
      </c>
      <c r="F159" s="5" t="s">
        <v>45</v>
      </c>
      <c r="G159" s="5" t="s">
        <v>390</v>
      </c>
      <c r="H159" s="5" t="s">
        <v>46</v>
      </c>
      <c r="I159" s="5" t="s">
        <v>207</v>
      </c>
      <c r="J159" s="15">
        <v>1100</v>
      </c>
      <c r="K159" s="7">
        <v>32</v>
      </c>
      <c r="L159" s="7">
        <f t="shared" ref="L159:L177" si="57">J159/K159</f>
        <v>34.375</v>
      </c>
      <c r="M159" s="5" t="s">
        <v>9</v>
      </c>
      <c r="N159" s="5">
        <v>4</v>
      </c>
      <c r="O159" s="6">
        <f t="shared" ref="O159:O177" si="58">(J159*L159^2)/(1.6*10^6)</f>
        <v>0.8123779296875</v>
      </c>
      <c r="P159" s="6">
        <f t="shared" ref="P159:P177" si="59">(0.104*J159*L159^2)/(1.6*10^6)</f>
        <v>8.4487304687500001E-2</v>
      </c>
      <c r="Q159" s="10">
        <f t="shared" ref="Q159:Q177" si="60">(0.104*O159)/(12*N159)</f>
        <v>1.7601521809895834E-3</v>
      </c>
      <c r="R159" s="10">
        <f t="shared" ref="R159:R177" si="61">0.0159*O159^0.75</f>
        <v>1.3605537743536752E-2</v>
      </c>
      <c r="S159" s="10">
        <f t="shared" ref="S159:S177" si="62">Q159+R159</f>
        <v>1.5365689924526336E-2</v>
      </c>
    </row>
    <row r="160" spans="1:19" x14ac:dyDescent="0.25">
      <c r="A160" s="5" t="s">
        <v>8</v>
      </c>
      <c r="B160" s="5" t="s">
        <v>209</v>
      </c>
      <c r="C160" s="5" t="s">
        <v>27</v>
      </c>
      <c r="D160" s="5" t="s">
        <v>385</v>
      </c>
      <c r="E160" s="5" t="s">
        <v>384</v>
      </c>
      <c r="F160" s="5" t="s">
        <v>45</v>
      </c>
      <c r="G160" s="5" t="s">
        <v>390</v>
      </c>
      <c r="H160" s="5" t="s">
        <v>46</v>
      </c>
      <c r="I160" s="5" t="s">
        <v>207</v>
      </c>
      <c r="J160" s="15">
        <v>1580</v>
      </c>
      <c r="K160" s="7">
        <v>52.7</v>
      </c>
      <c r="L160" s="7">
        <f t="shared" si="57"/>
        <v>29.981024667931688</v>
      </c>
      <c r="M160" s="5" t="s">
        <v>9</v>
      </c>
      <c r="N160" s="5">
        <v>4</v>
      </c>
      <c r="O160" s="6">
        <f t="shared" si="58"/>
        <v>0.88762606713738934</v>
      </c>
      <c r="P160" s="6">
        <f t="shared" si="59"/>
        <v>9.231311098228849E-2</v>
      </c>
      <c r="Q160" s="10">
        <f t="shared" si="60"/>
        <v>1.9231898121310103E-3</v>
      </c>
      <c r="R160" s="10">
        <f t="shared" si="61"/>
        <v>1.4540175890565775E-2</v>
      </c>
      <c r="S160" s="10">
        <f t="shared" si="62"/>
        <v>1.6463365702696783E-2</v>
      </c>
    </row>
    <row r="161" spans="1:19" x14ac:dyDescent="0.25">
      <c r="A161" s="5" t="s">
        <v>22</v>
      </c>
      <c r="B161" s="5" t="s">
        <v>26</v>
      </c>
      <c r="C161" s="5" t="s">
        <v>27</v>
      </c>
      <c r="D161" s="5" t="s">
        <v>385</v>
      </c>
      <c r="E161" s="5" t="s">
        <v>384</v>
      </c>
      <c r="F161" s="5" t="s">
        <v>45</v>
      </c>
      <c r="G161" s="5" t="s">
        <v>390</v>
      </c>
      <c r="H161" s="5" t="s">
        <v>46</v>
      </c>
      <c r="I161" s="5" t="s">
        <v>16</v>
      </c>
      <c r="J161" s="15">
        <v>1350</v>
      </c>
      <c r="K161" s="7">
        <v>35</v>
      </c>
      <c r="L161" s="7">
        <f t="shared" si="57"/>
        <v>38.571428571428569</v>
      </c>
      <c r="M161" s="5" t="s">
        <v>9</v>
      </c>
      <c r="N161" s="5">
        <v>4</v>
      </c>
      <c r="O161" s="6">
        <f t="shared" si="58"/>
        <v>1.2552933673469386</v>
      </c>
      <c r="P161" s="6">
        <f t="shared" si="59"/>
        <v>0.13055051020408162</v>
      </c>
      <c r="Q161" s="10">
        <f t="shared" si="60"/>
        <v>2.719802295918367E-3</v>
      </c>
      <c r="R161" s="10">
        <f t="shared" si="61"/>
        <v>1.8856281365180333E-2</v>
      </c>
      <c r="S161" s="10">
        <f t="shared" si="62"/>
        <v>2.1576083661098699E-2</v>
      </c>
    </row>
    <row r="162" spans="1:19" x14ac:dyDescent="0.25">
      <c r="A162" s="5" t="s">
        <v>22</v>
      </c>
      <c r="B162" s="5" t="s">
        <v>26</v>
      </c>
      <c r="C162" s="5" t="s">
        <v>27</v>
      </c>
      <c r="D162" s="5" t="s">
        <v>385</v>
      </c>
      <c r="E162" s="5" t="s">
        <v>384</v>
      </c>
      <c r="F162" s="5" t="s">
        <v>45</v>
      </c>
      <c r="G162" s="5" t="s">
        <v>390</v>
      </c>
      <c r="H162" s="5" t="s">
        <v>46</v>
      </c>
      <c r="I162" s="5" t="s">
        <v>47</v>
      </c>
      <c r="J162" s="15">
        <v>1150</v>
      </c>
      <c r="K162" s="7">
        <v>30</v>
      </c>
      <c r="L162" s="7">
        <f t="shared" si="57"/>
        <v>38.333333333333336</v>
      </c>
      <c r="M162" s="5" t="s">
        <v>9</v>
      </c>
      <c r="N162" s="5">
        <v>4</v>
      </c>
      <c r="O162" s="6">
        <f t="shared" si="58"/>
        <v>1.0561631944444445</v>
      </c>
      <c r="P162" s="6">
        <f t="shared" si="59"/>
        <v>0.10984097222222222</v>
      </c>
      <c r="Q162" s="10">
        <f t="shared" si="60"/>
        <v>2.288353587962963E-3</v>
      </c>
      <c r="R162" s="10">
        <f t="shared" si="61"/>
        <v>1.6565150885101746E-2</v>
      </c>
      <c r="S162" s="10">
        <f t="shared" si="62"/>
        <v>1.8853504473064709E-2</v>
      </c>
    </row>
    <row r="163" spans="1:19" x14ac:dyDescent="0.25">
      <c r="A163" s="5" t="s">
        <v>8</v>
      </c>
      <c r="B163" s="5" t="s">
        <v>202</v>
      </c>
      <c r="C163" s="5" t="s">
        <v>27</v>
      </c>
      <c r="D163" s="5" t="s">
        <v>385</v>
      </c>
      <c r="E163" s="5" t="s">
        <v>384</v>
      </c>
      <c r="F163" s="5" t="s">
        <v>45</v>
      </c>
      <c r="G163" s="5" t="s">
        <v>390</v>
      </c>
      <c r="H163" s="5" t="s">
        <v>46</v>
      </c>
      <c r="I163" s="5" t="s">
        <v>203</v>
      </c>
      <c r="J163" s="15">
        <v>1220</v>
      </c>
      <c r="K163" s="7">
        <v>29.6</v>
      </c>
      <c r="L163" s="7">
        <f t="shared" si="57"/>
        <v>41.216216216216218</v>
      </c>
      <c r="M163" s="5" t="s">
        <v>9</v>
      </c>
      <c r="N163" s="5">
        <v>4</v>
      </c>
      <c r="O163" s="6">
        <f t="shared" si="58"/>
        <v>1.2953170653761872</v>
      </c>
      <c r="P163" s="6">
        <f t="shared" si="59"/>
        <v>0.13471297479912345</v>
      </c>
      <c r="Q163" s="10">
        <f t="shared" si="60"/>
        <v>2.8065203083150717E-3</v>
      </c>
      <c r="R163" s="10">
        <f t="shared" si="61"/>
        <v>1.930541712752341E-2</v>
      </c>
      <c r="S163" s="10">
        <f t="shared" si="62"/>
        <v>2.2111937435838482E-2</v>
      </c>
    </row>
    <row r="164" spans="1:19" x14ac:dyDescent="0.25">
      <c r="A164" s="5" t="s">
        <v>8</v>
      </c>
      <c r="B164" s="5" t="s">
        <v>204</v>
      </c>
      <c r="C164" s="5" t="s">
        <v>27</v>
      </c>
      <c r="D164" s="5" t="s">
        <v>385</v>
      </c>
      <c r="E164" s="5" t="s">
        <v>384</v>
      </c>
      <c r="F164" s="5" t="s">
        <v>45</v>
      </c>
      <c r="G164" s="5" t="s">
        <v>390</v>
      </c>
      <c r="H164" s="5" t="s">
        <v>46</v>
      </c>
      <c r="I164" s="5" t="s">
        <v>203</v>
      </c>
      <c r="J164" s="15">
        <v>850</v>
      </c>
      <c r="K164" s="7">
        <v>32</v>
      </c>
      <c r="L164" s="7">
        <f t="shared" si="57"/>
        <v>26.5625</v>
      </c>
      <c r="M164" s="5" t="s">
        <v>9</v>
      </c>
      <c r="N164" s="5">
        <v>4</v>
      </c>
      <c r="O164" s="6">
        <f t="shared" si="58"/>
        <v>0.3748321533203125</v>
      </c>
      <c r="P164" s="6">
        <f t="shared" si="59"/>
        <v>3.8982543945312496E-2</v>
      </c>
      <c r="Q164" s="10">
        <f t="shared" si="60"/>
        <v>8.1213633219401034E-4</v>
      </c>
      <c r="R164" s="10">
        <f t="shared" si="61"/>
        <v>7.6168385941915153E-3</v>
      </c>
      <c r="S164" s="10">
        <f t="shared" si="62"/>
        <v>8.4289749263855261E-3</v>
      </c>
    </row>
    <row r="165" spans="1:19" x14ac:dyDescent="0.25">
      <c r="A165" s="5" t="s">
        <v>8</v>
      </c>
      <c r="B165" s="5" t="s">
        <v>201</v>
      </c>
      <c r="C165" s="5" t="s">
        <v>27</v>
      </c>
      <c r="D165" s="5" t="s">
        <v>385</v>
      </c>
      <c r="E165" s="5" t="s">
        <v>384</v>
      </c>
      <c r="F165" s="5" t="s">
        <v>45</v>
      </c>
      <c r="G165" s="5" t="s">
        <v>390</v>
      </c>
      <c r="H165" s="5" t="s">
        <v>46</v>
      </c>
      <c r="I165" s="5" t="s">
        <v>203</v>
      </c>
      <c r="J165" s="15">
        <v>965</v>
      </c>
      <c r="K165" s="7">
        <v>26.5</v>
      </c>
      <c r="L165" s="7">
        <f t="shared" si="57"/>
        <v>36.415094339622641</v>
      </c>
      <c r="M165" s="5" t="s">
        <v>9</v>
      </c>
      <c r="N165" s="5">
        <v>4</v>
      </c>
      <c r="O165" s="6">
        <f t="shared" si="58"/>
        <v>0.79977939213243143</v>
      </c>
      <c r="P165" s="6">
        <f t="shared" si="59"/>
        <v>8.3177056781772868E-2</v>
      </c>
      <c r="Q165" s="10">
        <f t="shared" si="60"/>
        <v>1.732855349620268E-3</v>
      </c>
      <c r="R165" s="10">
        <f t="shared" si="61"/>
        <v>1.3446980696864171E-2</v>
      </c>
      <c r="S165" s="10">
        <f t="shared" si="62"/>
        <v>1.517983604648444E-2</v>
      </c>
    </row>
    <row r="166" spans="1:19" x14ac:dyDescent="0.25">
      <c r="A166" s="5" t="s">
        <v>22</v>
      </c>
      <c r="B166" s="5" t="s">
        <v>26</v>
      </c>
      <c r="C166" s="5" t="s">
        <v>27</v>
      </c>
      <c r="D166" s="5" t="s">
        <v>385</v>
      </c>
      <c r="E166" s="5" t="s">
        <v>384</v>
      </c>
      <c r="F166" s="5" t="s">
        <v>45</v>
      </c>
      <c r="G166" s="5" t="s">
        <v>390</v>
      </c>
      <c r="H166" s="5" t="s">
        <v>46</v>
      </c>
      <c r="I166" s="5" t="s">
        <v>11</v>
      </c>
      <c r="J166" s="15">
        <v>1450</v>
      </c>
      <c r="K166" s="7">
        <v>29</v>
      </c>
      <c r="L166" s="7">
        <f t="shared" si="57"/>
        <v>50</v>
      </c>
      <c r="M166" s="5" t="s">
        <v>9</v>
      </c>
      <c r="N166" s="5">
        <v>4</v>
      </c>
      <c r="O166" s="6">
        <f t="shared" si="58"/>
        <v>2.265625</v>
      </c>
      <c r="P166" s="6">
        <f t="shared" si="59"/>
        <v>0.23562499999999997</v>
      </c>
      <c r="Q166" s="10">
        <f t="shared" si="60"/>
        <v>4.9088541666666664E-3</v>
      </c>
      <c r="R166" s="10">
        <f t="shared" si="61"/>
        <v>2.9362169777582138E-2</v>
      </c>
      <c r="S166" s="10">
        <f t="shared" si="62"/>
        <v>3.4271023944248802E-2</v>
      </c>
    </row>
    <row r="167" spans="1:19" x14ac:dyDescent="0.25">
      <c r="A167" s="5" t="s">
        <v>8</v>
      </c>
      <c r="B167" s="5" t="s">
        <v>339</v>
      </c>
      <c r="C167" s="5" t="s">
        <v>27</v>
      </c>
      <c r="D167" s="5" t="s">
        <v>385</v>
      </c>
      <c r="E167" s="5" t="s">
        <v>384</v>
      </c>
      <c r="F167" s="5" t="s">
        <v>45</v>
      </c>
      <c r="G167" s="5" t="s">
        <v>390</v>
      </c>
      <c r="H167" s="5" t="s">
        <v>46</v>
      </c>
      <c r="I167" s="5" t="s">
        <v>216</v>
      </c>
      <c r="J167" s="15">
        <v>801</v>
      </c>
      <c r="K167" s="7">
        <v>28.6</v>
      </c>
      <c r="L167" s="7">
        <f t="shared" si="57"/>
        <v>28.006993006993007</v>
      </c>
      <c r="M167" s="5" t="s">
        <v>9</v>
      </c>
      <c r="N167" s="5">
        <v>4</v>
      </c>
      <c r="O167" s="6">
        <f t="shared" si="58"/>
        <v>0.39268607343268619</v>
      </c>
      <c r="P167" s="6">
        <f t="shared" si="59"/>
        <v>4.0839351636999366E-2</v>
      </c>
      <c r="Q167" s="10">
        <f t="shared" si="60"/>
        <v>8.5081982577081994E-4</v>
      </c>
      <c r="R167" s="10">
        <f t="shared" si="61"/>
        <v>7.8873524666107624E-3</v>
      </c>
      <c r="S167" s="10">
        <f t="shared" si="62"/>
        <v>8.7381722923815831E-3</v>
      </c>
    </row>
    <row r="168" spans="1:19" x14ac:dyDescent="0.25">
      <c r="A168" s="5" t="s">
        <v>22</v>
      </c>
      <c r="B168" s="5" t="s">
        <v>63</v>
      </c>
      <c r="C168" s="5" t="s">
        <v>27</v>
      </c>
      <c r="D168" s="5" t="s">
        <v>385</v>
      </c>
      <c r="E168" s="5" t="s">
        <v>384</v>
      </c>
      <c r="F168" s="5" t="s">
        <v>45</v>
      </c>
      <c r="G168" s="5" t="s">
        <v>390</v>
      </c>
      <c r="H168" s="5" t="s">
        <v>46</v>
      </c>
      <c r="I168" s="5" t="s">
        <v>152</v>
      </c>
      <c r="J168" s="15">
        <v>1900</v>
      </c>
      <c r="K168" s="7">
        <v>49.5</v>
      </c>
      <c r="L168" s="7">
        <f t="shared" si="57"/>
        <v>38.383838383838381</v>
      </c>
      <c r="M168" s="5" t="s">
        <v>9</v>
      </c>
      <c r="N168" s="5">
        <v>4</v>
      </c>
      <c r="O168" s="6">
        <f t="shared" si="58"/>
        <v>1.7495663707784919</v>
      </c>
      <c r="P168" s="6">
        <f t="shared" si="59"/>
        <v>0.18195490256096314</v>
      </c>
      <c r="Q168" s="10">
        <f t="shared" si="60"/>
        <v>3.7907271366867321E-3</v>
      </c>
      <c r="R168" s="10">
        <f t="shared" si="61"/>
        <v>2.4187720476462712E-2</v>
      </c>
      <c r="S168" s="10">
        <f t="shared" si="62"/>
        <v>2.7978447613149444E-2</v>
      </c>
    </row>
    <row r="169" spans="1:19" x14ac:dyDescent="0.25">
      <c r="A169" s="5" t="s">
        <v>8</v>
      </c>
      <c r="B169" s="5" t="s">
        <v>375</v>
      </c>
      <c r="C169" s="5" t="s">
        <v>27</v>
      </c>
      <c r="D169" s="5" t="s">
        <v>385</v>
      </c>
      <c r="E169" s="5" t="s">
        <v>384</v>
      </c>
      <c r="F169" s="5" t="s">
        <v>45</v>
      </c>
      <c r="G169" s="5" t="s">
        <v>390</v>
      </c>
      <c r="H169" s="5" t="s">
        <v>46</v>
      </c>
      <c r="I169" s="5" t="s">
        <v>152</v>
      </c>
      <c r="J169" s="15">
        <v>1900</v>
      </c>
      <c r="K169" s="7">
        <v>50</v>
      </c>
      <c r="L169" s="7">
        <f t="shared" si="57"/>
        <v>38</v>
      </c>
      <c r="M169" s="5" t="s">
        <v>9</v>
      </c>
      <c r="N169" s="5">
        <v>4</v>
      </c>
      <c r="O169" s="6">
        <f t="shared" si="58"/>
        <v>1.71475</v>
      </c>
      <c r="P169" s="6">
        <f t="shared" si="59"/>
        <v>0.17833399999999996</v>
      </c>
      <c r="Q169" s="10">
        <f t="shared" si="60"/>
        <v>3.7152916666666667E-3</v>
      </c>
      <c r="R169" s="10">
        <f t="shared" si="61"/>
        <v>2.3825813226263679E-2</v>
      </c>
      <c r="S169" s="10">
        <f t="shared" si="62"/>
        <v>2.7541104892930345E-2</v>
      </c>
    </row>
    <row r="170" spans="1:19" x14ac:dyDescent="0.25">
      <c r="A170" s="5" t="s">
        <v>22</v>
      </c>
      <c r="B170" s="5" t="s">
        <v>26</v>
      </c>
      <c r="C170" s="5" t="s">
        <v>27</v>
      </c>
      <c r="D170" s="5" t="s">
        <v>385</v>
      </c>
      <c r="E170" s="5" t="s">
        <v>384</v>
      </c>
      <c r="F170" s="5" t="s">
        <v>45</v>
      </c>
      <c r="G170" s="5" t="s">
        <v>390</v>
      </c>
      <c r="H170" s="5" t="s">
        <v>46</v>
      </c>
      <c r="I170" s="5" t="s">
        <v>48</v>
      </c>
      <c r="J170" s="15">
        <v>1150</v>
      </c>
      <c r="K170" s="7">
        <v>34</v>
      </c>
      <c r="L170" s="7">
        <f t="shared" si="57"/>
        <v>33.823529411764703</v>
      </c>
      <c r="M170" s="5" t="s">
        <v>9</v>
      </c>
      <c r="N170" s="5">
        <v>4</v>
      </c>
      <c r="O170" s="6">
        <f t="shared" si="58"/>
        <v>0.8222723832179929</v>
      </c>
      <c r="P170" s="6">
        <f t="shared" si="59"/>
        <v>8.5516327854671254E-2</v>
      </c>
      <c r="Q170" s="10">
        <f t="shared" si="60"/>
        <v>1.7815901636389845E-3</v>
      </c>
      <c r="R170" s="10">
        <f t="shared" si="61"/>
        <v>1.3729632180540055E-2</v>
      </c>
      <c r="S170" s="10">
        <f t="shared" si="62"/>
        <v>1.5511222344179039E-2</v>
      </c>
    </row>
    <row r="171" spans="1:19" x14ac:dyDescent="0.25">
      <c r="A171" s="5" t="s">
        <v>22</v>
      </c>
      <c r="B171" s="5" t="s">
        <v>26</v>
      </c>
      <c r="C171" s="5" t="s">
        <v>27</v>
      </c>
      <c r="D171" s="5" t="s">
        <v>385</v>
      </c>
      <c r="E171" s="5" t="s">
        <v>384</v>
      </c>
      <c r="F171" s="5" t="s">
        <v>45</v>
      </c>
      <c r="G171" s="5" t="s">
        <v>390</v>
      </c>
      <c r="H171" s="5" t="s">
        <v>46</v>
      </c>
      <c r="I171" s="5" t="s">
        <v>49</v>
      </c>
      <c r="J171" s="15">
        <v>1400</v>
      </c>
      <c r="K171" s="7">
        <v>37.5</v>
      </c>
      <c r="L171" s="7">
        <f t="shared" si="57"/>
        <v>37.333333333333336</v>
      </c>
      <c r="M171" s="5" t="s">
        <v>9</v>
      </c>
      <c r="N171" s="5">
        <v>4</v>
      </c>
      <c r="O171" s="6">
        <f t="shared" si="58"/>
        <v>1.2195555555555557</v>
      </c>
      <c r="P171" s="6">
        <f t="shared" si="59"/>
        <v>0.1268337777777778</v>
      </c>
      <c r="Q171" s="10">
        <f t="shared" si="60"/>
        <v>2.6423703703703709E-3</v>
      </c>
      <c r="R171" s="10">
        <f t="shared" si="61"/>
        <v>1.8452206917572135E-2</v>
      </c>
      <c r="S171" s="10">
        <f t="shared" si="62"/>
        <v>2.1094577287942506E-2</v>
      </c>
    </row>
    <row r="172" spans="1:19" x14ac:dyDescent="0.25">
      <c r="A172" s="5" t="s">
        <v>22</v>
      </c>
      <c r="B172" s="5" t="s">
        <v>26</v>
      </c>
      <c r="C172" s="5" t="s">
        <v>27</v>
      </c>
      <c r="D172" s="5" t="s">
        <v>385</v>
      </c>
      <c r="E172" s="5" t="s">
        <v>384</v>
      </c>
      <c r="F172" s="5" t="s">
        <v>45</v>
      </c>
      <c r="G172" s="5" t="s">
        <v>390</v>
      </c>
      <c r="H172" s="5" t="s">
        <v>46</v>
      </c>
      <c r="I172" s="5" t="s">
        <v>50</v>
      </c>
      <c r="J172" s="15">
        <v>1650</v>
      </c>
      <c r="K172" s="7">
        <v>30</v>
      </c>
      <c r="L172" s="7">
        <f t="shared" si="57"/>
        <v>55</v>
      </c>
      <c r="M172" s="5" t="s">
        <v>9</v>
      </c>
      <c r="N172" s="5">
        <v>4</v>
      </c>
      <c r="O172" s="6">
        <f t="shared" si="58"/>
        <v>3.1195312500000001</v>
      </c>
      <c r="P172" s="6">
        <f t="shared" si="59"/>
        <v>0.32443125</v>
      </c>
      <c r="Q172" s="10">
        <f t="shared" si="60"/>
        <v>6.7589843749999998E-3</v>
      </c>
      <c r="R172" s="10">
        <f t="shared" si="61"/>
        <v>3.7321933071527903E-2</v>
      </c>
      <c r="S172" s="10">
        <f t="shared" si="62"/>
        <v>4.4080917446527902E-2</v>
      </c>
    </row>
    <row r="173" spans="1:19" x14ac:dyDescent="0.25">
      <c r="A173" s="5" t="s">
        <v>8</v>
      </c>
      <c r="B173" s="5" t="s">
        <v>233</v>
      </c>
      <c r="C173" s="5" t="s">
        <v>27</v>
      </c>
      <c r="D173" s="5" t="s">
        <v>385</v>
      </c>
      <c r="E173" s="5" t="s">
        <v>384</v>
      </c>
      <c r="F173" s="5" t="s">
        <v>45</v>
      </c>
      <c r="G173" s="5" t="s">
        <v>390</v>
      </c>
      <c r="H173" s="5" t="s">
        <v>46</v>
      </c>
      <c r="I173" s="5" t="s">
        <v>234</v>
      </c>
      <c r="J173" s="15">
        <v>1350</v>
      </c>
      <c r="K173" s="7">
        <v>40</v>
      </c>
      <c r="L173" s="7">
        <f t="shared" si="57"/>
        <v>33.75</v>
      </c>
      <c r="M173" s="5" t="s">
        <v>9</v>
      </c>
      <c r="N173" s="5">
        <v>4</v>
      </c>
      <c r="O173" s="6">
        <f t="shared" si="58"/>
        <v>0.96108398437499998</v>
      </c>
      <c r="P173" s="6">
        <f t="shared" si="59"/>
        <v>9.9952734375000005E-2</v>
      </c>
      <c r="Q173" s="10">
        <f t="shared" si="60"/>
        <v>2.0823486328124998E-3</v>
      </c>
      <c r="R173" s="10">
        <f t="shared" si="61"/>
        <v>1.5433631599993865E-2</v>
      </c>
      <c r="S173" s="10">
        <f t="shared" si="62"/>
        <v>1.7515980232806365E-2</v>
      </c>
    </row>
    <row r="174" spans="1:19" x14ac:dyDescent="0.25">
      <c r="A174" s="5" t="s">
        <v>22</v>
      </c>
      <c r="B174" s="5" t="s">
        <v>26</v>
      </c>
      <c r="C174" s="5" t="s">
        <v>27</v>
      </c>
      <c r="D174" s="5" t="s">
        <v>385</v>
      </c>
      <c r="E174" s="5" t="s">
        <v>384</v>
      </c>
      <c r="F174" s="5" t="s">
        <v>45</v>
      </c>
      <c r="G174" s="5" t="s">
        <v>390</v>
      </c>
      <c r="H174" s="5" t="s">
        <v>46</v>
      </c>
      <c r="I174" s="5" t="s">
        <v>51</v>
      </c>
      <c r="J174" s="15">
        <v>1400</v>
      </c>
      <c r="K174" s="7">
        <v>40</v>
      </c>
      <c r="L174" s="7">
        <f t="shared" si="57"/>
        <v>35</v>
      </c>
      <c r="M174" s="5" t="s">
        <v>9</v>
      </c>
      <c r="N174" s="5">
        <v>4</v>
      </c>
      <c r="O174" s="6">
        <f t="shared" si="58"/>
        <v>1.0718749999999999</v>
      </c>
      <c r="P174" s="6">
        <f t="shared" si="59"/>
        <v>0.111475</v>
      </c>
      <c r="Q174" s="10">
        <f t="shared" si="60"/>
        <v>2.322395833333333E-3</v>
      </c>
      <c r="R174" s="10">
        <f t="shared" si="61"/>
        <v>1.6749630490436755E-2</v>
      </c>
      <c r="S174" s="10">
        <f t="shared" si="62"/>
        <v>1.9072026323770089E-2</v>
      </c>
    </row>
    <row r="175" spans="1:19" x14ac:dyDescent="0.25">
      <c r="A175" s="5" t="s">
        <v>8</v>
      </c>
      <c r="B175" s="5" t="s">
        <v>192</v>
      </c>
      <c r="C175" s="5" t="s">
        <v>27</v>
      </c>
      <c r="D175" s="5" t="s">
        <v>385</v>
      </c>
      <c r="E175" s="5" t="s">
        <v>384</v>
      </c>
      <c r="F175" s="5" t="s">
        <v>45</v>
      </c>
      <c r="G175" s="5" t="s">
        <v>390</v>
      </c>
      <c r="H175" s="5" t="s">
        <v>46</v>
      </c>
      <c r="I175" s="5" t="s">
        <v>213</v>
      </c>
      <c r="J175" s="15">
        <v>960</v>
      </c>
      <c r="K175" s="7">
        <v>25.9</v>
      </c>
      <c r="L175" s="7">
        <f t="shared" si="57"/>
        <v>37.06563706563707</v>
      </c>
      <c r="M175" s="5" t="s">
        <v>9</v>
      </c>
      <c r="N175" s="5">
        <v>4</v>
      </c>
      <c r="O175" s="6">
        <f t="shared" si="58"/>
        <v>0.82431687064891723</v>
      </c>
      <c r="P175" s="6">
        <f t="shared" si="59"/>
        <v>8.5728954547487371E-2</v>
      </c>
      <c r="Q175" s="10">
        <f t="shared" si="60"/>
        <v>1.7860198864059873E-3</v>
      </c>
      <c r="R175" s="10">
        <f t="shared" si="61"/>
        <v>1.3755227116500256E-2</v>
      </c>
      <c r="S175" s="10">
        <f t="shared" si="62"/>
        <v>1.5541247002906242E-2</v>
      </c>
    </row>
    <row r="176" spans="1:19" x14ac:dyDescent="0.25">
      <c r="A176" s="5" t="s">
        <v>22</v>
      </c>
      <c r="B176" s="5" t="s">
        <v>63</v>
      </c>
      <c r="C176" s="5" t="s">
        <v>27</v>
      </c>
      <c r="D176" s="5" t="s">
        <v>385</v>
      </c>
      <c r="E176" s="5" t="s">
        <v>384</v>
      </c>
      <c r="F176" s="5" t="s">
        <v>45</v>
      </c>
      <c r="G176" s="5" t="s">
        <v>390</v>
      </c>
      <c r="H176" s="5" t="s">
        <v>46</v>
      </c>
      <c r="I176" s="5" t="s">
        <v>153</v>
      </c>
      <c r="J176" s="15">
        <v>1620</v>
      </c>
      <c r="K176" s="7">
        <v>41</v>
      </c>
      <c r="L176" s="7">
        <f t="shared" si="57"/>
        <v>39.512195121951223</v>
      </c>
      <c r="M176" s="5" t="s">
        <v>9</v>
      </c>
      <c r="N176" s="5">
        <v>4</v>
      </c>
      <c r="O176" s="6">
        <f t="shared" si="58"/>
        <v>1.5807287328970852</v>
      </c>
      <c r="P176" s="6">
        <f t="shared" si="59"/>
        <v>0.16439578822129686</v>
      </c>
      <c r="Q176" s="10">
        <f t="shared" si="60"/>
        <v>3.424912254610351E-3</v>
      </c>
      <c r="R176" s="10">
        <f t="shared" si="61"/>
        <v>2.241507183266496E-2</v>
      </c>
      <c r="S176" s="10">
        <f t="shared" si="62"/>
        <v>2.5839984087275312E-2</v>
      </c>
    </row>
    <row r="177" spans="1:19" x14ac:dyDescent="0.25">
      <c r="A177" s="5" t="s">
        <v>8</v>
      </c>
      <c r="B177" s="5" t="s">
        <v>375</v>
      </c>
      <c r="C177" s="5" t="s">
        <v>27</v>
      </c>
      <c r="D177" s="5" t="s">
        <v>385</v>
      </c>
      <c r="E177" s="5" t="s">
        <v>384</v>
      </c>
      <c r="F177" s="5" t="s">
        <v>45</v>
      </c>
      <c r="G177" s="5" t="s">
        <v>390</v>
      </c>
      <c r="H177" s="5" t="s">
        <v>46</v>
      </c>
      <c r="I177" s="5" t="s">
        <v>153</v>
      </c>
      <c r="J177" s="15">
        <v>1570</v>
      </c>
      <c r="K177" s="7">
        <v>41.7</v>
      </c>
      <c r="L177" s="7">
        <f t="shared" si="57"/>
        <v>37.649880095923258</v>
      </c>
      <c r="M177" s="5" t="s">
        <v>9</v>
      </c>
      <c r="N177" s="5">
        <v>4</v>
      </c>
      <c r="O177" s="6">
        <f t="shared" si="58"/>
        <v>1.3909350936516971</v>
      </c>
      <c r="P177" s="6">
        <f t="shared" si="59"/>
        <v>0.14465724973977651</v>
      </c>
      <c r="Q177" s="10">
        <f t="shared" si="60"/>
        <v>3.01369270291201E-3</v>
      </c>
      <c r="R177" s="10">
        <f t="shared" si="61"/>
        <v>2.0364665116242991E-2</v>
      </c>
      <c r="S177" s="10">
        <f t="shared" si="62"/>
        <v>2.3378357819155003E-2</v>
      </c>
    </row>
    <row r="178" spans="1:19" x14ac:dyDescent="0.25">
      <c r="J178" s="16">
        <f>AVERAGE(J159:J177)</f>
        <v>1335.0526315789473</v>
      </c>
      <c r="K178" s="12">
        <f t="shared" ref="K178:S178" si="63">AVERAGE(K159:K177)</f>
        <v>36.05263157894737</v>
      </c>
      <c r="L178" s="12">
        <f t="shared" si="63"/>
        <v>37.314737028840703</v>
      </c>
      <c r="M178" s="11" t="e">
        <f t="shared" si="63"/>
        <v>#DIV/0!</v>
      </c>
      <c r="N178" s="11">
        <f t="shared" si="63"/>
        <v>4</v>
      </c>
      <c r="O178" s="13">
        <f t="shared" si="63"/>
        <v>1.2418060781054019</v>
      </c>
      <c r="P178" s="13">
        <f t="shared" si="63"/>
        <v>0.12914783212296177</v>
      </c>
      <c r="Q178" s="14">
        <f t="shared" si="63"/>
        <v>2.6905798358950361E-3</v>
      </c>
      <c r="R178" s="14">
        <f t="shared" si="63"/>
        <v>1.8285338767124307E-2</v>
      </c>
      <c r="S178" s="14">
        <f t="shared" si="63"/>
        <v>2.0975918603019349E-2</v>
      </c>
    </row>
    <row r="179" spans="1:19" x14ac:dyDescent="0.25">
      <c r="A179" s="5" t="s">
        <v>22</v>
      </c>
      <c r="B179" s="5" t="s">
        <v>63</v>
      </c>
      <c r="C179" s="5" t="s">
        <v>27</v>
      </c>
      <c r="D179" s="5" t="s">
        <v>385</v>
      </c>
      <c r="E179" s="5" t="s">
        <v>384</v>
      </c>
      <c r="F179" s="5" t="s">
        <v>45</v>
      </c>
      <c r="G179" s="5" t="s">
        <v>390</v>
      </c>
      <c r="H179" s="5" t="s">
        <v>74</v>
      </c>
      <c r="I179" s="5" t="s">
        <v>24</v>
      </c>
      <c r="J179" s="15">
        <v>1200</v>
      </c>
      <c r="K179" s="7">
        <v>33</v>
      </c>
      <c r="L179" s="7">
        <f>J179/K179</f>
        <v>36.363636363636367</v>
      </c>
      <c r="M179" s="5" t="s">
        <v>9</v>
      </c>
      <c r="N179" s="5">
        <v>4</v>
      </c>
      <c r="O179" s="6">
        <f>(J179*L179^2)/(1.6*10^6)</f>
        <v>0.99173553719008278</v>
      </c>
      <c r="P179" s="6">
        <f>(0.104*J179*L179^2)/(1.6*10^6)</f>
        <v>0.10314049586776862</v>
      </c>
      <c r="Q179" s="10">
        <f>(0.104*O179)/(12*N179)</f>
        <v>2.1487603305785125E-3</v>
      </c>
      <c r="R179" s="10">
        <f>0.0159*O179^0.75</f>
        <v>1.5801344117068697E-2</v>
      </c>
      <c r="S179" s="10">
        <f>Q179+R179</f>
        <v>1.7950104447647209E-2</v>
      </c>
    </row>
  </sheetData>
  <sortState ref="A2:S179">
    <sortCondition ref="D2:D179"/>
    <sortCondition ref="E2:E179"/>
    <sortCondition ref="F2:F179"/>
    <sortCondition ref="G2:G179"/>
    <sortCondition ref="H2:H179"/>
    <sortCondition ref="I2:I179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5"/>
  <sheetViews>
    <sheetView topLeftCell="G1" workbookViewId="0">
      <pane ySplit="1" topLeftCell="A200" activePane="bottomLeft" state="frozen"/>
      <selection pane="bottomLeft" activeCell="G213" sqref="A213:XFD214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15" customWidth="1"/>
    <col min="11" max="12" width="12.7109375" style="7" customWidth="1"/>
    <col min="13" max="14" width="13" style="5" customWidth="1"/>
    <col min="15" max="15" width="9.85546875" style="6" customWidth="1"/>
    <col min="16" max="16" width="10" style="6" customWidth="1"/>
    <col min="17" max="17" width="9.5703125" style="10" customWidth="1"/>
    <col min="18" max="18" width="10.140625" style="10" customWidth="1"/>
    <col min="19" max="19" width="12.140625" style="10" customWidth="1"/>
  </cols>
  <sheetData>
    <row r="1" spans="1:19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8" t="s">
        <v>404</v>
      </c>
      <c r="Q1" s="17" t="s">
        <v>405</v>
      </c>
      <c r="R1" s="17" t="s">
        <v>406</v>
      </c>
      <c r="S1" s="17" t="s">
        <v>402</v>
      </c>
    </row>
    <row r="2" spans="1:19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386</v>
      </c>
      <c r="H2" s="5" t="s">
        <v>29</v>
      </c>
      <c r="I2" s="5" t="s">
        <v>23</v>
      </c>
      <c r="J2" s="15">
        <v>905</v>
      </c>
      <c r="K2" s="7">
        <v>17.5</v>
      </c>
      <c r="L2" s="7">
        <f>J2/K2</f>
        <v>51.714285714285715</v>
      </c>
      <c r="M2" s="5" t="s">
        <v>10</v>
      </c>
      <c r="N2" s="5">
        <v>4</v>
      </c>
      <c r="O2" s="6">
        <f>(J2*L2^2)/(1.6*10^6)</f>
        <v>1.5126890306122449</v>
      </c>
      <c r="P2" s="6">
        <f>(0.104*J2*L2^2)/(1.6*10^6)</f>
        <v>0.15731965918367344</v>
      </c>
      <c r="Q2" s="10">
        <f>(0.104*O2)/(12*N2)</f>
        <v>3.2774928996598639E-3</v>
      </c>
      <c r="R2" s="10">
        <f>0.0159*O2^0.75</f>
        <v>2.16874937766043E-2</v>
      </c>
      <c r="S2" s="10">
        <f>Q2+R2</f>
        <v>2.4964986676264164E-2</v>
      </c>
    </row>
    <row r="3" spans="1:19" x14ac:dyDescent="0.25">
      <c r="A3" s="5" t="s">
        <v>22</v>
      </c>
      <c r="B3" s="5" t="s">
        <v>26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386</v>
      </c>
      <c r="H3" s="5" t="s">
        <v>29</v>
      </c>
      <c r="I3" s="5" t="s">
        <v>13</v>
      </c>
      <c r="J3" s="15">
        <v>1000</v>
      </c>
      <c r="K3" s="7">
        <v>18</v>
      </c>
      <c r="L3" s="7">
        <f>J3/K3</f>
        <v>55.555555555555557</v>
      </c>
      <c r="M3" s="5" t="s">
        <v>10</v>
      </c>
      <c r="N3" s="5">
        <v>4</v>
      </c>
      <c r="O3" s="6">
        <f>(J3*L3^2)/(1.6*10^6)</f>
        <v>1.9290123456790123</v>
      </c>
      <c r="P3" s="6">
        <f>(0.104*J3*L3^2)/(1.6*10^6)</f>
        <v>0.20061728395061729</v>
      </c>
      <c r="Q3" s="10">
        <f>(0.104*O3)/(12*N3)</f>
        <v>4.1795267489711926E-3</v>
      </c>
      <c r="R3" s="10">
        <f>0.0159*O3^0.75</f>
        <v>2.602545791867154E-2</v>
      </c>
      <c r="S3" s="10">
        <f>Q3+R3</f>
        <v>3.0204984667642733E-2</v>
      </c>
    </row>
    <row r="4" spans="1:19" x14ac:dyDescent="0.25">
      <c r="A4" s="5" t="s">
        <v>8</v>
      </c>
      <c r="B4" s="5" t="s">
        <v>322</v>
      </c>
      <c r="C4" s="5" t="s">
        <v>27</v>
      </c>
      <c r="D4" s="5" t="s">
        <v>389</v>
      </c>
      <c r="E4" s="5" t="s">
        <v>388</v>
      </c>
      <c r="F4" s="5" t="s">
        <v>135</v>
      </c>
      <c r="G4" s="5" t="s">
        <v>386</v>
      </c>
      <c r="H4" s="5" t="s">
        <v>29</v>
      </c>
      <c r="I4" s="5" t="s">
        <v>13</v>
      </c>
      <c r="J4" s="15">
        <v>1100</v>
      </c>
      <c r="K4" s="7">
        <v>34</v>
      </c>
      <c r="L4" s="7">
        <f>J4/K4</f>
        <v>32.352941176470587</v>
      </c>
      <c r="M4" s="5" t="s">
        <v>10</v>
      </c>
      <c r="N4" s="5">
        <v>4</v>
      </c>
      <c r="O4" s="6">
        <f>(J4*L4^2)/(1.6*10^6)</f>
        <v>0.71961505190311426</v>
      </c>
      <c r="P4" s="6">
        <f>(0.104*J4*L4^2)/(1.6*10^6)</f>
        <v>7.4839965397923869E-2</v>
      </c>
      <c r="Q4" s="10">
        <f>(0.104*O4)/(12*N4)</f>
        <v>1.559165945790081E-3</v>
      </c>
      <c r="R4" s="10">
        <f>0.0159*O4^0.75</f>
        <v>1.2422880378669576E-2</v>
      </c>
      <c r="S4" s="10">
        <f>Q4+R4</f>
        <v>1.3982046324459657E-2</v>
      </c>
    </row>
    <row r="5" spans="1:19" x14ac:dyDescent="0.25">
      <c r="J5" s="16">
        <f>AVERAGE(J2:J4)</f>
        <v>1001.6666666666666</v>
      </c>
      <c r="K5" s="12">
        <f t="shared" ref="K5:M5" si="0">AVERAGE(K2:K4)</f>
        <v>23.166666666666668</v>
      </c>
      <c r="L5" s="12">
        <f t="shared" si="0"/>
        <v>46.540927482103946</v>
      </c>
      <c r="M5" s="11" t="e">
        <f t="shared" si="0"/>
        <v>#DIV/0!</v>
      </c>
      <c r="N5" s="11">
        <f t="shared" ref="N5" si="1">AVERAGE(N2:N4)</f>
        <v>4</v>
      </c>
      <c r="O5" s="13">
        <f t="shared" ref="O5:P5" si="2">AVERAGE(O2:O4)</f>
        <v>1.3871054760647903</v>
      </c>
      <c r="P5" s="13">
        <f t="shared" si="2"/>
        <v>0.14425896951073819</v>
      </c>
      <c r="Q5" s="14">
        <f t="shared" ref="Q5" si="3">AVERAGE(Q2:Q4)</f>
        <v>3.0053951981403788E-3</v>
      </c>
      <c r="R5" s="14">
        <f t="shared" ref="R5:S5" si="4">AVERAGE(R2:R4)</f>
        <v>2.0045277357981808E-2</v>
      </c>
      <c r="S5" s="14">
        <f t="shared" si="4"/>
        <v>2.3050672556122184E-2</v>
      </c>
    </row>
    <row r="6" spans="1:19" x14ac:dyDescent="0.25">
      <c r="A6" s="5" t="s">
        <v>22</v>
      </c>
      <c r="B6" s="5" t="s">
        <v>63</v>
      </c>
      <c r="C6" s="5" t="s">
        <v>27</v>
      </c>
      <c r="D6" s="5" t="s">
        <v>389</v>
      </c>
      <c r="E6" s="5" t="s">
        <v>388</v>
      </c>
      <c r="F6" s="5" t="s">
        <v>28</v>
      </c>
      <c r="G6" s="5" t="s">
        <v>398</v>
      </c>
      <c r="H6" s="5" t="s">
        <v>133</v>
      </c>
      <c r="I6" s="5" t="s">
        <v>134</v>
      </c>
      <c r="J6" s="15">
        <v>1075</v>
      </c>
      <c r="K6" s="7">
        <v>42</v>
      </c>
      <c r="L6" s="7">
        <f>J6/K6</f>
        <v>25.595238095238095</v>
      </c>
      <c r="M6" s="5" t="s">
        <v>10</v>
      </c>
      <c r="N6" s="5">
        <v>4</v>
      </c>
      <c r="O6" s="6">
        <f>(J6*L6^2)/(1.6*10^6)</f>
        <v>0.44015620571145125</v>
      </c>
      <c r="P6" s="6">
        <f>(0.104*J6*L6^2)/(1.6*10^6)</f>
        <v>4.577624539399093E-2</v>
      </c>
      <c r="Q6" s="10">
        <f>(0.104*O6)/(12*N6)</f>
        <v>9.5367177904147771E-4</v>
      </c>
      <c r="R6" s="10">
        <f>0.0159*O6^0.75</f>
        <v>8.5921578355539034E-3</v>
      </c>
      <c r="S6" s="10">
        <f>Q6+R6</f>
        <v>9.5458296145953803E-3</v>
      </c>
    </row>
    <row r="7" spans="1:19" x14ac:dyDescent="0.25">
      <c r="A7" s="5" t="s">
        <v>22</v>
      </c>
      <c r="B7" s="5" t="s">
        <v>63</v>
      </c>
      <c r="C7" s="5" t="s">
        <v>27</v>
      </c>
      <c r="D7" s="5" t="s">
        <v>389</v>
      </c>
      <c r="E7" s="5" t="s">
        <v>388</v>
      </c>
      <c r="F7" s="5" t="s">
        <v>28</v>
      </c>
      <c r="G7" s="5" t="s">
        <v>398</v>
      </c>
      <c r="H7" s="5" t="s">
        <v>133</v>
      </c>
      <c r="I7" s="5" t="s">
        <v>25</v>
      </c>
      <c r="J7" s="15">
        <v>2100</v>
      </c>
      <c r="K7" s="7">
        <v>49</v>
      </c>
      <c r="L7" s="7">
        <f>J7/K7</f>
        <v>42.857142857142854</v>
      </c>
      <c r="M7" s="5" t="s">
        <v>10</v>
      </c>
      <c r="N7" s="5">
        <v>4</v>
      </c>
      <c r="O7" s="6">
        <f>(J7*L7^2)/(1.6*10^6)</f>
        <v>2.4107142857142856</v>
      </c>
      <c r="P7" s="6">
        <f>(0.104*J7*L7^2)/(1.6*10^6)</f>
        <v>0.25071428571428567</v>
      </c>
      <c r="Q7" s="10">
        <f>(0.104*O7)/(12*N7)</f>
        <v>5.223214285714285E-3</v>
      </c>
      <c r="R7" s="10">
        <f>0.0159*O7^0.75</f>
        <v>3.0761423617006903E-2</v>
      </c>
      <c r="S7" s="10">
        <f>Q7+R7</f>
        <v>3.5984637902721189E-2</v>
      </c>
    </row>
    <row r="8" spans="1:19" x14ac:dyDescent="0.25">
      <c r="J8" s="16">
        <f>AVERAGE(J6:J7)</f>
        <v>1587.5</v>
      </c>
      <c r="K8" s="12">
        <f t="shared" ref="K8:S8" si="5">AVERAGE(K6:K7)</f>
        <v>45.5</v>
      </c>
      <c r="L8" s="12">
        <f t="shared" si="5"/>
        <v>34.226190476190474</v>
      </c>
      <c r="M8" s="11" t="e">
        <f t="shared" si="5"/>
        <v>#DIV/0!</v>
      </c>
      <c r="N8" s="11">
        <f t="shared" si="5"/>
        <v>4</v>
      </c>
      <c r="O8" s="13">
        <f t="shared" si="5"/>
        <v>1.4254352457128685</v>
      </c>
      <c r="P8" s="13">
        <f t="shared" si="5"/>
        <v>0.14824526555413831</v>
      </c>
      <c r="Q8" s="14">
        <f t="shared" si="5"/>
        <v>3.0884430323778814E-3</v>
      </c>
      <c r="R8" s="14">
        <f t="shared" si="5"/>
        <v>1.9676790726280403E-2</v>
      </c>
      <c r="S8" s="14">
        <f t="shared" si="5"/>
        <v>2.2765233758658285E-2</v>
      </c>
    </row>
    <row r="9" spans="1:19" x14ac:dyDescent="0.25">
      <c r="A9" s="5" t="s">
        <v>22</v>
      </c>
      <c r="B9" s="5" t="s">
        <v>63</v>
      </c>
      <c r="C9" s="5" t="s">
        <v>27</v>
      </c>
      <c r="D9" s="5" t="s">
        <v>389</v>
      </c>
      <c r="E9" s="5" t="s">
        <v>396</v>
      </c>
      <c r="F9" s="5" t="s">
        <v>136</v>
      </c>
      <c r="G9" s="5" t="s">
        <v>399</v>
      </c>
      <c r="H9" s="5" t="s">
        <v>137</v>
      </c>
      <c r="I9" s="5" t="s">
        <v>138</v>
      </c>
      <c r="J9" s="16">
        <v>1110</v>
      </c>
      <c r="K9" s="12">
        <v>29</v>
      </c>
      <c r="L9" s="12">
        <f>J9/K9</f>
        <v>38.275862068965516</v>
      </c>
      <c r="M9" s="11" t="s">
        <v>10</v>
      </c>
      <c r="N9" s="11">
        <v>4</v>
      </c>
      <c r="O9" s="13">
        <f>(J9*L9^2)/(1.6*10^6)</f>
        <v>1.0163726218787157</v>
      </c>
      <c r="P9" s="13">
        <f>(0.104*J9*L9^2)/(1.6*10^6)</f>
        <v>0.10570275267538644</v>
      </c>
      <c r="Q9" s="14">
        <f>(0.104*O9)/(12*N9)</f>
        <v>2.202140680737217E-3</v>
      </c>
      <c r="R9" s="14">
        <f>0.0159*O9^0.75</f>
        <v>1.609484663594286E-2</v>
      </c>
      <c r="S9" s="14">
        <f>Q9+R9</f>
        <v>1.8296987316680079E-2</v>
      </c>
    </row>
    <row r="11" spans="1:19" x14ac:dyDescent="0.25">
      <c r="A11" s="5" t="s">
        <v>22</v>
      </c>
      <c r="B11" s="5" t="s">
        <v>63</v>
      </c>
      <c r="C11" s="5" t="s">
        <v>27</v>
      </c>
      <c r="D11" s="5" t="s">
        <v>389</v>
      </c>
      <c r="E11" s="5" t="s">
        <v>396</v>
      </c>
      <c r="F11" s="5" t="s">
        <v>136</v>
      </c>
      <c r="G11" s="5" t="s">
        <v>399</v>
      </c>
      <c r="H11" s="5" t="s">
        <v>139</v>
      </c>
      <c r="I11" s="5" t="s">
        <v>17</v>
      </c>
      <c r="J11" s="15">
        <v>935</v>
      </c>
      <c r="K11" s="7">
        <v>26</v>
      </c>
      <c r="L11" s="7">
        <f>J11/K11</f>
        <v>35.96153846153846</v>
      </c>
      <c r="M11" s="5" t="s">
        <v>10</v>
      </c>
      <c r="N11" s="5">
        <v>4</v>
      </c>
      <c r="O11" s="6">
        <f>(J11*L11^2)/(1.6*10^6)</f>
        <v>0.75573259522928993</v>
      </c>
      <c r="P11" s="6">
        <f>(0.104*J11*L11^2)/(1.6*10^6)</f>
        <v>7.8596189903846134E-2</v>
      </c>
      <c r="Q11" s="10">
        <f>(0.104*O11)/(12*N11)</f>
        <v>1.6374206229967947E-3</v>
      </c>
      <c r="R11" s="10">
        <f>0.0159*O11^0.75</f>
        <v>1.2887635362542798E-2</v>
      </c>
      <c r="S11" s="10">
        <f>Q11+R11</f>
        <v>1.4525055985539593E-2</v>
      </c>
    </row>
    <row r="12" spans="1:19" x14ac:dyDescent="0.25">
      <c r="A12" s="5" t="s">
        <v>8</v>
      </c>
      <c r="B12" s="5" t="s">
        <v>224</v>
      </c>
      <c r="C12" s="5" t="s">
        <v>27</v>
      </c>
      <c r="D12" s="5" t="s">
        <v>389</v>
      </c>
      <c r="E12" s="5" t="s">
        <v>396</v>
      </c>
      <c r="F12" s="5" t="s">
        <v>136</v>
      </c>
      <c r="G12" s="5" t="s">
        <v>399</v>
      </c>
      <c r="H12" s="5" t="s">
        <v>139</v>
      </c>
      <c r="I12" s="5" t="s">
        <v>17</v>
      </c>
      <c r="J12" s="15">
        <v>800</v>
      </c>
      <c r="K12" s="7">
        <v>25.3</v>
      </c>
      <c r="L12" s="7">
        <f>J12/K12</f>
        <v>31.620553359683793</v>
      </c>
      <c r="M12" s="5" t="s">
        <v>10</v>
      </c>
      <c r="N12" s="5">
        <v>4</v>
      </c>
      <c r="O12" s="6">
        <f>(J12*L12^2)/(1.6*10^6)</f>
        <v>0.49992969738630499</v>
      </c>
      <c r="P12" s="6">
        <f>(0.104*J12*L12^2)/(1.6*10^6)</f>
        <v>5.1992688528175721E-2</v>
      </c>
      <c r="Q12" s="10">
        <f>(0.104*O12)/(12*N12)</f>
        <v>1.0831810110036608E-3</v>
      </c>
      <c r="R12" s="10">
        <f>0.0159*O12^0.75</f>
        <v>9.4531995646547125E-3</v>
      </c>
      <c r="S12" s="10">
        <f>Q12+R12</f>
        <v>1.0536380575658373E-2</v>
      </c>
    </row>
    <row r="13" spans="1:19" x14ac:dyDescent="0.25">
      <c r="A13" s="5" t="s">
        <v>22</v>
      </c>
      <c r="B13" s="5" t="s">
        <v>63</v>
      </c>
      <c r="C13" s="5" t="s">
        <v>27</v>
      </c>
      <c r="D13" s="5" t="s">
        <v>389</v>
      </c>
      <c r="E13" s="5" t="s">
        <v>396</v>
      </c>
      <c r="F13" s="5" t="s">
        <v>136</v>
      </c>
      <c r="G13" s="5" t="s">
        <v>399</v>
      </c>
      <c r="H13" s="5" t="s">
        <v>139</v>
      </c>
      <c r="I13" s="5" t="s">
        <v>140</v>
      </c>
      <c r="J13" s="15">
        <v>940</v>
      </c>
      <c r="K13" s="7">
        <v>26.5</v>
      </c>
      <c r="L13" s="7">
        <f>J13/K13</f>
        <v>35.471698113207545</v>
      </c>
      <c r="M13" s="5" t="s">
        <v>10</v>
      </c>
      <c r="N13" s="5">
        <v>4</v>
      </c>
      <c r="O13" s="6">
        <f>(J13*L13^2)/(1.6*10^6)</f>
        <v>0.73921680313278748</v>
      </c>
      <c r="P13" s="6">
        <f>(0.104*J13*L13^2)/(1.6*10^6)</f>
        <v>7.6878547525809887E-2</v>
      </c>
      <c r="Q13" s="10">
        <f>(0.104*O13)/(12*N13)</f>
        <v>1.6016364067877062E-3</v>
      </c>
      <c r="R13" s="10">
        <f>0.0159*O13^0.75</f>
        <v>1.2675818060723713E-2</v>
      </c>
      <c r="S13" s="10">
        <f>Q13+R13</f>
        <v>1.4277454467511419E-2</v>
      </c>
    </row>
    <row r="14" spans="1:19" x14ac:dyDescent="0.25">
      <c r="A14" s="5" t="s">
        <v>8</v>
      </c>
      <c r="B14" s="5" t="s">
        <v>224</v>
      </c>
      <c r="C14" s="5" t="s">
        <v>27</v>
      </c>
      <c r="D14" s="5" t="s">
        <v>389</v>
      </c>
      <c r="E14" s="5" t="s">
        <v>396</v>
      </c>
      <c r="F14" s="5" t="s">
        <v>136</v>
      </c>
      <c r="G14" s="5" t="s">
        <v>399</v>
      </c>
      <c r="H14" s="5" t="s">
        <v>139</v>
      </c>
      <c r="I14" s="5" t="s">
        <v>140</v>
      </c>
      <c r="J14" s="15">
        <v>970</v>
      </c>
      <c r="K14" s="7">
        <v>26.7</v>
      </c>
      <c r="L14" s="7">
        <f>J14/K14</f>
        <v>36.329588014981276</v>
      </c>
      <c r="M14" s="5" t="s">
        <v>10</v>
      </c>
      <c r="N14" s="5">
        <v>4</v>
      </c>
      <c r="O14" s="6">
        <f>(J14*L14^2)/(1.6*10^6)</f>
        <v>0.80015237273632689</v>
      </c>
      <c r="P14" s="6">
        <f>(0.104*J14*L14^2)/(1.6*10^6)</f>
        <v>8.3215846764577994E-2</v>
      </c>
      <c r="Q14" s="10">
        <f>(0.104*O14)/(12*N14)</f>
        <v>1.7336634742620416E-3</v>
      </c>
      <c r="R14" s="10">
        <f>0.0159*O14^0.75</f>
        <v>1.3451683716266281E-2</v>
      </c>
      <c r="S14" s="10">
        <f>Q14+R14</f>
        <v>1.5185347190528322E-2</v>
      </c>
    </row>
    <row r="15" spans="1:19" x14ac:dyDescent="0.25">
      <c r="A15" s="5" t="s">
        <v>8</v>
      </c>
      <c r="B15" s="5" t="s">
        <v>224</v>
      </c>
      <c r="C15" s="5" t="s">
        <v>27</v>
      </c>
      <c r="D15" s="5" t="s">
        <v>389</v>
      </c>
      <c r="E15" s="5" t="s">
        <v>396</v>
      </c>
      <c r="F15" s="5" t="s">
        <v>136</v>
      </c>
      <c r="G15" s="5" t="s">
        <v>399</v>
      </c>
      <c r="H15" s="5" t="s">
        <v>139</v>
      </c>
      <c r="I15" s="5" t="s">
        <v>225</v>
      </c>
      <c r="J15" s="15">
        <v>820</v>
      </c>
      <c r="K15" s="7">
        <v>19.8</v>
      </c>
      <c r="L15" s="7">
        <f>J15/K15</f>
        <v>41.414141414141412</v>
      </c>
      <c r="M15" s="5" t="s">
        <v>10</v>
      </c>
      <c r="N15" s="5">
        <v>4</v>
      </c>
      <c r="O15" s="6">
        <f>(J15*L15^2)/(1.6*10^6)</f>
        <v>0.87900469339863263</v>
      </c>
      <c r="P15" s="6">
        <f>(0.104*J15*L15^2)/(1.6*10^6)</f>
        <v>9.1416488113457803E-2</v>
      </c>
      <c r="Q15" s="10">
        <f>(0.104*O15)/(12*N15)</f>
        <v>1.9045101690303705E-3</v>
      </c>
      <c r="R15" s="10">
        <f>0.0159*O15^0.75</f>
        <v>1.4434126921592894E-2</v>
      </c>
      <c r="S15" s="10">
        <f>Q15+R15</f>
        <v>1.6338637090623265E-2</v>
      </c>
    </row>
    <row r="16" spans="1:19" x14ac:dyDescent="0.25">
      <c r="J16" s="16">
        <f>AVERAGE(J11:J15)</f>
        <v>893</v>
      </c>
      <c r="K16" s="12">
        <f t="shared" ref="K16:S16" si="6">AVERAGE(K11:K15)</f>
        <v>24.86</v>
      </c>
      <c r="L16" s="12">
        <f t="shared" si="6"/>
        <v>36.159503872710502</v>
      </c>
      <c r="M16" s="11" t="e">
        <f t="shared" si="6"/>
        <v>#DIV/0!</v>
      </c>
      <c r="N16" s="11">
        <f t="shared" si="6"/>
        <v>4</v>
      </c>
      <c r="O16" s="13">
        <f t="shared" si="6"/>
        <v>0.73480723237666845</v>
      </c>
      <c r="P16" s="13">
        <f t="shared" si="6"/>
        <v>7.641995216717351E-2</v>
      </c>
      <c r="Q16" s="14">
        <f t="shared" si="6"/>
        <v>1.5920823368161148E-3</v>
      </c>
      <c r="R16" s="14">
        <f t="shared" si="6"/>
        <v>1.2580492725156081E-2</v>
      </c>
      <c r="S16" s="14">
        <f t="shared" si="6"/>
        <v>1.4172575061972194E-2</v>
      </c>
    </row>
    <row r="17" spans="1:19" x14ac:dyDescent="0.25">
      <c r="A17" s="5" t="s">
        <v>8</v>
      </c>
      <c r="B17" s="5" t="s">
        <v>277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278</v>
      </c>
      <c r="J17" s="15">
        <v>1640</v>
      </c>
      <c r="K17" s="7">
        <v>30.3</v>
      </c>
      <c r="L17" s="7">
        <f t="shared" ref="L17:L46" si="7">J17/K17</f>
        <v>54.125412541254121</v>
      </c>
      <c r="M17" s="5" t="s">
        <v>10</v>
      </c>
      <c r="N17" s="5">
        <v>4</v>
      </c>
      <c r="O17" s="6">
        <f t="shared" ref="O17:O46" si="8">(J17*L17^2)/(1.6*10^6)</f>
        <v>3.0027992898299734</v>
      </c>
      <c r="P17" s="6">
        <f t="shared" ref="P17:P46" si="9">(0.104*J17*L17^2)/(1.6*10^6)</f>
        <v>0.31229112614231719</v>
      </c>
      <c r="Q17" s="10">
        <f t="shared" ref="Q17:Q46" si="10">(0.104*O17)/(12*N17)</f>
        <v>6.5060651279649417E-3</v>
      </c>
      <c r="R17" s="10">
        <f t="shared" ref="R17:R46" si="11">0.0159*O17^0.75</f>
        <v>3.6269523726956437E-2</v>
      </c>
      <c r="S17" s="10">
        <f t="shared" ref="S17:S46" si="12">Q17+R17</f>
        <v>4.277558885492138E-2</v>
      </c>
    </row>
    <row r="18" spans="1:19" x14ac:dyDescent="0.25">
      <c r="A18" s="5" t="s">
        <v>8</v>
      </c>
      <c r="B18" s="5" t="s">
        <v>291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278</v>
      </c>
      <c r="J18" s="15">
        <v>1650</v>
      </c>
      <c r="K18" s="7">
        <v>31</v>
      </c>
      <c r="L18" s="7">
        <f t="shared" si="7"/>
        <v>53.225806451612904</v>
      </c>
      <c r="M18" s="5" t="s">
        <v>10</v>
      </c>
      <c r="N18" s="5">
        <v>4</v>
      </c>
      <c r="O18" s="6">
        <f t="shared" si="8"/>
        <v>2.9215172996878254</v>
      </c>
      <c r="P18" s="6">
        <f t="shared" si="9"/>
        <v>0.30383779916753384</v>
      </c>
      <c r="Q18" s="10">
        <f t="shared" si="10"/>
        <v>6.3299541493236217E-3</v>
      </c>
      <c r="R18" s="10">
        <f t="shared" si="11"/>
        <v>3.5530676056027069E-2</v>
      </c>
      <c r="S18" s="10">
        <f t="shared" si="12"/>
        <v>4.1860630205350691E-2</v>
      </c>
    </row>
    <row r="19" spans="1:19" x14ac:dyDescent="0.25">
      <c r="A19" s="5" t="s">
        <v>8</v>
      </c>
      <c r="B19" s="5" t="s">
        <v>291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257</v>
      </c>
      <c r="J19" s="15">
        <v>3850</v>
      </c>
      <c r="K19" s="7">
        <v>49</v>
      </c>
      <c r="L19" s="7">
        <f t="shared" si="7"/>
        <v>78.571428571428569</v>
      </c>
      <c r="M19" s="5" t="s">
        <v>10</v>
      </c>
      <c r="N19" s="5">
        <v>4</v>
      </c>
      <c r="O19" s="6">
        <f t="shared" si="8"/>
        <v>14.854910714285714</v>
      </c>
      <c r="P19" s="6">
        <f t="shared" si="9"/>
        <v>1.5449107142857141</v>
      </c>
      <c r="Q19" s="10">
        <f t="shared" si="10"/>
        <v>3.2185639880952376E-2</v>
      </c>
      <c r="R19" s="10">
        <f t="shared" si="11"/>
        <v>0.12030942708411221</v>
      </c>
      <c r="S19" s="10">
        <f t="shared" si="12"/>
        <v>0.1524950669650646</v>
      </c>
    </row>
    <row r="20" spans="1:19" x14ac:dyDescent="0.25">
      <c r="A20" s="5" t="s">
        <v>8</v>
      </c>
      <c r="B20" s="5" t="s">
        <v>291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292</v>
      </c>
      <c r="J20" s="15">
        <v>2300</v>
      </c>
      <c r="K20" s="7">
        <v>32.5</v>
      </c>
      <c r="L20" s="7">
        <f t="shared" si="7"/>
        <v>70.769230769230774</v>
      </c>
      <c r="M20" s="5" t="s">
        <v>10</v>
      </c>
      <c r="N20" s="5">
        <v>4</v>
      </c>
      <c r="O20" s="6">
        <f t="shared" si="8"/>
        <v>7.1994082840236695</v>
      </c>
      <c r="P20" s="6">
        <f t="shared" si="9"/>
        <v>0.74873846153846157</v>
      </c>
      <c r="Q20" s="10">
        <f t="shared" si="10"/>
        <v>1.5598717948717949E-2</v>
      </c>
      <c r="R20" s="10">
        <f t="shared" si="11"/>
        <v>6.9882708172427616E-2</v>
      </c>
      <c r="S20" s="10">
        <f t="shared" si="12"/>
        <v>8.5481426121145565E-2</v>
      </c>
    </row>
    <row r="21" spans="1:19" x14ac:dyDescent="0.25">
      <c r="A21" s="5" t="s">
        <v>8</v>
      </c>
      <c r="B21" s="5" t="s">
        <v>319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320</v>
      </c>
      <c r="J21" s="15">
        <v>2815</v>
      </c>
      <c r="K21" s="7">
        <v>31.3</v>
      </c>
      <c r="L21" s="7">
        <f t="shared" si="7"/>
        <v>89.936102236421718</v>
      </c>
      <c r="M21" s="5" t="s">
        <v>10</v>
      </c>
      <c r="N21" s="5">
        <v>4</v>
      </c>
      <c r="O21" s="6">
        <f t="shared" si="8"/>
        <v>14.23070906039155</v>
      </c>
      <c r="P21" s="6">
        <f t="shared" si="9"/>
        <v>1.4799937422807212</v>
      </c>
      <c r="Q21" s="10">
        <f t="shared" si="10"/>
        <v>3.0833202964181693E-2</v>
      </c>
      <c r="R21" s="10">
        <f t="shared" si="11"/>
        <v>0.11649761361336987</v>
      </c>
      <c r="S21" s="10">
        <f t="shared" si="12"/>
        <v>0.14733081657755157</v>
      </c>
    </row>
    <row r="22" spans="1:19" x14ac:dyDescent="0.25">
      <c r="A22" s="5" t="s">
        <v>22</v>
      </c>
      <c r="B22" s="5" t="s">
        <v>26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59</v>
      </c>
      <c r="J22" s="15">
        <v>1800</v>
      </c>
      <c r="K22" s="7">
        <v>32</v>
      </c>
      <c r="L22" s="7">
        <f t="shared" si="7"/>
        <v>56.25</v>
      </c>
      <c r="M22" s="5" t="s">
        <v>10</v>
      </c>
      <c r="N22" s="5">
        <v>4</v>
      </c>
      <c r="O22" s="6">
        <f t="shared" si="8"/>
        <v>3.5595703125</v>
      </c>
      <c r="P22" s="6">
        <f t="shared" si="9"/>
        <v>0.37019531249999998</v>
      </c>
      <c r="Q22" s="10">
        <f t="shared" si="10"/>
        <v>7.71240234375E-3</v>
      </c>
      <c r="R22" s="10">
        <f t="shared" si="11"/>
        <v>4.1204562411128992E-2</v>
      </c>
      <c r="S22" s="10">
        <f t="shared" si="12"/>
        <v>4.8916964754878993E-2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59</v>
      </c>
      <c r="J23" s="15">
        <v>1800</v>
      </c>
      <c r="K23" s="7">
        <v>32</v>
      </c>
      <c r="L23" s="7">
        <f t="shared" si="7"/>
        <v>56.25</v>
      </c>
      <c r="M23" s="5" t="s">
        <v>10</v>
      </c>
      <c r="N23" s="5">
        <v>4</v>
      </c>
      <c r="O23" s="6">
        <f t="shared" si="8"/>
        <v>3.5595703125</v>
      </c>
      <c r="P23" s="6">
        <f t="shared" si="9"/>
        <v>0.37019531249999998</v>
      </c>
      <c r="Q23" s="10">
        <f t="shared" si="10"/>
        <v>7.71240234375E-3</v>
      </c>
      <c r="R23" s="10">
        <f t="shared" si="11"/>
        <v>4.1204562411128992E-2</v>
      </c>
      <c r="S23" s="10">
        <f t="shared" si="12"/>
        <v>4.8916964754878993E-2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59</v>
      </c>
      <c r="J24" s="15">
        <v>1700</v>
      </c>
      <c r="K24" s="7">
        <v>28</v>
      </c>
      <c r="L24" s="7">
        <f t="shared" si="7"/>
        <v>60.714285714285715</v>
      </c>
      <c r="M24" s="5" t="s">
        <v>10</v>
      </c>
      <c r="N24" s="5">
        <v>4</v>
      </c>
      <c r="O24" s="6">
        <f t="shared" si="8"/>
        <v>3.9166135204081631</v>
      </c>
      <c r="P24" s="6">
        <f t="shared" si="9"/>
        <v>0.40732780612244895</v>
      </c>
      <c r="Q24" s="10">
        <f t="shared" si="10"/>
        <v>8.4859959608843526E-3</v>
      </c>
      <c r="R24" s="10">
        <f t="shared" si="11"/>
        <v>4.4267007423098879E-2</v>
      </c>
      <c r="S24" s="10">
        <f t="shared" si="12"/>
        <v>5.2753003383983234E-2</v>
      </c>
    </row>
    <row r="25" spans="1:19" x14ac:dyDescent="0.25">
      <c r="A25" s="5" t="s">
        <v>8</v>
      </c>
      <c r="B25" s="5" t="s">
        <v>291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59</v>
      </c>
      <c r="J25" s="15">
        <v>1750</v>
      </c>
      <c r="K25" s="7">
        <v>22</v>
      </c>
      <c r="L25" s="7">
        <f t="shared" si="7"/>
        <v>79.545454545454547</v>
      </c>
      <c r="M25" s="5" t="s">
        <v>10</v>
      </c>
      <c r="N25" s="5">
        <v>4</v>
      </c>
      <c r="O25" s="6">
        <f t="shared" si="8"/>
        <v>6.9206805268595044</v>
      </c>
      <c r="P25" s="6">
        <f t="shared" si="9"/>
        <v>0.71975077479338845</v>
      </c>
      <c r="Q25" s="10">
        <f t="shared" si="10"/>
        <v>1.4994807808195593E-2</v>
      </c>
      <c r="R25" s="10">
        <f t="shared" si="11"/>
        <v>6.7843575117162297E-2</v>
      </c>
      <c r="S25" s="10">
        <f t="shared" si="12"/>
        <v>8.283838292535789E-2</v>
      </c>
    </row>
    <row r="26" spans="1:19" x14ac:dyDescent="0.25">
      <c r="A26" s="5" t="s">
        <v>8</v>
      </c>
      <c r="B26" s="5" t="s">
        <v>291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59</v>
      </c>
      <c r="J26" s="15">
        <v>1850</v>
      </c>
      <c r="K26" s="7">
        <v>29.5</v>
      </c>
      <c r="L26" s="7">
        <f t="shared" si="7"/>
        <v>62.711864406779661</v>
      </c>
      <c r="M26" s="5" t="s">
        <v>10</v>
      </c>
      <c r="N26" s="5">
        <v>4</v>
      </c>
      <c r="O26" s="6">
        <f t="shared" si="8"/>
        <v>4.5472744900890554</v>
      </c>
      <c r="P26" s="6">
        <f t="shared" si="9"/>
        <v>0.47291654696926166</v>
      </c>
      <c r="Q26" s="10">
        <f t="shared" si="10"/>
        <v>9.8524280618596197E-3</v>
      </c>
      <c r="R26" s="10">
        <f t="shared" si="11"/>
        <v>4.9512003714677087E-2</v>
      </c>
      <c r="S26" s="10">
        <f t="shared" si="12"/>
        <v>5.9364431776536705E-2</v>
      </c>
    </row>
    <row r="27" spans="1:19" x14ac:dyDescent="0.25">
      <c r="A27" s="5" t="s">
        <v>8</v>
      </c>
      <c r="B27" s="5" t="s">
        <v>319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58</v>
      </c>
      <c r="I27" s="5" t="s">
        <v>59</v>
      </c>
      <c r="J27" s="15">
        <v>1870</v>
      </c>
      <c r="K27" s="7">
        <v>29.2</v>
      </c>
      <c r="L27" s="7">
        <f t="shared" si="7"/>
        <v>64.041095890410958</v>
      </c>
      <c r="M27" s="5" t="s">
        <v>10</v>
      </c>
      <c r="N27" s="5">
        <v>4</v>
      </c>
      <c r="O27" s="6">
        <f t="shared" si="8"/>
        <v>4.7933499190748732</v>
      </c>
      <c r="P27" s="6">
        <f t="shared" si="9"/>
        <v>0.49850839158378674</v>
      </c>
      <c r="Q27" s="10">
        <f t="shared" si="10"/>
        <v>1.0385591491328892E-2</v>
      </c>
      <c r="R27" s="10">
        <f t="shared" si="11"/>
        <v>5.1508212041113E-2</v>
      </c>
      <c r="S27" s="10">
        <f t="shared" si="12"/>
        <v>6.1893803532441893E-2</v>
      </c>
    </row>
    <row r="28" spans="1:19" x14ac:dyDescent="0.25">
      <c r="A28" s="5" t="s">
        <v>8</v>
      </c>
      <c r="B28" s="5" t="s">
        <v>291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58</v>
      </c>
      <c r="I28" s="5" t="s">
        <v>293</v>
      </c>
      <c r="J28" s="15">
        <v>2500</v>
      </c>
      <c r="K28" s="7">
        <v>32.5</v>
      </c>
      <c r="L28" s="7">
        <f t="shared" si="7"/>
        <v>76.92307692307692</v>
      </c>
      <c r="M28" s="5" t="s">
        <v>10</v>
      </c>
      <c r="N28" s="5">
        <v>4</v>
      </c>
      <c r="O28" s="6">
        <f t="shared" si="8"/>
        <v>9.2455621301775128</v>
      </c>
      <c r="P28" s="6">
        <f t="shared" si="9"/>
        <v>0.96153846153846145</v>
      </c>
      <c r="Q28" s="10">
        <f t="shared" si="10"/>
        <v>2.0032051282051277E-2</v>
      </c>
      <c r="R28" s="10">
        <f t="shared" si="11"/>
        <v>8.4303793099258367E-2</v>
      </c>
      <c r="S28" s="10">
        <f t="shared" si="12"/>
        <v>0.10433584438130965</v>
      </c>
    </row>
    <row r="29" spans="1:19" x14ac:dyDescent="0.25">
      <c r="A29" s="5" t="s">
        <v>8</v>
      </c>
      <c r="B29" s="5" t="s">
        <v>311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58</v>
      </c>
      <c r="I29" s="5" t="s">
        <v>293</v>
      </c>
      <c r="J29" s="15">
        <v>2700</v>
      </c>
      <c r="K29" s="7">
        <v>34</v>
      </c>
      <c r="L29" s="7">
        <f t="shared" si="7"/>
        <v>79.411764705882348</v>
      </c>
      <c r="M29" s="5" t="s">
        <v>10</v>
      </c>
      <c r="N29" s="5">
        <v>4</v>
      </c>
      <c r="O29" s="6">
        <f t="shared" si="8"/>
        <v>10.641760380622838</v>
      </c>
      <c r="P29" s="6">
        <f t="shared" si="9"/>
        <v>1.106743079584775</v>
      </c>
      <c r="Q29" s="10">
        <f t="shared" si="10"/>
        <v>2.3057147491349479E-2</v>
      </c>
      <c r="R29" s="10">
        <f t="shared" si="11"/>
        <v>9.3682232382394676E-2</v>
      </c>
      <c r="S29" s="10">
        <f t="shared" si="12"/>
        <v>0.11673937987374415</v>
      </c>
    </row>
    <row r="30" spans="1:19" x14ac:dyDescent="0.25">
      <c r="A30" s="5" t="s">
        <v>8</v>
      </c>
      <c r="B30" s="5" t="s">
        <v>291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58</v>
      </c>
      <c r="I30" s="5" t="s">
        <v>294</v>
      </c>
      <c r="J30" s="15">
        <v>1800</v>
      </c>
      <c r="K30" s="7">
        <v>30</v>
      </c>
      <c r="L30" s="7">
        <f t="shared" si="7"/>
        <v>60</v>
      </c>
      <c r="M30" s="5" t="s">
        <v>10</v>
      </c>
      <c r="N30" s="5">
        <v>4</v>
      </c>
      <c r="O30" s="6">
        <f t="shared" si="8"/>
        <v>4.05</v>
      </c>
      <c r="P30" s="6">
        <f t="shared" si="9"/>
        <v>0.42120000000000002</v>
      </c>
      <c r="Q30" s="10">
        <f t="shared" si="10"/>
        <v>8.7749999999999998E-3</v>
      </c>
      <c r="R30" s="10">
        <f t="shared" si="11"/>
        <v>4.5392948339503428E-2</v>
      </c>
      <c r="S30" s="10">
        <f t="shared" si="12"/>
        <v>5.4167948339503426E-2</v>
      </c>
    </row>
    <row r="31" spans="1:19" x14ac:dyDescent="0.25">
      <c r="A31" s="5" t="s">
        <v>8</v>
      </c>
      <c r="B31" s="5" t="s">
        <v>299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58</v>
      </c>
      <c r="I31" s="5" t="s">
        <v>294</v>
      </c>
      <c r="J31" s="15">
        <v>1973</v>
      </c>
      <c r="K31" s="7">
        <v>28.4</v>
      </c>
      <c r="L31" s="7">
        <f t="shared" si="7"/>
        <v>69.471830985915503</v>
      </c>
      <c r="M31" s="5" t="s">
        <v>10</v>
      </c>
      <c r="N31" s="5">
        <v>4</v>
      </c>
      <c r="O31" s="6">
        <f t="shared" si="8"/>
        <v>5.9514747174729736</v>
      </c>
      <c r="P31" s="6">
        <f t="shared" si="9"/>
        <v>0.61895337061718914</v>
      </c>
      <c r="Q31" s="10">
        <f t="shared" si="10"/>
        <v>1.2894861887858109E-2</v>
      </c>
      <c r="R31" s="10">
        <f t="shared" si="11"/>
        <v>6.0585063731535917E-2</v>
      </c>
      <c r="S31" s="10">
        <f t="shared" si="12"/>
        <v>7.3479925619394024E-2</v>
      </c>
    </row>
    <row r="32" spans="1:19" x14ac:dyDescent="0.25">
      <c r="A32" s="5" t="s">
        <v>8</v>
      </c>
      <c r="B32" s="5" t="s">
        <v>291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58</v>
      </c>
      <c r="I32" s="5" t="s">
        <v>295</v>
      </c>
      <c r="J32" s="15">
        <v>2000</v>
      </c>
      <c r="K32" s="7">
        <v>27</v>
      </c>
      <c r="L32" s="7">
        <f t="shared" si="7"/>
        <v>74.074074074074076</v>
      </c>
      <c r="M32" s="5" t="s">
        <v>10</v>
      </c>
      <c r="N32" s="5">
        <v>4</v>
      </c>
      <c r="O32" s="6">
        <f t="shared" si="8"/>
        <v>6.8587105624142675</v>
      </c>
      <c r="P32" s="6">
        <f t="shared" si="9"/>
        <v>0.71330589849108383</v>
      </c>
      <c r="Q32" s="10">
        <f t="shared" si="10"/>
        <v>1.486053955189758E-2</v>
      </c>
      <c r="R32" s="10">
        <f t="shared" si="11"/>
        <v>6.7387443596961277E-2</v>
      </c>
      <c r="S32" s="10">
        <f t="shared" si="12"/>
        <v>8.2247983148858853E-2</v>
      </c>
    </row>
    <row r="33" spans="1:19" x14ac:dyDescent="0.25">
      <c r="A33" s="5" t="s">
        <v>22</v>
      </c>
      <c r="B33" s="5" t="s">
        <v>26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386</v>
      </c>
      <c r="H33" s="5" t="s">
        <v>58</v>
      </c>
      <c r="I33" s="5" t="s">
        <v>60</v>
      </c>
      <c r="J33" s="15">
        <v>2600</v>
      </c>
      <c r="K33" s="7">
        <v>34</v>
      </c>
      <c r="L33" s="7">
        <f t="shared" si="7"/>
        <v>76.470588235294116</v>
      </c>
      <c r="M33" s="5" t="s">
        <v>10</v>
      </c>
      <c r="N33" s="5">
        <v>4</v>
      </c>
      <c r="O33" s="6">
        <f t="shared" si="8"/>
        <v>9.5025951557093435</v>
      </c>
      <c r="P33" s="6">
        <f t="shared" si="9"/>
        <v>0.98826989619377159</v>
      </c>
      <c r="Q33" s="10">
        <f t="shared" si="10"/>
        <v>2.0588956170703578E-2</v>
      </c>
      <c r="R33" s="10">
        <f t="shared" si="11"/>
        <v>8.6055532182463049E-2</v>
      </c>
      <c r="S33" s="10">
        <f t="shared" si="12"/>
        <v>0.10664448835316663</v>
      </c>
    </row>
    <row r="34" spans="1:19" x14ac:dyDescent="0.25">
      <c r="A34" s="5" t="s">
        <v>8</v>
      </c>
      <c r="B34" s="5" t="s">
        <v>291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386</v>
      </c>
      <c r="H34" s="5" t="s">
        <v>58</v>
      </c>
      <c r="I34" s="5" t="s">
        <v>60</v>
      </c>
      <c r="J34" s="15">
        <v>2050</v>
      </c>
      <c r="K34" s="7">
        <v>29</v>
      </c>
      <c r="L34" s="7">
        <f t="shared" si="7"/>
        <v>70.689655172413794</v>
      </c>
      <c r="M34" s="5" t="s">
        <v>10</v>
      </c>
      <c r="N34" s="5">
        <v>4</v>
      </c>
      <c r="O34" s="6">
        <f t="shared" si="8"/>
        <v>6.4024412901307972</v>
      </c>
      <c r="P34" s="6">
        <f t="shared" si="9"/>
        <v>0.66585389417360286</v>
      </c>
      <c r="Q34" s="10">
        <f t="shared" si="10"/>
        <v>1.3871956128616726E-2</v>
      </c>
      <c r="R34" s="10">
        <f t="shared" si="11"/>
        <v>6.3996515472610566E-2</v>
      </c>
      <c r="S34" s="10">
        <f t="shared" si="12"/>
        <v>7.7868471601227285E-2</v>
      </c>
    </row>
    <row r="35" spans="1:19" x14ac:dyDescent="0.25">
      <c r="A35" s="5" t="s">
        <v>8</v>
      </c>
      <c r="B35" s="5" t="s">
        <v>291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386</v>
      </c>
      <c r="H35" s="5" t="s">
        <v>58</v>
      </c>
      <c r="I35" s="5" t="s">
        <v>60</v>
      </c>
      <c r="J35" s="15">
        <v>2600</v>
      </c>
      <c r="K35" s="7">
        <v>34</v>
      </c>
      <c r="L35" s="7">
        <f t="shared" si="7"/>
        <v>76.470588235294116</v>
      </c>
      <c r="M35" s="5" t="s">
        <v>10</v>
      </c>
      <c r="N35" s="5">
        <v>4</v>
      </c>
      <c r="O35" s="6">
        <f t="shared" si="8"/>
        <v>9.5025951557093435</v>
      </c>
      <c r="P35" s="6">
        <f t="shared" si="9"/>
        <v>0.98826989619377159</v>
      </c>
      <c r="Q35" s="10">
        <f t="shared" si="10"/>
        <v>2.0588956170703578E-2</v>
      </c>
      <c r="R35" s="10">
        <f t="shared" si="11"/>
        <v>8.6055532182463049E-2</v>
      </c>
      <c r="S35" s="10">
        <f t="shared" si="12"/>
        <v>0.10664448835316663</v>
      </c>
    </row>
    <row r="36" spans="1:19" x14ac:dyDescent="0.25">
      <c r="A36" s="5" t="s">
        <v>22</v>
      </c>
      <c r="B36" s="5" t="s">
        <v>26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386</v>
      </c>
      <c r="H36" s="5" t="s">
        <v>58</v>
      </c>
      <c r="I36" s="5" t="s">
        <v>61</v>
      </c>
      <c r="J36" s="15">
        <v>3100</v>
      </c>
      <c r="K36" s="7">
        <v>32.5</v>
      </c>
      <c r="L36" s="7">
        <f t="shared" si="7"/>
        <v>95.384615384615387</v>
      </c>
      <c r="M36" s="5" t="s">
        <v>10</v>
      </c>
      <c r="N36" s="5">
        <v>4</v>
      </c>
      <c r="O36" s="6">
        <f t="shared" si="8"/>
        <v>17.627810650887572</v>
      </c>
      <c r="P36" s="6">
        <f t="shared" si="9"/>
        <v>1.8332923076923076</v>
      </c>
      <c r="Q36" s="10">
        <f t="shared" si="10"/>
        <v>3.8193589743589738E-2</v>
      </c>
      <c r="R36" s="10">
        <f t="shared" si="11"/>
        <v>0.13678734086635241</v>
      </c>
      <c r="S36" s="10">
        <f t="shared" si="12"/>
        <v>0.17498093060994216</v>
      </c>
    </row>
    <row r="37" spans="1:19" x14ac:dyDescent="0.25">
      <c r="A37" s="5" t="s">
        <v>8</v>
      </c>
      <c r="B37" s="5" t="s">
        <v>291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386</v>
      </c>
      <c r="H37" s="5" t="s">
        <v>58</v>
      </c>
      <c r="I37" s="5" t="s">
        <v>61</v>
      </c>
      <c r="J37" s="15">
        <v>2800</v>
      </c>
      <c r="K37" s="7">
        <v>40</v>
      </c>
      <c r="L37" s="7">
        <f t="shared" si="7"/>
        <v>70</v>
      </c>
      <c r="M37" s="5" t="s">
        <v>10</v>
      </c>
      <c r="N37" s="5">
        <v>4</v>
      </c>
      <c r="O37" s="6">
        <f t="shared" si="8"/>
        <v>8.5749999999999993</v>
      </c>
      <c r="P37" s="6">
        <f t="shared" si="9"/>
        <v>0.89180000000000004</v>
      </c>
      <c r="Q37" s="10">
        <f t="shared" si="10"/>
        <v>1.8579166666666664E-2</v>
      </c>
      <c r="R37" s="10">
        <f t="shared" si="11"/>
        <v>7.9675119011575646E-2</v>
      </c>
      <c r="S37" s="10">
        <f t="shared" si="12"/>
        <v>9.8254285678242306E-2</v>
      </c>
    </row>
    <row r="38" spans="1:19" x14ac:dyDescent="0.25">
      <c r="A38" s="5" t="s">
        <v>8</v>
      </c>
      <c r="B38" s="5" t="s">
        <v>291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386</v>
      </c>
      <c r="H38" s="5" t="s">
        <v>58</v>
      </c>
      <c r="I38" s="5" t="s">
        <v>61</v>
      </c>
      <c r="J38" s="15">
        <v>2450</v>
      </c>
      <c r="K38" s="7">
        <v>29.1</v>
      </c>
      <c r="L38" s="7">
        <f t="shared" si="7"/>
        <v>84.192439862542955</v>
      </c>
      <c r="M38" s="5" t="s">
        <v>10</v>
      </c>
      <c r="N38" s="5">
        <v>4</v>
      </c>
      <c r="O38" s="6">
        <f t="shared" si="8"/>
        <v>10.854061861574614</v>
      </c>
      <c r="P38" s="6">
        <f t="shared" si="9"/>
        <v>1.1288224336037598</v>
      </c>
      <c r="Q38" s="10">
        <f t="shared" si="10"/>
        <v>2.3517134033411661E-2</v>
      </c>
      <c r="R38" s="10">
        <f t="shared" si="11"/>
        <v>9.508047521319099E-2</v>
      </c>
      <c r="S38" s="10">
        <f t="shared" si="12"/>
        <v>0.11859760924660265</v>
      </c>
    </row>
    <row r="39" spans="1:19" x14ac:dyDescent="0.25">
      <c r="A39" s="5" t="s">
        <v>8</v>
      </c>
      <c r="B39" s="5" t="s">
        <v>291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386</v>
      </c>
      <c r="H39" s="5" t="s">
        <v>58</v>
      </c>
      <c r="I39" s="5" t="s">
        <v>61</v>
      </c>
      <c r="J39" s="15">
        <v>3200</v>
      </c>
      <c r="K39" s="7">
        <v>33.5</v>
      </c>
      <c r="L39" s="7">
        <f t="shared" si="7"/>
        <v>95.522388059701498</v>
      </c>
      <c r="M39" s="5" t="s">
        <v>10</v>
      </c>
      <c r="N39" s="5">
        <v>4</v>
      </c>
      <c r="O39" s="6">
        <f t="shared" si="8"/>
        <v>18.249053241256405</v>
      </c>
      <c r="P39" s="6">
        <f t="shared" si="9"/>
        <v>1.8979015370906662</v>
      </c>
      <c r="Q39" s="10">
        <f t="shared" si="10"/>
        <v>3.9539615356055539E-2</v>
      </c>
      <c r="R39" s="10">
        <f t="shared" si="11"/>
        <v>0.14038715662039813</v>
      </c>
      <c r="S39" s="10">
        <f t="shared" si="12"/>
        <v>0.17992677197645368</v>
      </c>
    </row>
    <row r="40" spans="1:19" x14ac:dyDescent="0.25">
      <c r="A40" s="5" t="s">
        <v>8</v>
      </c>
      <c r="B40" s="5" t="s">
        <v>291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386</v>
      </c>
      <c r="H40" s="5" t="s">
        <v>58</v>
      </c>
      <c r="I40" s="5" t="s">
        <v>61</v>
      </c>
      <c r="J40" s="15">
        <v>2550</v>
      </c>
      <c r="K40" s="7">
        <v>31</v>
      </c>
      <c r="L40" s="7">
        <f t="shared" si="7"/>
        <v>82.258064516129039</v>
      </c>
      <c r="M40" s="5" t="s">
        <v>10</v>
      </c>
      <c r="N40" s="5">
        <v>4</v>
      </c>
      <c r="O40" s="6">
        <f t="shared" si="8"/>
        <v>10.783932752341313</v>
      </c>
      <c r="P40" s="6">
        <f t="shared" si="9"/>
        <v>1.1215290062434964</v>
      </c>
      <c r="Q40" s="10">
        <f t="shared" si="10"/>
        <v>2.336518763007284E-2</v>
      </c>
      <c r="R40" s="10">
        <f t="shared" si="11"/>
        <v>9.4619359210078843E-2</v>
      </c>
      <c r="S40" s="10">
        <f t="shared" si="12"/>
        <v>0.11798454684015168</v>
      </c>
    </row>
    <row r="41" spans="1:19" x14ac:dyDescent="0.25">
      <c r="A41" s="5" t="s">
        <v>8</v>
      </c>
      <c r="B41" s="5" t="s">
        <v>291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386</v>
      </c>
      <c r="H41" s="5" t="s">
        <v>58</v>
      </c>
      <c r="I41" s="5" t="s">
        <v>61</v>
      </c>
      <c r="J41" s="15">
        <v>2700</v>
      </c>
      <c r="K41" s="7">
        <v>29</v>
      </c>
      <c r="L41" s="7">
        <f t="shared" si="7"/>
        <v>93.103448275862064</v>
      </c>
      <c r="M41" s="5" t="s">
        <v>10</v>
      </c>
      <c r="N41" s="5">
        <v>4</v>
      </c>
      <c r="O41" s="6">
        <f t="shared" si="8"/>
        <v>14.627675386444706</v>
      </c>
      <c r="P41" s="6">
        <f t="shared" si="9"/>
        <v>1.5212782401902496</v>
      </c>
      <c r="Q41" s="10">
        <f t="shared" si="10"/>
        <v>3.1693296670630193E-2</v>
      </c>
      <c r="R41" s="10">
        <f t="shared" si="11"/>
        <v>0.11892649234015015</v>
      </c>
      <c r="S41" s="10">
        <f t="shared" si="12"/>
        <v>0.15061978901078035</v>
      </c>
    </row>
    <row r="42" spans="1:19" x14ac:dyDescent="0.25">
      <c r="A42" s="5" t="s">
        <v>8</v>
      </c>
      <c r="B42" s="5" t="s">
        <v>291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386</v>
      </c>
      <c r="H42" s="5" t="s">
        <v>58</v>
      </c>
      <c r="I42" s="5" t="s">
        <v>61</v>
      </c>
      <c r="J42" s="15">
        <v>2900</v>
      </c>
      <c r="K42" s="7">
        <v>29.5</v>
      </c>
      <c r="L42" s="7">
        <f t="shared" si="7"/>
        <v>98.305084745762713</v>
      </c>
      <c r="M42" s="5" t="s">
        <v>10</v>
      </c>
      <c r="N42" s="5">
        <v>4</v>
      </c>
      <c r="O42" s="6">
        <f t="shared" si="8"/>
        <v>17.515800057454758</v>
      </c>
      <c r="P42" s="6">
        <f t="shared" si="9"/>
        <v>1.8216432059752945</v>
      </c>
      <c r="Q42" s="10">
        <f t="shared" si="10"/>
        <v>3.7950900124485307E-2</v>
      </c>
      <c r="R42" s="10">
        <f t="shared" si="11"/>
        <v>0.13613494136615276</v>
      </c>
      <c r="S42" s="10">
        <f t="shared" si="12"/>
        <v>0.17408584149063805</v>
      </c>
    </row>
    <row r="43" spans="1:19" x14ac:dyDescent="0.25">
      <c r="A43" s="5" t="s">
        <v>8</v>
      </c>
      <c r="B43" s="5" t="s">
        <v>291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386</v>
      </c>
      <c r="H43" s="5" t="s">
        <v>58</v>
      </c>
      <c r="I43" s="5" t="s">
        <v>61</v>
      </c>
      <c r="J43" s="15">
        <v>3100</v>
      </c>
      <c r="K43" s="7">
        <v>32.5</v>
      </c>
      <c r="L43" s="7">
        <f t="shared" si="7"/>
        <v>95.384615384615387</v>
      </c>
      <c r="M43" s="5" t="s">
        <v>10</v>
      </c>
      <c r="N43" s="5">
        <v>4</v>
      </c>
      <c r="O43" s="6">
        <f t="shared" si="8"/>
        <v>17.627810650887572</v>
      </c>
      <c r="P43" s="6">
        <f t="shared" si="9"/>
        <v>1.8332923076923076</v>
      </c>
      <c r="Q43" s="10">
        <f t="shared" si="10"/>
        <v>3.8193589743589738E-2</v>
      </c>
      <c r="R43" s="10">
        <f t="shared" si="11"/>
        <v>0.13678734086635241</v>
      </c>
      <c r="S43" s="10">
        <f t="shared" si="12"/>
        <v>0.17498093060994216</v>
      </c>
    </row>
    <row r="44" spans="1:19" x14ac:dyDescent="0.25">
      <c r="A44" s="5" t="s">
        <v>8</v>
      </c>
      <c r="B44" s="5" t="s">
        <v>291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386</v>
      </c>
      <c r="H44" s="5" t="s">
        <v>58</v>
      </c>
      <c r="I44" s="5" t="s">
        <v>61</v>
      </c>
      <c r="J44" s="15">
        <v>2500</v>
      </c>
      <c r="K44" s="7">
        <v>34.5</v>
      </c>
      <c r="L44" s="7">
        <f t="shared" si="7"/>
        <v>72.463768115942031</v>
      </c>
      <c r="M44" s="5" t="s">
        <v>10</v>
      </c>
      <c r="N44" s="5">
        <v>4</v>
      </c>
      <c r="O44" s="6">
        <f t="shared" si="8"/>
        <v>8.2046838899390888</v>
      </c>
      <c r="P44" s="6">
        <f t="shared" si="9"/>
        <v>0.8532871245536654</v>
      </c>
      <c r="Q44" s="10">
        <f t="shared" si="10"/>
        <v>1.7776815094868025E-2</v>
      </c>
      <c r="R44" s="10">
        <f t="shared" si="11"/>
        <v>7.708032093428592E-2</v>
      </c>
      <c r="S44" s="10">
        <f t="shared" si="12"/>
        <v>9.4857136029153938E-2</v>
      </c>
    </row>
    <row r="45" spans="1:19" x14ac:dyDescent="0.25">
      <c r="A45" s="5" t="s">
        <v>8</v>
      </c>
      <c r="B45" s="5" t="s">
        <v>319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386</v>
      </c>
      <c r="H45" s="5" t="s">
        <v>58</v>
      </c>
      <c r="I45" s="5" t="s">
        <v>61</v>
      </c>
      <c r="J45" s="15">
        <v>2626</v>
      </c>
      <c r="K45" s="7">
        <v>31.5</v>
      </c>
      <c r="L45" s="7">
        <f t="shared" si="7"/>
        <v>83.365079365079367</v>
      </c>
      <c r="M45" s="5" t="s">
        <v>10</v>
      </c>
      <c r="N45" s="5">
        <v>4</v>
      </c>
      <c r="O45" s="6">
        <f t="shared" si="8"/>
        <v>11.406254960947342</v>
      </c>
      <c r="P45" s="6">
        <f t="shared" si="9"/>
        <v>1.1862505159385235</v>
      </c>
      <c r="Q45" s="10">
        <f t="shared" si="10"/>
        <v>2.4713552415385906E-2</v>
      </c>
      <c r="R45" s="10">
        <f t="shared" si="11"/>
        <v>9.8685746486399897E-2</v>
      </c>
      <c r="S45" s="10">
        <f t="shared" si="12"/>
        <v>0.1233992989017858</v>
      </c>
    </row>
    <row r="46" spans="1:19" x14ac:dyDescent="0.25">
      <c r="A46" s="5" t="s">
        <v>22</v>
      </c>
      <c r="B46" s="5" t="s">
        <v>63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386</v>
      </c>
      <c r="H46" s="5" t="s">
        <v>97</v>
      </c>
      <c r="I46" s="5" t="s">
        <v>61</v>
      </c>
      <c r="J46" s="15">
        <v>3200</v>
      </c>
      <c r="K46" s="7">
        <v>33.5</v>
      </c>
      <c r="L46" s="7">
        <f t="shared" si="7"/>
        <v>95.522388059701498</v>
      </c>
      <c r="M46" s="5" t="s">
        <v>10</v>
      </c>
      <c r="N46" s="5">
        <v>4</v>
      </c>
      <c r="O46" s="6">
        <f t="shared" si="8"/>
        <v>18.249053241256405</v>
      </c>
      <c r="P46" s="6">
        <f t="shared" si="9"/>
        <v>1.8979015370906662</v>
      </c>
      <c r="Q46" s="10">
        <f t="shared" si="10"/>
        <v>3.9539615356055539E-2</v>
      </c>
      <c r="R46" s="10">
        <f t="shared" si="11"/>
        <v>0.14038715662039813</v>
      </c>
      <c r="S46" s="10">
        <f t="shared" si="12"/>
        <v>0.17992677197645368</v>
      </c>
    </row>
    <row r="47" spans="1:19" x14ac:dyDescent="0.25">
      <c r="J47" s="16">
        <f>AVERAGE(J17:J46)</f>
        <v>2412.4666666666667</v>
      </c>
      <c r="K47" s="12">
        <f t="shared" ref="K47:S47" si="13">AVERAGE(K17:K46)</f>
        <v>31.743333333333336</v>
      </c>
      <c r="L47" s="12">
        <f t="shared" si="13"/>
        <v>75.83847170762607</v>
      </c>
      <c r="M47" s="11" t="e">
        <f t="shared" si="13"/>
        <v>#DIV/0!</v>
      </c>
      <c r="N47" s="11">
        <f t="shared" si="13"/>
        <v>4</v>
      </c>
      <c r="O47" s="13">
        <f t="shared" si="13"/>
        <v>9.5127559938292396</v>
      </c>
      <c r="P47" s="13">
        <f t="shared" si="13"/>
        <v>0.98932662335824095</v>
      </c>
      <c r="Q47" s="14">
        <f t="shared" si="13"/>
        <v>2.061097131996335E-2</v>
      </c>
      <c r="R47" s="14">
        <f t="shared" si="13"/>
        <v>8.3868012743124262E-2</v>
      </c>
      <c r="S47" s="14">
        <f t="shared" si="13"/>
        <v>0.1044789840630876</v>
      </c>
    </row>
    <row r="48" spans="1:19" x14ac:dyDescent="0.25">
      <c r="A48" s="5" t="s">
        <v>8</v>
      </c>
      <c r="B48" s="5" t="s">
        <v>287</v>
      </c>
      <c r="C48" s="5" t="s">
        <v>27</v>
      </c>
      <c r="D48" s="5" t="s">
        <v>385</v>
      </c>
      <c r="E48" s="5" t="s">
        <v>387</v>
      </c>
      <c r="F48" s="5" t="s">
        <v>52</v>
      </c>
      <c r="G48" s="5" t="s">
        <v>386</v>
      </c>
      <c r="H48" s="5" t="s">
        <v>102</v>
      </c>
      <c r="I48" s="5" t="s">
        <v>218</v>
      </c>
      <c r="J48" s="15">
        <v>2600</v>
      </c>
      <c r="K48" s="7">
        <v>37.1</v>
      </c>
      <c r="L48" s="7">
        <f>J48/K48</f>
        <v>70.080862533692724</v>
      </c>
      <c r="M48" s="5" t="s">
        <v>10</v>
      </c>
      <c r="N48" s="5">
        <v>4</v>
      </c>
      <c r="O48" s="6">
        <f>(J48*L48^2)/(1.6*10^6)</f>
        <v>7.9809068518827972</v>
      </c>
      <c r="P48" s="6">
        <f>(0.104*J48*L48^2)/(1.6*10^6)</f>
        <v>0.83001431259581082</v>
      </c>
      <c r="Q48" s="10">
        <f>(0.104*O48)/(12*N48)</f>
        <v>1.729196484574606E-2</v>
      </c>
      <c r="R48" s="10">
        <f>0.0159*O48^0.75</f>
        <v>7.5498149303652243E-2</v>
      </c>
      <c r="S48" s="10">
        <f>Q48+R48</f>
        <v>9.2790114149398306E-2</v>
      </c>
    </row>
    <row r="49" spans="1:19" x14ac:dyDescent="0.25">
      <c r="A49" s="5" t="s">
        <v>22</v>
      </c>
      <c r="B49" s="5" t="s">
        <v>63</v>
      </c>
      <c r="C49" s="5" t="s">
        <v>27</v>
      </c>
      <c r="D49" s="5" t="s">
        <v>385</v>
      </c>
      <c r="E49" s="5" t="s">
        <v>387</v>
      </c>
      <c r="F49" s="5" t="s">
        <v>52</v>
      </c>
      <c r="G49" s="5" t="s">
        <v>386</v>
      </c>
      <c r="H49" s="5" t="s">
        <v>102</v>
      </c>
      <c r="I49" s="5" t="s">
        <v>73</v>
      </c>
      <c r="J49" s="15">
        <v>2190</v>
      </c>
      <c r="K49" s="7">
        <v>26.5</v>
      </c>
      <c r="L49" s="7">
        <f>J49/K49</f>
        <v>82.64150943396227</v>
      </c>
      <c r="M49" s="5" t="s">
        <v>10</v>
      </c>
      <c r="N49" s="5">
        <v>4</v>
      </c>
      <c r="O49" s="6">
        <f>(J49*L49^2)/(1.6*10^6)</f>
        <v>9.34804111783553</v>
      </c>
      <c r="P49" s="6">
        <f>(0.104*J49*L49^2)/(1.6*10^6)</f>
        <v>0.97219627625489502</v>
      </c>
      <c r="Q49" s="10">
        <f>(0.104*O49)/(12*N49)</f>
        <v>2.0254089088643647E-2</v>
      </c>
      <c r="R49" s="10">
        <f>0.0159*O49^0.75</f>
        <v>8.5003652032378002E-2</v>
      </c>
      <c r="S49" s="10">
        <f>Q49+R49</f>
        <v>0.10525774112102165</v>
      </c>
    </row>
    <row r="50" spans="1:19" x14ac:dyDescent="0.25">
      <c r="A50" s="5" t="s">
        <v>8</v>
      </c>
      <c r="B50" s="5" t="s">
        <v>287</v>
      </c>
      <c r="C50" s="5" t="s">
        <v>27</v>
      </c>
      <c r="D50" s="5" t="s">
        <v>385</v>
      </c>
      <c r="E50" s="5" t="s">
        <v>387</v>
      </c>
      <c r="F50" s="5" t="s">
        <v>52</v>
      </c>
      <c r="G50" s="5" t="s">
        <v>386</v>
      </c>
      <c r="H50" s="5" t="s">
        <v>102</v>
      </c>
      <c r="I50" s="5" t="s">
        <v>288</v>
      </c>
      <c r="J50" s="15">
        <v>2300</v>
      </c>
      <c r="K50" s="7">
        <v>33.700000000000003</v>
      </c>
      <c r="L50" s="7">
        <f>J50/K50</f>
        <v>68.249258160237389</v>
      </c>
      <c r="M50" s="5" t="s">
        <v>10</v>
      </c>
      <c r="N50" s="5">
        <v>4</v>
      </c>
      <c r="O50" s="6">
        <f>(J50*L50^2)/(1.6*10^6)</f>
        <v>6.6958192816701745</v>
      </c>
      <c r="P50" s="6">
        <f>(0.104*J50*L50^2)/(1.6*10^6)</f>
        <v>0.69636520529369805</v>
      </c>
      <c r="Q50" s="10">
        <f>(0.104*O50)/(12*N50)</f>
        <v>1.4507608443618711E-2</v>
      </c>
      <c r="R50" s="10">
        <f>0.0159*O50^0.75</f>
        <v>6.6183528454387561E-2</v>
      </c>
      <c r="S50" s="10">
        <f>Q50+R50</f>
        <v>8.0691136898006277E-2</v>
      </c>
    </row>
    <row r="51" spans="1:19" x14ac:dyDescent="0.25">
      <c r="J51" s="16">
        <f>AVERAGE(J48:J50)</f>
        <v>2363.3333333333335</v>
      </c>
      <c r="K51" s="12">
        <f t="shared" ref="K51:S51" si="14">AVERAGE(K48:K50)</f>
        <v>32.433333333333337</v>
      </c>
      <c r="L51" s="12">
        <f t="shared" si="14"/>
        <v>73.657210042630794</v>
      </c>
      <c r="M51" s="11" t="e">
        <f t="shared" si="14"/>
        <v>#DIV/0!</v>
      </c>
      <c r="N51" s="11">
        <f t="shared" si="14"/>
        <v>4</v>
      </c>
      <c r="O51" s="13">
        <f t="shared" si="14"/>
        <v>8.0082557504628351</v>
      </c>
      <c r="P51" s="13">
        <f t="shared" si="14"/>
        <v>0.83285859804813456</v>
      </c>
      <c r="Q51" s="14">
        <f t="shared" si="14"/>
        <v>1.7351220792669472E-2</v>
      </c>
      <c r="R51" s="14">
        <f t="shared" si="14"/>
        <v>7.5561776596805949E-2</v>
      </c>
      <c r="S51" s="14">
        <f t="shared" si="14"/>
        <v>9.2912997389475407E-2</v>
      </c>
    </row>
    <row r="52" spans="1:19" x14ac:dyDescent="0.25">
      <c r="A52" s="5" t="s">
        <v>22</v>
      </c>
      <c r="B52" s="5" t="s">
        <v>63</v>
      </c>
      <c r="C52" s="5" t="s">
        <v>27</v>
      </c>
      <c r="D52" s="5" t="s">
        <v>385</v>
      </c>
      <c r="E52" s="5" t="s">
        <v>387</v>
      </c>
      <c r="F52" s="5" t="s">
        <v>52</v>
      </c>
      <c r="G52" s="5" t="s">
        <v>386</v>
      </c>
      <c r="H52" s="5" t="s">
        <v>98</v>
      </c>
      <c r="I52" s="5" t="s">
        <v>99</v>
      </c>
      <c r="J52" s="15">
        <v>2450</v>
      </c>
      <c r="K52" s="7">
        <v>31</v>
      </c>
      <c r="L52" s="7">
        <f>J52/K52</f>
        <v>79.032258064516128</v>
      </c>
      <c r="M52" s="5" t="s">
        <v>10</v>
      </c>
      <c r="N52" s="5">
        <v>4</v>
      </c>
      <c r="O52" s="6">
        <f>(J52*L52^2)/(1.6*10^6)</f>
        <v>9.5643372788761702</v>
      </c>
      <c r="P52" s="6">
        <f>(0.104*J52*L52^2)/(1.6*10^6)</f>
        <v>0.99469107700312165</v>
      </c>
      <c r="Q52" s="10">
        <f>(0.104*O52)/(12*N52)</f>
        <v>2.0722730770898368E-2</v>
      </c>
      <c r="R52" s="10">
        <f>0.0159*O52^0.75</f>
        <v>8.6474545162582434E-2</v>
      </c>
      <c r="S52" s="10">
        <f>Q52+R52</f>
        <v>0.1071972759334808</v>
      </c>
    </row>
    <row r="53" spans="1:19" x14ac:dyDescent="0.25">
      <c r="A53" s="5" t="s">
        <v>8</v>
      </c>
      <c r="B53" s="5" t="s">
        <v>319</v>
      </c>
      <c r="C53" s="5" t="s">
        <v>27</v>
      </c>
      <c r="D53" s="5" t="s">
        <v>385</v>
      </c>
      <c r="E53" s="5" t="s">
        <v>387</v>
      </c>
      <c r="F53" s="5" t="s">
        <v>52</v>
      </c>
      <c r="G53" s="5" t="s">
        <v>386</v>
      </c>
      <c r="H53" s="5" t="s">
        <v>98</v>
      </c>
      <c r="I53" s="5" t="s">
        <v>99</v>
      </c>
      <c r="J53" s="15">
        <v>2431</v>
      </c>
      <c r="K53" s="7">
        <v>31</v>
      </c>
      <c r="L53" s="7">
        <f>J53/K53</f>
        <v>78.41935483870968</v>
      </c>
      <c r="M53" s="5" t="s">
        <v>10</v>
      </c>
      <c r="N53" s="5">
        <v>4</v>
      </c>
      <c r="O53" s="6">
        <f>(J53*L53^2)/(1.6*10^6)</f>
        <v>9.3435412272372531</v>
      </c>
      <c r="P53" s="6">
        <f>(0.104*J53*L53^2)/(1.6*10^6)</f>
        <v>0.97172828763267438</v>
      </c>
      <c r="Q53" s="10">
        <f>(0.104*O53)/(12*N53)</f>
        <v>2.0244339325680715E-2</v>
      </c>
      <c r="R53" s="10">
        <f>0.0159*O53^0.75</f>
        <v>8.497296136544169E-2</v>
      </c>
      <c r="S53" s="10">
        <f>Q53+R53</f>
        <v>0.10521730069112241</v>
      </c>
    </row>
    <row r="54" spans="1:19" x14ac:dyDescent="0.25">
      <c r="A54" s="5" t="s">
        <v>8</v>
      </c>
      <c r="B54" s="5" t="s">
        <v>319</v>
      </c>
      <c r="C54" s="5" t="s">
        <v>27</v>
      </c>
      <c r="D54" s="5" t="s">
        <v>385</v>
      </c>
      <c r="E54" s="5" t="s">
        <v>387</v>
      </c>
      <c r="F54" s="5" t="s">
        <v>52</v>
      </c>
      <c r="G54" s="5" t="s">
        <v>386</v>
      </c>
      <c r="H54" s="5" t="s">
        <v>98</v>
      </c>
      <c r="I54" s="5" t="s">
        <v>321</v>
      </c>
      <c r="J54" s="15">
        <v>2650</v>
      </c>
      <c r="K54" s="7">
        <v>28</v>
      </c>
      <c r="L54" s="7">
        <f>J54/K54</f>
        <v>94.642857142857139</v>
      </c>
      <c r="M54" s="5" t="s">
        <v>10</v>
      </c>
      <c r="N54" s="5">
        <v>4</v>
      </c>
      <c r="O54" s="6">
        <f>(J54*L54^2)/(1.6*10^6)</f>
        <v>14.835479113520405</v>
      </c>
      <c r="P54" s="6">
        <f>(0.104*J54*L54^2)/(1.6*10^6)</f>
        <v>1.5428898278061218</v>
      </c>
      <c r="Q54" s="10">
        <f>(0.104*O54)/(12*N54)</f>
        <v>3.2143538079294209E-2</v>
      </c>
      <c r="R54" s="10">
        <f>0.0159*O54^0.75</f>
        <v>0.12019137585847466</v>
      </c>
      <c r="S54" s="10">
        <f>Q54+R54</f>
        <v>0.15233491393776888</v>
      </c>
    </row>
    <row r="55" spans="1:19" x14ac:dyDescent="0.25">
      <c r="J55" s="16">
        <f>AVERAGE(J52:J54)</f>
        <v>2510.3333333333335</v>
      </c>
      <c r="K55" s="12">
        <f t="shared" ref="K55:S55" si="15">AVERAGE(K52:K54)</f>
        <v>30</v>
      </c>
      <c r="L55" s="12">
        <f t="shared" si="15"/>
        <v>84.031490015360973</v>
      </c>
      <c r="M55" s="11" t="e">
        <f t="shared" si="15"/>
        <v>#DIV/0!</v>
      </c>
      <c r="N55" s="11">
        <f t="shared" si="15"/>
        <v>4</v>
      </c>
      <c r="O55" s="13">
        <f t="shared" si="15"/>
        <v>11.247785873211276</v>
      </c>
      <c r="P55" s="13">
        <f t="shared" si="15"/>
        <v>1.1697697308139725</v>
      </c>
      <c r="Q55" s="14">
        <f t="shared" si="15"/>
        <v>2.4370202725291099E-2</v>
      </c>
      <c r="R55" s="14">
        <f t="shared" si="15"/>
        <v>9.7212960795499584E-2</v>
      </c>
      <c r="S55" s="14">
        <f t="shared" si="15"/>
        <v>0.1215831635207907</v>
      </c>
    </row>
    <row r="56" spans="1:19" x14ac:dyDescent="0.25">
      <c r="A56" s="5" t="s">
        <v>22</v>
      </c>
      <c r="B56" s="5" t="s">
        <v>63</v>
      </c>
      <c r="C56" s="5" t="s">
        <v>27</v>
      </c>
      <c r="D56" s="5" t="s">
        <v>385</v>
      </c>
      <c r="E56" s="5" t="s">
        <v>387</v>
      </c>
      <c r="F56" s="5" t="s">
        <v>52</v>
      </c>
      <c r="G56" s="5" t="s">
        <v>386</v>
      </c>
      <c r="H56" s="5" t="s">
        <v>100</v>
      </c>
      <c r="I56" s="5" t="s">
        <v>101</v>
      </c>
      <c r="J56" s="16">
        <v>2700</v>
      </c>
      <c r="K56" s="12">
        <v>41</v>
      </c>
      <c r="L56" s="12">
        <f>J56/K56</f>
        <v>65.853658536585371</v>
      </c>
      <c r="M56" s="11" t="s">
        <v>10</v>
      </c>
      <c r="N56" s="11">
        <v>4</v>
      </c>
      <c r="O56" s="13">
        <f>(J56*L56^2)/(1.6*10^6)</f>
        <v>7.3181885782272476</v>
      </c>
      <c r="P56" s="13">
        <f>(0.104*J56*L56^2)/(1.6*10^6)</f>
        <v>0.76109161213563381</v>
      </c>
      <c r="Q56" s="14">
        <f>(0.104*O56)/(12*N56)</f>
        <v>1.5856075252825702E-2</v>
      </c>
      <c r="R56" s="14">
        <f>0.0159*O56^0.75</f>
        <v>7.0745663102872419E-2</v>
      </c>
      <c r="S56" s="14">
        <f>Q56+R56</f>
        <v>8.6601738355698121E-2</v>
      </c>
    </row>
    <row r="58" spans="1:19" x14ac:dyDescent="0.25">
      <c r="A58" s="5" t="s">
        <v>22</v>
      </c>
      <c r="B58" s="5" t="s">
        <v>63</v>
      </c>
      <c r="C58" s="5" t="s">
        <v>27</v>
      </c>
      <c r="D58" s="5" t="s">
        <v>385</v>
      </c>
      <c r="E58" s="5" t="s">
        <v>387</v>
      </c>
      <c r="F58" s="5" t="s">
        <v>52</v>
      </c>
      <c r="G58" s="5" t="s">
        <v>394</v>
      </c>
      <c r="H58" s="5" t="s">
        <v>104</v>
      </c>
      <c r="I58" s="5" t="s">
        <v>105</v>
      </c>
      <c r="J58" s="15">
        <v>1050</v>
      </c>
      <c r="K58" s="7">
        <v>35</v>
      </c>
      <c r="L58" s="7">
        <f>J58/K58</f>
        <v>30</v>
      </c>
      <c r="M58" s="5" t="s">
        <v>10</v>
      </c>
      <c r="N58" s="5">
        <v>4</v>
      </c>
      <c r="O58" s="6">
        <f>(J58*L58^2)/(1.6*10^6)</f>
        <v>0.59062499999999996</v>
      </c>
      <c r="P58" s="6">
        <f>(0.104*J58*L58^2)/(1.6*10^6)</f>
        <v>6.1424999999999993E-2</v>
      </c>
      <c r="Q58" s="10">
        <f>(0.104*O58)/(12*N58)</f>
        <v>1.2796874999999998E-3</v>
      </c>
      <c r="R58" s="10">
        <f>0.0159*O58^0.75</f>
        <v>1.0712257254840325E-2</v>
      </c>
      <c r="S58" s="10">
        <f>Q58+R58</f>
        <v>1.1991944754840325E-2</v>
      </c>
    </row>
    <row r="59" spans="1:19" x14ac:dyDescent="0.25">
      <c r="A59" s="5" t="s">
        <v>8</v>
      </c>
      <c r="B59" s="5" t="s">
        <v>161</v>
      </c>
      <c r="C59" s="5" t="s">
        <v>27</v>
      </c>
      <c r="D59" s="5" t="s">
        <v>385</v>
      </c>
      <c r="E59" s="5" t="s">
        <v>387</v>
      </c>
      <c r="F59" s="5" t="s">
        <v>52</v>
      </c>
      <c r="G59" s="5" t="s">
        <v>394</v>
      </c>
      <c r="H59" s="5" t="s">
        <v>104</v>
      </c>
      <c r="I59" s="5" t="s">
        <v>105</v>
      </c>
      <c r="J59" s="15">
        <v>920</v>
      </c>
      <c r="K59" s="7">
        <v>27</v>
      </c>
      <c r="L59" s="7">
        <f>J59/K59</f>
        <v>34.074074074074076</v>
      </c>
      <c r="M59" s="5" t="s">
        <v>10</v>
      </c>
      <c r="N59" s="5">
        <v>4</v>
      </c>
      <c r="O59" s="6">
        <f>(J59*L59^2)/(1.6*10^6)</f>
        <v>0.66759945130315512</v>
      </c>
      <c r="P59" s="6">
        <f>(0.104*J59*L59^2)/(1.6*10^6)</f>
        <v>6.9430342935528119E-2</v>
      </c>
      <c r="Q59" s="10">
        <f>(0.104*O59)/(12*N59)</f>
        <v>1.4464654778235028E-3</v>
      </c>
      <c r="R59" s="10">
        <f>0.0159*O59^0.75</f>
        <v>1.1743136325585789E-2</v>
      </c>
      <c r="S59" s="10">
        <f>Q59+R59</f>
        <v>1.3189601803409291E-2</v>
      </c>
    </row>
    <row r="60" spans="1:19" x14ac:dyDescent="0.25">
      <c r="J60" s="16">
        <f>AVERAGE(J58:J59)</f>
        <v>985</v>
      </c>
      <c r="K60" s="12">
        <f t="shared" ref="K60:S60" si="16">AVERAGE(K58:K59)</f>
        <v>31</v>
      </c>
      <c r="L60" s="12">
        <f t="shared" si="16"/>
        <v>32.037037037037038</v>
      </c>
      <c r="M60" s="11" t="e">
        <f t="shared" si="16"/>
        <v>#DIV/0!</v>
      </c>
      <c r="N60" s="11">
        <f t="shared" si="16"/>
        <v>4</v>
      </c>
      <c r="O60" s="13">
        <f t="shared" si="16"/>
        <v>0.62911222565157754</v>
      </c>
      <c r="P60" s="13">
        <f t="shared" si="16"/>
        <v>6.5427671467764056E-2</v>
      </c>
      <c r="Q60" s="14">
        <f t="shared" si="16"/>
        <v>1.3630764889117513E-3</v>
      </c>
      <c r="R60" s="14">
        <f t="shared" si="16"/>
        <v>1.1227696790213057E-2</v>
      </c>
      <c r="S60" s="14">
        <f t="shared" si="16"/>
        <v>1.2590773279124808E-2</v>
      </c>
    </row>
    <row r="61" spans="1:19" x14ac:dyDescent="0.25">
      <c r="A61" s="5" t="s">
        <v>22</v>
      </c>
      <c r="B61" s="5" t="s">
        <v>63</v>
      </c>
      <c r="C61" s="5" t="s">
        <v>27</v>
      </c>
      <c r="D61" s="5" t="s">
        <v>385</v>
      </c>
      <c r="E61" s="5" t="s">
        <v>387</v>
      </c>
      <c r="F61" s="5" t="s">
        <v>52</v>
      </c>
      <c r="G61" s="5" t="s">
        <v>394</v>
      </c>
      <c r="H61" s="5" t="s">
        <v>110</v>
      </c>
      <c r="I61" s="5" t="s">
        <v>111</v>
      </c>
      <c r="J61" s="15">
        <v>3420</v>
      </c>
      <c r="K61" s="7">
        <v>39.5</v>
      </c>
      <c r="L61" s="7">
        <f>J61/K61</f>
        <v>86.582278481012665</v>
      </c>
      <c r="M61" s="5" t="s">
        <v>10</v>
      </c>
      <c r="N61" s="5">
        <v>4</v>
      </c>
      <c r="O61" s="6">
        <f>(J61*L61^2)/(1.6*10^6)</f>
        <v>16.023749399134758</v>
      </c>
      <c r="P61" s="6">
        <f>(0.104*J61*L61^2)/(1.6*10^6)</f>
        <v>1.6664699375100145</v>
      </c>
      <c r="Q61" s="10">
        <f>(0.104*O61)/(12*N61)</f>
        <v>3.4718123698125304E-2</v>
      </c>
      <c r="R61" s="10">
        <f>0.0159*O61^0.75</f>
        <v>0.1273415795347296</v>
      </c>
      <c r="S61" s="10">
        <f>Q61+R61</f>
        <v>0.1620597032328549</v>
      </c>
    </row>
    <row r="62" spans="1:19" x14ac:dyDescent="0.25">
      <c r="A62" s="5" t="s">
        <v>8</v>
      </c>
      <c r="B62" s="5" t="s">
        <v>161</v>
      </c>
      <c r="C62" s="5" t="s">
        <v>27</v>
      </c>
      <c r="D62" s="5" t="s">
        <v>385</v>
      </c>
      <c r="E62" s="5" t="s">
        <v>387</v>
      </c>
      <c r="F62" s="5" t="s">
        <v>52</v>
      </c>
      <c r="G62" s="5" t="s">
        <v>394</v>
      </c>
      <c r="H62" s="5" t="s">
        <v>110</v>
      </c>
      <c r="I62" s="5" t="s">
        <v>162</v>
      </c>
      <c r="J62" s="15">
        <v>2300</v>
      </c>
      <c r="K62" s="7">
        <v>44</v>
      </c>
      <c r="L62" s="7">
        <f>J62/K62</f>
        <v>52.272727272727273</v>
      </c>
      <c r="M62" s="5" t="s">
        <v>10</v>
      </c>
      <c r="N62" s="5">
        <v>4</v>
      </c>
      <c r="O62" s="6">
        <f>(J62*L62^2)/(1.6*10^6)</f>
        <v>3.9278796487603307</v>
      </c>
      <c r="P62" s="6">
        <f>(0.104*J62*L62^2)/(1.6*10^6)</f>
        <v>0.4084994834710744</v>
      </c>
      <c r="Q62" s="10">
        <f>(0.104*O62)/(12*N62)</f>
        <v>8.5104059056473839E-3</v>
      </c>
      <c r="R62" s="10">
        <f>0.0159*O62^0.75</f>
        <v>4.4362473572488702E-2</v>
      </c>
      <c r="S62" s="10">
        <f>Q62+R62</f>
        <v>5.2872879478136084E-2</v>
      </c>
    </row>
    <row r="63" spans="1:19" x14ac:dyDescent="0.25">
      <c r="A63" s="5" t="s">
        <v>8</v>
      </c>
      <c r="B63" s="5" t="s">
        <v>161</v>
      </c>
      <c r="C63" s="5" t="s">
        <v>27</v>
      </c>
      <c r="D63" s="5" t="s">
        <v>385</v>
      </c>
      <c r="E63" s="5" t="s">
        <v>387</v>
      </c>
      <c r="F63" s="5" t="s">
        <v>52</v>
      </c>
      <c r="G63" s="5" t="s">
        <v>394</v>
      </c>
      <c r="H63" s="5" t="s">
        <v>110</v>
      </c>
      <c r="I63" s="5" t="s">
        <v>162</v>
      </c>
      <c r="J63" s="15">
        <v>2630</v>
      </c>
      <c r="K63" s="7">
        <v>45</v>
      </c>
      <c r="L63" s="7">
        <f>J63/K63</f>
        <v>58.444444444444443</v>
      </c>
      <c r="M63" s="5" t="s">
        <v>10</v>
      </c>
      <c r="N63" s="5">
        <v>4</v>
      </c>
      <c r="O63" s="6">
        <f>(J63*L63^2)/(1.6*10^6)</f>
        <v>5.6146441358024681</v>
      </c>
      <c r="P63" s="6">
        <f>(0.104*J63*L63^2)/(1.6*10^6)</f>
        <v>0.58392299012345672</v>
      </c>
      <c r="Q63" s="10">
        <f>(0.104*O63)/(12*N63)</f>
        <v>1.2165062294238679E-2</v>
      </c>
      <c r="R63" s="10">
        <f>0.0159*O63^0.75</f>
        <v>5.799476604086666E-2</v>
      </c>
      <c r="S63" s="10">
        <f>Q63+R63</f>
        <v>7.015982833510534E-2</v>
      </c>
    </row>
    <row r="64" spans="1:19" x14ac:dyDescent="0.25">
      <c r="J64" s="16">
        <f>AVERAGE(J61:J63)</f>
        <v>2783.3333333333335</v>
      </c>
      <c r="K64" s="12">
        <f t="shared" ref="K64:S64" si="17">AVERAGE(K61:K63)</f>
        <v>42.833333333333336</v>
      </c>
      <c r="L64" s="12">
        <f t="shared" si="17"/>
        <v>65.766483399394801</v>
      </c>
      <c r="M64" s="11" t="e">
        <f t="shared" si="17"/>
        <v>#DIV/0!</v>
      </c>
      <c r="N64" s="11">
        <f t="shared" si="17"/>
        <v>4</v>
      </c>
      <c r="O64" s="13">
        <f t="shared" si="17"/>
        <v>8.5220910612325191</v>
      </c>
      <c r="P64" s="13">
        <f t="shared" si="17"/>
        <v>0.88629747036818196</v>
      </c>
      <c r="Q64" s="14">
        <f t="shared" si="17"/>
        <v>1.8464530632670454E-2</v>
      </c>
      <c r="R64" s="14">
        <f t="shared" si="17"/>
        <v>7.6566273049361658E-2</v>
      </c>
      <c r="S64" s="14">
        <f t="shared" si="17"/>
        <v>9.5030803682032094E-2</v>
      </c>
    </row>
    <row r="65" spans="1:19" x14ac:dyDescent="0.25">
      <c r="A65" s="5" t="s">
        <v>22</v>
      </c>
      <c r="B65" s="5" t="s">
        <v>63</v>
      </c>
      <c r="C65" s="5" t="s">
        <v>27</v>
      </c>
      <c r="D65" s="5" t="s">
        <v>385</v>
      </c>
      <c r="E65" s="5" t="s">
        <v>387</v>
      </c>
      <c r="F65" s="5" t="s">
        <v>52</v>
      </c>
      <c r="G65" s="5" t="s">
        <v>394</v>
      </c>
      <c r="H65" s="5" t="s">
        <v>56</v>
      </c>
      <c r="I65" s="5" t="s">
        <v>148</v>
      </c>
      <c r="J65" s="15">
        <v>2950</v>
      </c>
      <c r="K65" s="7">
        <v>29.5</v>
      </c>
      <c r="L65" s="7">
        <f t="shared" ref="L65:L84" si="18">J65/K65</f>
        <v>100</v>
      </c>
      <c r="M65" s="5" t="s">
        <v>10</v>
      </c>
      <c r="N65" s="5">
        <v>4</v>
      </c>
      <c r="O65" s="6">
        <f t="shared" ref="O65:O84" si="19">(J65*L65^2)/(1.6*10^6)</f>
        <v>18.4375</v>
      </c>
      <c r="P65" s="6">
        <f t="shared" ref="P65:P84" si="20">(0.104*J65*L65^2)/(1.6*10^6)</f>
        <v>1.9175</v>
      </c>
      <c r="Q65" s="10">
        <f t="shared" ref="Q65:Q84" si="21">(0.104*O65)/(12*N65)</f>
        <v>3.9947916666666666E-2</v>
      </c>
      <c r="R65" s="10">
        <f t="shared" ref="R65:R84" si="22">0.0159*O65^0.75</f>
        <v>0.14147302810302484</v>
      </c>
      <c r="S65" s="10">
        <f t="shared" ref="S65:S84" si="23">Q65+R65</f>
        <v>0.18142094476969151</v>
      </c>
    </row>
    <row r="66" spans="1:19" x14ac:dyDescent="0.25">
      <c r="A66" s="5" t="s">
        <v>22</v>
      </c>
      <c r="B66" s="5" t="s">
        <v>63</v>
      </c>
      <c r="C66" s="5" t="s">
        <v>27</v>
      </c>
      <c r="D66" s="5" t="s">
        <v>385</v>
      </c>
      <c r="E66" s="5" t="s">
        <v>387</v>
      </c>
      <c r="F66" s="5" t="s">
        <v>52</v>
      </c>
      <c r="G66" s="5" t="s">
        <v>394</v>
      </c>
      <c r="H66" s="5" t="s">
        <v>56</v>
      </c>
      <c r="I66" s="5" t="s">
        <v>149</v>
      </c>
      <c r="J66" s="15">
        <v>2150</v>
      </c>
      <c r="K66" s="7">
        <v>39</v>
      </c>
      <c r="L66" s="7">
        <f t="shared" si="18"/>
        <v>55.128205128205131</v>
      </c>
      <c r="M66" s="5" t="s">
        <v>10</v>
      </c>
      <c r="N66" s="5">
        <v>4</v>
      </c>
      <c r="O66" s="6">
        <f t="shared" si="19"/>
        <v>4.083816157133465</v>
      </c>
      <c r="P66" s="6">
        <f t="shared" si="20"/>
        <v>0.42471688034188038</v>
      </c>
      <c r="Q66" s="10">
        <f t="shared" si="21"/>
        <v>8.84826834045584E-3</v>
      </c>
      <c r="R66" s="10">
        <f t="shared" si="22"/>
        <v>4.5676914730833268E-2</v>
      </c>
      <c r="S66" s="10">
        <f t="shared" si="23"/>
        <v>5.4525183071289104E-2</v>
      </c>
    </row>
    <row r="67" spans="1:19" x14ac:dyDescent="0.25">
      <c r="A67" s="5" t="s">
        <v>22</v>
      </c>
      <c r="B67" s="5" t="s">
        <v>63</v>
      </c>
      <c r="C67" s="5" t="s">
        <v>27</v>
      </c>
      <c r="D67" s="5" t="s">
        <v>385</v>
      </c>
      <c r="E67" s="5" t="s">
        <v>387</v>
      </c>
      <c r="F67" s="5" t="s">
        <v>52</v>
      </c>
      <c r="G67" s="5" t="s">
        <v>394</v>
      </c>
      <c r="H67" s="5" t="s">
        <v>56</v>
      </c>
      <c r="I67" s="5" t="s">
        <v>103</v>
      </c>
      <c r="J67" s="15">
        <v>1650</v>
      </c>
      <c r="K67" s="7">
        <v>30.5</v>
      </c>
      <c r="L67" s="7">
        <f t="shared" si="18"/>
        <v>54.098360655737707</v>
      </c>
      <c r="M67" s="5" t="s">
        <v>10</v>
      </c>
      <c r="N67" s="5">
        <v>4</v>
      </c>
      <c r="O67" s="6">
        <f t="shared" si="19"/>
        <v>3.0180898951894655</v>
      </c>
      <c r="P67" s="6">
        <f t="shared" si="20"/>
        <v>0.31388134909970439</v>
      </c>
      <c r="Q67" s="10">
        <f t="shared" si="21"/>
        <v>6.5391947729105081E-3</v>
      </c>
      <c r="R67" s="10">
        <f t="shared" si="22"/>
        <v>3.6407952239914915E-2</v>
      </c>
      <c r="S67" s="10">
        <f t="shared" si="23"/>
        <v>4.2947147012825426E-2</v>
      </c>
    </row>
    <row r="68" spans="1:19" x14ac:dyDescent="0.25">
      <c r="A68" s="5" t="s">
        <v>8</v>
      </c>
      <c r="B68" s="5" t="s">
        <v>329</v>
      </c>
      <c r="C68" s="5" t="s">
        <v>27</v>
      </c>
      <c r="D68" s="5" t="s">
        <v>385</v>
      </c>
      <c r="E68" s="5" t="s">
        <v>387</v>
      </c>
      <c r="F68" s="5" t="s">
        <v>52</v>
      </c>
      <c r="G68" s="5" t="s">
        <v>394</v>
      </c>
      <c r="H68" s="5" t="s">
        <v>56</v>
      </c>
      <c r="I68" s="5" t="s">
        <v>103</v>
      </c>
      <c r="J68" s="15">
        <v>1260</v>
      </c>
      <c r="K68" s="7">
        <v>34</v>
      </c>
      <c r="L68" s="7">
        <f t="shared" si="18"/>
        <v>37.058823529411768</v>
      </c>
      <c r="M68" s="5" t="s">
        <v>10</v>
      </c>
      <c r="N68" s="5">
        <v>4</v>
      </c>
      <c r="O68" s="6">
        <f t="shared" si="19"/>
        <v>1.0815181660899655</v>
      </c>
      <c r="P68" s="6">
        <f t="shared" si="20"/>
        <v>0.11247788927335642</v>
      </c>
      <c r="Q68" s="10">
        <f t="shared" si="21"/>
        <v>2.3432893598615916E-3</v>
      </c>
      <c r="R68" s="10">
        <f t="shared" si="22"/>
        <v>1.6862520407650464E-2</v>
      </c>
      <c r="S68" s="10">
        <f t="shared" si="23"/>
        <v>1.9205809767512055E-2</v>
      </c>
    </row>
    <row r="69" spans="1:19" x14ac:dyDescent="0.25">
      <c r="A69" s="5" t="s">
        <v>8</v>
      </c>
      <c r="B69" s="5" t="s">
        <v>296</v>
      </c>
      <c r="C69" s="5" t="s">
        <v>27</v>
      </c>
      <c r="D69" s="5" t="s">
        <v>385</v>
      </c>
      <c r="E69" s="5" t="s">
        <v>387</v>
      </c>
      <c r="F69" s="5" t="s">
        <v>52</v>
      </c>
      <c r="G69" s="5" t="s">
        <v>394</v>
      </c>
      <c r="H69" s="5" t="s">
        <v>56</v>
      </c>
      <c r="I69" s="5" t="s">
        <v>298</v>
      </c>
      <c r="J69" s="15">
        <v>1540</v>
      </c>
      <c r="K69" s="7">
        <v>22</v>
      </c>
      <c r="L69" s="7">
        <f t="shared" si="18"/>
        <v>70</v>
      </c>
      <c r="M69" s="5" t="s">
        <v>10</v>
      </c>
      <c r="N69" s="5">
        <v>4</v>
      </c>
      <c r="O69" s="6">
        <f t="shared" si="19"/>
        <v>4.7162499999999996</v>
      </c>
      <c r="P69" s="6">
        <f t="shared" si="20"/>
        <v>0.49048999999999998</v>
      </c>
      <c r="Q69" s="10">
        <f t="shared" si="21"/>
        <v>1.0218541666666666E-2</v>
      </c>
      <c r="R69" s="10">
        <f t="shared" si="22"/>
        <v>5.0885581049188403E-2</v>
      </c>
      <c r="S69" s="10">
        <f t="shared" si="23"/>
        <v>6.1104122715855066E-2</v>
      </c>
    </row>
    <row r="70" spans="1:19" x14ac:dyDescent="0.25">
      <c r="A70" s="5" t="s">
        <v>8</v>
      </c>
      <c r="B70" s="5" t="s">
        <v>231</v>
      </c>
      <c r="C70" s="5" t="s">
        <v>27</v>
      </c>
      <c r="D70" s="5" t="s">
        <v>385</v>
      </c>
      <c r="E70" s="5" t="s">
        <v>387</v>
      </c>
      <c r="F70" s="5" t="s">
        <v>52</v>
      </c>
      <c r="G70" s="5" t="s">
        <v>394</v>
      </c>
      <c r="H70" s="5" t="s">
        <v>56</v>
      </c>
      <c r="I70" s="5" t="s">
        <v>218</v>
      </c>
      <c r="J70" s="15">
        <v>1510</v>
      </c>
      <c r="K70" s="7">
        <v>26</v>
      </c>
      <c r="L70" s="7">
        <f t="shared" si="18"/>
        <v>58.07692307692308</v>
      </c>
      <c r="M70" s="5" t="s">
        <v>10</v>
      </c>
      <c r="N70" s="5">
        <v>4</v>
      </c>
      <c r="O70" s="6">
        <f t="shared" si="19"/>
        <v>3.183201738165681</v>
      </c>
      <c r="P70" s="6">
        <f t="shared" si="20"/>
        <v>0.33105298076923079</v>
      </c>
      <c r="Q70" s="10">
        <f t="shared" si="21"/>
        <v>6.8969370993589747E-3</v>
      </c>
      <c r="R70" s="10">
        <f t="shared" si="22"/>
        <v>3.7891800910019258E-2</v>
      </c>
      <c r="S70" s="10">
        <f t="shared" si="23"/>
        <v>4.4788738009378229E-2</v>
      </c>
    </row>
    <row r="71" spans="1:19" x14ac:dyDescent="0.25">
      <c r="A71" s="5" t="s">
        <v>8</v>
      </c>
      <c r="B71" s="5" t="s">
        <v>165</v>
      </c>
      <c r="C71" s="5" t="s">
        <v>27</v>
      </c>
      <c r="D71" s="5" t="s">
        <v>385</v>
      </c>
      <c r="E71" s="5" t="s">
        <v>387</v>
      </c>
      <c r="F71" s="5" t="s">
        <v>52</v>
      </c>
      <c r="G71" s="5" t="s">
        <v>394</v>
      </c>
      <c r="H71" s="5" t="s">
        <v>56</v>
      </c>
      <c r="I71" s="5" t="s">
        <v>169</v>
      </c>
      <c r="J71" s="15">
        <v>2160</v>
      </c>
      <c r="K71" s="7">
        <v>31</v>
      </c>
      <c r="L71" s="7">
        <f t="shared" si="18"/>
        <v>69.677419354838705</v>
      </c>
      <c r="M71" s="5" t="s">
        <v>10</v>
      </c>
      <c r="N71" s="5">
        <v>4</v>
      </c>
      <c r="O71" s="6">
        <f t="shared" si="19"/>
        <v>6.5541727367325695</v>
      </c>
      <c r="P71" s="6">
        <f t="shared" si="20"/>
        <v>0.68163396462018722</v>
      </c>
      <c r="Q71" s="10">
        <f t="shared" si="21"/>
        <v>1.42007075962539E-2</v>
      </c>
      <c r="R71" s="10">
        <f t="shared" si="22"/>
        <v>6.5130668631830216E-2</v>
      </c>
      <c r="S71" s="10">
        <f t="shared" si="23"/>
        <v>7.9331376228084116E-2</v>
      </c>
    </row>
    <row r="72" spans="1:19" x14ac:dyDescent="0.25">
      <c r="A72" s="5" t="s">
        <v>8</v>
      </c>
      <c r="B72" s="5" t="s">
        <v>161</v>
      </c>
      <c r="C72" s="5" t="s">
        <v>27</v>
      </c>
      <c r="D72" s="5" t="s">
        <v>385</v>
      </c>
      <c r="E72" s="5" t="s">
        <v>387</v>
      </c>
      <c r="F72" s="5" t="s">
        <v>52</v>
      </c>
      <c r="G72" s="5" t="s">
        <v>394</v>
      </c>
      <c r="H72" s="5" t="s">
        <v>56</v>
      </c>
      <c r="I72" s="5" t="s">
        <v>164</v>
      </c>
      <c r="J72" s="15">
        <v>2010</v>
      </c>
      <c r="K72" s="7">
        <v>25</v>
      </c>
      <c r="L72" s="7">
        <f t="shared" si="18"/>
        <v>80.400000000000006</v>
      </c>
      <c r="M72" s="5" t="s">
        <v>10</v>
      </c>
      <c r="N72" s="5">
        <v>4</v>
      </c>
      <c r="O72" s="6">
        <f t="shared" si="19"/>
        <v>8.1206010000000006</v>
      </c>
      <c r="P72" s="6">
        <f t="shared" si="20"/>
        <v>0.84454250400000008</v>
      </c>
      <c r="Q72" s="10">
        <f t="shared" si="21"/>
        <v>1.7594635500000001E-2</v>
      </c>
      <c r="R72" s="10">
        <f t="shared" si="22"/>
        <v>7.6487110304618008E-2</v>
      </c>
      <c r="S72" s="10">
        <f t="shared" si="23"/>
        <v>9.4081745804618006E-2</v>
      </c>
    </row>
    <row r="73" spans="1:19" x14ac:dyDescent="0.25">
      <c r="A73" s="5" t="s">
        <v>22</v>
      </c>
      <c r="B73" s="5" t="s">
        <v>63</v>
      </c>
      <c r="C73" s="5" t="s">
        <v>27</v>
      </c>
      <c r="D73" s="5" t="s">
        <v>385</v>
      </c>
      <c r="E73" s="5" t="s">
        <v>387</v>
      </c>
      <c r="F73" s="5" t="s">
        <v>52</v>
      </c>
      <c r="G73" s="5" t="s">
        <v>394</v>
      </c>
      <c r="H73" s="5" t="s">
        <v>56</v>
      </c>
      <c r="I73" s="5" t="s">
        <v>150</v>
      </c>
      <c r="J73" s="15">
        <v>1795</v>
      </c>
      <c r="K73" s="7">
        <v>26</v>
      </c>
      <c r="L73" s="7">
        <f t="shared" si="18"/>
        <v>69.038461538461533</v>
      </c>
      <c r="M73" s="5" t="s">
        <v>10</v>
      </c>
      <c r="N73" s="5">
        <v>4</v>
      </c>
      <c r="O73" s="6">
        <f t="shared" si="19"/>
        <v>5.3472031018860937</v>
      </c>
      <c r="P73" s="6">
        <f t="shared" si="20"/>
        <v>0.55610912259615364</v>
      </c>
      <c r="Q73" s="10">
        <f t="shared" si="21"/>
        <v>1.1585606720753204E-2</v>
      </c>
      <c r="R73" s="10">
        <f t="shared" si="22"/>
        <v>5.5910340147592871E-2</v>
      </c>
      <c r="S73" s="10">
        <f t="shared" si="23"/>
        <v>6.7495946868346077E-2</v>
      </c>
    </row>
    <row r="74" spans="1:19" x14ac:dyDescent="0.25">
      <c r="A74" s="5" t="s">
        <v>22</v>
      </c>
      <c r="B74" s="5" t="s">
        <v>26</v>
      </c>
      <c r="C74" s="5" t="s">
        <v>27</v>
      </c>
      <c r="D74" s="5" t="s">
        <v>385</v>
      </c>
      <c r="E74" s="5" t="s">
        <v>387</v>
      </c>
      <c r="F74" s="5" t="s">
        <v>52</v>
      </c>
      <c r="G74" s="5" t="s">
        <v>394</v>
      </c>
      <c r="H74" s="5" t="s">
        <v>56</v>
      </c>
      <c r="I74" s="5" t="s">
        <v>57</v>
      </c>
      <c r="J74" s="15">
        <v>1800</v>
      </c>
      <c r="K74" s="7">
        <v>31</v>
      </c>
      <c r="L74" s="7">
        <f t="shared" si="18"/>
        <v>58.064516129032256</v>
      </c>
      <c r="M74" s="5" t="s">
        <v>10</v>
      </c>
      <c r="N74" s="5">
        <v>4</v>
      </c>
      <c r="O74" s="6">
        <f t="shared" si="19"/>
        <v>3.7929240374609781</v>
      </c>
      <c r="P74" s="6">
        <f t="shared" si="20"/>
        <v>0.39446409989594167</v>
      </c>
      <c r="Q74" s="10">
        <f t="shared" si="21"/>
        <v>8.2180020811654531E-3</v>
      </c>
      <c r="R74" s="10">
        <f t="shared" si="22"/>
        <v>4.3214324927592522E-2</v>
      </c>
      <c r="S74" s="10">
        <f t="shared" si="23"/>
        <v>5.1432327008757973E-2</v>
      </c>
    </row>
    <row r="75" spans="1:19" x14ac:dyDescent="0.25">
      <c r="A75" s="5" t="s">
        <v>8</v>
      </c>
      <c r="B75" s="5" t="s">
        <v>187</v>
      </c>
      <c r="C75" s="5" t="s">
        <v>27</v>
      </c>
      <c r="D75" s="5" t="s">
        <v>385</v>
      </c>
      <c r="E75" s="5" t="s">
        <v>387</v>
      </c>
      <c r="F75" s="5" t="s">
        <v>52</v>
      </c>
      <c r="G75" s="5" t="s">
        <v>394</v>
      </c>
      <c r="H75" s="5" t="s">
        <v>56</v>
      </c>
      <c r="I75" s="5" t="s">
        <v>57</v>
      </c>
      <c r="J75" s="15">
        <v>2110</v>
      </c>
      <c r="K75" s="7">
        <v>31.7</v>
      </c>
      <c r="L75" s="7">
        <f t="shared" si="18"/>
        <v>66.561514195583598</v>
      </c>
      <c r="M75" s="5" t="s">
        <v>10</v>
      </c>
      <c r="N75" s="5">
        <v>4</v>
      </c>
      <c r="O75" s="6">
        <f t="shared" si="19"/>
        <v>5.842636383086707</v>
      </c>
      <c r="P75" s="6">
        <f t="shared" si="20"/>
        <v>0.60763418384101753</v>
      </c>
      <c r="Q75" s="10">
        <f t="shared" si="21"/>
        <v>1.2659045496687865E-2</v>
      </c>
      <c r="R75" s="10">
        <f t="shared" si="22"/>
        <v>5.9752181885174414E-2</v>
      </c>
      <c r="S75" s="10">
        <f t="shared" si="23"/>
        <v>7.2411227381862286E-2</v>
      </c>
    </row>
    <row r="76" spans="1:19" x14ac:dyDescent="0.25">
      <c r="A76" s="5" t="s">
        <v>8</v>
      </c>
      <c r="B76" s="5" t="s">
        <v>187</v>
      </c>
      <c r="C76" s="5" t="s">
        <v>27</v>
      </c>
      <c r="D76" s="5" t="s">
        <v>385</v>
      </c>
      <c r="E76" s="5" t="s">
        <v>387</v>
      </c>
      <c r="F76" s="5" t="s">
        <v>52</v>
      </c>
      <c r="G76" s="5" t="s">
        <v>394</v>
      </c>
      <c r="H76" s="5" t="s">
        <v>56</v>
      </c>
      <c r="I76" s="5" t="s">
        <v>57</v>
      </c>
      <c r="J76" s="15">
        <v>2090</v>
      </c>
      <c r="K76" s="7">
        <v>30</v>
      </c>
      <c r="L76" s="7">
        <f t="shared" si="18"/>
        <v>69.666666666666671</v>
      </c>
      <c r="M76" s="5" t="s">
        <v>10</v>
      </c>
      <c r="N76" s="5">
        <v>4</v>
      </c>
      <c r="O76" s="6">
        <f t="shared" si="19"/>
        <v>6.3398118055555566</v>
      </c>
      <c r="P76" s="6">
        <f t="shared" si="20"/>
        <v>0.65934042777777779</v>
      </c>
      <c r="Q76" s="10">
        <f t="shared" si="21"/>
        <v>1.3736258912037039E-2</v>
      </c>
      <c r="R76" s="10">
        <f t="shared" si="22"/>
        <v>6.3526422548826608E-2</v>
      </c>
      <c r="S76" s="10">
        <f t="shared" si="23"/>
        <v>7.7262681460863653E-2</v>
      </c>
    </row>
    <row r="77" spans="1:19" x14ac:dyDescent="0.25">
      <c r="A77" s="5" t="s">
        <v>8</v>
      </c>
      <c r="B77" s="5" t="s">
        <v>187</v>
      </c>
      <c r="C77" s="5" t="s">
        <v>27</v>
      </c>
      <c r="D77" s="5" t="s">
        <v>385</v>
      </c>
      <c r="E77" s="5" t="s">
        <v>387</v>
      </c>
      <c r="F77" s="5" t="s">
        <v>52</v>
      </c>
      <c r="G77" s="5" t="s">
        <v>394</v>
      </c>
      <c r="H77" s="5" t="s">
        <v>56</v>
      </c>
      <c r="I77" s="5" t="s">
        <v>57</v>
      </c>
      <c r="J77" s="15">
        <v>1980</v>
      </c>
      <c r="K77" s="7">
        <v>30.4</v>
      </c>
      <c r="L77" s="7">
        <f t="shared" si="18"/>
        <v>65.131578947368425</v>
      </c>
      <c r="M77" s="5" t="s">
        <v>10</v>
      </c>
      <c r="N77" s="5">
        <v>4</v>
      </c>
      <c r="O77" s="6">
        <f t="shared" si="19"/>
        <v>5.2496266880193909</v>
      </c>
      <c r="P77" s="6">
        <f t="shared" si="20"/>
        <v>0.54596117555401669</v>
      </c>
      <c r="Q77" s="10">
        <f t="shared" si="21"/>
        <v>1.1374191157375346E-2</v>
      </c>
      <c r="R77" s="10">
        <f t="shared" si="22"/>
        <v>5.5143387293808285E-2</v>
      </c>
      <c r="S77" s="10">
        <f t="shared" si="23"/>
        <v>6.6517578451183626E-2</v>
      </c>
    </row>
    <row r="78" spans="1:19" x14ac:dyDescent="0.25">
      <c r="A78" s="5" t="s">
        <v>8</v>
      </c>
      <c r="B78" s="5" t="s">
        <v>187</v>
      </c>
      <c r="C78" s="5" t="s">
        <v>27</v>
      </c>
      <c r="D78" s="5" t="s">
        <v>385</v>
      </c>
      <c r="E78" s="5" t="s">
        <v>387</v>
      </c>
      <c r="F78" s="5" t="s">
        <v>52</v>
      </c>
      <c r="G78" s="5" t="s">
        <v>394</v>
      </c>
      <c r="H78" s="5" t="s">
        <v>56</v>
      </c>
      <c r="I78" s="5" t="s">
        <v>57</v>
      </c>
      <c r="J78" s="15">
        <v>1980</v>
      </c>
      <c r="K78" s="7">
        <v>31.2</v>
      </c>
      <c r="L78" s="7">
        <f t="shared" si="18"/>
        <v>63.46153846153846</v>
      </c>
      <c r="M78" s="5" t="s">
        <v>10</v>
      </c>
      <c r="N78" s="5">
        <v>4</v>
      </c>
      <c r="O78" s="6">
        <f t="shared" si="19"/>
        <v>4.9838664940828403</v>
      </c>
      <c r="P78" s="6">
        <f t="shared" si="20"/>
        <v>0.51832211538461537</v>
      </c>
      <c r="Q78" s="10">
        <f t="shared" si="21"/>
        <v>1.0798377403846154E-2</v>
      </c>
      <c r="R78" s="10">
        <f t="shared" si="22"/>
        <v>5.3036141958594116E-2</v>
      </c>
      <c r="S78" s="10">
        <f t="shared" si="23"/>
        <v>6.3834519362440265E-2</v>
      </c>
    </row>
    <row r="79" spans="1:19" x14ac:dyDescent="0.25">
      <c r="A79" s="5" t="s">
        <v>8</v>
      </c>
      <c r="B79" s="5" t="s">
        <v>187</v>
      </c>
      <c r="C79" s="5" t="s">
        <v>27</v>
      </c>
      <c r="D79" s="5" t="s">
        <v>385</v>
      </c>
      <c r="E79" s="5" t="s">
        <v>387</v>
      </c>
      <c r="F79" s="5" t="s">
        <v>52</v>
      </c>
      <c r="G79" s="5" t="s">
        <v>394</v>
      </c>
      <c r="H79" s="5" t="s">
        <v>56</v>
      </c>
      <c r="I79" s="5" t="s">
        <v>57</v>
      </c>
      <c r="J79" s="15">
        <v>2200</v>
      </c>
      <c r="K79" s="7">
        <v>29</v>
      </c>
      <c r="L79" s="7">
        <f t="shared" si="18"/>
        <v>75.862068965517238</v>
      </c>
      <c r="M79" s="5" t="s">
        <v>10</v>
      </c>
      <c r="N79" s="5">
        <v>4</v>
      </c>
      <c r="O79" s="6">
        <f t="shared" si="19"/>
        <v>7.9131985731272296</v>
      </c>
      <c r="P79" s="6">
        <f t="shared" si="20"/>
        <v>0.82297265160523181</v>
      </c>
      <c r="Q79" s="10">
        <f t="shared" si="21"/>
        <v>1.7145263575108996E-2</v>
      </c>
      <c r="R79" s="10">
        <f t="shared" si="22"/>
        <v>7.501725564715013E-2</v>
      </c>
      <c r="S79" s="10">
        <f t="shared" si="23"/>
        <v>9.2162519222259126E-2</v>
      </c>
    </row>
    <row r="80" spans="1:19" x14ac:dyDescent="0.25">
      <c r="A80" s="5" t="s">
        <v>8</v>
      </c>
      <c r="B80" s="5" t="s">
        <v>187</v>
      </c>
      <c r="C80" s="5" t="s">
        <v>27</v>
      </c>
      <c r="D80" s="5" t="s">
        <v>385</v>
      </c>
      <c r="E80" s="5" t="s">
        <v>387</v>
      </c>
      <c r="F80" s="5" t="s">
        <v>52</v>
      </c>
      <c r="G80" s="5" t="s">
        <v>394</v>
      </c>
      <c r="H80" s="5" t="s">
        <v>56</v>
      </c>
      <c r="I80" s="5" t="s">
        <v>57</v>
      </c>
      <c r="J80" s="15">
        <v>2175</v>
      </c>
      <c r="K80" s="7">
        <v>31.3</v>
      </c>
      <c r="L80" s="7">
        <f t="shared" si="18"/>
        <v>69.488817891373799</v>
      </c>
      <c r="M80" s="5" t="s">
        <v>10</v>
      </c>
      <c r="N80" s="5">
        <v>4</v>
      </c>
      <c r="O80" s="6">
        <f t="shared" si="19"/>
        <v>6.5640083693566336</v>
      </c>
      <c r="P80" s="6">
        <f t="shared" si="20"/>
        <v>0.68265687041308976</v>
      </c>
      <c r="Q80" s="10">
        <f t="shared" si="21"/>
        <v>1.4222018133606039E-2</v>
      </c>
      <c r="R80" s="10">
        <f t="shared" si="22"/>
        <v>6.5203959487576693E-2</v>
      </c>
      <c r="S80" s="10">
        <f t="shared" si="23"/>
        <v>7.9425977621182725E-2</v>
      </c>
    </row>
    <row r="81" spans="1:19" x14ac:dyDescent="0.25">
      <c r="A81" s="5" t="s">
        <v>8</v>
      </c>
      <c r="B81" s="5" t="s">
        <v>291</v>
      </c>
      <c r="C81" s="5" t="s">
        <v>27</v>
      </c>
      <c r="D81" s="5" t="s">
        <v>385</v>
      </c>
      <c r="E81" s="5" t="s">
        <v>387</v>
      </c>
      <c r="F81" s="5" t="s">
        <v>52</v>
      </c>
      <c r="G81" s="5" t="s">
        <v>394</v>
      </c>
      <c r="H81" s="5" t="s">
        <v>56</v>
      </c>
      <c r="I81" s="5" t="s">
        <v>57</v>
      </c>
      <c r="J81" s="15">
        <v>1742</v>
      </c>
      <c r="K81" s="7">
        <v>24.9</v>
      </c>
      <c r="L81" s="7">
        <f t="shared" si="18"/>
        <v>69.959839357429729</v>
      </c>
      <c r="M81" s="5" t="s">
        <v>10</v>
      </c>
      <c r="N81" s="5">
        <v>4</v>
      </c>
      <c r="O81" s="6">
        <f t="shared" si="19"/>
        <v>5.3287552700762904</v>
      </c>
      <c r="P81" s="6">
        <f t="shared" si="20"/>
        <v>0.55419054808793411</v>
      </c>
      <c r="Q81" s="10">
        <f t="shared" si="21"/>
        <v>1.154563641849863E-2</v>
      </c>
      <c r="R81" s="10">
        <f t="shared" si="22"/>
        <v>5.5765609812803228E-2</v>
      </c>
      <c r="S81" s="10">
        <f t="shared" si="23"/>
        <v>6.7311246231301858E-2</v>
      </c>
    </row>
    <row r="82" spans="1:19" x14ac:dyDescent="0.25">
      <c r="A82" s="5" t="s">
        <v>8</v>
      </c>
      <c r="B82" s="5" t="s">
        <v>329</v>
      </c>
      <c r="C82" s="5" t="s">
        <v>27</v>
      </c>
      <c r="D82" s="5" t="s">
        <v>385</v>
      </c>
      <c r="E82" s="5" t="s">
        <v>387</v>
      </c>
      <c r="F82" s="5" t="s">
        <v>52</v>
      </c>
      <c r="G82" s="5" t="s">
        <v>394</v>
      </c>
      <c r="H82" s="5" t="s">
        <v>56</v>
      </c>
      <c r="I82" s="5" t="s">
        <v>94</v>
      </c>
      <c r="J82" s="15">
        <v>3680</v>
      </c>
      <c r="K82" s="7">
        <v>35.5</v>
      </c>
      <c r="L82" s="7">
        <f t="shared" si="18"/>
        <v>103.66197183098592</v>
      </c>
      <c r="M82" s="5" t="s">
        <v>10</v>
      </c>
      <c r="N82" s="5">
        <v>4</v>
      </c>
      <c r="O82" s="6">
        <f t="shared" si="19"/>
        <v>24.715350128942671</v>
      </c>
      <c r="P82" s="6">
        <f t="shared" si="20"/>
        <v>2.5703964134100374</v>
      </c>
      <c r="Q82" s="10">
        <f t="shared" si="21"/>
        <v>5.3549925279375778E-2</v>
      </c>
      <c r="R82" s="10">
        <f t="shared" si="22"/>
        <v>0.17624718927922817</v>
      </c>
      <c r="S82" s="10">
        <f t="shared" si="23"/>
        <v>0.22979711455860394</v>
      </c>
    </row>
    <row r="83" spans="1:19" x14ac:dyDescent="0.25">
      <c r="A83" s="5" t="s">
        <v>22</v>
      </c>
      <c r="B83" s="5" t="s">
        <v>63</v>
      </c>
      <c r="C83" s="5" t="s">
        <v>27</v>
      </c>
      <c r="D83" s="5" t="s">
        <v>385</v>
      </c>
      <c r="E83" s="5" t="s">
        <v>387</v>
      </c>
      <c r="F83" s="5" t="s">
        <v>52</v>
      </c>
      <c r="G83" s="5" t="s">
        <v>394</v>
      </c>
      <c r="H83" s="5" t="s">
        <v>56</v>
      </c>
      <c r="I83" s="5" t="s">
        <v>151</v>
      </c>
      <c r="J83" s="15">
        <v>3150</v>
      </c>
      <c r="K83" s="7">
        <v>32.5</v>
      </c>
      <c r="L83" s="7">
        <f t="shared" si="18"/>
        <v>96.92307692307692</v>
      </c>
      <c r="M83" s="5" t="s">
        <v>10</v>
      </c>
      <c r="N83" s="5">
        <v>4</v>
      </c>
      <c r="O83" s="6">
        <f t="shared" si="19"/>
        <v>18.494600591715976</v>
      </c>
      <c r="P83" s="6">
        <f t="shared" si="20"/>
        <v>1.9234384615384612</v>
      </c>
      <c r="Q83" s="10">
        <f t="shared" si="21"/>
        <v>4.0071634615384613E-2</v>
      </c>
      <c r="R83" s="10">
        <f t="shared" si="22"/>
        <v>0.14180150554274765</v>
      </c>
      <c r="S83" s="10">
        <f t="shared" si="23"/>
        <v>0.18187314015813227</v>
      </c>
    </row>
    <row r="84" spans="1:19" x14ac:dyDescent="0.25">
      <c r="A84" s="5" t="s">
        <v>8</v>
      </c>
      <c r="B84" s="5" t="s">
        <v>217</v>
      </c>
      <c r="C84" s="5" t="s">
        <v>27</v>
      </c>
      <c r="D84" s="5" t="s">
        <v>385</v>
      </c>
      <c r="E84" s="5" t="s">
        <v>387</v>
      </c>
      <c r="F84" s="5" t="s">
        <v>52</v>
      </c>
      <c r="G84" s="5" t="s">
        <v>394</v>
      </c>
      <c r="H84" s="5" t="s">
        <v>56</v>
      </c>
      <c r="I84" s="5" t="s">
        <v>151</v>
      </c>
      <c r="J84" s="15">
        <v>3100</v>
      </c>
      <c r="K84" s="7">
        <v>34.1</v>
      </c>
      <c r="L84" s="7">
        <f t="shared" si="18"/>
        <v>90.909090909090907</v>
      </c>
      <c r="M84" s="5" t="s">
        <v>10</v>
      </c>
      <c r="N84" s="5">
        <v>4</v>
      </c>
      <c r="O84" s="6">
        <f t="shared" si="19"/>
        <v>16.012396694214875</v>
      </c>
      <c r="P84" s="6">
        <f t="shared" si="20"/>
        <v>1.6652892561983468</v>
      </c>
      <c r="Q84" s="10">
        <f t="shared" si="21"/>
        <v>3.4693526170798898E-2</v>
      </c>
      <c r="R84" s="10">
        <f t="shared" si="22"/>
        <v>0.12727390813293155</v>
      </c>
      <c r="S84" s="10">
        <f t="shared" si="23"/>
        <v>0.16196743430373045</v>
      </c>
    </row>
    <row r="85" spans="1:19" x14ac:dyDescent="0.25">
      <c r="J85" s="16">
        <f t="shared" ref="J85:S85" si="24">AVERAGE(J65:J84)</f>
        <v>2151.6</v>
      </c>
      <c r="K85" s="12">
        <f t="shared" si="24"/>
        <v>30.23</v>
      </c>
      <c r="L85" s="12">
        <f t="shared" si="24"/>
        <v>71.158443678062099</v>
      </c>
      <c r="M85" s="11" t="e">
        <f t="shared" si="24"/>
        <v>#DIV/0!</v>
      </c>
      <c r="N85" s="11">
        <f t="shared" si="24"/>
        <v>4</v>
      </c>
      <c r="O85" s="13">
        <f t="shared" si="24"/>
        <v>7.9889763915418204</v>
      </c>
      <c r="P85" s="13">
        <f t="shared" si="24"/>
        <v>0.83085354472034934</v>
      </c>
      <c r="Q85" s="14">
        <f t="shared" si="24"/>
        <v>1.7309448848340608E-2</v>
      </c>
      <c r="R85" s="14">
        <f t="shared" si="24"/>
        <v>7.2135390152055279E-2</v>
      </c>
      <c r="S85" s="14">
        <f t="shared" si="24"/>
        <v>8.9444839000395904E-2</v>
      </c>
    </row>
    <row r="86" spans="1:19" x14ac:dyDescent="0.25">
      <c r="A86" s="5" t="s">
        <v>22</v>
      </c>
      <c r="B86" s="5" t="s">
        <v>63</v>
      </c>
      <c r="C86" s="5" t="s">
        <v>27</v>
      </c>
      <c r="D86" s="5" t="s">
        <v>385</v>
      </c>
      <c r="E86" s="5" t="s">
        <v>387</v>
      </c>
      <c r="F86" s="5" t="s">
        <v>52</v>
      </c>
      <c r="G86" s="5" t="s">
        <v>394</v>
      </c>
      <c r="H86" s="5" t="s">
        <v>106</v>
      </c>
      <c r="I86" s="5" t="s">
        <v>107</v>
      </c>
      <c r="J86" s="15">
        <v>1025</v>
      </c>
      <c r="K86" s="7">
        <v>23.5</v>
      </c>
      <c r="L86" s="7">
        <f>J86/K86</f>
        <v>43.617021276595743</v>
      </c>
      <c r="M86" s="5" t="s">
        <v>10</v>
      </c>
      <c r="N86" s="5">
        <v>4</v>
      </c>
      <c r="O86" s="6">
        <f>(J86*L86^2)/(1.6*10^6)</f>
        <v>1.2187535366681754</v>
      </c>
      <c r="P86" s="6">
        <f>(0.104*J86*L86^2)/(1.6*10^6)</f>
        <v>0.12675036781349025</v>
      </c>
      <c r="Q86" s="10">
        <f>(0.104*O86)/(12*N86)</f>
        <v>2.640632662781047E-3</v>
      </c>
      <c r="R86" s="10">
        <f>0.0159*O86^0.75</f>
        <v>1.8443105096462079E-2</v>
      </c>
      <c r="S86" s="10">
        <f>Q86+R86</f>
        <v>2.1083737759243125E-2</v>
      </c>
    </row>
    <row r="88" spans="1:19" x14ac:dyDescent="0.25">
      <c r="A88" s="5" t="s">
        <v>8</v>
      </c>
      <c r="B88" s="5" t="s">
        <v>154</v>
      </c>
      <c r="C88" s="5" t="s">
        <v>27</v>
      </c>
      <c r="D88" s="5" t="s">
        <v>385</v>
      </c>
      <c r="E88" s="5" t="s">
        <v>387</v>
      </c>
      <c r="F88" s="5" t="s">
        <v>52</v>
      </c>
      <c r="G88" s="5" t="s">
        <v>394</v>
      </c>
      <c r="H88" s="5" t="s">
        <v>108</v>
      </c>
      <c r="I88" s="5" t="s">
        <v>155</v>
      </c>
      <c r="J88" s="15">
        <v>1570</v>
      </c>
      <c r="K88" s="7">
        <v>32.5</v>
      </c>
      <c r="L88" s="7">
        <f>J88/K88</f>
        <v>48.307692307692307</v>
      </c>
      <c r="M88" s="5" t="s">
        <v>10</v>
      </c>
      <c r="N88" s="5">
        <v>4</v>
      </c>
      <c r="O88" s="6">
        <f>(J88*L88^2)/(1.6*10^6)</f>
        <v>2.2898775147928991</v>
      </c>
      <c r="P88" s="6">
        <f>(0.104*J88*L88^2)/(1.6*10^6)</f>
        <v>0.2381472615384615</v>
      </c>
      <c r="Q88" s="10">
        <f>(0.104*O88)/(12*N88)</f>
        <v>4.9614012820512815E-3</v>
      </c>
      <c r="R88" s="10">
        <f>0.0159*O88^0.75</f>
        <v>2.9597587543075777E-2</v>
      </c>
      <c r="S88" s="10">
        <f>Q88+R88</f>
        <v>3.4558988825127056E-2</v>
      </c>
    </row>
    <row r="90" spans="1:19" x14ac:dyDescent="0.25">
      <c r="A90" s="5" t="s">
        <v>22</v>
      </c>
      <c r="B90" s="5" t="s">
        <v>63</v>
      </c>
      <c r="C90" s="5" t="s">
        <v>27</v>
      </c>
      <c r="D90" s="5" t="s">
        <v>385</v>
      </c>
      <c r="E90" s="5" t="s">
        <v>387</v>
      </c>
      <c r="F90" s="5" t="s">
        <v>112</v>
      </c>
      <c r="G90" s="5" t="s">
        <v>395</v>
      </c>
      <c r="H90" s="5" t="s">
        <v>131</v>
      </c>
      <c r="I90" s="5" t="s">
        <v>132</v>
      </c>
      <c r="J90" s="15">
        <v>1175</v>
      </c>
      <c r="K90" s="7">
        <v>40</v>
      </c>
      <c r="L90" s="7">
        <f>J90/K90</f>
        <v>29.375</v>
      </c>
      <c r="M90" s="5" t="s">
        <v>10</v>
      </c>
      <c r="N90" s="5">
        <v>4</v>
      </c>
      <c r="O90" s="6">
        <f>(J90*L90^2)/(1.6*10^6)</f>
        <v>0.63368530273437496</v>
      </c>
      <c r="P90" s="6">
        <f>(0.104*J90*L90^2)/(1.6*10^6)</f>
        <v>6.5903271484374998E-2</v>
      </c>
      <c r="Q90" s="10">
        <f>(0.104*O90)/(12*N90)</f>
        <v>1.3729848225911459E-3</v>
      </c>
      <c r="R90" s="10">
        <f>0.0159*O90^0.75</f>
        <v>1.1292818553521496E-2</v>
      </c>
      <c r="S90" s="10">
        <f>Q90+R90</f>
        <v>1.2665803376112641E-2</v>
      </c>
    </row>
    <row r="92" spans="1:19" x14ac:dyDescent="0.25">
      <c r="A92" s="5" t="s">
        <v>22</v>
      </c>
      <c r="B92" s="5" t="s">
        <v>63</v>
      </c>
      <c r="C92" s="5" t="s">
        <v>27</v>
      </c>
      <c r="D92" s="5" t="s">
        <v>385</v>
      </c>
      <c r="E92" s="5" t="s">
        <v>387</v>
      </c>
      <c r="F92" s="5" t="s">
        <v>112</v>
      </c>
      <c r="G92" s="5" t="s">
        <v>395</v>
      </c>
      <c r="H92" s="5" t="s">
        <v>129</v>
      </c>
      <c r="I92" s="5" t="s">
        <v>130</v>
      </c>
      <c r="J92" s="15">
        <v>2750</v>
      </c>
      <c r="K92" s="7">
        <v>41.5</v>
      </c>
      <c r="L92" s="7">
        <f>J92/K92</f>
        <v>66.265060240963862</v>
      </c>
      <c r="M92" s="5" t="s">
        <v>10</v>
      </c>
      <c r="N92" s="5">
        <v>4</v>
      </c>
      <c r="O92" s="6">
        <f>(J92*L92^2)/(1.6*10^6)</f>
        <v>7.5471312962694164</v>
      </c>
      <c r="P92" s="6">
        <f>(0.104*J92*L92^2)/(1.6*10^6)</f>
        <v>0.78490165481201923</v>
      </c>
      <c r="Q92" s="10">
        <f>(0.104*O92)/(12*N92)</f>
        <v>1.6352117808583734E-2</v>
      </c>
      <c r="R92" s="10">
        <f>0.0159*O92^0.75</f>
        <v>7.2399164332052277E-2</v>
      </c>
      <c r="S92" s="10">
        <f>Q92+R92</f>
        <v>8.8751282140636018E-2</v>
      </c>
    </row>
    <row r="94" spans="1:19" x14ac:dyDescent="0.25">
      <c r="A94" s="5" t="s">
        <v>22</v>
      </c>
      <c r="B94" s="5" t="s">
        <v>63</v>
      </c>
      <c r="C94" s="5" t="s">
        <v>27</v>
      </c>
      <c r="D94" s="5" t="s">
        <v>385</v>
      </c>
      <c r="E94" s="5" t="s">
        <v>387</v>
      </c>
      <c r="F94" s="5" t="s">
        <v>112</v>
      </c>
      <c r="G94" s="5" t="s">
        <v>395</v>
      </c>
      <c r="H94" s="5" t="s">
        <v>123</v>
      </c>
      <c r="I94" s="5" t="s">
        <v>124</v>
      </c>
      <c r="J94" s="15">
        <v>1900</v>
      </c>
      <c r="K94" s="7">
        <v>31</v>
      </c>
      <c r="L94" s="7">
        <f>J94/K94</f>
        <v>61.29032258064516</v>
      </c>
      <c r="M94" s="5" t="s">
        <v>10</v>
      </c>
      <c r="N94" s="5">
        <v>4</v>
      </c>
      <c r="O94" s="6">
        <f>(J94*L94^2)/(1.6*10^6)</f>
        <v>4.4608480749219561</v>
      </c>
      <c r="P94" s="6">
        <f>(0.104*J94*L94^2)/(1.6*10^6)</f>
        <v>0.46392819979188343</v>
      </c>
      <c r="Q94" s="10">
        <f>(0.104*O94)/(12*N94)</f>
        <v>9.6651708289975709E-3</v>
      </c>
      <c r="R94" s="10">
        <f>0.0159*O94^0.75</f>
        <v>4.8804537187392021E-2</v>
      </c>
      <c r="S94" s="10">
        <f>Q94+R94</f>
        <v>5.8469708016389593E-2</v>
      </c>
    </row>
    <row r="96" spans="1:19" x14ac:dyDescent="0.25">
      <c r="A96" s="5" t="s">
        <v>22</v>
      </c>
      <c r="B96" s="5" t="s">
        <v>63</v>
      </c>
      <c r="C96" s="5" t="s">
        <v>27</v>
      </c>
      <c r="D96" s="5" t="s">
        <v>385</v>
      </c>
      <c r="E96" s="5" t="s">
        <v>387</v>
      </c>
      <c r="F96" s="5" t="s">
        <v>112</v>
      </c>
      <c r="G96" s="5" t="s">
        <v>395</v>
      </c>
      <c r="H96" s="5" t="s">
        <v>127</v>
      </c>
      <c r="I96" s="5" t="s">
        <v>128</v>
      </c>
      <c r="J96" s="15">
        <v>2730</v>
      </c>
      <c r="K96" s="7">
        <v>35.5</v>
      </c>
      <c r="L96" s="7">
        <f t="shared" ref="L96:L102" si="25">J96/K96</f>
        <v>76.901408450704224</v>
      </c>
      <c r="M96" s="5" t="s">
        <v>10</v>
      </c>
      <c r="N96" s="5">
        <v>4</v>
      </c>
      <c r="O96" s="6">
        <f t="shared" ref="O96:O102" si="26">(J96*L96^2)/(1.6*10^6)</f>
        <v>10.09046667327911</v>
      </c>
      <c r="P96" s="6">
        <f t="shared" ref="P96:P102" si="27">(0.104*J96*L96^2)/(1.6*10^6)</f>
        <v>1.0494085340210273</v>
      </c>
      <c r="Q96" s="10">
        <f t="shared" ref="Q96:Q102" si="28">(0.104*O96)/(12*N96)</f>
        <v>2.1862677792104736E-2</v>
      </c>
      <c r="R96" s="10">
        <f t="shared" ref="R96:R102" si="29">0.0159*O96^0.75</f>
        <v>9.0018249545225748E-2</v>
      </c>
      <c r="S96" s="10">
        <f t="shared" ref="S96:S102" si="30">Q96+R96</f>
        <v>0.11188092733733049</v>
      </c>
    </row>
    <row r="97" spans="1:19" x14ac:dyDescent="0.25">
      <c r="A97" s="5" t="s">
        <v>8</v>
      </c>
      <c r="B97" s="5" t="s">
        <v>333</v>
      </c>
      <c r="C97" s="5" t="s">
        <v>27</v>
      </c>
      <c r="D97" s="5" t="s">
        <v>385</v>
      </c>
      <c r="E97" s="5" t="s">
        <v>387</v>
      </c>
      <c r="F97" s="5" t="s">
        <v>112</v>
      </c>
      <c r="G97" s="5" t="s">
        <v>395</v>
      </c>
      <c r="H97" s="5" t="s">
        <v>127</v>
      </c>
      <c r="I97" s="5" t="s">
        <v>335</v>
      </c>
      <c r="J97" s="15">
        <v>2210</v>
      </c>
      <c r="K97" s="7">
        <v>28.6</v>
      </c>
      <c r="L97" s="7">
        <f t="shared" si="25"/>
        <v>77.272727272727266</v>
      </c>
      <c r="M97" s="5" t="s">
        <v>10</v>
      </c>
      <c r="N97" s="5">
        <v>4</v>
      </c>
      <c r="O97" s="6">
        <f t="shared" si="26"/>
        <v>8.2475464876033033</v>
      </c>
      <c r="P97" s="6">
        <f t="shared" si="27"/>
        <v>0.85774483471074359</v>
      </c>
      <c r="Q97" s="10">
        <f t="shared" si="28"/>
        <v>1.7869684056473822E-2</v>
      </c>
      <c r="R97" s="10">
        <f t="shared" si="29"/>
        <v>7.7382134205359915E-2</v>
      </c>
      <c r="S97" s="10">
        <f t="shared" si="30"/>
        <v>9.5251818261833737E-2</v>
      </c>
    </row>
    <row r="98" spans="1:19" x14ac:dyDescent="0.25">
      <c r="A98" s="5" t="s">
        <v>8</v>
      </c>
      <c r="B98" s="5" t="s">
        <v>239</v>
      </c>
      <c r="C98" s="5" t="s">
        <v>27</v>
      </c>
      <c r="D98" s="5" t="s">
        <v>385</v>
      </c>
      <c r="E98" s="5" t="s">
        <v>387</v>
      </c>
      <c r="F98" s="5" t="s">
        <v>112</v>
      </c>
      <c r="G98" s="5" t="s">
        <v>395</v>
      </c>
      <c r="H98" s="5" t="s">
        <v>127</v>
      </c>
      <c r="I98" s="5" t="s">
        <v>240</v>
      </c>
      <c r="J98" s="15">
        <v>2800</v>
      </c>
      <c r="K98" s="7">
        <v>34.299999999999997</v>
      </c>
      <c r="L98" s="7">
        <f t="shared" si="25"/>
        <v>81.632653061224502</v>
      </c>
      <c r="M98" s="5" t="s">
        <v>10</v>
      </c>
      <c r="N98" s="5">
        <v>4</v>
      </c>
      <c r="O98" s="6">
        <f t="shared" si="26"/>
        <v>11.661807580174932</v>
      </c>
      <c r="P98" s="6">
        <f t="shared" si="27"/>
        <v>1.2128279883381927</v>
      </c>
      <c r="Q98" s="10">
        <f t="shared" si="28"/>
        <v>2.5267249757045685E-2</v>
      </c>
      <c r="R98" s="10">
        <f t="shared" si="29"/>
        <v>0.10033940647782641</v>
      </c>
      <c r="S98" s="10">
        <f t="shared" si="30"/>
        <v>0.1256066562348721</v>
      </c>
    </row>
    <row r="99" spans="1:19" x14ac:dyDescent="0.25">
      <c r="A99" s="5" t="s">
        <v>8</v>
      </c>
      <c r="B99" s="5" t="s">
        <v>333</v>
      </c>
      <c r="C99" s="5" t="s">
        <v>27</v>
      </c>
      <c r="D99" s="5" t="s">
        <v>385</v>
      </c>
      <c r="E99" s="5" t="s">
        <v>387</v>
      </c>
      <c r="F99" s="5" t="s">
        <v>112</v>
      </c>
      <c r="G99" s="5" t="s">
        <v>395</v>
      </c>
      <c r="H99" s="5" t="s">
        <v>127</v>
      </c>
      <c r="I99" s="5" t="s">
        <v>240</v>
      </c>
      <c r="J99" s="15">
        <v>2630</v>
      </c>
      <c r="K99" s="7">
        <v>31.3</v>
      </c>
      <c r="L99" s="7">
        <f t="shared" si="25"/>
        <v>84.025559105431313</v>
      </c>
      <c r="M99" s="5" t="s">
        <v>10</v>
      </c>
      <c r="N99" s="5">
        <v>4</v>
      </c>
      <c r="O99" s="6">
        <f t="shared" si="26"/>
        <v>11.60535922077392</v>
      </c>
      <c r="P99" s="6">
        <f t="shared" si="27"/>
        <v>1.2069573589604874</v>
      </c>
      <c r="Q99" s="10">
        <f t="shared" si="28"/>
        <v>2.5144944978343492E-2</v>
      </c>
      <c r="R99" s="10">
        <f t="shared" si="29"/>
        <v>9.9974919960367822E-2</v>
      </c>
      <c r="S99" s="10">
        <f t="shared" si="30"/>
        <v>0.1251198649387113</v>
      </c>
    </row>
    <row r="100" spans="1:19" x14ac:dyDescent="0.25">
      <c r="A100" s="5" t="s">
        <v>8</v>
      </c>
      <c r="B100" s="5" t="s">
        <v>281</v>
      </c>
      <c r="C100" s="5" t="s">
        <v>27</v>
      </c>
      <c r="D100" s="5" t="s">
        <v>385</v>
      </c>
      <c r="E100" s="5" t="s">
        <v>387</v>
      </c>
      <c r="F100" s="5" t="s">
        <v>112</v>
      </c>
      <c r="G100" s="5" t="s">
        <v>395</v>
      </c>
      <c r="H100" s="5" t="s">
        <v>127</v>
      </c>
      <c r="I100" s="5" t="s">
        <v>283</v>
      </c>
      <c r="J100" s="15">
        <v>2700</v>
      </c>
      <c r="K100" s="7">
        <v>35.5</v>
      </c>
      <c r="L100" s="7">
        <f t="shared" si="25"/>
        <v>76.056338028169009</v>
      </c>
      <c r="M100" s="5" t="s">
        <v>10</v>
      </c>
      <c r="N100" s="5">
        <v>4</v>
      </c>
      <c r="O100" s="6">
        <f t="shared" si="26"/>
        <v>9.761456060305493</v>
      </c>
      <c r="P100" s="6">
        <f t="shared" si="27"/>
        <v>1.0151914302717713</v>
      </c>
      <c r="Q100" s="10">
        <f t="shared" si="28"/>
        <v>2.1149821463995234E-2</v>
      </c>
      <c r="R100" s="10">
        <f t="shared" si="29"/>
        <v>8.7807796146606665E-2</v>
      </c>
      <c r="S100" s="10">
        <f t="shared" si="30"/>
        <v>0.1089576176106019</v>
      </c>
    </row>
    <row r="101" spans="1:19" x14ac:dyDescent="0.25">
      <c r="A101" s="5" t="s">
        <v>8</v>
      </c>
      <c r="B101" s="5" t="s">
        <v>333</v>
      </c>
      <c r="C101" s="5" t="s">
        <v>27</v>
      </c>
      <c r="D101" s="5" t="s">
        <v>385</v>
      </c>
      <c r="E101" s="5" t="s">
        <v>387</v>
      </c>
      <c r="F101" s="5" t="s">
        <v>112</v>
      </c>
      <c r="G101" s="5" t="s">
        <v>395</v>
      </c>
      <c r="H101" s="5" t="s">
        <v>127</v>
      </c>
      <c r="I101" s="5" t="s">
        <v>334</v>
      </c>
      <c r="J101" s="15">
        <v>2470</v>
      </c>
      <c r="K101" s="7">
        <v>32.4</v>
      </c>
      <c r="L101" s="7">
        <f t="shared" si="25"/>
        <v>76.23456790123457</v>
      </c>
      <c r="M101" s="5" t="s">
        <v>10</v>
      </c>
      <c r="N101" s="5">
        <v>4</v>
      </c>
      <c r="O101" s="6">
        <f t="shared" si="26"/>
        <v>8.9718262983920134</v>
      </c>
      <c r="P101" s="6">
        <f t="shared" si="27"/>
        <v>0.93306993503276947</v>
      </c>
      <c r="Q101" s="10">
        <f t="shared" si="28"/>
        <v>1.9438956979849362E-2</v>
      </c>
      <c r="R101" s="10">
        <f t="shared" si="29"/>
        <v>8.2424774346458729E-2</v>
      </c>
      <c r="S101" s="10">
        <f t="shared" si="30"/>
        <v>0.10186373132630809</v>
      </c>
    </row>
    <row r="102" spans="1:19" x14ac:dyDescent="0.25">
      <c r="A102" s="5" t="s">
        <v>8</v>
      </c>
      <c r="B102" s="5" t="s">
        <v>156</v>
      </c>
      <c r="C102" s="5" t="s">
        <v>27</v>
      </c>
      <c r="D102" s="5" t="s">
        <v>385</v>
      </c>
      <c r="E102" s="5" t="s">
        <v>387</v>
      </c>
      <c r="F102" s="5" t="s">
        <v>112</v>
      </c>
      <c r="G102" s="5" t="s">
        <v>395</v>
      </c>
      <c r="H102" s="5" t="s">
        <v>127</v>
      </c>
      <c r="I102" s="5" t="s">
        <v>160</v>
      </c>
      <c r="J102" s="15">
        <v>2119</v>
      </c>
      <c r="K102" s="7">
        <v>36</v>
      </c>
      <c r="L102" s="7">
        <f t="shared" si="25"/>
        <v>58.861111111111114</v>
      </c>
      <c r="M102" s="5" t="s">
        <v>10</v>
      </c>
      <c r="N102" s="5">
        <v>4</v>
      </c>
      <c r="O102" s="6">
        <f t="shared" si="26"/>
        <v>4.5884698876350312</v>
      </c>
      <c r="P102" s="6">
        <f t="shared" si="27"/>
        <v>0.47720086831404318</v>
      </c>
      <c r="Q102" s="10">
        <f t="shared" si="28"/>
        <v>9.9416847565425674E-3</v>
      </c>
      <c r="R102" s="10">
        <f t="shared" si="29"/>
        <v>4.9848034494641785E-2</v>
      </c>
      <c r="S102" s="10">
        <f t="shared" si="30"/>
        <v>5.9789719251184356E-2</v>
      </c>
    </row>
    <row r="103" spans="1:19" x14ac:dyDescent="0.25">
      <c r="J103" s="16">
        <f>AVERAGE(J96:J102)</f>
        <v>2522.7142857142858</v>
      </c>
      <c r="K103" s="12">
        <f t="shared" ref="K103:S103" si="31">AVERAGE(K96:K102)</f>
        <v>33.371428571428574</v>
      </c>
      <c r="L103" s="12">
        <f t="shared" si="31"/>
        <v>75.854909275800296</v>
      </c>
      <c r="M103" s="11" t="e">
        <f t="shared" si="31"/>
        <v>#DIV/0!</v>
      </c>
      <c r="N103" s="11">
        <f t="shared" si="31"/>
        <v>4</v>
      </c>
      <c r="O103" s="13">
        <f t="shared" si="31"/>
        <v>9.2752760297376842</v>
      </c>
      <c r="P103" s="13">
        <f t="shared" si="31"/>
        <v>0.9646287070927192</v>
      </c>
      <c r="Q103" s="14">
        <f t="shared" si="31"/>
        <v>2.0096431397764982E-2</v>
      </c>
      <c r="R103" s="14">
        <f t="shared" si="31"/>
        <v>8.3970759310926721E-2</v>
      </c>
      <c r="S103" s="14">
        <f t="shared" si="31"/>
        <v>0.10406719070869172</v>
      </c>
    </row>
    <row r="104" spans="1:19" x14ac:dyDescent="0.25">
      <c r="A104" s="5" t="s">
        <v>22</v>
      </c>
      <c r="B104" s="5" t="s">
        <v>63</v>
      </c>
      <c r="C104" s="5" t="s">
        <v>27</v>
      </c>
      <c r="D104" s="5" t="s">
        <v>385</v>
      </c>
      <c r="E104" s="5" t="s">
        <v>387</v>
      </c>
      <c r="F104" s="5" t="s">
        <v>112</v>
      </c>
      <c r="G104" s="5" t="s">
        <v>395</v>
      </c>
      <c r="H104" s="5" t="s">
        <v>125</v>
      </c>
      <c r="I104" s="5" t="s">
        <v>126</v>
      </c>
      <c r="J104" s="15">
        <v>1150</v>
      </c>
      <c r="K104" s="7">
        <v>22.5</v>
      </c>
      <c r="L104" s="7">
        <f>J104/K104</f>
        <v>51.111111111111114</v>
      </c>
      <c r="M104" s="5" t="s">
        <v>10</v>
      </c>
      <c r="N104" s="5">
        <v>4</v>
      </c>
      <c r="O104" s="6">
        <f>(J104*L104^2)/(1.6*10^6)</f>
        <v>1.8776234567901235</v>
      </c>
      <c r="P104" s="6">
        <f>(0.104*J104*L104^2)/(1.6*10^6)</f>
        <v>0.19527283950617286</v>
      </c>
      <c r="Q104" s="10">
        <f>(0.104*O104)/(12*N104)</f>
        <v>4.0681841563786009E-3</v>
      </c>
      <c r="R104" s="10">
        <f>0.0159*O104^0.75</f>
        <v>2.5503718193814025E-2</v>
      </c>
      <c r="S104" s="10">
        <f>Q104+R104</f>
        <v>2.9571902350192626E-2</v>
      </c>
    </row>
    <row r="106" spans="1:19" x14ac:dyDescent="0.25">
      <c r="A106" s="5" t="s">
        <v>22</v>
      </c>
      <c r="B106" s="5" t="s">
        <v>63</v>
      </c>
      <c r="C106" s="5" t="s">
        <v>27</v>
      </c>
      <c r="D106" s="5" t="s">
        <v>385</v>
      </c>
      <c r="E106" s="5" t="s">
        <v>387</v>
      </c>
      <c r="F106" s="5" t="s">
        <v>112</v>
      </c>
      <c r="G106" s="5" t="s">
        <v>391</v>
      </c>
      <c r="H106" s="5" t="s">
        <v>117</v>
      </c>
      <c r="I106" s="5" t="s">
        <v>118</v>
      </c>
      <c r="J106" s="15">
        <v>570</v>
      </c>
      <c r="K106" s="7">
        <v>20</v>
      </c>
      <c r="L106" s="7">
        <f>J106/K106</f>
        <v>28.5</v>
      </c>
      <c r="M106" s="5" t="s">
        <v>10</v>
      </c>
      <c r="N106" s="5">
        <v>4</v>
      </c>
      <c r="O106" s="6">
        <f>(J106*L106^2)/(1.6*10^6)</f>
        <v>0.28936406250000002</v>
      </c>
      <c r="P106" s="6">
        <f>(0.104*J106*L106^2)/(1.6*10^6)</f>
        <v>3.0093862499999995E-2</v>
      </c>
      <c r="Q106" s="10">
        <f>(0.104*O106)/(12*N106)</f>
        <v>6.2695546875000008E-4</v>
      </c>
      <c r="R106" s="10">
        <f>0.0159*O106^0.75</f>
        <v>6.2730762879062542E-3</v>
      </c>
      <c r="S106" s="10">
        <f>Q106+R106</f>
        <v>6.9000317566562542E-3</v>
      </c>
    </row>
    <row r="108" spans="1:19" x14ac:dyDescent="0.25">
      <c r="A108" s="5" t="s">
        <v>22</v>
      </c>
      <c r="B108" s="5" t="s">
        <v>63</v>
      </c>
      <c r="C108" s="5" t="s">
        <v>27</v>
      </c>
      <c r="D108" s="5" t="s">
        <v>385</v>
      </c>
      <c r="E108" s="5" t="s">
        <v>387</v>
      </c>
      <c r="F108" s="5" t="s">
        <v>112</v>
      </c>
      <c r="G108" s="5" t="s">
        <v>391</v>
      </c>
      <c r="H108" s="5" t="s">
        <v>122</v>
      </c>
      <c r="I108" s="5" t="s">
        <v>19</v>
      </c>
      <c r="J108" s="15">
        <v>1200</v>
      </c>
      <c r="K108" s="7">
        <v>42</v>
      </c>
      <c r="L108" s="7">
        <f>J108/K108</f>
        <v>28.571428571428573</v>
      </c>
      <c r="M108" s="5" t="s">
        <v>10</v>
      </c>
      <c r="N108" s="5">
        <v>4</v>
      </c>
      <c r="O108" s="6">
        <f>(J108*L108^2)/(1.6*10^6)</f>
        <v>0.61224489795918369</v>
      </c>
      <c r="P108" s="6">
        <f>(0.104*J108*L108^2)/(1.6*10^6)</f>
        <v>6.3673469387755102E-2</v>
      </c>
      <c r="Q108" s="10">
        <f>(0.104*O108)/(12*N108)</f>
        <v>1.326530612244898E-3</v>
      </c>
      <c r="R108" s="10">
        <f>0.0159*O108^0.75</f>
        <v>1.1005024287086839E-2</v>
      </c>
      <c r="S108" s="10">
        <f>Q108+R108</f>
        <v>1.2331554899331737E-2</v>
      </c>
    </row>
    <row r="110" spans="1:19" x14ac:dyDescent="0.25">
      <c r="A110" s="5" t="s">
        <v>22</v>
      </c>
      <c r="B110" s="5" t="s">
        <v>63</v>
      </c>
      <c r="C110" s="5" t="s">
        <v>27</v>
      </c>
      <c r="D110" s="5" t="s">
        <v>385</v>
      </c>
      <c r="E110" s="5" t="s">
        <v>387</v>
      </c>
      <c r="F110" s="5" t="s">
        <v>112</v>
      </c>
      <c r="G110" s="5" t="s">
        <v>391</v>
      </c>
      <c r="H110" s="5" t="s">
        <v>53</v>
      </c>
      <c r="I110" s="5" t="s">
        <v>143</v>
      </c>
      <c r="J110" s="15">
        <v>2360</v>
      </c>
      <c r="K110" s="7">
        <v>39.5</v>
      </c>
      <c r="L110" s="7">
        <f t="shared" ref="L110:L150" si="32">J110/K110</f>
        <v>59.746835443037973</v>
      </c>
      <c r="M110" s="5" t="s">
        <v>10</v>
      </c>
      <c r="N110" s="5">
        <v>4</v>
      </c>
      <c r="O110" s="6">
        <f t="shared" ref="O110:O150" si="33">(J110*L110^2)/(1.6*10^6)</f>
        <v>5.2652844095497517</v>
      </c>
      <c r="P110" s="6">
        <f t="shared" ref="P110:P150" si="34">(0.104*J110*L110^2)/(1.6*10^6)</f>
        <v>0.54758957859317414</v>
      </c>
      <c r="Q110" s="10">
        <f t="shared" ref="Q110:Q150" si="35">(0.104*O110)/(12*N110)</f>
        <v>1.1408116220691128E-2</v>
      </c>
      <c r="R110" s="10">
        <f t="shared" ref="R110:R150" si="36">0.0159*O110^0.75</f>
        <v>5.5266695818139089E-2</v>
      </c>
      <c r="S110" s="10">
        <f t="shared" ref="S110:S150" si="37">Q110+R110</f>
        <v>6.6674812038830217E-2</v>
      </c>
    </row>
    <row r="111" spans="1:19" x14ac:dyDescent="0.25">
      <c r="A111" s="5" t="s">
        <v>8</v>
      </c>
      <c r="B111" s="5" t="s">
        <v>363</v>
      </c>
      <c r="C111" s="5" t="s">
        <v>27</v>
      </c>
      <c r="D111" s="5" t="s">
        <v>385</v>
      </c>
      <c r="E111" s="5" t="s">
        <v>387</v>
      </c>
      <c r="F111" s="5" t="s">
        <v>112</v>
      </c>
      <c r="G111" s="5" t="s">
        <v>391</v>
      </c>
      <c r="H111" s="5" t="s">
        <v>53</v>
      </c>
      <c r="I111" s="5" t="s">
        <v>167</v>
      </c>
      <c r="J111" s="15">
        <v>2300</v>
      </c>
      <c r="K111" s="7">
        <v>26.3</v>
      </c>
      <c r="L111" s="7">
        <f t="shared" si="32"/>
        <v>87.452471482889734</v>
      </c>
      <c r="M111" s="5" t="s">
        <v>10</v>
      </c>
      <c r="N111" s="5">
        <v>4</v>
      </c>
      <c r="O111" s="6">
        <f t="shared" si="33"/>
        <v>10.993906229669362</v>
      </c>
      <c r="P111" s="6">
        <f t="shared" si="34"/>
        <v>1.1433662478856135</v>
      </c>
      <c r="Q111" s="10">
        <f t="shared" si="35"/>
        <v>2.3820130164283613E-2</v>
      </c>
      <c r="R111" s="10">
        <f t="shared" si="36"/>
        <v>9.5997770223245141E-2</v>
      </c>
      <c r="S111" s="10">
        <f t="shared" si="37"/>
        <v>0.11981790038752875</v>
      </c>
    </row>
    <row r="112" spans="1:19" x14ac:dyDescent="0.25">
      <c r="A112" s="5" t="s">
        <v>8</v>
      </c>
      <c r="B112" s="5" t="s">
        <v>347</v>
      </c>
      <c r="C112" s="5" t="s">
        <v>27</v>
      </c>
      <c r="D112" s="5" t="s">
        <v>385</v>
      </c>
      <c r="E112" s="5" t="s">
        <v>387</v>
      </c>
      <c r="F112" s="5" t="s">
        <v>112</v>
      </c>
      <c r="G112" s="5" t="s">
        <v>391</v>
      </c>
      <c r="H112" s="5" t="s">
        <v>53</v>
      </c>
      <c r="I112" s="5" t="s">
        <v>348</v>
      </c>
      <c r="J112" s="15">
        <v>1750</v>
      </c>
      <c r="K112" s="7">
        <v>38</v>
      </c>
      <c r="L112" s="7">
        <f t="shared" si="32"/>
        <v>46.05263157894737</v>
      </c>
      <c r="M112" s="5" t="s">
        <v>10</v>
      </c>
      <c r="N112" s="5">
        <v>4</v>
      </c>
      <c r="O112" s="6">
        <f t="shared" si="33"/>
        <v>2.3196740824099722</v>
      </c>
      <c r="P112" s="6">
        <f t="shared" si="34"/>
        <v>0.24124610457063711</v>
      </c>
      <c r="Q112" s="10">
        <f t="shared" si="35"/>
        <v>5.0259605118882734E-3</v>
      </c>
      <c r="R112" s="10">
        <f t="shared" si="36"/>
        <v>2.988596970978951E-2</v>
      </c>
      <c r="S112" s="10">
        <f t="shared" si="37"/>
        <v>3.4911930221677781E-2</v>
      </c>
    </row>
    <row r="113" spans="1:19" x14ac:dyDescent="0.25">
      <c r="A113" s="5" t="s">
        <v>8</v>
      </c>
      <c r="B113" s="5" t="s">
        <v>347</v>
      </c>
      <c r="C113" s="5" t="s">
        <v>27</v>
      </c>
      <c r="D113" s="5" t="s">
        <v>385</v>
      </c>
      <c r="E113" s="5" t="s">
        <v>387</v>
      </c>
      <c r="F113" s="5" t="s">
        <v>112</v>
      </c>
      <c r="G113" s="5" t="s">
        <v>391</v>
      </c>
      <c r="H113" s="5" t="s">
        <v>53</v>
      </c>
      <c r="I113" s="5" t="s">
        <v>348</v>
      </c>
      <c r="J113" s="15">
        <v>1450</v>
      </c>
      <c r="K113" s="7">
        <v>30</v>
      </c>
      <c r="L113" s="7">
        <f t="shared" si="32"/>
        <v>48.333333333333336</v>
      </c>
      <c r="M113" s="5" t="s">
        <v>10</v>
      </c>
      <c r="N113" s="5">
        <v>4</v>
      </c>
      <c r="O113" s="6">
        <f t="shared" si="33"/>
        <v>2.1171006944444448</v>
      </c>
      <c r="P113" s="6">
        <f t="shared" si="34"/>
        <v>0.22017847222222223</v>
      </c>
      <c r="Q113" s="10">
        <f t="shared" si="35"/>
        <v>4.5870515046296306E-3</v>
      </c>
      <c r="R113" s="10">
        <f t="shared" si="36"/>
        <v>2.7906364358137148E-2</v>
      </c>
      <c r="S113" s="10">
        <f t="shared" si="37"/>
        <v>3.2493415862766779E-2</v>
      </c>
    </row>
    <row r="114" spans="1:19" x14ac:dyDescent="0.25">
      <c r="A114" s="5" t="s">
        <v>8</v>
      </c>
      <c r="B114" s="5" t="s">
        <v>350</v>
      </c>
      <c r="C114" s="5" t="s">
        <v>27</v>
      </c>
      <c r="D114" s="5" t="s">
        <v>385</v>
      </c>
      <c r="E114" s="5" t="s">
        <v>387</v>
      </c>
      <c r="F114" s="5" t="s">
        <v>112</v>
      </c>
      <c r="G114" s="5" t="s">
        <v>391</v>
      </c>
      <c r="H114" s="5" t="s">
        <v>53</v>
      </c>
      <c r="I114" s="5" t="s">
        <v>349</v>
      </c>
      <c r="J114" s="15">
        <v>2650</v>
      </c>
      <c r="K114" s="7">
        <v>40</v>
      </c>
      <c r="L114" s="7">
        <f t="shared" si="32"/>
        <v>66.25</v>
      </c>
      <c r="M114" s="5" t="s">
        <v>10</v>
      </c>
      <c r="N114" s="5">
        <v>4</v>
      </c>
      <c r="O114" s="6">
        <f t="shared" si="33"/>
        <v>7.2693847656250004</v>
      </c>
      <c r="P114" s="6">
        <f t="shared" si="34"/>
        <v>0.75601601562499987</v>
      </c>
      <c r="Q114" s="10">
        <f t="shared" si="35"/>
        <v>1.5750333658854167E-2</v>
      </c>
      <c r="R114" s="10">
        <f t="shared" si="36"/>
        <v>7.0391523800442932E-2</v>
      </c>
      <c r="S114" s="10">
        <f t="shared" si="37"/>
        <v>8.6141857459297103E-2</v>
      </c>
    </row>
    <row r="115" spans="1:19" x14ac:dyDescent="0.25">
      <c r="A115" s="5" t="s">
        <v>8</v>
      </c>
      <c r="B115" s="5" t="s">
        <v>347</v>
      </c>
      <c r="C115" s="5" t="s">
        <v>27</v>
      </c>
      <c r="D115" s="5" t="s">
        <v>385</v>
      </c>
      <c r="E115" s="5" t="s">
        <v>387</v>
      </c>
      <c r="F115" s="5" t="s">
        <v>112</v>
      </c>
      <c r="G115" s="5" t="s">
        <v>391</v>
      </c>
      <c r="H115" s="5" t="s">
        <v>53</v>
      </c>
      <c r="I115" s="5" t="s">
        <v>349</v>
      </c>
      <c r="J115" s="15">
        <v>2500</v>
      </c>
      <c r="K115" s="7">
        <v>33.700000000000003</v>
      </c>
      <c r="L115" s="7">
        <f t="shared" si="32"/>
        <v>74.183976261127597</v>
      </c>
      <c r="M115" s="5" t="s">
        <v>10</v>
      </c>
      <c r="N115" s="5">
        <v>4</v>
      </c>
      <c r="O115" s="6">
        <f t="shared" si="33"/>
        <v>8.5988473967367849</v>
      </c>
      <c r="P115" s="6">
        <f t="shared" si="34"/>
        <v>0.89428012926062572</v>
      </c>
      <c r="Q115" s="10">
        <f t="shared" si="35"/>
        <v>1.8630836026263035E-2</v>
      </c>
      <c r="R115" s="10">
        <f t="shared" si="36"/>
        <v>7.9841245929260979E-2</v>
      </c>
      <c r="S115" s="10">
        <f t="shared" si="37"/>
        <v>9.847208195552401E-2</v>
      </c>
    </row>
    <row r="116" spans="1:19" x14ac:dyDescent="0.25">
      <c r="A116" s="5" t="s">
        <v>22</v>
      </c>
      <c r="B116" s="5" t="s">
        <v>63</v>
      </c>
      <c r="C116" s="5" t="s">
        <v>27</v>
      </c>
      <c r="D116" s="5" t="s">
        <v>385</v>
      </c>
      <c r="E116" s="5" t="s">
        <v>387</v>
      </c>
      <c r="F116" s="5" t="s">
        <v>112</v>
      </c>
      <c r="G116" s="5" t="s">
        <v>391</v>
      </c>
      <c r="H116" s="5" t="s">
        <v>53</v>
      </c>
      <c r="I116" s="5" t="s">
        <v>144</v>
      </c>
      <c r="J116" s="15">
        <v>3050</v>
      </c>
      <c r="K116" s="7">
        <v>41</v>
      </c>
      <c r="L116" s="7">
        <f t="shared" si="32"/>
        <v>74.390243902439025</v>
      </c>
      <c r="M116" s="5" t="s">
        <v>10</v>
      </c>
      <c r="N116" s="5">
        <v>4</v>
      </c>
      <c r="O116" s="6">
        <f t="shared" si="33"/>
        <v>10.549012864366448</v>
      </c>
      <c r="P116" s="6">
        <f t="shared" si="34"/>
        <v>1.0970973378941107</v>
      </c>
      <c r="Q116" s="10">
        <f t="shared" si="35"/>
        <v>2.2856194539460636E-2</v>
      </c>
      <c r="R116" s="10">
        <f t="shared" si="36"/>
        <v>9.3069202129934317E-2</v>
      </c>
      <c r="S116" s="10">
        <f t="shared" si="37"/>
        <v>0.11592539666939496</v>
      </c>
    </row>
    <row r="117" spans="1:19" x14ac:dyDescent="0.25">
      <c r="A117" s="5" t="s">
        <v>8</v>
      </c>
      <c r="B117" s="5" t="s">
        <v>378</v>
      </c>
      <c r="C117" s="5" t="s">
        <v>27</v>
      </c>
      <c r="D117" s="5" t="s">
        <v>385</v>
      </c>
      <c r="E117" s="5" t="s">
        <v>387</v>
      </c>
      <c r="F117" s="5" t="s">
        <v>112</v>
      </c>
      <c r="G117" s="5" t="s">
        <v>391</v>
      </c>
      <c r="H117" s="5" t="s">
        <v>53</v>
      </c>
      <c r="I117" s="5" t="s">
        <v>144</v>
      </c>
      <c r="J117" s="15">
        <v>3100</v>
      </c>
      <c r="K117" s="7">
        <v>41</v>
      </c>
      <c r="L117" s="7">
        <f t="shared" si="32"/>
        <v>75.609756097560975</v>
      </c>
      <c r="M117" s="5" t="s">
        <v>10</v>
      </c>
      <c r="N117" s="5">
        <v>4</v>
      </c>
      <c r="O117" s="6">
        <f t="shared" si="33"/>
        <v>11.076368233194525</v>
      </c>
      <c r="P117" s="6">
        <f t="shared" si="34"/>
        <v>1.1519422962522305</v>
      </c>
      <c r="Q117" s="10">
        <f t="shared" si="35"/>
        <v>2.3998797838588135E-2</v>
      </c>
      <c r="R117" s="10">
        <f t="shared" si="36"/>
        <v>9.6537303394980123E-2</v>
      </c>
      <c r="S117" s="10">
        <f t="shared" si="37"/>
        <v>0.12053610123356825</v>
      </c>
    </row>
    <row r="118" spans="1:19" x14ac:dyDescent="0.25">
      <c r="A118" s="5" t="s">
        <v>8</v>
      </c>
      <c r="B118" s="5" t="s">
        <v>156</v>
      </c>
      <c r="C118" s="5" t="s">
        <v>27</v>
      </c>
      <c r="D118" s="5" t="s">
        <v>385</v>
      </c>
      <c r="E118" s="5" t="s">
        <v>387</v>
      </c>
      <c r="F118" s="5" t="s">
        <v>112</v>
      </c>
      <c r="G118" s="5" t="s">
        <v>391</v>
      </c>
      <c r="H118" s="5" t="s">
        <v>53</v>
      </c>
      <c r="I118" s="5" t="s">
        <v>157</v>
      </c>
      <c r="J118" s="15">
        <v>1152</v>
      </c>
      <c r="K118" s="7">
        <v>33</v>
      </c>
      <c r="L118" s="7">
        <f t="shared" si="32"/>
        <v>34.909090909090907</v>
      </c>
      <c r="M118" s="5" t="s">
        <v>10</v>
      </c>
      <c r="N118" s="5">
        <v>4</v>
      </c>
      <c r="O118" s="6">
        <f t="shared" si="33"/>
        <v>0.87742413223140481</v>
      </c>
      <c r="P118" s="6">
        <f t="shared" si="34"/>
        <v>9.1252109752066102E-2</v>
      </c>
      <c r="Q118" s="10">
        <f t="shared" si="35"/>
        <v>1.9010856198347105E-3</v>
      </c>
      <c r="R118" s="10">
        <f t="shared" si="36"/>
        <v>1.4414656759212731E-2</v>
      </c>
      <c r="S118" s="10">
        <f t="shared" si="37"/>
        <v>1.631574237904744E-2</v>
      </c>
    </row>
    <row r="119" spans="1:19" x14ac:dyDescent="0.25">
      <c r="A119" s="5" t="s">
        <v>22</v>
      </c>
      <c r="B119" s="5" t="s">
        <v>63</v>
      </c>
      <c r="C119" s="5" t="s">
        <v>27</v>
      </c>
      <c r="D119" s="5" t="s">
        <v>385</v>
      </c>
      <c r="E119" s="5" t="s">
        <v>387</v>
      </c>
      <c r="F119" s="5" t="s">
        <v>112</v>
      </c>
      <c r="G119" s="5" t="s">
        <v>391</v>
      </c>
      <c r="H119" s="5" t="s">
        <v>53</v>
      </c>
      <c r="I119" s="5" t="s">
        <v>146</v>
      </c>
      <c r="J119" s="15">
        <v>1550</v>
      </c>
      <c r="K119" s="7">
        <v>29</v>
      </c>
      <c r="L119" s="7">
        <f t="shared" si="32"/>
        <v>53.448275862068968</v>
      </c>
      <c r="M119" s="5" t="s">
        <v>10</v>
      </c>
      <c r="N119" s="5">
        <v>4</v>
      </c>
      <c r="O119" s="6">
        <f t="shared" si="33"/>
        <v>2.7674457491082052</v>
      </c>
      <c r="P119" s="6">
        <f t="shared" si="34"/>
        <v>0.28781435790725329</v>
      </c>
      <c r="Q119" s="10">
        <f t="shared" si="35"/>
        <v>5.9961324564011117E-3</v>
      </c>
      <c r="R119" s="10">
        <f t="shared" si="36"/>
        <v>3.4115870826390664E-2</v>
      </c>
      <c r="S119" s="10">
        <f t="shared" si="37"/>
        <v>4.0112003282791776E-2</v>
      </c>
    </row>
    <row r="120" spans="1:19" x14ac:dyDescent="0.25">
      <c r="A120" s="5" t="s">
        <v>22</v>
      </c>
      <c r="B120" s="5" t="s">
        <v>63</v>
      </c>
      <c r="C120" s="5" t="s">
        <v>27</v>
      </c>
      <c r="D120" s="5" t="s">
        <v>385</v>
      </c>
      <c r="E120" s="5" t="s">
        <v>387</v>
      </c>
      <c r="F120" s="5" t="s">
        <v>112</v>
      </c>
      <c r="G120" s="5" t="s">
        <v>391</v>
      </c>
      <c r="H120" s="5" t="s">
        <v>53</v>
      </c>
      <c r="I120" s="5" t="s">
        <v>113</v>
      </c>
      <c r="J120" s="15">
        <v>2900</v>
      </c>
      <c r="K120" s="7">
        <v>40</v>
      </c>
      <c r="L120" s="7">
        <f t="shared" si="32"/>
        <v>72.5</v>
      </c>
      <c r="M120" s="5" t="s">
        <v>10</v>
      </c>
      <c r="N120" s="5">
        <v>4</v>
      </c>
      <c r="O120" s="6">
        <f t="shared" si="33"/>
        <v>9.5269531250000004</v>
      </c>
      <c r="P120" s="6">
        <f t="shared" si="34"/>
        <v>0.9908031249999999</v>
      </c>
      <c r="Q120" s="10">
        <f t="shared" si="35"/>
        <v>2.0641731770833335E-2</v>
      </c>
      <c r="R120" s="10">
        <f t="shared" si="36"/>
        <v>8.6220918616187289E-2</v>
      </c>
      <c r="S120" s="10">
        <f t="shared" si="37"/>
        <v>0.10686265038702063</v>
      </c>
    </row>
    <row r="121" spans="1:19" x14ac:dyDescent="0.25">
      <c r="A121" s="5" t="s">
        <v>22</v>
      </c>
      <c r="B121" s="5" t="s">
        <v>63</v>
      </c>
      <c r="C121" s="5" t="s">
        <v>27</v>
      </c>
      <c r="D121" s="5" t="s">
        <v>385</v>
      </c>
      <c r="E121" s="5" t="s">
        <v>387</v>
      </c>
      <c r="F121" s="5" t="s">
        <v>112</v>
      </c>
      <c r="G121" s="5" t="s">
        <v>391</v>
      </c>
      <c r="H121" s="5" t="s">
        <v>53</v>
      </c>
      <c r="I121" s="5" t="s">
        <v>145</v>
      </c>
      <c r="J121" s="15">
        <v>2100</v>
      </c>
      <c r="K121" s="7">
        <v>38.5</v>
      </c>
      <c r="L121" s="7">
        <f t="shared" si="32"/>
        <v>54.545454545454547</v>
      </c>
      <c r="M121" s="5" t="s">
        <v>10</v>
      </c>
      <c r="N121" s="5">
        <v>4</v>
      </c>
      <c r="O121" s="6">
        <f t="shared" si="33"/>
        <v>3.9049586776859506</v>
      </c>
      <c r="P121" s="6">
        <f t="shared" si="34"/>
        <v>0.40611570247933887</v>
      </c>
      <c r="Q121" s="10">
        <f t="shared" si="35"/>
        <v>8.4607438016528931E-3</v>
      </c>
      <c r="R121" s="10">
        <f t="shared" si="36"/>
        <v>4.4168175137387092E-2</v>
      </c>
      <c r="S121" s="10">
        <f t="shared" si="37"/>
        <v>5.2628918939039981E-2</v>
      </c>
    </row>
    <row r="122" spans="1:19" x14ac:dyDescent="0.25">
      <c r="A122" s="5" t="s">
        <v>8</v>
      </c>
      <c r="B122" s="5" t="s">
        <v>281</v>
      </c>
      <c r="C122" s="5" t="s">
        <v>27</v>
      </c>
      <c r="D122" s="5" t="s">
        <v>385</v>
      </c>
      <c r="E122" s="5" t="s">
        <v>387</v>
      </c>
      <c r="F122" s="5" t="s">
        <v>112</v>
      </c>
      <c r="G122" s="5" t="s">
        <v>391</v>
      </c>
      <c r="H122" s="5" t="s">
        <v>53</v>
      </c>
      <c r="I122" s="5" t="s">
        <v>282</v>
      </c>
      <c r="J122" s="15">
        <v>1700</v>
      </c>
      <c r="K122" s="7">
        <v>37</v>
      </c>
      <c r="L122" s="7">
        <f t="shared" si="32"/>
        <v>45.945945945945944</v>
      </c>
      <c r="M122" s="5" t="s">
        <v>10</v>
      </c>
      <c r="N122" s="5">
        <v>4</v>
      </c>
      <c r="O122" s="6">
        <f t="shared" si="33"/>
        <v>2.2429693206720231</v>
      </c>
      <c r="P122" s="6">
        <f t="shared" si="34"/>
        <v>0.23326880934989039</v>
      </c>
      <c r="Q122" s="10">
        <f t="shared" si="35"/>
        <v>4.8597668614560495E-3</v>
      </c>
      <c r="R122" s="10">
        <f t="shared" si="36"/>
        <v>2.9141682641278973E-2</v>
      </c>
      <c r="S122" s="10">
        <f t="shared" si="37"/>
        <v>3.4001449502735023E-2</v>
      </c>
    </row>
    <row r="123" spans="1:19" x14ac:dyDescent="0.25">
      <c r="A123" s="5" t="s">
        <v>8</v>
      </c>
      <c r="B123" s="5" t="s">
        <v>322</v>
      </c>
      <c r="C123" s="5" t="s">
        <v>27</v>
      </c>
      <c r="D123" s="5" t="s">
        <v>385</v>
      </c>
      <c r="E123" s="5" t="s">
        <v>387</v>
      </c>
      <c r="F123" s="5" t="s">
        <v>112</v>
      </c>
      <c r="G123" s="5" t="s">
        <v>391</v>
      </c>
      <c r="H123" s="5" t="s">
        <v>53</v>
      </c>
      <c r="I123" s="5" t="s">
        <v>282</v>
      </c>
      <c r="J123" s="15">
        <v>2100</v>
      </c>
      <c r="K123" s="7">
        <v>29</v>
      </c>
      <c r="L123" s="7">
        <f t="shared" si="32"/>
        <v>72.41379310344827</v>
      </c>
      <c r="M123" s="5" t="s">
        <v>10</v>
      </c>
      <c r="N123" s="5">
        <v>4</v>
      </c>
      <c r="O123" s="6">
        <f t="shared" si="33"/>
        <v>6.8824316290130785</v>
      </c>
      <c r="P123" s="6">
        <f t="shared" si="34"/>
        <v>0.71577288941736017</v>
      </c>
      <c r="Q123" s="10">
        <f t="shared" si="35"/>
        <v>1.4911935196195004E-2</v>
      </c>
      <c r="R123" s="10">
        <f t="shared" si="36"/>
        <v>6.7562164336175956E-2</v>
      </c>
      <c r="S123" s="10">
        <f t="shared" si="37"/>
        <v>8.2474099532370962E-2</v>
      </c>
    </row>
    <row r="124" spans="1:19" x14ac:dyDescent="0.25">
      <c r="A124" s="5" t="s">
        <v>8</v>
      </c>
      <c r="B124" s="5" t="s">
        <v>303</v>
      </c>
      <c r="C124" s="5" t="s">
        <v>27</v>
      </c>
      <c r="D124" s="5" t="s">
        <v>385</v>
      </c>
      <c r="E124" s="5" t="s">
        <v>387</v>
      </c>
      <c r="F124" s="5" t="s">
        <v>112</v>
      </c>
      <c r="G124" s="5" t="s">
        <v>391</v>
      </c>
      <c r="H124" s="5" t="s">
        <v>53</v>
      </c>
      <c r="I124" s="5" t="s">
        <v>306</v>
      </c>
      <c r="J124" s="15">
        <v>925</v>
      </c>
      <c r="K124" s="7">
        <v>25</v>
      </c>
      <c r="L124" s="7">
        <f t="shared" si="32"/>
        <v>37</v>
      </c>
      <c r="M124" s="5" t="s">
        <v>10</v>
      </c>
      <c r="N124" s="5">
        <v>4</v>
      </c>
      <c r="O124" s="6">
        <f t="shared" si="33"/>
        <v>0.79145312499999998</v>
      </c>
      <c r="P124" s="6">
        <f t="shared" si="34"/>
        <v>8.2311124999999999E-2</v>
      </c>
      <c r="Q124" s="10">
        <f t="shared" si="35"/>
        <v>1.7148151041666666E-3</v>
      </c>
      <c r="R124" s="10">
        <f t="shared" si="36"/>
        <v>1.3341849057898118E-2</v>
      </c>
      <c r="S124" s="10">
        <f t="shared" si="37"/>
        <v>1.5056664162064784E-2</v>
      </c>
    </row>
    <row r="125" spans="1:19" x14ac:dyDescent="0.25">
      <c r="A125" s="5" t="s">
        <v>8</v>
      </c>
      <c r="B125" s="5" t="s">
        <v>303</v>
      </c>
      <c r="C125" s="5" t="s">
        <v>27</v>
      </c>
      <c r="D125" s="5" t="s">
        <v>385</v>
      </c>
      <c r="E125" s="5" t="s">
        <v>387</v>
      </c>
      <c r="F125" s="5" t="s">
        <v>112</v>
      </c>
      <c r="G125" s="5" t="s">
        <v>391</v>
      </c>
      <c r="H125" s="5" t="s">
        <v>53</v>
      </c>
      <c r="I125" s="5" t="s">
        <v>305</v>
      </c>
      <c r="J125" s="15">
        <v>3250</v>
      </c>
      <c r="K125" s="7">
        <v>35.5</v>
      </c>
      <c r="L125" s="7">
        <f t="shared" si="32"/>
        <v>91.549295774647888</v>
      </c>
      <c r="M125" s="5" t="s">
        <v>10</v>
      </c>
      <c r="N125" s="5">
        <v>4</v>
      </c>
      <c r="O125" s="6">
        <f t="shared" si="33"/>
        <v>17.024461912318984</v>
      </c>
      <c r="P125" s="6">
        <f t="shared" si="34"/>
        <v>1.7705440388811744</v>
      </c>
      <c r="Q125" s="10">
        <f t="shared" si="35"/>
        <v>3.6886334143357798E-2</v>
      </c>
      <c r="R125" s="10">
        <f t="shared" si="36"/>
        <v>0.13326072446206286</v>
      </c>
      <c r="S125" s="10">
        <f t="shared" si="37"/>
        <v>0.17014705860542065</v>
      </c>
    </row>
    <row r="126" spans="1:19" x14ac:dyDescent="0.25">
      <c r="A126" s="5" t="s">
        <v>8</v>
      </c>
      <c r="B126" s="5" t="s">
        <v>303</v>
      </c>
      <c r="C126" s="5" t="s">
        <v>27</v>
      </c>
      <c r="D126" s="5" t="s">
        <v>385</v>
      </c>
      <c r="E126" s="5" t="s">
        <v>387</v>
      </c>
      <c r="F126" s="5" t="s">
        <v>112</v>
      </c>
      <c r="G126" s="5" t="s">
        <v>391</v>
      </c>
      <c r="H126" s="5" t="s">
        <v>53</v>
      </c>
      <c r="I126" s="5" t="s">
        <v>305</v>
      </c>
      <c r="J126" s="15">
        <v>2660</v>
      </c>
      <c r="K126" s="7">
        <v>33.5</v>
      </c>
      <c r="L126" s="7">
        <f t="shared" si="32"/>
        <v>79.402985074626869</v>
      </c>
      <c r="M126" s="5" t="s">
        <v>10</v>
      </c>
      <c r="N126" s="5">
        <v>4</v>
      </c>
      <c r="O126" s="6">
        <f t="shared" si="33"/>
        <v>10.481786589440857</v>
      </c>
      <c r="P126" s="6">
        <f t="shared" si="34"/>
        <v>1.0901058053018491</v>
      </c>
      <c r="Q126" s="10">
        <f t="shared" si="35"/>
        <v>2.2710537610455189E-2</v>
      </c>
      <c r="R126" s="10">
        <f t="shared" si="36"/>
        <v>9.2624016415838617E-2</v>
      </c>
      <c r="S126" s="10">
        <f t="shared" si="37"/>
        <v>0.11533455402629381</v>
      </c>
    </row>
    <row r="127" spans="1:19" x14ac:dyDescent="0.25">
      <c r="A127" s="5" t="s">
        <v>8</v>
      </c>
      <c r="B127" s="5" t="s">
        <v>330</v>
      </c>
      <c r="C127" s="5" t="s">
        <v>27</v>
      </c>
      <c r="D127" s="5" t="s">
        <v>385</v>
      </c>
      <c r="E127" s="5" t="s">
        <v>387</v>
      </c>
      <c r="F127" s="5" t="s">
        <v>112</v>
      </c>
      <c r="G127" s="5" t="s">
        <v>391</v>
      </c>
      <c r="H127" s="5" t="s">
        <v>53</v>
      </c>
      <c r="I127" s="5" t="s">
        <v>331</v>
      </c>
      <c r="J127" s="15">
        <v>3000</v>
      </c>
      <c r="K127" s="7">
        <v>44</v>
      </c>
      <c r="L127" s="7">
        <f t="shared" si="32"/>
        <v>68.181818181818187</v>
      </c>
      <c r="M127" s="5" t="s">
        <v>10</v>
      </c>
      <c r="N127" s="5">
        <v>4</v>
      </c>
      <c r="O127" s="6">
        <f t="shared" si="33"/>
        <v>8.7164256198347125</v>
      </c>
      <c r="P127" s="6">
        <f t="shared" si="34"/>
        <v>0.90650826446281008</v>
      </c>
      <c r="Q127" s="10">
        <f t="shared" si="35"/>
        <v>1.8885588842975209E-2</v>
      </c>
      <c r="R127" s="10">
        <f t="shared" si="36"/>
        <v>8.0658649416804964E-2</v>
      </c>
      <c r="S127" s="10">
        <f t="shared" si="37"/>
        <v>9.9544238259780177E-2</v>
      </c>
    </row>
    <row r="128" spans="1:19" x14ac:dyDescent="0.25">
      <c r="A128" s="5" t="s">
        <v>8</v>
      </c>
      <c r="B128" s="5" t="s">
        <v>330</v>
      </c>
      <c r="C128" s="5" t="s">
        <v>27</v>
      </c>
      <c r="D128" s="5" t="s">
        <v>385</v>
      </c>
      <c r="E128" s="5" t="s">
        <v>387</v>
      </c>
      <c r="F128" s="5" t="s">
        <v>112</v>
      </c>
      <c r="G128" s="5" t="s">
        <v>391</v>
      </c>
      <c r="H128" s="5" t="s">
        <v>53</v>
      </c>
      <c r="I128" s="5" t="s">
        <v>331</v>
      </c>
      <c r="J128" s="15">
        <v>2950</v>
      </c>
      <c r="K128" s="7">
        <v>38</v>
      </c>
      <c r="L128" s="7">
        <f t="shared" si="32"/>
        <v>77.631578947368425</v>
      </c>
      <c r="M128" s="5" t="s">
        <v>10</v>
      </c>
      <c r="N128" s="5">
        <v>4</v>
      </c>
      <c r="O128" s="6">
        <f t="shared" si="33"/>
        <v>11.111658154432133</v>
      </c>
      <c r="P128" s="6">
        <f t="shared" si="34"/>
        <v>1.155612448060942</v>
      </c>
      <c r="Q128" s="10">
        <f t="shared" si="35"/>
        <v>2.4075259334602955E-2</v>
      </c>
      <c r="R128" s="10">
        <f t="shared" si="36"/>
        <v>9.6767891534095082E-2</v>
      </c>
      <c r="S128" s="10">
        <f t="shared" si="37"/>
        <v>0.12084315086869804</v>
      </c>
    </row>
    <row r="129" spans="1:19" x14ac:dyDescent="0.25">
      <c r="A129" s="5" t="s">
        <v>8</v>
      </c>
      <c r="B129" s="5" t="s">
        <v>228</v>
      </c>
      <c r="C129" s="5" t="s">
        <v>27</v>
      </c>
      <c r="D129" s="5" t="s">
        <v>385</v>
      </c>
      <c r="E129" s="5" t="s">
        <v>387</v>
      </c>
      <c r="F129" s="5" t="s">
        <v>112</v>
      </c>
      <c r="G129" s="5" t="s">
        <v>391</v>
      </c>
      <c r="H129" s="5" t="s">
        <v>53</v>
      </c>
      <c r="I129" s="5" t="s">
        <v>230</v>
      </c>
      <c r="J129" s="15">
        <v>2500</v>
      </c>
      <c r="K129" s="7">
        <v>37</v>
      </c>
      <c r="L129" s="7">
        <f t="shared" si="32"/>
        <v>67.567567567567565</v>
      </c>
      <c r="M129" s="5" t="s">
        <v>10</v>
      </c>
      <c r="N129" s="5">
        <v>4</v>
      </c>
      <c r="O129" s="6">
        <f t="shared" si="33"/>
        <v>7.1334002921840742</v>
      </c>
      <c r="P129" s="6">
        <f t="shared" si="34"/>
        <v>0.74187363038714382</v>
      </c>
      <c r="Q129" s="10">
        <f t="shared" si="35"/>
        <v>1.5455700633065493E-2</v>
      </c>
      <c r="R129" s="10">
        <f t="shared" si="36"/>
        <v>6.9401614038345646E-2</v>
      </c>
      <c r="S129" s="10">
        <f t="shared" si="37"/>
        <v>8.4857314671411138E-2</v>
      </c>
    </row>
    <row r="130" spans="1:19" x14ac:dyDescent="0.25">
      <c r="A130" s="5" t="s">
        <v>8</v>
      </c>
      <c r="B130" s="5" t="s">
        <v>322</v>
      </c>
      <c r="C130" s="5" t="s">
        <v>27</v>
      </c>
      <c r="D130" s="5" t="s">
        <v>385</v>
      </c>
      <c r="E130" s="5" t="s">
        <v>387</v>
      </c>
      <c r="F130" s="5" t="s">
        <v>112</v>
      </c>
      <c r="G130" s="5" t="s">
        <v>391</v>
      </c>
      <c r="H130" s="5" t="s">
        <v>53</v>
      </c>
      <c r="I130" s="5" t="s">
        <v>19</v>
      </c>
      <c r="J130" s="15">
        <v>1300</v>
      </c>
      <c r="K130" s="7">
        <v>37</v>
      </c>
      <c r="L130" s="7">
        <f t="shared" si="32"/>
        <v>35.135135135135137</v>
      </c>
      <c r="M130" s="5" t="s">
        <v>10</v>
      </c>
      <c r="N130" s="5">
        <v>4</v>
      </c>
      <c r="O130" s="6">
        <f t="shared" si="33"/>
        <v>1.0030131482834186</v>
      </c>
      <c r="P130" s="6">
        <f t="shared" si="34"/>
        <v>0.10431336742147553</v>
      </c>
      <c r="Q130" s="10">
        <f t="shared" si="35"/>
        <v>2.1731951546140734E-3</v>
      </c>
      <c r="R130" s="10">
        <f t="shared" si="36"/>
        <v>1.5935918276764362E-2</v>
      </c>
      <c r="S130" s="10">
        <f t="shared" si="37"/>
        <v>1.8109113431378436E-2</v>
      </c>
    </row>
    <row r="131" spans="1:19" x14ac:dyDescent="0.25">
      <c r="A131" s="5" t="s">
        <v>22</v>
      </c>
      <c r="B131" s="5" t="s">
        <v>26</v>
      </c>
      <c r="C131" s="5" t="s">
        <v>27</v>
      </c>
      <c r="D131" s="5" t="s">
        <v>385</v>
      </c>
      <c r="E131" s="5" t="s">
        <v>387</v>
      </c>
      <c r="F131" s="5" t="s">
        <v>112</v>
      </c>
      <c r="G131" s="5" t="s">
        <v>391</v>
      </c>
      <c r="H131" s="5" t="s">
        <v>53</v>
      </c>
      <c r="I131" s="5" t="s">
        <v>54</v>
      </c>
      <c r="J131" s="15">
        <v>4200</v>
      </c>
      <c r="K131" s="7">
        <v>38</v>
      </c>
      <c r="L131" s="7">
        <f t="shared" si="32"/>
        <v>110.52631578947368</v>
      </c>
      <c r="M131" s="5" t="s">
        <v>10</v>
      </c>
      <c r="N131" s="5">
        <v>4</v>
      </c>
      <c r="O131" s="6">
        <f t="shared" si="33"/>
        <v>32.067174515235457</v>
      </c>
      <c r="P131" s="6">
        <f t="shared" si="34"/>
        <v>3.3349861495844868</v>
      </c>
      <c r="Q131" s="10">
        <f t="shared" si="35"/>
        <v>6.9478878116343484E-2</v>
      </c>
      <c r="R131" s="10">
        <f t="shared" si="36"/>
        <v>0.21426076233960867</v>
      </c>
      <c r="S131" s="10">
        <f t="shared" si="37"/>
        <v>0.28373964045595212</v>
      </c>
    </row>
    <row r="132" spans="1:19" x14ac:dyDescent="0.25">
      <c r="A132" s="5" t="s">
        <v>8</v>
      </c>
      <c r="B132" s="5" t="s">
        <v>284</v>
      </c>
      <c r="C132" s="5" t="s">
        <v>27</v>
      </c>
      <c r="D132" s="5" t="s">
        <v>385</v>
      </c>
      <c r="E132" s="5" t="s">
        <v>387</v>
      </c>
      <c r="F132" s="5" t="s">
        <v>112</v>
      </c>
      <c r="G132" s="5" t="s">
        <v>391</v>
      </c>
      <c r="H132" s="5" t="s">
        <v>53</v>
      </c>
      <c r="I132" s="5" t="s">
        <v>285</v>
      </c>
      <c r="J132" s="15">
        <v>3400</v>
      </c>
      <c r="K132" s="7">
        <v>46.8</v>
      </c>
      <c r="L132" s="7">
        <f t="shared" si="32"/>
        <v>72.649572649572647</v>
      </c>
      <c r="M132" s="5" t="s">
        <v>10</v>
      </c>
      <c r="N132" s="5">
        <v>4</v>
      </c>
      <c r="O132" s="6">
        <f t="shared" si="33"/>
        <v>11.21566586310176</v>
      </c>
      <c r="P132" s="6">
        <f t="shared" si="34"/>
        <v>1.1664292497625828</v>
      </c>
      <c r="Q132" s="10">
        <f t="shared" si="35"/>
        <v>2.4300609370053811E-2</v>
      </c>
      <c r="R132" s="10">
        <f t="shared" si="36"/>
        <v>9.7446427289205384E-2</v>
      </c>
      <c r="S132" s="10">
        <f t="shared" si="37"/>
        <v>0.12174703665925919</v>
      </c>
    </row>
    <row r="133" spans="1:19" x14ac:dyDescent="0.25">
      <c r="A133" s="5" t="s">
        <v>8</v>
      </c>
      <c r="B133" s="5" t="s">
        <v>303</v>
      </c>
      <c r="C133" s="5" t="s">
        <v>27</v>
      </c>
      <c r="D133" s="5" t="s">
        <v>385</v>
      </c>
      <c r="E133" s="5" t="s">
        <v>387</v>
      </c>
      <c r="F133" s="5" t="s">
        <v>112</v>
      </c>
      <c r="G133" s="5" t="s">
        <v>391</v>
      </c>
      <c r="H133" s="5" t="s">
        <v>53</v>
      </c>
      <c r="I133" s="5" t="s">
        <v>304</v>
      </c>
      <c r="J133" s="15">
        <v>2510</v>
      </c>
      <c r="K133" s="7">
        <v>32.5</v>
      </c>
      <c r="L133" s="7">
        <f t="shared" si="32"/>
        <v>77.230769230769226</v>
      </c>
      <c r="M133" s="5" t="s">
        <v>10</v>
      </c>
      <c r="N133" s="5">
        <v>4</v>
      </c>
      <c r="O133" s="6">
        <f t="shared" si="33"/>
        <v>9.3569532544378688</v>
      </c>
      <c r="P133" s="6">
        <f t="shared" si="34"/>
        <v>0.9731231384615382</v>
      </c>
      <c r="Q133" s="10">
        <f t="shared" si="35"/>
        <v>2.0273398717948716E-2</v>
      </c>
      <c r="R133" s="10">
        <f t="shared" si="36"/>
        <v>8.5064424704301325E-2</v>
      </c>
      <c r="S133" s="10">
        <f t="shared" si="37"/>
        <v>0.10533782342225004</v>
      </c>
    </row>
    <row r="134" spans="1:19" x14ac:dyDescent="0.25">
      <c r="A134" s="5" t="s">
        <v>8</v>
      </c>
      <c r="B134" s="5" t="s">
        <v>165</v>
      </c>
      <c r="C134" s="5" t="s">
        <v>27</v>
      </c>
      <c r="D134" s="5" t="s">
        <v>385</v>
      </c>
      <c r="E134" s="5" t="s">
        <v>387</v>
      </c>
      <c r="F134" s="5" t="s">
        <v>112</v>
      </c>
      <c r="G134" s="5" t="s">
        <v>391</v>
      </c>
      <c r="H134" s="5" t="s">
        <v>53</v>
      </c>
      <c r="I134" s="5" t="s">
        <v>168</v>
      </c>
      <c r="J134" s="15">
        <v>1120</v>
      </c>
      <c r="K134" s="7">
        <v>23.5</v>
      </c>
      <c r="L134" s="7">
        <f t="shared" si="32"/>
        <v>47.659574468085104</v>
      </c>
      <c r="M134" s="5" t="s">
        <v>10</v>
      </c>
      <c r="N134" s="5">
        <v>4</v>
      </c>
      <c r="O134" s="6">
        <f t="shared" si="33"/>
        <v>1.5900045269352645</v>
      </c>
      <c r="P134" s="6">
        <f t="shared" si="34"/>
        <v>0.16536047080126751</v>
      </c>
      <c r="Q134" s="10">
        <f t="shared" si="35"/>
        <v>3.4450098083597396E-3</v>
      </c>
      <c r="R134" s="10">
        <f t="shared" si="36"/>
        <v>2.2513649207854137E-2</v>
      </c>
      <c r="S134" s="10">
        <f t="shared" si="37"/>
        <v>2.5958659016213876E-2</v>
      </c>
    </row>
    <row r="135" spans="1:19" x14ac:dyDescent="0.25">
      <c r="A135" s="5" t="s">
        <v>8</v>
      </c>
      <c r="B135" s="5" t="s">
        <v>217</v>
      </c>
      <c r="C135" s="5" t="s">
        <v>27</v>
      </c>
      <c r="D135" s="5" t="s">
        <v>385</v>
      </c>
      <c r="E135" s="5" t="s">
        <v>387</v>
      </c>
      <c r="F135" s="5" t="s">
        <v>112</v>
      </c>
      <c r="G135" s="5" t="s">
        <v>391</v>
      </c>
      <c r="H135" s="5" t="s">
        <v>53</v>
      </c>
      <c r="I135" s="5" t="s">
        <v>17</v>
      </c>
      <c r="J135" s="15">
        <v>2800</v>
      </c>
      <c r="K135" s="7">
        <v>33</v>
      </c>
      <c r="L135" s="7">
        <f t="shared" si="32"/>
        <v>84.848484848484844</v>
      </c>
      <c r="M135" s="5" t="s">
        <v>10</v>
      </c>
      <c r="N135" s="5">
        <v>4</v>
      </c>
      <c r="O135" s="6">
        <f t="shared" si="33"/>
        <v>12.598714416896232</v>
      </c>
      <c r="P135" s="6">
        <f t="shared" si="34"/>
        <v>1.3102662993572083</v>
      </c>
      <c r="Q135" s="10">
        <f t="shared" si="35"/>
        <v>2.7297214569941834E-2</v>
      </c>
      <c r="R135" s="10">
        <f t="shared" si="36"/>
        <v>0.10632656850166688</v>
      </c>
      <c r="S135" s="10">
        <f t="shared" si="37"/>
        <v>0.13362378307160871</v>
      </c>
    </row>
    <row r="136" spans="1:19" x14ac:dyDescent="0.25">
      <c r="A136" s="5" t="s">
        <v>22</v>
      </c>
      <c r="B136" s="5" t="s">
        <v>63</v>
      </c>
      <c r="C136" s="5" t="s">
        <v>27</v>
      </c>
      <c r="D136" s="5" t="s">
        <v>385</v>
      </c>
      <c r="E136" s="5" t="s">
        <v>387</v>
      </c>
      <c r="F136" s="5" t="s">
        <v>112</v>
      </c>
      <c r="G136" s="5" t="s">
        <v>391</v>
      </c>
      <c r="H136" s="5" t="s">
        <v>53</v>
      </c>
      <c r="I136" s="5" t="s">
        <v>147</v>
      </c>
      <c r="J136" s="15">
        <v>2150</v>
      </c>
      <c r="K136" s="7">
        <v>34.5</v>
      </c>
      <c r="L136" s="7">
        <f t="shared" si="32"/>
        <v>62.318840579710148</v>
      </c>
      <c r="M136" s="5" t="s">
        <v>10</v>
      </c>
      <c r="N136" s="5">
        <v>4</v>
      </c>
      <c r="O136" s="6">
        <f t="shared" si="33"/>
        <v>5.2186384162990977</v>
      </c>
      <c r="P136" s="6">
        <f t="shared" si="34"/>
        <v>0.54273839529510615</v>
      </c>
      <c r="Q136" s="10">
        <f t="shared" si="35"/>
        <v>1.1307049901981378E-2</v>
      </c>
      <c r="R136" s="10">
        <f t="shared" si="36"/>
        <v>5.489907531451893E-2</v>
      </c>
      <c r="S136" s="10">
        <f t="shared" si="37"/>
        <v>6.6206125216500308E-2</v>
      </c>
    </row>
    <row r="137" spans="1:19" x14ac:dyDescent="0.25">
      <c r="A137" s="5" t="s">
        <v>8</v>
      </c>
      <c r="B137" s="5" t="s">
        <v>228</v>
      </c>
      <c r="C137" s="5" t="s">
        <v>27</v>
      </c>
      <c r="D137" s="5" t="s">
        <v>385</v>
      </c>
      <c r="E137" s="5" t="s">
        <v>387</v>
      </c>
      <c r="F137" s="5" t="s">
        <v>112</v>
      </c>
      <c r="G137" s="5" t="s">
        <v>391</v>
      </c>
      <c r="H137" s="5" t="s">
        <v>53</v>
      </c>
      <c r="I137" s="5" t="s">
        <v>229</v>
      </c>
      <c r="J137" s="15">
        <v>2500</v>
      </c>
      <c r="K137" s="7">
        <v>35</v>
      </c>
      <c r="L137" s="7">
        <f t="shared" si="32"/>
        <v>71.428571428571431</v>
      </c>
      <c r="M137" s="5" t="s">
        <v>10</v>
      </c>
      <c r="N137" s="5">
        <v>4</v>
      </c>
      <c r="O137" s="6">
        <f t="shared" si="33"/>
        <v>7.9719387755102051</v>
      </c>
      <c r="P137" s="6">
        <f t="shared" si="34"/>
        <v>0.82908163265306123</v>
      </c>
      <c r="Q137" s="10">
        <f t="shared" si="35"/>
        <v>1.7272534013605446E-2</v>
      </c>
      <c r="R137" s="10">
        <f t="shared" si="36"/>
        <v>7.5434512896593864E-2</v>
      </c>
      <c r="S137" s="10">
        <f t="shared" si="37"/>
        <v>9.2707046910199306E-2</v>
      </c>
    </row>
    <row r="138" spans="1:19" x14ac:dyDescent="0.25">
      <c r="A138" s="5" t="s">
        <v>8</v>
      </c>
      <c r="B138" s="5" t="s">
        <v>322</v>
      </c>
      <c r="C138" s="5" t="s">
        <v>27</v>
      </c>
      <c r="D138" s="5" t="s">
        <v>385</v>
      </c>
      <c r="E138" s="5" t="s">
        <v>387</v>
      </c>
      <c r="F138" s="5" t="s">
        <v>112</v>
      </c>
      <c r="G138" s="5" t="s">
        <v>391</v>
      </c>
      <c r="H138" s="5" t="s">
        <v>53</v>
      </c>
      <c r="I138" s="5" t="s">
        <v>325</v>
      </c>
      <c r="J138" s="15">
        <v>1600</v>
      </c>
      <c r="K138" s="7">
        <v>40</v>
      </c>
      <c r="L138" s="7">
        <f t="shared" si="32"/>
        <v>40</v>
      </c>
      <c r="M138" s="5" t="s">
        <v>10</v>
      </c>
      <c r="N138" s="5">
        <v>4</v>
      </c>
      <c r="O138" s="6">
        <f t="shared" si="33"/>
        <v>1.6</v>
      </c>
      <c r="P138" s="6">
        <f t="shared" si="34"/>
        <v>0.16639999999999999</v>
      </c>
      <c r="Q138" s="10">
        <f t="shared" si="35"/>
        <v>3.4666666666666665E-3</v>
      </c>
      <c r="R138" s="10">
        <f t="shared" si="36"/>
        <v>2.26197140956951E-2</v>
      </c>
      <c r="S138" s="10">
        <f t="shared" si="37"/>
        <v>2.6086380762361767E-2</v>
      </c>
    </row>
    <row r="139" spans="1:19" x14ac:dyDescent="0.25">
      <c r="A139" s="5" t="s">
        <v>8</v>
      </c>
      <c r="B139" s="5" t="s">
        <v>347</v>
      </c>
      <c r="C139" s="5" t="s">
        <v>27</v>
      </c>
      <c r="D139" s="5" t="s">
        <v>385</v>
      </c>
      <c r="E139" s="5" t="s">
        <v>387</v>
      </c>
      <c r="F139" s="5" t="s">
        <v>112</v>
      </c>
      <c r="G139" s="5" t="s">
        <v>391</v>
      </c>
      <c r="H139" s="5" t="s">
        <v>53</v>
      </c>
      <c r="I139" s="5" t="s">
        <v>351</v>
      </c>
      <c r="J139" s="15">
        <v>1820</v>
      </c>
      <c r="K139" s="7">
        <v>20</v>
      </c>
      <c r="L139" s="7">
        <f t="shared" si="32"/>
        <v>91</v>
      </c>
      <c r="M139" s="5" t="s">
        <v>10</v>
      </c>
      <c r="N139" s="5">
        <v>4</v>
      </c>
      <c r="O139" s="6">
        <f t="shared" si="33"/>
        <v>9.4196375000000003</v>
      </c>
      <c r="P139" s="6">
        <f t="shared" si="34"/>
        <v>0.97964229999999997</v>
      </c>
      <c r="Q139" s="10">
        <f t="shared" si="35"/>
        <v>2.0409214583333331E-2</v>
      </c>
      <c r="R139" s="10">
        <f t="shared" si="36"/>
        <v>8.549146647460612E-2</v>
      </c>
      <c r="S139" s="10">
        <f t="shared" si="37"/>
        <v>0.10590068105793946</v>
      </c>
    </row>
    <row r="140" spans="1:19" x14ac:dyDescent="0.25">
      <c r="A140" s="5" t="s">
        <v>8</v>
      </c>
      <c r="B140" s="5" t="s">
        <v>347</v>
      </c>
      <c r="C140" s="5" t="s">
        <v>27</v>
      </c>
      <c r="D140" s="5" t="s">
        <v>385</v>
      </c>
      <c r="E140" s="5" t="s">
        <v>387</v>
      </c>
      <c r="F140" s="5" t="s">
        <v>112</v>
      </c>
      <c r="G140" s="5" t="s">
        <v>391</v>
      </c>
      <c r="H140" s="5" t="s">
        <v>53</v>
      </c>
      <c r="I140" s="5" t="s">
        <v>352</v>
      </c>
      <c r="J140" s="15">
        <v>825</v>
      </c>
      <c r="K140" s="7">
        <v>27.5</v>
      </c>
      <c r="L140" s="7">
        <f t="shared" si="32"/>
        <v>30</v>
      </c>
      <c r="M140" s="5" t="s">
        <v>10</v>
      </c>
      <c r="N140" s="5">
        <v>4</v>
      </c>
      <c r="O140" s="6">
        <f t="shared" si="33"/>
        <v>0.46406249999999999</v>
      </c>
      <c r="P140" s="6">
        <f t="shared" si="34"/>
        <v>4.82625E-2</v>
      </c>
      <c r="Q140" s="10">
        <f t="shared" si="35"/>
        <v>1.0054687500000001E-3</v>
      </c>
      <c r="R140" s="10">
        <f t="shared" si="36"/>
        <v>8.9398345389160392E-3</v>
      </c>
      <c r="S140" s="10">
        <f t="shared" si="37"/>
        <v>9.9453032889160395E-3</v>
      </c>
    </row>
    <row r="141" spans="1:19" x14ac:dyDescent="0.25">
      <c r="A141" s="5" t="s">
        <v>8</v>
      </c>
      <c r="B141" s="5" t="s">
        <v>353</v>
      </c>
      <c r="C141" s="5" t="s">
        <v>27</v>
      </c>
      <c r="D141" s="5" t="s">
        <v>385</v>
      </c>
      <c r="E141" s="5" t="s">
        <v>387</v>
      </c>
      <c r="F141" s="5" t="s">
        <v>112</v>
      </c>
      <c r="G141" s="5" t="s">
        <v>391</v>
      </c>
      <c r="H141" s="5" t="s">
        <v>53</v>
      </c>
      <c r="I141" s="5" t="s">
        <v>352</v>
      </c>
      <c r="J141" s="15">
        <v>765</v>
      </c>
      <c r="K141" s="7">
        <v>26</v>
      </c>
      <c r="L141" s="7">
        <f t="shared" si="32"/>
        <v>29.423076923076923</v>
      </c>
      <c r="M141" s="5" t="s">
        <v>10</v>
      </c>
      <c r="N141" s="5">
        <v>4</v>
      </c>
      <c r="O141" s="6">
        <f t="shared" si="33"/>
        <v>0.41392115846893496</v>
      </c>
      <c r="P141" s="6">
        <f t="shared" si="34"/>
        <v>4.3047800480769241E-2</v>
      </c>
      <c r="Q141" s="10">
        <f t="shared" si="35"/>
        <v>8.9682917668269238E-4</v>
      </c>
      <c r="R141" s="10">
        <f t="shared" si="36"/>
        <v>8.2051276983141543E-3</v>
      </c>
      <c r="S141" s="10">
        <f t="shared" si="37"/>
        <v>9.1019568749968471E-3</v>
      </c>
    </row>
    <row r="142" spans="1:19" x14ac:dyDescent="0.25">
      <c r="A142" s="5" t="s">
        <v>8</v>
      </c>
      <c r="B142" s="5" t="s">
        <v>353</v>
      </c>
      <c r="C142" s="5" t="s">
        <v>27</v>
      </c>
      <c r="D142" s="5" t="s">
        <v>385</v>
      </c>
      <c r="E142" s="5" t="s">
        <v>387</v>
      </c>
      <c r="F142" s="5" t="s">
        <v>112</v>
      </c>
      <c r="G142" s="5" t="s">
        <v>391</v>
      </c>
      <c r="H142" s="5" t="s">
        <v>53</v>
      </c>
      <c r="I142" s="5" t="s">
        <v>352</v>
      </c>
      <c r="J142" s="15">
        <v>930</v>
      </c>
      <c r="K142" s="7">
        <v>29.5</v>
      </c>
      <c r="L142" s="7">
        <f t="shared" si="32"/>
        <v>31.525423728813561</v>
      </c>
      <c r="M142" s="5" t="s">
        <v>10</v>
      </c>
      <c r="N142" s="5">
        <v>4</v>
      </c>
      <c r="O142" s="6">
        <f t="shared" si="33"/>
        <v>0.57767667336972139</v>
      </c>
      <c r="P142" s="6">
        <f t="shared" si="34"/>
        <v>6.0078374030451021E-2</v>
      </c>
      <c r="Q142" s="10">
        <f t="shared" si="35"/>
        <v>1.251632792301063E-3</v>
      </c>
      <c r="R142" s="10">
        <f t="shared" si="36"/>
        <v>1.0535635757711046E-2</v>
      </c>
      <c r="S142" s="10">
        <f t="shared" si="37"/>
        <v>1.1787268550012109E-2</v>
      </c>
    </row>
    <row r="143" spans="1:19" x14ac:dyDescent="0.25">
      <c r="A143" s="5" t="s">
        <v>8</v>
      </c>
      <c r="B143" s="5" t="s">
        <v>330</v>
      </c>
      <c r="C143" s="5" t="s">
        <v>27</v>
      </c>
      <c r="D143" s="5" t="s">
        <v>385</v>
      </c>
      <c r="E143" s="5" t="s">
        <v>387</v>
      </c>
      <c r="F143" s="5" t="s">
        <v>112</v>
      </c>
      <c r="G143" s="5" t="s">
        <v>391</v>
      </c>
      <c r="H143" s="5" t="s">
        <v>53</v>
      </c>
      <c r="I143" s="5" t="s">
        <v>332</v>
      </c>
      <c r="J143" s="15">
        <v>2000</v>
      </c>
      <c r="K143" s="7">
        <v>47</v>
      </c>
      <c r="L143" s="7">
        <f t="shared" si="32"/>
        <v>42.553191489361701</v>
      </c>
      <c r="M143" s="5" t="s">
        <v>10</v>
      </c>
      <c r="N143" s="5">
        <v>4</v>
      </c>
      <c r="O143" s="6">
        <f t="shared" si="33"/>
        <v>2.2634676324128562</v>
      </c>
      <c r="P143" s="6">
        <f t="shared" si="34"/>
        <v>0.23540063377093706</v>
      </c>
      <c r="Q143" s="10">
        <f t="shared" si="35"/>
        <v>4.9041798702278549E-3</v>
      </c>
      <c r="R143" s="10">
        <f t="shared" si="36"/>
        <v>2.9341197903551185E-2</v>
      </c>
      <c r="S143" s="10">
        <f t="shared" si="37"/>
        <v>3.4245377773779041E-2</v>
      </c>
    </row>
    <row r="144" spans="1:19" x14ac:dyDescent="0.25">
      <c r="A144" s="5" t="s">
        <v>22</v>
      </c>
      <c r="B144" s="5" t="s">
        <v>26</v>
      </c>
      <c r="C144" s="5" t="s">
        <v>27</v>
      </c>
      <c r="D144" s="5" t="s">
        <v>385</v>
      </c>
      <c r="E144" s="5" t="s">
        <v>387</v>
      </c>
      <c r="F144" s="5" t="s">
        <v>112</v>
      </c>
      <c r="G144" s="5" t="s">
        <v>391</v>
      </c>
      <c r="H144" s="5" t="s">
        <v>53</v>
      </c>
      <c r="I144" s="5" t="s">
        <v>55</v>
      </c>
      <c r="J144" s="15">
        <v>3650</v>
      </c>
      <c r="K144" s="7">
        <v>34</v>
      </c>
      <c r="L144" s="7">
        <f t="shared" si="32"/>
        <v>107.35294117647059</v>
      </c>
      <c r="M144" s="5" t="s">
        <v>10</v>
      </c>
      <c r="N144" s="5">
        <v>4</v>
      </c>
      <c r="O144" s="6">
        <f t="shared" si="33"/>
        <v>26.290616890138409</v>
      </c>
      <c r="P144" s="6">
        <f t="shared" si="34"/>
        <v>2.7342241565743945</v>
      </c>
      <c r="Q144" s="10">
        <f t="shared" si="35"/>
        <v>5.6963003261966551E-2</v>
      </c>
      <c r="R144" s="10">
        <f t="shared" si="36"/>
        <v>0.18460680533482346</v>
      </c>
      <c r="S144" s="10">
        <f t="shared" si="37"/>
        <v>0.24156980859679</v>
      </c>
    </row>
    <row r="145" spans="1:19" x14ac:dyDescent="0.25">
      <c r="A145" s="5" t="s">
        <v>8</v>
      </c>
      <c r="B145" s="5" t="s">
        <v>156</v>
      </c>
      <c r="C145" s="5" t="s">
        <v>27</v>
      </c>
      <c r="D145" s="5" t="s">
        <v>385</v>
      </c>
      <c r="E145" s="5" t="s">
        <v>387</v>
      </c>
      <c r="F145" s="5" t="s">
        <v>112</v>
      </c>
      <c r="G145" s="5" t="s">
        <v>391</v>
      </c>
      <c r="H145" s="5" t="s">
        <v>53</v>
      </c>
      <c r="I145" s="5" t="s">
        <v>158</v>
      </c>
      <c r="J145" s="15">
        <v>1125</v>
      </c>
      <c r="K145" s="7">
        <v>29</v>
      </c>
      <c r="L145" s="7">
        <f t="shared" si="32"/>
        <v>38.793103448275865</v>
      </c>
      <c r="M145" s="5" t="s">
        <v>10</v>
      </c>
      <c r="N145" s="5">
        <v>4</v>
      </c>
      <c r="O145" s="6">
        <f t="shared" si="33"/>
        <v>1.0581362403388823</v>
      </c>
      <c r="P145" s="6">
        <f t="shared" si="34"/>
        <v>0.11004616899524378</v>
      </c>
      <c r="Q145" s="10">
        <f t="shared" si="35"/>
        <v>2.2926285207342449E-3</v>
      </c>
      <c r="R145" s="10">
        <f t="shared" si="36"/>
        <v>1.6588354811020851E-2</v>
      </c>
      <c r="S145" s="10">
        <f t="shared" si="37"/>
        <v>1.8880983331755096E-2</v>
      </c>
    </row>
    <row r="146" spans="1:19" x14ac:dyDescent="0.25">
      <c r="A146" s="5" t="s">
        <v>8</v>
      </c>
      <c r="B146" s="5" t="s">
        <v>156</v>
      </c>
      <c r="C146" s="5" t="s">
        <v>27</v>
      </c>
      <c r="D146" s="5" t="s">
        <v>385</v>
      </c>
      <c r="E146" s="5" t="s">
        <v>387</v>
      </c>
      <c r="F146" s="5" t="s">
        <v>112</v>
      </c>
      <c r="G146" s="5" t="s">
        <v>391</v>
      </c>
      <c r="H146" s="5" t="s">
        <v>53</v>
      </c>
      <c r="I146" s="5" t="s">
        <v>158</v>
      </c>
      <c r="J146" s="15">
        <v>1140</v>
      </c>
      <c r="K146" s="7">
        <v>28.5</v>
      </c>
      <c r="L146" s="7">
        <f t="shared" si="32"/>
        <v>40</v>
      </c>
      <c r="M146" s="5" t="s">
        <v>10</v>
      </c>
      <c r="N146" s="5">
        <v>4</v>
      </c>
      <c r="O146" s="6">
        <f t="shared" si="33"/>
        <v>1.1399999999999999</v>
      </c>
      <c r="P146" s="6">
        <f t="shared" si="34"/>
        <v>0.11855999999999998</v>
      </c>
      <c r="Q146" s="10">
        <f t="shared" si="35"/>
        <v>2.4699999999999995E-3</v>
      </c>
      <c r="R146" s="10">
        <f t="shared" si="36"/>
        <v>1.7541864935922521E-2</v>
      </c>
      <c r="S146" s="10">
        <f t="shared" si="37"/>
        <v>2.0011864935922521E-2</v>
      </c>
    </row>
    <row r="147" spans="1:19" x14ac:dyDescent="0.25">
      <c r="A147" s="5" t="s">
        <v>8</v>
      </c>
      <c r="B147" s="5" t="s">
        <v>347</v>
      </c>
      <c r="C147" s="5" t="s">
        <v>27</v>
      </c>
      <c r="D147" s="5" t="s">
        <v>385</v>
      </c>
      <c r="E147" s="5" t="s">
        <v>387</v>
      </c>
      <c r="F147" s="5" t="s">
        <v>112</v>
      </c>
      <c r="G147" s="5" t="s">
        <v>391</v>
      </c>
      <c r="H147" s="5" t="s">
        <v>53</v>
      </c>
      <c r="I147" s="5" t="s">
        <v>158</v>
      </c>
      <c r="J147" s="15">
        <v>1250</v>
      </c>
      <c r="K147" s="7">
        <v>26.5</v>
      </c>
      <c r="L147" s="7">
        <f t="shared" si="32"/>
        <v>47.169811320754718</v>
      </c>
      <c r="M147" s="5" t="s">
        <v>10</v>
      </c>
      <c r="N147" s="5">
        <v>4</v>
      </c>
      <c r="O147" s="6">
        <f t="shared" si="33"/>
        <v>1.7382742969028124</v>
      </c>
      <c r="P147" s="6">
        <f t="shared" si="34"/>
        <v>0.18078052687789251</v>
      </c>
      <c r="Q147" s="10">
        <f t="shared" si="35"/>
        <v>3.7662609766227601E-3</v>
      </c>
      <c r="R147" s="10">
        <f t="shared" si="36"/>
        <v>2.4070541236937307E-2</v>
      </c>
      <c r="S147" s="10">
        <f t="shared" si="37"/>
        <v>2.7836802213560066E-2</v>
      </c>
    </row>
    <row r="148" spans="1:19" x14ac:dyDescent="0.25">
      <c r="A148" s="5" t="s">
        <v>8</v>
      </c>
      <c r="B148" s="5" t="s">
        <v>372</v>
      </c>
      <c r="C148" s="5" t="s">
        <v>27</v>
      </c>
      <c r="D148" s="5" t="s">
        <v>385</v>
      </c>
      <c r="E148" s="5" t="s">
        <v>387</v>
      </c>
      <c r="F148" s="5" t="s">
        <v>112</v>
      </c>
      <c r="G148" s="5" t="s">
        <v>391</v>
      </c>
      <c r="H148" s="5" t="s">
        <v>53</v>
      </c>
      <c r="I148" s="5" t="s">
        <v>374</v>
      </c>
      <c r="J148" s="15">
        <v>3590</v>
      </c>
      <c r="K148" s="7">
        <v>44</v>
      </c>
      <c r="L148" s="7">
        <f t="shared" si="32"/>
        <v>81.590909090909093</v>
      </c>
      <c r="M148" s="5" t="s">
        <v>10</v>
      </c>
      <c r="N148" s="5">
        <v>4</v>
      </c>
      <c r="O148" s="6">
        <f t="shared" si="33"/>
        <v>14.936815276342974</v>
      </c>
      <c r="P148" s="6">
        <f t="shared" si="34"/>
        <v>1.5534287887396692</v>
      </c>
      <c r="Q148" s="10">
        <f t="shared" si="35"/>
        <v>3.2363099765409777E-2</v>
      </c>
      <c r="R148" s="10">
        <f t="shared" si="36"/>
        <v>0.12080659172555661</v>
      </c>
      <c r="S148" s="10">
        <f t="shared" si="37"/>
        <v>0.15316969149096638</v>
      </c>
    </row>
    <row r="149" spans="1:19" x14ac:dyDescent="0.25">
      <c r="A149" s="5" t="s">
        <v>22</v>
      </c>
      <c r="B149" s="5" t="s">
        <v>63</v>
      </c>
      <c r="C149" s="5" t="s">
        <v>27</v>
      </c>
      <c r="D149" s="5" t="s">
        <v>385</v>
      </c>
      <c r="E149" s="5" t="s">
        <v>387</v>
      </c>
      <c r="F149" s="5" t="s">
        <v>112</v>
      </c>
      <c r="G149" s="5" t="s">
        <v>391</v>
      </c>
      <c r="H149" s="5" t="s">
        <v>53</v>
      </c>
      <c r="I149" s="5" t="s">
        <v>114</v>
      </c>
      <c r="J149" s="15">
        <v>1700</v>
      </c>
      <c r="K149" s="7">
        <v>37</v>
      </c>
      <c r="L149" s="7">
        <f t="shared" si="32"/>
        <v>45.945945945945944</v>
      </c>
      <c r="M149" s="5" t="s">
        <v>10</v>
      </c>
      <c r="N149" s="5">
        <v>4</v>
      </c>
      <c r="O149" s="6">
        <f t="shared" si="33"/>
        <v>2.2429693206720231</v>
      </c>
      <c r="P149" s="6">
        <f t="shared" si="34"/>
        <v>0.23326880934989039</v>
      </c>
      <c r="Q149" s="10">
        <f t="shared" si="35"/>
        <v>4.8597668614560495E-3</v>
      </c>
      <c r="R149" s="10">
        <f t="shared" si="36"/>
        <v>2.9141682641278973E-2</v>
      </c>
      <c r="S149" s="10">
        <f t="shared" si="37"/>
        <v>3.4001449502735023E-2</v>
      </c>
    </row>
    <row r="150" spans="1:19" x14ac:dyDescent="0.25">
      <c r="A150" s="5" t="s">
        <v>8</v>
      </c>
      <c r="B150" s="5" t="s">
        <v>322</v>
      </c>
      <c r="C150" s="5" t="s">
        <v>27</v>
      </c>
      <c r="D150" s="5" t="s">
        <v>385</v>
      </c>
      <c r="E150" s="5" t="s">
        <v>387</v>
      </c>
      <c r="F150" s="5" t="s">
        <v>112</v>
      </c>
      <c r="G150" s="5" t="s">
        <v>391</v>
      </c>
      <c r="H150" s="5" t="s">
        <v>53</v>
      </c>
      <c r="I150" s="5" t="s">
        <v>114</v>
      </c>
      <c r="J150" s="15">
        <v>1600</v>
      </c>
      <c r="K150" s="7">
        <v>39</v>
      </c>
      <c r="L150" s="7">
        <f t="shared" si="32"/>
        <v>41.025641025641029</v>
      </c>
      <c r="M150" s="5" t="s">
        <v>10</v>
      </c>
      <c r="N150" s="5">
        <v>4</v>
      </c>
      <c r="O150" s="6">
        <f t="shared" si="33"/>
        <v>1.6831032215647603</v>
      </c>
      <c r="P150" s="6">
        <f t="shared" si="34"/>
        <v>0.17504273504273507</v>
      </c>
      <c r="Q150" s="10">
        <f t="shared" si="35"/>
        <v>3.6467236467236474E-3</v>
      </c>
      <c r="R150" s="10">
        <f t="shared" si="36"/>
        <v>2.3495256345525899E-2</v>
      </c>
      <c r="S150" s="10">
        <f t="shared" si="37"/>
        <v>2.7141979992249547E-2</v>
      </c>
    </row>
    <row r="151" spans="1:19" x14ac:dyDescent="0.25">
      <c r="J151" s="16">
        <f>AVERAGE(J110:J150)</f>
        <v>2144.439024390244</v>
      </c>
      <c r="K151" s="12">
        <f t="shared" ref="K151:S151" si="38">AVERAGE(K110:K150)</f>
        <v>34.568292682926831</v>
      </c>
      <c r="L151" s="12">
        <f t="shared" si="38"/>
        <v>61.348594202205497</v>
      </c>
      <c r="M151" s="11" t="e">
        <f t="shared" si="38"/>
        <v>#DIV/0!</v>
      </c>
      <c r="N151" s="11">
        <f t="shared" si="38"/>
        <v>4</v>
      </c>
      <c r="O151" s="13">
        <f t="shared" si="38"/>
        <v>6.9390666007275215</v>
      </c>
      <c r="P151" s="13">
        <f t="shared" si="38"/>
        <v>0.7216629264756621</v>
      </c>
      <c r="Q151" s="14">
        <f t="shared" si="38"/>
        <v>1.5034644301576295E-2</v>
      </c>
      <c r="R151" s="14">
        <f t="shared" si="38"/>
        <v>6.2532675625267806E-2</v>
      </c>
      <c r="S151" s="14">
        <f t="shared" si="38"/>
        <v>7.7567319926844083E-2</v>
      </c>
    </row>
    <row r="152" spans="1:19" x14ac:dyDescent="0.25">
      <c r="A152" s="5" t="s">
        <v>22</v>
      </c>
      <c r="B152" s="5" t="s">
        <v>63</v>
      </c>
      <c r="C152" s="5" t="s">
        <v>27</v>
      </c>
      <c r="D152" s="5" t="s">
        <v>385</v>
      </c>
      <c r="E152" s="5" t="s">
        <v>387</v>
      </c>
      <c r="F152" s="5" t="s">
        <v>112</v>
      </c>
      <c r="G152" s="5" t="s">
        <v>391</v>
      </c>
      <c r="H152" s="5" t="s">
        <v>115</v>
      </c>
      <c r="I152" s="5" t="s">
        <v>116</v>
      </c>
      <c r="J152" s="15">
        <v>665</v>
      </c>
      <c r="K152" s="7">
        <v>23</v>
      </c>
      <c r="L152" s="7">
        <f>J152/K152</f>
        <v>28.913043478260871</v>
      </c>
      <c r="M152" s="5" t="s">
        <v>10</v>
      </c>
      <c r="N152" s="5">
        <v>4</v>
      </c>
      <c r="O152" s="6">
        <f>(J152*L152^2)/(1.6*10^6)</f>
        <v>0.34744757206994337</v>
      </c>
      <c r="P152" s="6">
        <f>(0.104*J152*L152^2)/(1.6*10^6)</f>
        <v>3.6134547495274102E-2</v>
      </c>
      <c r="Q152" s="10">
        <f>(0.104*O152)/(12*N152)</f>
        <v>7.5280307281821058E-4</v>
      </c>
      <c r="R152" s="10">
        <f>0.0159*O152^0.75</f>
        <v>7.1955514895454976E-3</v>
      </c>
      <c r="S152" s="10">
        <f>Q152+R152</f>
        <v>7.9483545623637089E-3</v>
      </c>
    </row>
    <row r="154" spans="1:19" x14ac:dyDescent="0.25">
      <c r="A154" s="5" t="s">
        <v>22</v>
      </c>
      <c r="B154" s="5" t="s">
        <v>63</v>
      </c>
      <c r="C154" s="5" t="s">
        <v>27</v>
      </c>
      <c r="D154" s="5" t="s">
        <v>385</v>
      </c>
      <c r="E154" s="5" t="s">
        <v>387</v>
      </c>
      <c r="F154" s="5" t="s">
        <v>112</v>
      </c>
      <c r="G154" s="5" t="s">
        <v>391</v>
      </c>
      <c r="H154" s="5" t="s">
        <v>119</v>
      </c>
      <c r="I154" s="5" t="s">
        <v>120</v>
      </c>
      <c r="J154" s="15">
        <v>1200</v>
      </c>
      <c r="K154" s="7">
        <v>26.5</v>
      </c>
      <c r="L154" s="7">
        <f>J154/K154</f>
        <v>45.283018867924525</v>
      </c>
      <c r="M154" s="5" t="s">
        <v>10</v>
      </c>
      <c r="N154" s="5">
        <v>4</v>
      </c>
      <c r="O154" s="6">
        <f>(J154*L154^2)/(1.6*10^6)</f>
        <v>1.5379138483446062</v>
      </c>
      <c r="P154" s="6">
        <f>(0.104*J154*L154^2)/(1.6*10^6)</f>
        <v>0.15994304022783903</v>
      </c>
      <c r="Q154" s="10">
        <f>(0.104*O154)/(12*N154)</f>
        <v>3.3321466714133132E-3</v>
      </c>
      <c r="R154" s="10">
        <f>0.0159*O154^0.75</f>
        <v>2.1958169341058133E-2</v>
      </c>
      <c r="S154" s="10">
        <f>Q154+R154</f>
        <v>2.5290316012471448E-2</v>
      </c>
    </row>
    <row r="156" spans="1:19" x14ac:dyDescent="0.25">
      <c r="A156" s="5" t="s">
        <v>22</v>
      </c>
      <c r="B156" s="5" t="s">
        <v>63</v>
      </c>
      <c r="C156" s="5" t="s">
        <v>27</v>
      </c>
      <c r="D156" s="5" t="s">
        <v>385</v>
      </c>
      <c r="E156" s="5" t="s">
        <v>387</v>
      </c>
      <c r="F156" s="5" t="s">
        <v>112</v>
      </c>
      <c r="G156" s="5" t="s">
        <v>391</v>
      </c>
      <c r="H156" s="5" t="s">
        <v>237</v>
      </c>
      <c r="I156" s="5" t="s">
        <v>121</v>
      </c>
      <c r="J156" s="15">
        <v>1250</v>
      </c>
      <c r="K156" s="7">
        <v>25.5</v>
      </c>
      <c r="L156" s="7">
        <f>J156/K156</f>
        <v>49.019607843137258</v>
      </c>
      <c r="M156" s="5" t="s">
        <v>10</v>
      </c>
      <c r="N156" s="5">
        <v>4</v>
      </c>
      <c r="O156" s="6">
        <f>(J156*L156^2)/(1.6*10^6)</f>
        <v>1.8772827758554407</v>
      </c>
      <c r="P156" s="6">
        <f>(0.104*J156*L156^2)/(1.6*10^6)</f>
        <v>0.19523740868896583</v>
      </c>
      <c r="Q156" s="10">
        <f>(0.104*O156)/(12*N156)</f>
        <v>4.0674460143534548E-3</v>
      </c>
      <c r="R156" s="10">
        <f>0.0159*O156^0.75</f>
        <v>2.5500247518851233E-2</v>
      </c>
      <c r="S156" s="10">
        <f>Q156+R156</f>
        <v>2.9567693533204688E-2</v>
      </c>
    </row>
    <row r="157" spans="1:19" x14ac:dyDescent="0.25">
      <c r="A157" s="5" t="s">
        <v>8</v>
      </c>
      <c r="B157" s="5" t="s">
        <v>236</v>
      </c>
      <c r="C157" s="5" t="s">
        <v>27</v>
      </c>
      <c r="D157" s="5" t="s">
        <v>385</v>
      </c>
      <c r="E157" s="5" t="s">
        <v>387</v>
      </c>
      <c r="F157" s="5" t="s">
        <v>112</v>
      </c>
      <c r="G157" s="5" t="s">
        <v>391</v>
      </c>
      <c r="H157" s="5" t="s">
        <v>237</v>
      </c>
      <c r="I157" s="5" t="s">
        <v>238</v>
      </c>
      <c r="J157" s="15">
        <v>2800</v>
      </c>
      <c r="K157" s="7">
        <v>33.6</v>
      </c>
      <c r="L157" s="7">
        <f>J157/K157</f>
        <v>83.333333333333329</v>
      </c>
      <c r="M157" s="5" t="s">
        <v>10</v>
      </c>
      <c r="N157" s="5">
        <v>4</v>
      </c>
      <c r="O157" s="6">
        <f>(J157*L157^2)/(1.6*10^6)</f>
        <v>12.152777777777775</v>
      </c>
      <c r="P157" s="6">
        <f>(0.104*J157*L157^2)/(1.6*10^6)</f>
        <v>1.2638888888888886</v>
      </c>
      <c r="Q157" s="10">
        <f>(0.104*O157)/(12*N157)</f>
        <v>2.6331018518518514E-2</v>
      </c>
      <c r="R157" s="10">
        <f>0.0159*O157^0.75</f>
        <v>0.10349128794647404</v>
      </c>
      <c r="S157" s="10">
        <f>Q157+R157</f>
        <v>0.12982230646499254</v>
      </c>
    </row>
    <row r="158" spans="1:19" x14ac:dyDescent="0.25">
      <c r="J158" s="16">
        <f>AVERAGE(J156:J157)</f>
        <v>2025</v>
      </c>
      <c r="K158" s="12">
        <f t="shared" ref="K158:S158" si="39">AVERAGE(K156:K157)</f>
        <v>29.55</v>
      </c>
      <c r="L158" s="12">
        <f t="shared" si="39"/>
        <v>66.17647058823529</v>
      </c>
      <c r="M158" s="11" t="e">
        <f t="shared" si="39"/>
        <v>#DIV/0!</v>
      </c>
      <c r="N158" s="11">
        <f t="shared" si="39"/>
        <v>4</v>
      </c>
      <c r="O158" s="13">
        <f t="shared" si="39"/>
        <v>7.0150302768166082</v>
      </c>
      <c r="P158" s="13">
        <f t="shared" si="39"/>
        <v>0.72956314878892725</v>
      </c>
      <c r="Q158" s="14">
        <f t="shared" si="39"/>
        <v>1.5199232266435984E-2</v>
      </c>
      <c r="R158" s="14">
        <f t="shared" si="39"/>
        <v>6.4495767732662634E-2</v>
      </c>
      <c r="S158" s="14">
        <f t="shared" si="39"/>
        <v>7.9694999999098612E-2</v>
      </c>
    </row>
    <row r="159" spans="1:19" x14ac:dyDescent="0.25">
      <c r="A159" s="5" t="s">
        <v>8</v>
      </c>
      <c r="B159" s="5" t="s">
        <v>165</v>
      </c>
      <c r="C159" s="5" t="s">
        <v>27</v>
      </c>
      <c r="D159" s="5" t="s">
        <v>385</v>
      </c>
      <c r="E159" s="5" t="s">
        <v>384</v>
      </c>
      <c r="F159" s="5" t="s">
        <v>91</v>
      </c>
      <c r="G159" s="5" t="s">
        <v>393</v>
      </c>
      <c r="H159" s="5" t="s">
        <v>92</v>
      </c>
      <c r="I159" s="5" t="s">
        <v>167</v>
      </c>
      <c r="J159" s="15">
        <v>1770</v>
      </c>
      <c r="K159" s="7">
        <v>30</v>
      </c>
      <c r="L159" s="7">
        <f t="shared" ref="L159:L164" si="40">J159/K159</f>
        <v>59</v>
      </c>
      <c r="M159" s="5" t="s">
        <v>10</v>
      </c>
      <c r="N159" s="5">
        <v>4</v>
      </c>
      <c r="O159" s="6">
        <f t="shared" ref="O159:O164" si="41">(J159*L159^2)/(1.6*10^6)</f>
        <v>3.8508562500000001</v>
      </c>
      <c r="P159" s="6">
        <f t="shared" ref="P159:P164" si="42">(0.104*J159*L159^2)/(1.6*10^6)</f>
        <v>0.40048905000000001</v>
      </c>
      <c r="Q159" s="10">
        <f t="shared" ref="Q159:Q164" si="43">(0.104*O159)/(12*N159)</f>
        <v>8.3435218750000009E-3</v>
      </c>
      <c r="R159" s="10">
        <f t="shared" ref="R159:R164" si="44">0.0159*O159^0.75</f>
        <v>4.3708419692553992E-2</v>
      </c>
      <c r="S159" s="10">
        <f t="shared" ref="S159:S164" si="45">Q159+R159</f>
        <v>5.2051941567553994E-2</v>
      </c>
    </row>
    <row r="160" spans="1:19" x14ac:dyDescent="0.25">
      <c r="A160" s="5" t="s">
        <v>8</v>
      </c>
      <c r="B160" s="5" t="s">
        <v>372</v>
      </c>
      <c r="C160" s="5" t="s">
        <v>27</v>
      </c>
      <c r="D160" s="5" t="s">
        <v>385</v>
      </c>
      <c r="E160" s="5" t="s">
        <v>384</v>
      </c>
      <c r="F160" s="5" t="s">
        <v>91</v>
      </c>
      <c r="G160" s="5" t="s">
        <v>393</v>
      </c>
      <c r="H160" s="5" t="s">
        <v>92</v>
      </c>
      <c r="I160" s="5" t="s">
        <v>373</v>
      </c>
      <c r="J160" s="15">
        <v>2600</v>
      </c>
      <c r="K160" s="7">
        <v>40.200000000000003</v>
      </c>
      <c r="L160" s="7">
        <f t="shared" si="40"/>
        <v>64.676616915422883</v>
      </c>
      <c r="M160" s="5" t="s">
        <v>10</v>
      </c>
      <c r="N160" s="5">
        <v>4</v>
      </c>
      <c r="O160" s="6">
        <f t="shared" si="41"/>
        <v>6.7974802603895936</v>
      </c>
      <c r="P160" s="6">
        <f t="shared" si="42"/>
        <v>0.7069379470805176</v>
      </c>
      <c r="Q160" s="10">
        <f t="shared" si="43"/>
        <v>1.4727873897510785E-2</v>
      </c>
      <c r="R160" s="10">
        <f t="shared" si="44"/>
        <v>6.6935743328339611E-2</v>
      </c>
      <c r="S160" s="10">
        <f t="shared" si="45"/>
        <v>8.1663617225850402E-2</v>
      </c>
    </row>
    <row r="161" spans="1:19" x14ac:dyDescent="0.25">
      <c r="A161" s="5" t="s">
        <v>22</v>
      </c>
      <c r="B161" s="5" t="s">
        <v>63</v>
      </c>
      <c r="C161" s="5" t="s">
        <v>27</v>
      </c>
      <c r="D161" s="5" t="s">
        <v>385</v>
      </c>
      <c r="E161" s="5" t="s">
        <v>384</v>
      </c>
      <c r="F161" s="5" t="s">
        <v>91</v>
      </c>
      <c r="G161" s="5" t="s">
        <v>393</v>
      </c>
      <c r="H161" s="5" t="s">
        <v>92</v>
      </c>
      <c r="I161" s="5" t="s">
        <v>19</v>
      </c>
      <c r="J161" s="15">
        <v>1530</v>
      </c>
      <c r="K161" s="7">
        <v>63</v>
      </c>
      <c r="L161" s="7">
        <f t="shared" si="40"/>
        <v>24.285714285714285</v>
      </c>
      <c r="M161" s="5" t="s">
        <v>10</v>
      </c>
      <c r="N161" s="5">
        <v>4</v>
      </c>
      <c r="O161" s="6">
        <f t="shared" si="41"/>
        <v>0.56399234693877542</v>
      </c>
      <c r="P161" s="6">
        <f t="shared" si="42"/>
        <v>5.8655204081632648E-2</v>
      </c>
      <c r="Q161" s="10">
        <f t="shared" si="43"/>
        <v>1.2219834183673467E-3</v>
      </c>
      <c r="R161" s="10">
        <f t="shared" si="44"/>
        <v>1.0347895457552336E-2</v>
      </c>
      <c r="S161" s="10">
        <f t="shared" si="45"/>
        <v>1.1569878875919683E-2</v>
      </c>
    </row>
    <row r="162" spans="1:19" x14ac:dyDescent="0.25">
      <c r="A162" s="5" t="s">
        <v>8</v>
      </c>
      <c r="B162" s="5" t="s">
        <v>313</v>
      </c>
      <c r="C162" s="5" t="s">
        <v>27</v>
      </c>
      <c r="D162" s="5" t="s">
        <v>385</v>
      </c>
      <c r="E162" s="5" t="s">
        <v>384</v>
      </c>
      <c r="F162" s="5" t="s">
        <v>91</v>
      </c>
      <c r="G162" s="5" t="s">
        <v>393</v>
      </c>
      <c r="H162" s="5" t="s">
        <v>92</v>
      </c>
      <c r="I162" s="5" t="s">
        <v>315</v>
      </c>
      <c r="J162" s="15">
        <v>1300</v>
      </c>
      <c r="K162" s="7">
        <v>27</v>
      </c>
      <c r="L162" s="7">
        <f t="shared" si="40"/>
        <v>48.148148148148145</v>
      </c>
      <c r="M162" s="5" t="s">
        <v>10</v>
      </c>
      <c r="N162" s="5">
        <v>4</v>
      </c>
      <c r="O162" s="6">
        <f t="shared" si="41"/>
        <v>1.8835733882030175</v>
      </c>
      <c r="P162" s="6">
        <f t="shared" si="42"/>
        <v>0.19589163237311383</v>
      </c>
      <c r="Q162" s="10">
        <f t="shared" si="43"/>
        <v>4.0810756744398711E-3</v>
      </c>
      <c r="R162" s="10">
        <f t="shared" si="44"/>
        <v>2.5564307556858588E-2</v>
      </c>
      <c r="S162" s="10">
        <f t="shared" si="45"/>
        <v>2.964538323129846E-2</v>
      </c>
    </row>
    <row r="163" spans="1:19" x14ac:dyDescent="0.25">
      <c r="A163" s="5" t="s">
        <v>22</v>
      </c>
      <c r="B163" s="5" t="s">
        <v>63</v>
      </c>
      <c r="C163" s="5" t="s">
        <v>27</v>
      </c>
      <c r="D163" s="5" t="s">
        <v>385</v>
      </c>
      <c r="E163" s="5" t="s">
        <v>384</v>
      </c>
      <c r="F163" s="5" t="s">
        <v>91</v>
      </c>
      <c r="G163" s="5" t="s">
        <v>393</v>
      </c>
      <c r="H163" s="5" t="s">
        <v>92</v>
      </c>
      <c r="I163" s="5" t="s">
        <v>20</v>
      </c>
      <c r="J163" s="15">
        <v>1400</v>
      </c>
      <c r="K163" s="7">
        <v>37</v>
      </c>
      <c r="L163" s="7">
        <f t="shared" si="40"/>
        <v>37.837837837837839</v>
      </c>
      <c r="M163" s="5" t="s">
        <v>10</v>
      </c>
      <c r="N163" s="5">
        <v>4</v>
      </c>
      <c r="O163" s="6">
        <f t="shared" si="41"/>
        <v>1.2527392257121988</v>
      </c>
      <c r="P163" s="6">
        <f t="shared" si="42"/>
        <v>0.13028487947406867</v>
      </c>
      <c r="Q163" s="10">
        <f t="shared" si="43"/>
        <v>2.7142683223764304E-3</v>
      </c>
      <c r="R163" s="10">
        <f t="shared" si="44"/>
        <v>1.8827498926201992E-2</v>
      </c>
      <c r="S163" s="10">
        <f t="shared" si="45"/>
        <v>2.1541767248578422E-2</v>
      </c>
    </row>
    <row r="164" spans="1:19" x14ac:dyDescent="0.25">
      <c r="A164" s="5" t="s">
        <v>8</v>
      </c>
      <c r="B164" s="5" t="s">
        <v>308</v>
      </c>
      <c r="C164" s="5" t="s">
        <v>27</v>
      </c>
      <c r="D164" s="5" t="s">
        <v>385</v>
      </c>
      <c r="E164" s="5" t="s">
        <v>384</v>
      </c>
      <c r="F164" s="5" t="s">
        <v>91</v>
      </c>
      <c r="G164" s="5" t="s">
        <v>393</v>
      </c>
      <c r="H164" s="5" t="s">
        <v>92</v>
      </c>
      <c r="I164" s="5" t="s">
        <v>309</v>
      </c>
      <c r="J164" s="15">
        <v>1055</v>
      </c>
      <c r="K164" s="7">
        <v>35.5</v>
      </c>
      <c r="L164" s="7">
        <f t="shared" si="40"/>
        <v>29.718309859154928</v>
      </c>
      <c r="M164" s="5" t="s">
        <v>10</v>
      </c>
      <c r="N164" s="5">
        <v>4</v>
      </c>
      <c r="O164" s="6">
        <f t="shared" si="41"/>
        <v>0.58234545477087873</v>
      </c>
      <c r="P164" s="6">
        <f t="shared" si="42"/>
        <v>6.056392729617139E-2</v>
      </c>
      <c r="Q164" s="10">
        <f t="shared" si="43"/>
        <v>1.2617484853369037E-3</v>
      </c>
      <c r="R164" s="10">
        <f t="shared" si="44"/>
        <v>1.0599433193685417E-2</v>
      </c>
      <c r="S164" s="10">
        <f t="shared" si="45"/>
        <v>1.1861181679022321E-2</v>
      </c>
    </row>
    <row r="165" spans="1:19" x14ac:dyDescent="0.25">
      <c r="J165" s="16">
        <f>AVERAGE(J159:J164)</f>
        <v>1609.1666666666667</v>
      </c>
      <c r="K165" s="12">
        <f t="shared" ref="K165:S165" si="46">AVERAGE(K159:K164)</f>
        <v>38.783333333333331</v>
      </c>
      <c r="L165" s="12">
        <f t="shared" si="46"/>
        <v>43.944437841046351</v>
      </c>
      <c r="M165" s="11" t="e">
        <f t="shared" si="46"/>
        <v>#DIV/0!</v>
      </c>
      <c r="N165" s="11">
        <f t="shared" si="46"/>
        <v>4</v>
      </c>
      <c r="O165" s="13">
        <f t="shared" si="46"/>
        <v>2.4884978210024111</v>
      </c>
      <c r="P165" s="13">
        <f t="shared" si="46"/>
        <v>0.2588037733842507</v>
      </c>
      <c r="Q165" s="14">
        <f t="shared" si="46"/>
        <v>5.3917452788385563E-3</v>
      </c>
      <c r="R165" s="14">
        <f t="shared" si="46"/>
        <v>2.9330549692531991E-2</v>
      </c>
      <c r="S165" s="14">
        <f t="shared" si="46"/>
        <v>3.4722294971370547E-2</v>
      </c>
    </row>
    <row r="166" spans="1:19" x14ac:dyDescent="0.25">
      <c r="A166" s="5" t="s">
        <v>22</v>
      </c>
      <c r="B166" s="5" t="s">
        <v>63</v>
      </c>
      <c r="C166" s="5" t="s">
        <v>27</v>
      </c>
      <c r="D166" s="5" t="s">
        <v>385</v>
      </c>
      <c r="E166" s="5" t="s">
        <v>384</v>
      </c>
      <c r="F166" s="5" t="s">
        <v>91</v>
      </c>
      <c r="G166" s="5" t="s">
        <v>393</v>
      </c>
      <c r="H166" s="5" t="s">
        <v>93</v>
      </c>
      <c r="I166" s="5" t="s">
        <v>94</v>
      </c>
      <c r="J166" s="15">
        <v>3450</v>
      </c>
      <c r="K166" s="7">
        <v>33.5</v>
      </c>
      <c r="L166" s="7">
        <f>J166/K166</f>
        <v>102.98507462686567</v>
      </c>
      <c r="M166" s="5" t="s">
        <v>10</v>
      </c>
      <c r="N166" s="5">
        <v>4</v>
      </c>
      <c r="O166" s="6">
        <f>(J166*L166^2)/(1.6*10^6)</f>
        <v>22.869027066161731</v>
      </c>
      <c r="P166" s="6">
        <f>(0.104*J166*L166^2)/(1.6*10^6)</f>
        <v>2.3783788148808198</v>
      </c>
      <c r="Q166" s="10">
        <f>(0.104*O166)/(12*N166)</f>
        <v>4.9549558643350415E-2</v>
      </c>
      <c r="R166" s="10">
        <f>0.0159*O166^0.75</f>
        <v>0.16627727199027578</v>
      </c>
      <c r="S166" s="10">
        <f>Q166+R166</f>
        <v>0.2158268306336262</v>
      </c>
    </row>
    <row r="167" spans="1:19" x14ac:dyDescent="0.25">
      <c r="A167" s="5" t="s">
        <v>8</v>
      </c>
      <c r="B167" s="5" t="s">
        <v>336</v>
      </c>
      <c r="C167" s="5" t="s">
        <v>27</v>
      </c>
      <c r="D167" s="5" t="s">
        <v>385</v>
      </c>
      <c r="E167" s="5" t="s">
        <v>384</v>
      </c>
      <c r="F167" s="5" t="s">
        <v>91</v>
      </c>
      <c r="G167" s="5" t="s">
        <v>393</v>
      </c>
      <c r="H167" s="5" t="s">
        <v>93</v>
      </c>
      <c r="I167" s="5" t="s">
        <v>94</v>
      </c>
      <c r="J167" s="15">
        <v>3150</v>
      </c>
      <c r="K167" s="7">
        <v>31</v>
      </c>
      <c r="L167" s="7">
        <f>J167/K167</f>
        <v>101.61290322580645</v>
      </c>
      <c r="M167" s="5" t="s">
        <v>10</v>
      </c>
      <c r="N167" s="5">
        <v>4</v>
      </c>
      <c r="O167" s="6">
        <f>(J167*L167^2)/(1.6*10^6)</f>
        <v>20.32770226326743</v>
      </c>
      <c r="P167" s="6">
        <f>(0.104*J167*L167^2)/(1.6*10^6)</f>
        <v>2.1140810353798125</v>
      </c>
      <c r="Q167" s="10">
        <f>(0.104*O167)/(12*N167)</f>
        <v>4.4043354903746092E-2</v>
      </c>
      <c r="R167" s="10">
        <f>0.0159*O167^0.75</f>
        <v>0.15221706459438031</v>
      </c>
      <c r="S167" s="10">
        <f>Q167+R167</f>
        <v>0.19626041949812639</v>
      </c>
    </row>
    <row r="168" spans="1:19" x14ac:dyDescent="0.25">
      <c r="J168" s="16">
        <f>AVERAGE(J166:J167)</f>
        <v>3300</v>
      </c>
      <c r="K168" s="12">
        <f t="shared" ref="K168:S168" si="47">AVERAGE(K166:K167)</f>
        <v>32.25</v>
      </c>
      <c r="L168" s="12">
        <f t="shared" si="47"/>
        <v>102.29898892633605</v>
      </c>
      <c r="M168" s="11" t="e">
        <f t="shared" si="47"/>
        <v>#DIV/0!</v>
      </c>
      <c r="N168" s="11">
        <f t="shared" si="47"/>
        <v>4</v>
      </c>
      <c r="O168" s="13">
        <f t="shared" si="47"/>
        <v>21.59836466471458</v>
      </c>
      <c r="P168" s="13">
        <f t="shared" si="47"/>
        <v>2.2462299251303159</v>
      </c>
      <c r="Q168" s="14">
        <f t="shared" si="47"/>
        <v>4.6796456773548253E-2</v>
      </c>
      <c r="R168" s="14">
        <f t="shared" si="47"/>
        <v>0.15924716829232805</v>
      </c>
      <c r="S168" s="14">
        <f t="shared" si="47"/>
        <v>0.20604362506587631</v>
      </c>
    </row>
    <row r="169" spans="1:19" x14ac:dyDescent="0.25">
      <c r="A169" s="5" t="s">
        <v>22</v>
      </c>
      <c r="B169" s="5" t="s">
        <v>63</v>
      </c>
      <c r="C169" s="5" t="s">
        <v>27</v>
      </c>
      <c r="D169" s="5" t="s">
        <v>385</v>
      </c>
      <c r="E169" s="5" t="s">
        <v>384</v>
      </c>
      <c r="F169" s="5" t="s">
        <v>91</v>
      </c>
      <c r="G169" s="5" t="s">
        <v>393</v>
      </c>
      <c r="H169" s="5" t="s">
        <v>95</v>
      </c>
      <c r="I169" s="5" t="s">
        <v>96</v>
      </c>
      <c r="J169" s="15">
        <v>2765</v>
      </c>
      <c r="K169" s="7">
        <v>41</v>
      </c>
      <c r="L169" s="7">
        <f>J169/K169</f>
        <v>67.439024390243901</v>
      </c>
      <c r="M169" s="5" t="s">
        <v>10</v>
      </c>
      <c r="N169" s="5">
        <v>4</v>
      </c>
      <c r="O169" s="6">
        <f>(J169*L169^2)/(1.6*10^6)</f>
        <v>7.8595505372546111</v>
      </c>
      <c r="P169" s="6">
        <f>(0.104*J169*L169^2)/(1.6*10^6)</f>
        <v>0.81739325587447953</v>
      </c>
      <c r="Q169" s="10">
        <f>(0.104*O169)/(12*N169)</f>
        <v>1.7029026164051657E-2</v>
      </c>
      <c r="R169" s="10">
        <f>0.0159*O169^0.75</f>
        <v>7.4635493270240674E-2</v>
      </c>
      <c r="S169" s="10">
        <f>Q169+R169</f>
        <v>9.1664519434292324E-2</v>
      </c>
    </row>
    <row r="171" spans="1:19" x14ac:dyDescent="0.25">
      <c r="A171" s="5" t="s">
        <v>8</v>
      </c>
      <c r="B171" s="5" t="s">
        <v>165</v>
      </c>
      <c r="C171" s="5" t="s">
        <v>27</v>
      </c>
      <c r="D171" s="5" t="s">
        <v>385</v>
      </c>
      <c r="E171" s="5" t="s">
        <v>384</v>
      </c>
      <c r="F171" s="5" t="s">
        <v>30</v>
      </c>
      <c r="G171" s="5" t="s">
        <v>397</v>
      </c>
      <c r="H171" s="5" t="s">
        <v>36</v>
      </c>
      <c r="I171" s="5" t="s">
        <v>173</v>
      </c>
      <c r="J171" s="15">
        <v>3000</v>
      </c>
      <c r="K171" s="7">
        <v>18</v>
      </c>
      <c r="L171" s="7">
        <f t="shared" ref="L171:L211" si="48">J171/K171</f>
        <v>166.66666666666666</v>
      </c>
      <c r="M171" s="5" t="s">
        <v>10</v>
      </c>
      <c r="N171" s="5">
        <v>4</v>
      </c>
      <c r="O171" s="6">
        <f t="shared" ref="O171:O211" si="49">(J171*L171^2)/(1.6*10^6)</f>
        <v>52.083333333333329</v>
      </c>
      <c r="P171" s="6">
        <f t="shared" ref="P171:P211" si="50">(0.104*J171*L171^2)/(1.6*10^6)</f>
        <v>5.4166666666666661</v>
      </c>
      <c r="Q171" s="10">
        <f t="shared" ref="Q171:Q211" si="51">(0.104*O171)/(12*N171)</f>
        <v>0.11284722222222221</v>
      </c>
      <c r="R171" s="10">
        <f t="shared" ref="R171:R211" si="52">0.0159*O171^0.75</f>
        <v>0.3082628595775706</v>
      </c>
      <c r="S171" s="10">
        <f t="shared" ref="S171:S211" si="53">Q171+R171</f>
        <v>0.42111008179979281</v>
      </c>
    </row>
    <row r="172" spans="1:19" x14ac:dyDescent="0.25">
      <c r="A172" s="5" t="s">
        <v>8</v>
      </c>
      <c r="B172" s="5" t="s">
        <v>165</v>
      </c>
      <c r="C172" s="5" t="s">
        <v>27</v>
      </c>
      <c r="D172" s="5" t="s">
        <v>385</v>
      </c>
      <c r="E172" s="5" t="s">
        <v>384</v>
      </c>
      <c r="F172" s="5" t="s">
        <v>30</v>
      </c>
      <c r="G172" s="5" t="s">
        <v>397</v>
      </c>
      <c r="H172" s="5" t="s">
        <v>36</v>
      </c>
      <c r="I172" s="5" t="s">
        <v>170</v>
      </c>
      <c r="J172" s="15">
        <v>2695</v>
      </c>
      <c r="K172" s="7">
        <v>40</v>
      </c>
      <c r="L172" s="7">
        <f t="shared" si="48"/>
        <v>67.375</v>
      </c>
      <c r="M172" s="5" t="s">
        <v>10</v>
      </c>
      <c r="N172" s="5">
        <v>4</v>
      </c>
      <c r="O172" s="6">
        <f t="shared" si="49"/>
        <v>7.6460360839843746</v>
      </c>
      <c r="P172" s="6">
        <f t="shared" si="50"/>
        <v>0.79518775273437492</v>
      </c>
      <c r="Q172" s="10">
        <f t="shared" si="51"/>
        <v>1.6566411515299476E-2</v>
      </c>
      <c r="R172" s="10">
        <f t="shared" si="52"/>
        <v>7.3109595619803347E-2</v>
      </c>
      <c r="S172" s="10">
        <f t="shared" si="53"/>
        <v>8.967600713510282E-2</v>
      </c>
    </row>
    <row r="173" spans="1:19" x14ac:dyDescent="0.25">
      <c r="A173" s="5" t="s">
        <v>8</v>
      </c>
      <c r="B173" s="5" t="s">
        <v>165</v>
      </c>
      <c r="C173" s="5" t="s">
        <v>27</v>
      </c>
      <c r="D173" s="5" t="s">
        <v>385</v>
      </c>
      <c r="E173" s="5" t="s">
        <v>384</v>
      </c>
      <c r="F173" s="5" t="s">
        <v>30</v>
      </c>
      <c r="G173" s="5" t="s">
        <v>397</v>
      </c>
      <c r="H173" s="5" t="s">
        <v>36</v>
      </c>
      <c r="I173" s="5" t="s">
        <v>174</v>
      </c>
      <c r="J173" s="15">
        <v>5350</v>
      </c>
      <c r="K173" s="7">
        <v>40</v>
      </c>
      <c r="L173" s="7">
        <f t="shared" si="48"/>
        <v>133.75</v>
      </c>
      <c r="M173" s="5" t="s">
        <v>10</v>
      </c>
      <c r="N173" s="5">
        <v>4</v>
      </c>
      <c r="O173" s="6">
        <f t="shared" si="49"/>
        <v>59.816552734375001</v>
      </c>
      <c r="P173" s="6">
        <f t="shared" si="50"/>
        <v>6.2209214843750003</v>
      </c>
      <c r="Q173" s="10">
        <f t="shared" si="51"/>
        <v>0.12960253092447918</v>
      </c>
      <c r="R173" s="10">
        <f t="shared" si="52"/>
        <v>0.34198980524747485</v>
      </c>
      <c r="S173" s="10">
        <f t="shared" si="53"/>
        <v>0.47159233617195406</v>
      </c>
    </row>
    <row r="174" spans="1:19" x14ac:dyDescent="0.25">
      <c r="A174" s="5" t="s">
        <v>22</v>
      </c>
      <c r="B174" s="5" t="s">
        <v>26</v>
      </c>
      <c r="C174" s="5" t="s">
        <v>27</v>
      </c>
      <c r="D174" s="5" t="s">
        <v>385</v>
      </c>
      <c r="E174" s="5" t="s">
        <v>384</v>
      </c>
      <c r="F174" s="5" t="s">
        <v>30</v>
      </c>
      <c r="G174" s="5" t="s">
        <v>397</v>
      </c>
      <c r="H174" s="5" t="s">
        <v>36</v>
      </c>
      <c r="I174" s="5" t="s">
        <v>18</v>
      </c>
      <c r="J174" s="15">
        <v>1750</v>
      </c>
      <c r="K174" s="7">
        <v>28</v>
      </c>
      <c r="L174" s="7">
        <f t="shared" si="48"/>
        <v>62.5</v>
      </c>
      <c r="M174" s="5" t="s">
        <v>10</v>
      </c>
      <c r="N174" s="5">
        <v>4</v>
      </c>
      <c r="O174" s="6">
        <f t="shared" si="49"/>
        <v>4.2724609375</v>
      </c>
      <c r="P174" s="6">
        <f t="shared" si="50"/>
        <v>0.4443359375</v>
      </c>
      <c r="Q174" s="10">
        <f t="shared" si="51"/>
        <v>9.2569986979166661E-3</v>
      </c>
      <c r="R174" s="10">
        <f t="shared" si="52"/>
        <v>4.7250422897927295E-2</v>
      </c>
      <c r="S174" s="10">
        <f t="shared" si="53"/>
        <v>5.650742159584396E-2</v>
      </c>
    </row>
    <row r="175" spans="1:19" x14ac:dyDescent="0.25">
      <c r="A175" s="5" t="s">
        <v>8</v>
      </c>
      <c r="B175" s="5" t="s">
        <v>165</v>
      </c>
      <c r="C175" s="5" t="s">
        <v>27</v>
      </c>
      <c r="D175" s="5" t="s">
        <v>385</v>
      </c>
      <c r="E175" s="5" t="s">
        <v>384</v>
      </c>
      <c r="F175" s="5" t="s">
        <v>30</v>
      </c>
      <c r="G175" s="5" t="s">
        <v>397</v>
      </c>
      <c r="H175" s="5" t="s">
        <v>36</v>
      </c>
      <c r="I175" s="5" t="s">
        <v>18</v>
      </c>
      <c r="J175" s="15">
        <v>1450</v>
      </c>
      <c r="K175" s="7">
        <v>28.5</v>
      </c>
      <c r="L175" s="7">
        <f t="shared" si="48"/>
        <v>50.877192982456137</v>
      </c>
      <c r="M175" s="5" t="s">
        <v>10</v>
      </c>
      <c r="N175" s="5">
        <v>4</v>
      </c>
      <c r="O175" s="6">
        <f t="shared" si="49"/>
        <v>2.3458179439827638</v>
      </c>
      <c r="P175" s="6">
        <f t="shared" si="50"/>
        <v>0.24396506617420743</v>
      </c>
      <c r="Q175" s="10">
        <f t="shared" si="51"/>
        <v>5.0826055452959885E-3</v>
      </c>
      <c r="R175" s="10">
        <f t="shared" si="52"/>
        <v>3.0138237596683604E-2</v>
      </c>
      <c r="S175" s="10">
        <f t="shared" si="53"/>
        <v>3.5220843141979589E-2</v>
      </c>
    </row>
    <row r="176" spans="1:19" x14ac:dyDescent="0.25">
      <c r="A176" s="5" t="s">
        <v>8</v>
      </c>
      <c r="B176" s="5" t="s">
        <v>281</v>
      </c>
      <c r="C176" s="5" t="s">
        <v>27</v>
      </c>
      <c r="D176" s="5" t="s">
        <v>385</v>
      </c>
      <c r="E176" s="5" t="s">
        <v>384</v>
      </c>
      <c r="F176" s="5" t="s">
        <v>30</v>
      </c>
      <c r="G176" s="5" t="s">
        <v>397</v>
      </c>
      <c r="H176" s="5" t="s">
        <v>36</v>
      </c>
      <c r="I176" s="5" t="s">
        <v>18</v>
      </c>
      <c r="J176" s="15">
        <v>1975</v>
      </c>
      <c r="K176" s="7">
        <v>33</v>
      </c>
      <c r="L176" s="7">
        <f t="shared" si="48"/>
        <v>59.848484848484851</v>
      </c>
      <c r="M176" s="5" t="s">
        <v>10</v>
      </c>
      <c r="N176" s="5">
        <v>4</v>
      </c>
      <c r="O176" s="6">
        <f t="shared" si="49"/>
        <v>4.4213351555325984</v>
      </c>
      <c r="P176" s="6">
        <f t="shared" si="50"/>
        <v>0.45981885617539026</v>
      </c>
      <c r="Q176" s="10">
        <f t="shared" si="51"/>
        <v>9.5795595036539619E-3</v>
      </c>
      <c r="R176" s="10">
        <f t="shared" si="52"/>
        <v>4.8479954373658471E-2</v>
      </c>
      <c r="S176" s="10">
        <f t="shared" si="53"/>
        <v>5.8059513877312431E-2</v>
      </c>
    </row>
    <row r="177" spans="1:19" x14ac:dyDescent="0.25">
      <c r="A177" s="5" t="s">
        <v>8</v>
      </c>
      <c r="B177" s="5" t="s">
        <v>291</v>
      </c>
      <c r="C177" s="5" t="s">
        <v>27</v>
      </c>
      <c r="D177" s="5" t="s">
        <v>385</v>
      </c>
      <c r="E177" s="5" t="s">
        <v>384</v>
      </c>
      <c r="F177" s="5" t="s">
        <v>30</v>
      </c>
      <c r="G177" s="5" t="s">
        <v>397</v>
      </c>
      <c r="H177" s="5" t="s">
        <v>36</v>
      </c>
      <c r="I177" s="5" t="s">
        <v>18</v>
      </c>
      <c r="J177" s="15">
        <v>1559</v>
      </c>
      <c r="K177" s="7">
        <v>24.4</v>
      </c>
      <c r="L177" s="7">
        <f t="shared" si="48"/>
        <v>63.893442622950822</v>
      </c>
      <c r="M177" s="5" t="s">
        <v>10</v>
      </c>
      <c r="N177" s="5">
        <v>4</v>
      </c>
      <c r="O177" s="6">
        <f t="shared" si="49"/>
        <v>3.977761227450618</v>
      </c>
      <c r="P177" s="6">
        <f t="shared" si="50"/>
        <v>0.4136871676548643</v>
      </c>
      <c r="Q177" s="10">
        <f t="shared" si="51"/>
        <v>8.6184826594763383E-3</v>
      </c>
      <c r="R177" s="10">
        <f t="shared" si="52"/>
        <v>4.4784337805949009E-2</v>
      </c>
      <c r="S177" s="10">
        <f t="shared" si="53"/>
        <v>5.3402820465425348E-2</v>
      </c>
    </row>
    <row r="178" spans="1:19" x14ac:dyDescent="0.25">
      <c r="A178" s="5" t="s">
        <v>8</v>
      </c>
      <c r="B178" s="5" t="s">
        <v>291</v>
      </c>
      <c r="C178" s="5" t="s">
        <v>27</v>
      </c>
      <c r="D178" s="5" t="s">
        <v>385</v>
      </c>
      <c r="E178" s="5" t="s">
        <v>384</v>
      </c>
      <c r="F178" s="5" t="s">
        <v>30</v>
      </c>
      <c r="G178" s="5" t="s">
        <v>397</v>
      </c>
      <c r="H178" s="5" t="s">
        <v>36</v>
      </c>
      <c r="I178" s="5" t="s">
        <v>18</v>
      </c>
      <c r="J178" s="15">
        <v>1600</v>
      </c>
      <c r="K178" s="7">
        <v>25.6</v>
      </c>
      <c r="L178" s="7">
        <f t="shared" si="48"/>
        <v>62.5</v>
      </c>
      <c r="M178" s="5" t="s">
        <v>10</v>
      </c>
      <c r="N178" s="5">
        <v>4</v>
      </c>
      <c r="O178" s="6">
        <f t="shared" si="49"/>
        <v>3.90625</v>
      </c>
      <c r="P178" s="6">
        <f t="shared" si="50"/>
        <v>0.40625</v>
      </c>
      <c r="Q178" s="10">
        <f t="shared" si="51"/>
        <v>8.4635416666666661E-3</v>
      </c>
      <c r="R178" s="10">
        <f t="shared" si="52"/>
        <v>4.4179129093154489E-2</v>
      </c>
      <c r="S178" s="10">
        <f t="shared" si="53"/>
        <v>5.2642670759821153E-2</v>
      </c>
    </row>
    <row r="179" spans="1:19" x14ac:dyDescent="0.25">
      <c r="A179" s="5" t="s">
        <v>8</v>
      </c>
      <c r="B179" s="5" t="s">
        <v>307</v>
      </c>
      <c r="C179" s="5" t="s">
        <v>27</v>
      </c>
      <c r="D179" s="5" t="s">
        <v>385</v>
      </c>
      <c r="E179" s="5" t="s">
        <v>384</v>
      </c>
      <c r="F179" s="5" t="s">
        <v>30</v>
      </c>
      <c r="G179" s="5" t="s">
        <v>397</v>
      </c>
      <c r="H179" s="5" t="s">
        <v>36</v>
      </c>
      <c r="I179" s="5" t="s">
        <v>18</v>
      </c>
      <c r="J179" s="15">
        <v>1450</v>
      </c>
      <c r="K179" s="7">
        <v>34.200000000000003</v>
      </c>
      <c r="L179" s="7">
        <f t="shared" si="48"/>
        <v>42.397660818713447</v>
      </c>
      <c r="M179" s="5" t="s">
        <v>10</v>
      </c>
      <c r="N179" s="5">
        <v>4</v>
      </c>
      <c r="O179" s="6">
        <f t="shared" si="49"/>
        <v>1.629040238876919</v>
      </c>
      <c r="P179" s="6">
        <f t="shared" si="50"/>
        <v>0.16942018484319957</v>
      </c>
      <c r="Q179" s="10">
        <f t="shared" si="51"/>
        <v>3.5295871842333242E-3</v>
      </c>
      <c r="R179" s="10">
        <f t="shared" si="52"/>
        <v>2.2926934132158183E-2</v>
      </c>
      <c r="S179" s="10">
        <f t="shared" si="53"/>
        <v>2.6456521316391507E-2</v>
      </c>
    </row>
    <row r="180" spans="1:19" x14ac:dyDescent="0.25">
      <c r="A180" s="5" t="s">
        <v>8</v>
      </c>
      <c r="B180" s="5" t="s">
        <v>165</v>
      </c>
      <c r="C180" s="5" t="s">
        <v>27</v>
      </c>
      <c r="D180" s="5" t="s">
        <v>385</v>
      </c>
      <c r="E180" s="5" t="s">
        <v>384</v>
      </c>
      <c r="F180" s="5" t="s">
        <v>30</v>
      </c>
      <c r="G180" s="5" t="s">
        <v>397</v>
      </c>
      <c r="H180" s="5" t="s">
        <v>36</v>
      </c>
      <c r="I180" s="5" t="s">
        <v>175</v>
      </c>
      <c r="J180" s="15">
        <v>1800</v>
      </c>
      <c r="K180" s="7">
        <v>25</v>
      </c>
      <c r="L180" s="7">
        <f t="shared" si="48"/>
        <v>72</v>
      </c>
      <c r="M180" s="5" t="s">
        <v>10</v>
      </c>
      <c r="N180" s="5">
        <v>4</v>
      </c>
      <c r="O180" s="6">
        <f t="shared" si="49"/>
        <v>5.8319999999999999</v>
      </c>
      <c r="P180" s="6">
        <f t="shared" si="50"/>
        <v>0.60652799999999996</v>
      </c>
      <c r="Q180" s="10">
        <f t="shared" si="51"/>
        <v>1.2636E-2</v>
      </c>
      <c r="R180" s="10">
        <f t="shared" si="52"/>
        <v>5.9670580217310476E-2</v>
      </c>
      <c r="S180" s="10">
        <f t="shared" si="53"/>
        <v>7.230658021731047E-2</v>
      </c>
    </row>
    <row r="181" spans="1:19" x14ac:dyDescent="0.25">
      <c r="A181" s="5" t="s">
        <v>8</v>
      </c>
      <c r="B181" s="5" t="s">
        <v>165</v>
      </c>
      <c r="C181" s="5" t="s">
        <v>27</v>
      </c>
      <c r="D181" s="5" t="s">
        <v>385</v>
      </c>
      <c r="E181" s="5" t="s">
        <v>384</v>
      </c>
      <c r="F181" s="5" t="s">
        <v>30</v>
      </c>
      <c r="G181" s="5" t="s">
        <v>397</v>
      </c>
      <c r="H181" s="5" t="s">
        <v>36</v>
      </c>
      <c r="I181" s="5" t="s">
        <v>176</v>
      </c>
      <c r="J181" s="15">
        <v>1750</v>
      </c>
      <c r="K181" s="7">
        <v>35.5</v>
      </c>
      <c r="L181" s="7">
        <f t="shared" si="48"/>
        <v>49.29577464788732</v>
      </c>
      <c r="M181" s="5" t="s">
        <v>10</v>
      </c>
      <c r="N181" s="5">
        <v>4</v>
      </c>
      <c r="O181" s="6">
        <f t="shared" si="49"/>
        <v>2.6578927792104734</v>
      </c>
      <c r="P181" s="6">
        <f t="shared" si="50"/>
        <v>0.27642084903788922</v>
      </c>
      <c r="Q181" s="10">
        <f t="shared" si="51"/>
        <v>5.7587676882893584E-3</v>
      </c>
      <c r="R181" s="10">
        <f t="shared" si="52"/>
        <v>3.3097883067103442E-2</v>
      </c>
      <c r="S181" s="10">
        <f t="shared" si="53"/>
        <v>3.8856650755392803E-2</v>
      </c>
    </row>
    <row r="182" spans="1:19" x14ac:dyDescent="0.25">
      <c r="A182" s="5" t="s">
        <v>8</v>
      </c>
      <c r="B182" s="5" t="s">
        <v>165</v>
      </c>
      <c r="C182" s="5" t="s">
        <v>27</v>
      </c>
      <c r="D182" s="5" t="s">
        <v>385</v>
      </c>
      <c r="E182" s="5" t="s">
        <v>384</v>
      </c>
      <c r="F182" s="5" t="s">
        <v>30</v>
      </c>
      <c r="G182" s="5" t="s">
        <v>397</v>
      </c>
      <c r="H182" s="5" t="s">
        <v>36</v>
      </c>
      <c r="I182" s="5" t="s">
        <v>177</v>
      </c>
      <c r="J182" s="15">
        <v>1060</v>
      </c>
      <c r="K182" s="7">
        <v>28</v>
      </c>
      <c r="L182" s="7">
        <f t="shared" si="48"/>
        <v>37.857142857142854</v>
      </c>
      <c r="M182" s="5" t="s">
        <v>10</v>
      </c>
      <c r="N182" s="5">
        <v>4</v>
      </c>
      <c r="O182" s="6">
        <f t="shared" si="49"/>
        <v>0.94947066326530594</v>
      </c>
      <c r="P182" s="6">
        <f t="shared" si="50"/>
        <v>9.874494897959181E-2</v>
      </c>
      <c r="Q182" s="10">
        <f t="shared" si="51"/>
        <v>2.0571864370748294E-3</v>
      </c>
      <c r="R182" s="10">
        <f t="shared" si="52"/>
        <v>1.5293549291277381E-2</v>
      </c>
      <c r="S182" s="10">
        <f t="shared" si="53"/>
        <v>1.7350735728352211E-2</v>
      </c>
    </row>
    <row r="183" spans="1:19" x14ac:dyDescent="0.25">
      <c r="A183" s="5" t="s">
        <v>8</v>
      </c>
      <c r="B183" s="5" t="s">
        <v>165</v>
      </c>
      <c r="C183" s="5" t="s">
        <v>27</v>
      </c>
      <c r="D183" s="5" t="s">
        <v>385</v>
      </c>
      <c r="E183" s="5" t="s">
        <v>384</v>
      </c>
      <c r="F183" s="5" t="s">
        <v>30</v>
      </c>
      <c r="G183" s="5" t="s">
        <v>397</v>
      </c>
      <c r="H183" s="5" t="s">
        <v>36</v>
      </c>
      <c r="I183" s="5" t="s">
        <v>178</v>
      </c>
      <c r="J183" s="15">
        <v>1700</v>
      </c>
      <c r="K183" s="7">
        <v>26.5</v>
      </c>
      <c r="L183" s="7">
        <f t="shared" si="48"/>
        <v>64.15094339622641</v>
      </c>
      <c r="M183" s="5" t="s">
        <v>10</v>
      </c>
      <c r="N183" s="5">
        <v>4</v>
      </c>
      <c r="O183" s="6">
        <f t="shared" si="49"/>
        <v>4.3725525097899602</v>
      </c>
      <c r="P183" s="6">
        <f t="shared" si="50"/>
        <v>0.45474546101815583</v>
      </c>
      <c r="Q183" s="10">
        <f t="shared" si="51"/>
        <v>9.4738637712115797E-3</v>
      </c>
      <c r="R183" s="10">
        <f t="shared" si="52"/>
        <v>4.8078222116359363E-2</v>
      </c>
      <c r="S183" s="10">
        <f t="shared" si="53"/>
        <v>5.7552085887570943E-2</v>
      </c>
    </row>
    <row r="184" spans="1:19" x14ac:dyDescent="0.25">
      <c r="A184" s="5" t="s">
        <v>8</v>
      </c>
      <c r="B184" s="5" t="s">
        <v>165</v>
      </c>
      <c r="C184" s="5" t="s">
        <v>27</v>
      </c>
      <c r="D184" s="5" t="s">
        <v>385</v>
      </c>
      <c r="E184" s="5" t="s">
        <v>384</v>
      </c>
      <c r="F184" s="5" t="s">
        <v>30</v>
      </c>
      <c r="G184" s="5" t="s">
        <v>397</v>
      </c>
      <c r="H184" s="5" t="s">
        <v>36</v>
      </c>
      <c r="I184" s="5" t="s">
        <v>179</v>
      </c>
      <c r="J184" s="15">
        <v>1200</v>
      </c>
      <c r="K184" s="7">
        <v>28</v>
      </c>
      <c r="L184" s="7">
        <f t="shared" si="48"/>
        <v>42.857142857142854</v>
      </c>
      <c r="M184" s="5" t="s">
        <v>10</v>
      </c>
      <c r="N184" s="5">
        <v>4</v>
      </c>
      <c r="O184" s="6">
        <f t="shared" si="49"/>
        <v>1.3775510204081631</v>
      </c>
      <c r="P184" s="6">
        <f t="shared" si="50"/>
        <v>0.14326530612244898</v>
      </c>
      <c r="Q184" s="10">
        <f t="shared" si="51"/>
        <v>2.9846938775510198E-3</v>
      </c>
      <c r="R184" s="10">
        <f t="shared" si="52"/>
        <v>2.0217520582724226E-2</v>
      </c>
      <c r="S184" s="10">
        <f t="shared" si="53"/>
        <v>2.3202214460275247E-2</v>
      </c>
    </row>
    <row r="185" spans="1:19" x14ac:dyDescent="0.25">
      <c r="A185" s="5" t="s">
        <v>8</v>
      </c>
      <c r="B185" s="5" t="s">
        <v>165</v>
      </c>
      <c r="C185" s="5" t="s">
        <v>27</v>
      </c>
      <c r="D185" s="5" t="s">
        <v>385</v>
      </c>
      <c r="E185" s="5" t="s">
        <v>384</v>
      </c>
      <c r="F185" s="5" t="s">
        <v>30</v>
      </c>
      <c r="G185" s="5" t="s">
        <v>397</v>
      </c>
      <c r="H185" s="5" t="s">
        <v>36</v>
      </c>
      <c r="I185" s="5" t="s">
        <v>180</v>
      </c>
      <c r="J185" s="15">
        <v>4150</v>
      </c>
      <c r="K185" s="7">
        <v>26.5</v>
      </c>
      <c r="L185" s="7">
        <f t="shared" si="48"/>
        <v>156.60377358490567</v>
      </c>
      <c r="M185" s="5" t="s">
        <v>10</v>
      </c>
      <c r="N185" s="5">
        <v>4</v>
      </c>
      <c r="O185" s="6">
        <f t="shared" si="49"/>
        <v>63.61104930580278</v>
      </c>
      <c r="P185" s="6">
        <f t="shared" si="50"/>
        <v>6.6155491278034892</v>
      </c>
      <c r="Q185" s="10">
        <f t="shared" si="51"/>
        <v>0.13782394016257268</v>
      </c>
      <c r="R185" s="10">
        <f t="shared" si="52"/>
        <v>0.35813481691991617</v>
      </c>
      <c r="S185" s="10">
        <f t="shared" si="53"/>
        <v>0.49595875708248882</v>
      </c>
    </row>
    <row r="186" spans="1:19" x14ac:dyDescent="0.25">
      <c r="A186" s="5" t="s">
        <v>8</v>
      </c>
      <c r="B186" s="5" t="s">
        <v>165</v>
      </c>
      <c r="C186" s="5" t="s">
        <v>27</v>
      </c>
      <c r="D186" s="5" t="s">
        <v>385</v>
      </c>
      <c r="E186" s="5" t="s">
        <v>384</v>
      </c>
      <c r="F186" s="5" t="s">
        <v>30</v>
      </c>
      <c r="G186" s="5" t="s">
        <v>397</v>
      </c>
      <c r="H186" s="5" t="s">
        <v>36</v>
      </c>
      <c r="I186" s="5" t="s">
        <v>172</v>
      </c>
      <c r="J186" s="15">
        <v>1615</v>
      </c>
      <c r="K186" s="7">
        <v>35</v>
      </c>
      <c r="L186" s="7">
        <f t="shared" si="48"/>
        <v>46.142857142857146</v>
      </c>
      <c r="M186" s="5" t="s">
        <v>10</v>
      </c>
      <c r="N186" s="5">
        <v>4</v>
      </c>
      <c r="O186" s="6">
        <f t="shared" si="49"/>
        <v>2.1491241709183679</v>
      </c>
      <c r="P186" s="6">
        <f t="shared" si="50"/>
        <v>0.22350891377551022</v>
      </c>
      <c r="Q186" s="10">
        <f t="shared" si="51"/>
        <v>4.6564357036564634E-3</v>
      </c>
      <c r="R186" s="10">
        <f t="shared" si="52"/>
        <v>2.8222355350425752E-2</v>
      </c>
      <c r="S186" s="10">
        <f t="shared" si="53"/>
        <v>3.2878791054082215E-2</v>
      </c>
    </row>
    <row r="187" spans="1:19" x14ac:dyDescent="0.25">
      <c r="A187" s="5" t="s">
        <v>8</v>
      </c>
      <c r="B187" s="5" t="s">
        <v>165</v>
      </c>
      <c r="C187" s="5" t="s">
        <v>27</v>
      </c>
      <c r="D187" s="5" t="s">
        <v>385</v>
      </c>
      <c r="E187" s="5" t="s">
        <v>384</v>
      </c>
      <c r="F187" s="5" t="s">
        <v>30</v>
      </c>
      <c r="G187" s="5" t="s">
        <v>397</v>
      </c>
      <c r="H187" s="5" t="s">
        <v>36</v>
      </c>
      <c r="I187" s="5" t="s">
        <v>172</v>
      </c>
      <c r="J187" s="15">
        <v>1600</v>
      </c>
      <c r="K187" s="7">
        <v>35</v>
      </c>
      <c r="L187" s="7">
        <f t="shared" si="48"/>
        <v>45.714285714285715</v>
      </c>
      <c r="M187" s="5" t="s">
        <v>10</v>
      </c>
      <c r="N187" s="5">
        <v>4</v>
      </c>
      <c r="O187" s="6">
        <f t="shared" si="49"/>
        <v>2.0897959183673471</v>
      </c>
      <c r="P187" s="6">
        <f t="shared" si="50"/>
        <v>0.21733877551020411</v>
      </c>
      <c r="Q187" s="10">
        <f t="shared" si="51"/>
        <v>4.5278911564625851E-3</v>
      </c>
      <c r="R187" s="10">
        <f t="shared" si="52"/>
        <v>2.7635990312774601E-2</v>
      </c>
      <c r="S187" s="10">
        <f t="shared" si="53"/>
        <v>3.2163881469237182E-2</v>
      </c>
    </row>
    <row r="188" spans="1:19" x14ac:dyDescent="0.25">
      <c r="A188" s="5" t="s">
        <v>8</v>
      </c>
      <c r="B188" s="5" t="s">
        <v>165</v>
      </c>
      <c r="C188" s="5" t="s">
        <v>27</v>
      </c>
      <c r="D188" s="5" t="s">
        <v>385</v>
      </c>
      <c r="E188" s="5" t="s">
        <v>384</v>
      </c>
      <c r="F188" s="5" t="s">
        <v>30</v>
      </c>
      <c r="G188" s="5" t="s">
        <v>397</v>
      </c>
      <c r="H188" s="5" t="s">
        <v>36</v>
      </c>
      <c r="I188" s="5" t="s">
        <v>71</v>
      </c>
      <c r="J188" s="15">
        <v>3100</v>
      </c>
      <c r="K188" s="7">
        <v>39.5</v>
      </c>
      <c r="L188" s="7">
        <f t="shared" si="48"/>
        <v>78.481012658227854</v>
      </c>
      <c r="M188" s="5" t="s">
        <v>10</v>
      </c>
      <c r="N188" s="5">
        <v>4</v>
      </c>
      <c r="O188" s="6">
        <f t="shared" si="49"/>
        <v>11.933584361480534</v>
      </c>
      <c r="P188" s="6">
        <f t="shared" si="50"/>
        <v>1.2410927735939754</v>
      </c>
      <c r="Q188" s="10">
        <f t="shared" si="51"/>
        <v>2.5856099449874489E-2</v>
      </c>
      <c r="R188" s="10">
        <f t="shared" si="52"/>
        <v>0.10208814323887225</v>
      </c>
      <c r="S188" s="10">
        <f t="shared" si="53"/>
        <v>0.12794424268874674</v>
      </c>
    </row>
    <row r="189" spans="1:19" x14ac:dyDescent="0.25">
      <c r="A189" s="5" t="s">
        <v>22</v>
      </c>
      <c r="B189" s="5" t="s">
        <v>26</v>
      </c>
      <c r="C189" s="5" t="s">
        <v>27</v>
      </c>
      <c r="D189" s="5" t="s">
        <v>385</v>
      </c>
      <c r="E189" s="5" t="s">
        <v>384</v>
      </c>
      <c r="F189" s="5" t="s">
        <v>30</v>
      </c>
      <c r="G189" s="5" t="s">
        <v>397</v>
      </c>
      <c r="H189" s="5" t="s">
        <v>36</v>
      </c>
      <c r="I189" s="5" t="s">
        <v>37</v>
      </c>
      <c r="J189" s="15">
        <v>3105</v>
      </c>
      <c r="K189" s="7">
        <v>37.5</v>
      </c>
      <c r="L189" s="7">
        <f t="shared" si="48"/>
        <v>82.8</v>
      </c>
      <c r="M189" s="5" t="s">
        <v>10</v>
      </c>
      <c r="N189" s="5">
        <v>4</v>
      </c>
      <c r="O189" s="6">
        <f t="shared" si="49"/>
        <v>13.3046145</v>
      </c>
      <c r="P189" s="6">
        <f t="shared" si="50"/>
        <v>1.3836799079999997</v>
      </c>
      <c r="Q189" s="10">
        <f t="shared" si="51"/>
        <v>2.8826664749999998E-2</v>
      </c>
      <c r="R189" s="10">
        <f t="shared" si="52"/>
        <v>0.11076405481821383</v>
      </c>
      <c r="S189" s="10">
        <f t="shared" si="53"/>
        <v>0.13959071956821384</v>
      </c>
    </row>
    <row r="190" spans="1:19" x14ac:dyDescent="0.25">
      <c r="A190" s="5" t="s">
        <v>8</v>
      </c>
      <c r="B190" s="5" t="s">
        <v>165</v>
      </c>
      <c r="C190" s="5" t="s">
        <v>27</v>
      </c>
      <c r="D190" s="5" t="s">
        <v>385</v>
      </c>
      <c r="E190" s="5" t="s">
        <v>384</v>
      </c>
      <c r="F190" s="5" t="s">
        <v>30</v>
      </c>
      <c r="G190" s="5" t="s">
        <v>397</v>
      </c>
      <c r="H190" s="5" t="s">
        <v>36</v>
      </c>
      <c r="I190" s="5" t="s">
        <v>37</v>
      </c>
      <c r="J190" s="15">
        <v>3050</v>
      </c>
      <c r="K190" s="7">
        <v>36.5</v>
      </c>
      <c r="L190" s="7">
        <f t="shared" si="48"/>
        <v>83.561643835616437</v>
      </c>
      <c r="M190" s="5" t="s">
        <v>10</v>
      </c>
      <c r="N190" s="5">
        <v>4</v>
      </c>
      <c r="O190" s="6">
        <f t="shared" si="49"/>
        <v>13.310482735972977</v>
      </c>
      <c r="P190" s="6">
        <f t="shared" si="50"/>
        <v>1.3842902045411896</v>
      </c>
      <c r="Q190" s="10">
        <f t="shared" si="51"/>
        <v>2.8839379261274781E-2</v>
      </c>
      <c r="R190" s="10">
        <f t="shared" si="52"/>
        <v>0.11080069363522363</v>
      </c>
      <c r="S190" s="10">
        <f t="shared" si="53"/>
        <v>0.13964007289649841</v>
      </c>
    </row>
    <row r="191" spans="1:19" x14ac:dyDescent="0.25">
      <c r="A191" s="5" t="s">
        <v>8</v>
      </c>
      <c r="B191" s="5" t="s">
        <v>165</v>
      </c>
      <c r="C191" s="5" t="s">
        <v>27</v>
      </c>
      <c r="D191" s="5" t="s">
        <v>385</v>
      </c>
      <c r="E191" s="5" t="s">
        <v>384</v>
      </c>
      <c r="F191" s="5" t="s">
        <v>30</v>
      </c>
      <c r="G191" s="5" t="s">
        <v>397</v>
      </c>
      <c r="H191" s="5" t="s">
        <v>36</v>
      </c>
      <c r="I191" s="5" t="s">
        <v>181</v>
      </c>
      <c r="J191" s="15">
        <v>1850</v>
      </c>
      <c r="K191" s="7">
        <v>28.5</v>
      </c>
      <c r="L191" s="7">
        <f t="shared" si="48"/>
        <v>64.912280701754383</v>
      </c>
      <c r="M191" s="5" t="s">
        <v>10</v>
      </c>
      <c r="N191" s="5">
        <v>4</v>
      </c>
      <c r="O191" s="6">
        <f t="shared" si="49"/>
        <v>4.8719798399507539</v>
      </c>
      <c r="P191" s="6">
        <f t="shared" si="50"/>
        <v>0.5066859033548784</v>
      </c>
      <c r="Q191" s="10">
        <f t="shared" si="51"/>
        <v>1.0555956319893299E-2</v>
      </c>
      <c r="R191" s="10">
        <f t="shared" si="52"/>
        <v>5.2140625426400966E-2</v>
      </c>
      <c r="S191" s="10">
        <f t="shared" si="53"/>
        <v>6.2696581746294264E-2</v>
      </c>
    </row>
    <row r="192" spans="1:19" x14ac:dyDescent="0.25">
      <c r="A192" s="5" t="s">
        <v>8</v>
      </c>
      <c r="B192" s="5" t="s">
        <v>165</v>
      </c>
      <c r="C192" s="5" t="s">
        <v>27</v>
      </c>
      <c r="D192" s="5" t="s">
        <v>385</v>
      </c>
      <c r="E192" s="5" t="s">
        <v>384</v>
      </c>
      <c r="F192" s="5" t="s">
        <v>30</v>
      </c>
      <c r="G192" s="5" t="s">
        <v>397</v>
      </c>
      <c r="H192" s="5" t="s">
        <v>36</v>
      </c>
      <c r="I192" s="5" t="s">
        <v>171</v>
      </c>
      <c r="J192" s="15">
        <v>1740</v>
      </c>
      <c r="K192" s="7">
        <v>26.5</v>
      </c>
      <c r="L192" s="7">
        <f t="shared" si="48"/>
        <v>65.660377358490564</v>
      </c>
      <c r="M192" s="5" t="s">
        <v>10</v>
      </c>
      <c r="N192" s="5">
        <v>4</v>
      </c>
      <c r="O192" s="6">
        <f t="shared" si="49"/>
        <v>4.6885226059095757</v>
      </c>
      <c r="P192" s="6">
        <f t="shared" si="50"/>
        <v>0.48760635101459576</v>
      </c>
      <c r="Q192" s="10">
        <f t="shared" si="51"/>
        <v>1.0158465646137415E-2</v>
      </c>
      <c r="R192" s="10">
        <f t="shared" si="52"/>
        <v>5.0661043972834809E-2</v>
      </c>
      <c r="S192" s="10">
        <f t="shared" si="53"/>
        <v>6.0819509618972221E-2</v>
      </c>
    </row>
    <row r="193" spans="1:19" x14ac:dyDescent="0.25">
      <c r="A193" s="5" t="s">
        <v>8</v>
      </c>
      <c r="B193" s="5" t="s">
        <v>226</v>
      </c>
      <c r="C193" s="5" t="s">
        <v>27</v>
      </c>
      <c r="D193" s="5" t="s">
        <v>385</v>
      </c>
      <c r="E193" s="5" t="s">
        <v>384</v>
      </c>
      <c r="F193" s="5" t="s">
        <v>30</v>
      </c>
      <c r="G193" s="5" t="s">
        <v>397</v>
      </c>
      <c r="H193" s="5" t="s">
        <v>36</v>
      </c>
      <c r="I193" s="5" t="s">
        <v>227</v>
      </c>
      <c r="J193" s="15">
        <v>1508</v>
      </c>
      <c r="K193" s="7">
        <v>28.4</v>
      </c>
      <c r="L193" s="7">
        <f t="shared" si="48"/>
        <v>53.098591549295776</v>
      </c>
      <c r="M193" s="5" t="s">
        <v>10</v>
      </c>
      <c r="N193" s="5">
        <v>4</v>
      </c>
      <c r="O193" s="6">
        <f t="shared" si="49"/>
        <v>2.6573414501091053</v>
      </c>
      <c r="P193" s="6">
        <f t="shared" si="50"/>
        <v>0.27636351081134697</v>
      </c>
      <c r="Q193" s="10">
        <f t="shared" si="51"/>
        <v>5.7575731419030607E-3</v>
      </c>
      <c r="R193" s="10">
        <f t="shared" si="52"/>
        <v>3.3092733790731882E-2</v>
      </c>
      <c r="S193" s="10">
        <f t="shared" si="53"/>
        <v>3.8850306932634943E-2</v>
      </c>
    </row>
    <row r="194" spans="1:19" x14ac:dyDescent="0.25">
      <c r="A194" s="5" t="s">
        <v>22</v>
      </c>
      <c r="B194" s="5" t="s">
        <v>26</v>
      </c>
      <c r="C194" s="5" t="s">
        <v>27</v>
      </c>
      <c r="D194" s="5" t="s">
        <v>385</v>
      </c>
      <c r="E194" s="5" t="s">
        <v>384</v>
      </c>
      <c r="F194" s="5" t="s">
        <v>30</v>
      </c>
      <c r="G194" s="5" t="s">
        <v>397</v>
      </c>
      <c r="H194" s="5" t="s">
        <v>36</v>
      </c>
      <c r="I194" s="5" t="s">
        <v>38</v>
      </c>
      <c r="J194" s="15">
        <v>1900</v>
      </c>
      <c r="K194" s="7">
        <v>37</v>
      </c>
      <c r="L194" s="7">
        <f t="shared" si="48"/>
        <v>51.351351351351354</v>
      </c>
      <c r="M194" s="5" t="s">
        <v>10</v>
      </c>
      <c r="N194" s="5">
        <v>4</v>
      </c>
      <c r="O194" s="6">
        <f t="shared" si="49"/>
        <v>3.1313915266617975</v>
      </c>
      <c r="P194" s="6">
        <f t="shared" si="50"/>
        <v>0.32566471877282693</v>
      </c>
      <c r="Q194" s="10">
        <f t="shared" si="51"/>
        <v>6.7846816411005614E-3</v>
      </c>
      <c r="R194" s="10">
        <f t="shared" si="52"/>
        <v>3.7428304441951506E-2</v>
      </c>
      <c r="S194" s="10">
        <f t="shared" si="53"/>
        <v>4.4212986083052068E-2</v>
      </c>
    </row>
    <row r="195" spans="1:19" x14ac:dyDescent="0.25">
      <c r="A195" s="5" t="s">
        <v>8</v>
      </c>
      <c r="B195" s="5" t="s">
        <v>165</v>
      </c>
      <c r="C195" s="5" t="s">
        <v>27</v>
      </c>
      <c r="D195" s="5" t="s">
        <v>385</v>
      </c>
      <c r="E195" s="5" t="s">
        <v>384</v>
      </c>
      <c r="F195" s="5" t="s">
        <v>30</v>
      </c>
      <c r="G195" s="5" t="s">
        <v>397</v>
      </c>
      <c r="H195" s="5" t="s">
        <v>36</v>
      </c>
      <c r="I195" s="5" t="s">
        <v>38</v>
      </c>
      <c r="J195" s="15">
        <v>1900</v>
      </c>
      <c r="K195" s="7">
        <v>37</v>
      </c>
      <c r="L195" s="7">
        <f t="shared" si="48"/>
        <v>51.351351351351354</v>
      </c>
      <c r="M195" s="5" t="s">
        <v>10</v>
      </c>
      <c r="N195" s="5">
        <v>4</v>
      </c>
      <c r="O195" s="6">
        <f t="shared" si="49"/>
        <v>3.1313915266617975</v>
      </c>
      <c r="P195" s="6">
        <f t="shared" si="50"/>
        <v>0.32566471877282693</v>
      </c>
      <c r="Q195" s="10">
        <f t="shared" si="51"/>
        <v>6.7846816411005614E-3</v>
      </c>
      <c r="R195" s="10">
        <f t="shared" si="52"/>
        <v>3.7428304441951506E-2</v>
      </c>
      <c r="S195" s="10">
        <f t="shared" si="53"/>
        <v>4.4212986083052068E-2</v>
      </c>
    </row>
    <row r="196" spans="1:19" x14ac:dyDescent="0.25">
      <c r="A196" s="5" t="s">
        <v>8</v>
      </c>
      <c r="B196" s="5" t="s">
        <v>291</v>
      </c>
      <c r="C196" s="5" t="s">
        <v>27</v>
      </c>
      <c r="D196" s="5" t="s">
        <v>385</v>
      </c>
      <c r="E196" s="5" t="s">
        <v>384</v>
      </c>
      <c r="F196" s="5" t="s">
        <v>30</v>
      </c>
      <c r="G196" s="5" t="s">
        <v>397</v>
      </c>
      <c r="H196" s="5" t="s">
        <v>36</v>
      </c>
      <c r="I196" s="5" t="s">
        <v>38</v>
      </c>
      <c r="J196" s="15">
        <v>1808</v>
      </c>
      <c r="K196" s="7">
        <v>27.3</v>
      </c>
      <c r="L196" s="7">
        <f t="shared" si="48"/>
        <v>66.227106227106219</v>
      </c>
      <c r="M196" s="5" t="s">
        <v>10</v>
      </c>
      <c r="N196" s="5">
        <v>4</v>
      </c>
      <c r="O196" s="6">
        <f t="shared" si="49"/>
        <v>4.9562134471145445</v>
      </c>
      <c r="P196" s="6">
        <f t="shared" si="50"/>
        <v>0.51544619849991258</v>
      </c>
      <c r="Q196" s="10">
        <f t="shared" si="51"/>
        <v>1.0738462468748178E-2</v>
      </c>
      <c r="R196" s="10">
        <f t="shared" si="52"/>
        <v>5.2815284747529848E-2</v>
      </c>
      <c r="S196" s="10">
        <f t="shared" si="53"/>
        <v>6.3553747216278031E-2</v>
      </c>
    </row>
    <row r="197" spans="1:19" x14ac:dyDescent="0.25">
      <c r="A197" s="5" t="s">
        <v>8</v>
      </c>
      <c r="B197" s="5" t="s">
        <v>291</v>
      </c>
      <c r="C197" s="5" t="s">
        <v>27</v>
      </c>
      <c r="D197" s="5" t="s">
        <v>385</v>
      </c>
      <c r="E197" s="5" t="s">
        <v>384</v>
      </c>
      <c r="F197" s="5" t="s">
        <v>30</v>
      </c>
      <c r="G197" s="5" t="s">
        <v>397</v>
      </c>
      <c r="H197" s="5" t="s">
        <v>36</v>
      </c>
      <c r="I197" s="5" t="s">
        <v>38</v>
      </c>
      <c r="J197" s="15">
        <v>1839</v>
      </c>
      <c r="K197" s="7">
        <v>33.299999999999997</v>
      </c>
      <c r="L197" s="7">
        <f t="shared" si="48"/>
        <v>55.22522522522523</v>
      </c>
      <c r="M197" s="5" t="s">
        <v>10</v>
      </c>
      <c r="N197" s="5">
        <v>4</v>
      </c>
      <c r="O197" s="6">
        <f t="shared" si="49"/>
        <v>3.5053931854151457</v>
      </c>
      <c r="P197" s="6">
        <f t="shared" si="50"/>
        <v>0.36456089128317515</v>
      </c>
      <c r="Q197" s="10">
        <f t="shared" si="51"/>
        <v>7.5950185683994823E-3</v>
      </c>
      <c r="R197" s="10">
        <f t="shared" si="52"/>
        <v>4.073330769697972E-2</v>
      </c>
      <c r="S197" s="10">
        <f t="shared" si="53"/>
        <v>4.8328326265379203E-2</v>
      </c>
    </row>
    <row r="198" spans="1:19" x14ac:dyDescent="0.25">
      <c r="A198" s="5" t="s">
        <v>8</v>
      </c>
      <c r="B198" s="5" t="s">
        <v>165</v>
      </c>
      <c r="C198" s="5" t="s">
        <v>27</v>
      </c>
      <c r="D198" s="5" t="s">
        <v>385</v>
      </c>
      <c r="E198" s="5" t="s">
        <v>384</v>
      </c>
      <c r="F198" s="5" t="s">
        <v>30</v>
      </c>
      <c r="G198" s="5" t="s">
        <v>397</v>
      </c>
      <c r="H198" s="5" t="s">
        <v>36</v>
      </c>
      <c r="I198" s="5" t="s">
        <v>182</v>
      </c>
      <c r="J198" s="15">
        <v>1650</v>
      </c>
      <c r="K198" s="7">
        <v>32.5</v>
      </c>
      <c r="L198" s="7">
        <f t="shared" si="48"/>
        <v>50.769230769230766</v>
      </c>
      <c r="M198" s="5" t="s">
        <v>10</v>
      </c>
      <c r="N198" s="5">
        <v>4</v>
      </c>
      <c r="O198" s="6">
        <f t="shared" si="49"/>
        <v>2.6580621301775147</v>
      </c>
      <c r="P198" s="6">
        <f t="shared" si="50"/>
        <v>0.27643846153846147</v>
      </c>
      <c r="Q198" s="10">
        <f t="shared" si="51"/>
        <v>5.7591346153846147E-3</v>
      </c>
      <c r="R198" s="10">
        <f t="shared" si="52"/>
        <v>3.3099464709308975E-2</v>
      </c>
      <c r="S198" s="10">
        <f t="shared" si="53"/>
        <v>3.8858599324693592E-2</v>
      </c>
    </row>
    <row r="199" spans="1:19" x14ac:dyDescent="0.25">
      <c r="A199" s="5" t="s">
        <v>8</v>
      </c>
      <c r="B199" s="5" t="s">
        <v>165</v>
      </c>
      <c r="C199" s="5" t="s">
        <v>27</v>
      </c>
      <c r="D199" s="5" t="s">
        <v>385</v>
      </c>
      <c r="E199" s="5" t="s">
        <v>384</v>
      </c>
      <c r="F199" s="5" t="s">
        <v>30</v>
      </c>
      <c r="G199" s="5" t="s">
        <v>397</v>
      </c>
      <c r="H199" s="5" t="s">
        <v>36</v>
      </c>
      <c r="I199" s="5" t="s">
        <v>183</v>
      </c>
      <c r="J199" s="15">
        <v>1550</v>
      </c>
      <c r="K199" s="7">
        <v>28.5</v>
      </c>
      <c r="L199" s="7">
        <f t="shared" si="48"/>
        <v>54.385964912280699</v>
      </c>
      <c r="M199" s="5" t="s">
        <v>10</v>
      </c>
      <c r="N199" s="5">
        <v>4</v>
      </c>
      <c r="O199" s="6">
        <f t="shared" si="49"/>
        <v>2.8654008925823327</v>
      </c>
      <c r="P199" s="6">
        <f t="shared" si="50"/>
        <v>0.29800169282856259</v>
      </c>
      <c r="Q199" s="10">
        <f t="shared" si="51"/>
        <v>6.2083686005950543E-3</v>
      </c>
      <c r="R199" s="10">
        <f t="shared" si="52"/>
        <v>3.5017583120459564E-2</v>
      </c>
      <c r="S199" s="10">
        <f t="shared" si="53"/>
        <v>4.1225951721054616E-2</v>
      </c>
    </row>
    <row r="200" spans="1:19" x14ac:dyDescent="0.25">
      <c r="A200" s="5" t="s">
        <v>8</v>
      </c>
      <c r="B200" s="5" t="s">
        <v>165</v>
      </c>
      <c r="C200" s="5" t="s">
        <v>27</v>
      </c>
      <c r="D200" s="5" t="s">
        <v>385</v>
      </c>
      <c r="E200" s="5" t="s">
        <v>384</v>
      </c>
      <c r="F200" s="5" t="s">
        <v>30</v>
      </c>
      <c r="G200" s="5" t="s">
        <v>397</v>
      </c>
      <c r="H200" s="5" t="s">
        <v>36</v>
      </c>
      <c r="I200" s="5" t="s">
        <v>184</v>
      </c>
      <c r="J200" s="15">
        <v>5700</v>
      </c>
      <c r="K200" s="7">
        <v>47</v>
      </c>
      <c r="L200" s="7">
        <f t="shared" si="48"/>
        <v>121.27659574468085</v>
      </c>
      <c r="M200" s="5" t="s">
        <v>10</v>
      </c>
      <c r="N200" s="5">
        <v>4</v>
      </c>
      <c r="O200" s="6">
        <f t="shared" si="49"/>
        <v>52.397295156179268</v>
      </c>
      <c r="P200" s="6">
        <f t="shared" si="50"/>
        <v>5.449318696242643</v>
      </c>
      <c r="Q200" s="10">
        <f t="shared" si="51"/>
        <v>0.11352747283838842</v>
      </c>
      <c r="R200" s="10">
        <f t="shared" si="52"/>
        <v>0.30965548394091436</v>
      </c>
      <c r="S200" s="10">
        <f t="shared" si="53"/>
        <v>0.42318295677930279</v>
      </c>
    </row>
    <row r="201" spans="1:19" x14ac:dyDescent="0.25">
      <c r="A201" s="5" t="s">
        <v>8</v>
      </c>
      <c r="B201" s="5" t="s">
        <v>165</v>
      </c>
      <c r="C201" s="5" t="s">
        <v>27</v>
      </c>
      <c r="D201" s="5" t="s">
        <v>385</v>
      </c>
      <c r="E201" s="5" t="s">
        <v>384</v>
      </c>
      <c r="F201" s="5" t="s">
        <v>30</v>
      </c>
      <c r="G201" s="5" t="s">
        <v>397</v>
      </c>
      <c r="H201" s="5" t="s">
        <v>36</v>
      </c>
      <c r="I201" s="5" t="s">
        <v>166</v>
      </c>
      <c r="J201" s="15">
        <v>1635</v>
      </c>
      <c r="K201" s="7">
        <v>33.5</v>
      </c>
      <c r="L201" s="7">
        <f t="shared" si="48"/>
        <v>48.805970149253731</v>
      </c>
      <c r="M201" s="5" t="s">
        <v>10</v>
      </c>
      <c r="N201" s="5">
        <v>4</v>
      </c>
      <c r="O201" s="6">
        <f t="shared" si="49"/>
        <v>2.434129469258187</v>
      </c>
      <c r="P201" s="6">
        <f t="shared" si="50"/>
        <v>0.25314946480285144</v>
      </c>
      <c r="Q201" s="10">
        <f t="shared" si="51"/>
        <v>5.2739471833927387E-3</v>
      </c>
      <c r="R201" s="10">
        <f t="shared" si="52"/>
        <v>3.098524111547564E-2</v>
      </c>
      <c r="S201" s="10">
        <f t="shared" si="53"/>
        <v>3.6259188298868379E-2</v>
      </c>
    </row>
    <row r="202" spans="1:19" x14ac:dyDescent="0.25">
      <c r="A202" s="5" t="s">
        <v>8</v>
      </c>
      <c r="B202" s="5" t="s">
        <v>165</v>
      </c>
      <c r="C202" s="5" t="s">
        <v>27</v>
      </c>
      <c r="D202" s="5" t="s">
        <v>385</v>
      </c>
      <c r="E202" s="5" t="s">
        <v>384</v>
      </c>
      <c r="F202" s="5" t="s">
        <v>30</v>
      </c>
      <c r="G202" s="5" t="s">
        <v>397</v>
      </c>
      <c r="H202" s="5" t="s">
        <v>36</v>
      </c>
      <c r="I202" s="5" t="s">
        <v>166</v>
      </c>
      <c r="J202" s="15">
        <v>1650</v>
      </c>
      <c r="K202" s="7">
        <v>33.5</v>
      </c>
      <c r="L202" s="7">
        <f t="shared" si="48"/>
        <v>49.253731343283583</v>
      </c>
      <c r="M202" s="5" t="s">
        <v>10</v>
      </c>
      <c r="N202" s="5">
        <v>4</v>
      </c>
      <c r="O202" s="6">
        <f t="shared" si="49"/>
        <v>2.5017403653374917</v>
      </c>
      <c r="P202" s="6">
        <f t="shared" si="50"/>
        <v>0.26018099799509914</v>
      </c>
      <c r="Q202" s="10">
        <f t="shared" si="51"/>
        <v>5.4204374582312318E-3</v>
      </c>
      <c r="R202" s="10">
        <f t="shared" si="52"/>
        <v>3.1628514967378327E-2</v>
      </c>
      <c r="S202" s="10">
        <f t="shared" si="53"/>
        <v>3.7048952425609558E-2</v>
      </c>
    </row>
    <row r="203" spans="1:19" x14ac:dyDescent="0.25">
      <c r="A203" s="5" t="s">
        <v>8</v>
      </c>
      <c r="B203" s="5" t="s">
        <v>165</v>
      </c>
      <c r="C203" s="5" t="s">
        <v>27</v>
      </c>
      <c r="D203" s="5" t="s">
        <v>385</v>
      </c>
      <c r="E203" s="5" t="s">
        <v>384</v>
      </c>
      <c r="F203" s="5" t="s">
        <v>30</v>
      </c>
      <c r="G203" s="5" t="s">
        <v>397</v>
      </c>
      <c r="H203" s="5" t="s">
        <v>36</v>
      </c>
      <c r="I203" s="5" t="s">
        <v>185</v>
      </c>
      <c r="J203" s="15">
        <v>3800</v>
      </c>
      <c r="K203" s="7">
        <v>17.5</v>
      </c>
      <c r="L203" s="7">
        <f t="shared" si="48"/>
        <v>217.14285714285714</v>
      </c>
      <c r="M203" s="5" t="s">
        <v>10</v>
      </c>
      <c r="N203" s="5">
        <v>4</v>
      </c>
      <c r="O203" s="6">
        <f t="shared" si="49"/>
        <v>111.98367346938774</v>
      </c>
      <c r="P203" s="6">
        <f t="shared" si="50"/>
        <v>11.646302040816325</v>
      </c>
      <c r="Q203" s="10">
        <f t="shared" si="51"/>
        <v>0.24263129251700677</v>
      </c>
      <c r="R203" s="10">
        <f t="shared" si="52"/>
        <v>0.54734752255253427</v>
      </c>
      <c r="S203" s="10">
        <f t="shared" si="53"/>
        <v>0.78997881506954104</v>
      </c>
    </row>
    <row r="204" spans="1:19" x14ac:dyDescent="0.25">
      <c r="A204" s="5" t="s">
        <v>22</v>
      </c>
      <c r="B204" s="5" t="s">
        <v>26</v>
      </c>
      <c r="C204" s="5" t="s">
        <v>27</v>
      </c>
      <c r="D204" s="5" t="s">
        <v>385</v>
      </c>
      <c r="E204" s="5" t="s">
        <v>384</v>
      </c>
      <c r="F204" s="5" t="s">
        <v>30</v>
      </c>
      <c r="G204" s="5" t="s">
        <v>397</v>
      </c>
      <c r="H204" s="5" t="s">
        <v>36</v>
      </c>
      <c r="I204" s="5" t="s">
        <v>39</v>
      </c>
      <c r="J204" s="15">
        <v>1900</v>
      </c>
      <c r="K204" s="7">
        <v>33</v>
      </c>
      <c r="L204" s="7">
        <f t="shared" si="48"/>
        <v>57.575757575757578</v>
      </c>
      <c r="M204" s="5" t="s">
        <v>10</v>
      </c>
      <c r="N204" s="5">
        <v>4</v>
      </c>
      <c r="O204" s="6">
        <f t="shared" si="49"/>
        <v>3.9365243342516072</v>
      </c>
      <c r="P204" s="6">
        <f t="shared" si="50"/>
        <v>0.40939853076216715</v>
      </c>
      <c r="Q204" s="10">
        <f t="shared" si="51"/>
        <v>8.5291360575451489E-3</v>
      </c>
      <c r="R204" s="10">
        <f t="shared" si="52"/>
        <v>4.443567990630154E-2</v>
      </c>
      <c r="S204" s="10">
        <f t="shared" si="53"/>
        <v>5.2964815963846688E-2</v>
      </c>
    </row>
    <row r="205" spans="1:19" x14ac:dyDescent="0.25">
      <c r="A205" s="5" t="s">
        <v>22</v>
      </c>
      <c r="B205" s="5" t="s">
        <v>63</v>
      </c>
      <c r="C205" s="5" t="s">
        <v>27</v>
      </c>
      <c r="D205" s="5" t="s">
        <v>385</v>
      </c>
      <c r="E205" s="5" t="s">
        <v>384</v>
      </c>
      <c r="F205" s="5" t="s">
        <v>30</v>
      </c>
      <c r="G205" s="5" t="s">
        <v>397</v>
      </c>
      <c r="H205" s="5" t="s">
        <v>36</v>
      </c>
      <c r="I205" s="5" t="s">
        <v>39</v>
      </c>
      <c r="J205" s="15">
        <v>1975</v>
      </c>
      <c r="K205" s="7">
        <v>33</v>
      </c>
      <c r="L205" s="7">
        <f t="shared" si="48"/>
        <v>59.848484848484851</v>
      </c>
      <c r="M205" s="5" t="s">
        <v>10</v>
      </c>
      <c r="N205" s="5">
        <v>4</v>
      </c>
      <c r="O205" s="6">
        <f t="shared" si="49"/>
        <v>4.4213351555325984</v>
      </c>
      <c r="P205" s="6">
        <f t="shared" si="50"/>
        <v>0.45981885617539026</v>
      </c>
      <c r="Q205" s="10">
        <f t="shared" si="51"/>
        <v>9.5795595036539619E-3</v>
      </c>
      <c r="R205" s="10">
        <f t="shared" si="52"/>
        <v>4.8479954373658471E-2</v>
      </c>
      <c r="S205" s="10">
        <f t="shared" si="53"/>
        <v>5.8059513877312431E-2</v>
      </c>
    </row>
    <row r="206" spans="1:19" x14ac:dyDescent="0.25">
      <c r="A206" s="5" t="s">
        <v>8</v>
      </c>
      <c r="B206" s="5" t="s">
        <v>165</v>
      </c>
      <c r="C206" s="5" t="s">
        <v>27</v>
      </c>
      <c r="D206" s="5" t="s">
        <v>385</v>
      </c>
      <c r="E206" s="5" t="s">
        <v>384</v>
      </c>
      <c r="F206" s="5" t="s">
        <v>30</v>
      </c>
      <c r="G206" s="5" t="s">
        <v>397</v>
      </c>
      <c r="H206" s="5" t="s">
        <v>36</v>
      </c>
      <c r="I206" s="5" t="s">
        <v>39</v>
      </c>
      <c r="J206" s="15">
        <v>1920</v>
      </c>
      <c r="K206" s="7">
        <v>31</v>
      </c>
      <c r="L206" s="7">
        <f t="shared" si="48"/>
        <v>61.935483870967744</v>
      </c>
      <c r="M206" s="5" t="s">
        <v>10</v>
      </c>
      <c r="N206" s="5">
        <v>4</v>
      </c>
      <c r="O206" s="6">
        <f t="shared" si="49"/>
        <v>4.6032049947970863</v>
      </c>
      <c r="P206" s="6">
        <f t="shared" si="50"/>
        <v>0.47873331945889697</v>
      </c>
      <c r="Q206" s="10">
        <f t="shared" si="51"/>
        <v>9.9736108220603529E-3</v>
      </c>
      <c r="R206" s="10">
        <f t="shared" si="52"/>
        <v>4.9968045363436797E-2</v>
      </c>
      <c r="S206" s="10">
        <f t="shared" si="53"/>
        <v>5.9941656185497148E-2</v>
      </c>
    </row>
    <row r="207" spans="1:19" x14ac:dyDescent="0.25">
      <c r="A207" s="5" t="s">
        <v>8</v>
      </c>
      <c r="B207" s="5" t="s">
        <v>165</v>
      </c>
      <c r="C207" s="5" t="s">
        <v>27</v>
      </c>
      <c r="D207" s="5" t="s">
        <v>385</v>
      </c>
      <c r="E207" s="5" t="s">
        <v>384</v>
      </c>
      <c r="F207" s="5" t="s">
        <v>30</v>
      </c>
      <c r="G207" s="5" t="s">
        <v>397</v>
      </c>
      <c r="H207" s="5" t="s">
        <v>36</v>
      </c>
      <c r="I207" s="5" t="s">
        <v>39</v>
      </c>
      <c r="J207" s="15">
        <v>1800</v>
      </c>
      <c r="K207" s="7">
        <v>33</v>
      </c>
      <c r="L207" s="7">
        <f t="shared" si="48"/>
        <v>54.545454545454547</v>
      </c>
      <c r="M207" s="5" t="s">
        <v>10</v>
      </c>
      <c r="N207" s="5">
        <v>4</v>
      </c>
      <c r="O207" s="6">
        <f t="shared" si="49"/>
        <v>3.3471074380165291</v>
      </c>
      <c r="P207" s="6">
        <f t="shared" si="50"/>
        <v>0.348099173553719</v>
      </c>
      <c r="Q207" s="10">
        <f t="shared" si="51"/>
        <v>7.2520661157024794E-3</v>
      </c>
      <c r="R207" s="10">
        <f t="shared" si="52"/>
        <v>3.9345889142976674E-2</v>
      </c>
      <c r="S207" s="10">
        <f t="shared" si="53"/>
        <v>4.6597955258679151E-2</v>
      </c>
    </row>
    <row r="208" spans="1:19" x14ac:dyDescent="0.25">
      <c r="A208" s="5" t="s">
        <v>8</v>
      </c>
      <c r="B208" s="5" t="s">
        <v>291</v>
      </c>
      <c r="C208" s="5" t="s">
        <v>27</v>
      </c>
      <c r="D208" s="5" t="s">
        <v>385</v>
      </c>
      <c r="E208" s="5" t="s">
        <v>384</v>
      </c>
      <c r="F208" s="5" t="s">
        <v>30</v>
      </c>
      <c r="G208" s="5" t="s">
        <v>397</v>
      </c>
      <c r="H208" s="5" t="s">
        <v>36</v>
      </c>
      <c r="I208" s="5" t="s">
        <v>39</v>
      </c>
      <c r="J208" s="15">
        <v>1752</v>
      </c>
      <c r="K208" s="7">
        <v>29.2</v>
      </c>
      <c r="L208" s="7">
        <f t="shared" si="48"/>
        <v>60</v>
      </c>
      <c r="M208" s="5" t="s">
        <v>10</v>
      </c>
      <c r="N208" s="5">
        <v>4</v>
      </c>
      <c r="O208" s="6">
        <f t="shared" si="49"/>
        <v>3.9420000000000002</v>
      </c>
      <c r="P208" s="6">
        <f t="shared" si="50"/>
        <v>0.40996800000000005</v>
      </c>
      <c r="Q208" s="10">
        <f t="shared" si="51"/>
        <v>8.541E-3</v>
      </c>
      <c r="R208" s="10">
        <f t="shared" si="52"/>
        <v>4.4482029038474258E-2</v>
      </c>
      <c r="S208" s="10">
        <f t="shared" si="53"/>
        <v>5.3023029038474258E-2</v>
      </c>
    </row>
    <row r="209" spans="1:19" x14ac:dyDescent="0.25">
      <c r="A209" s="5" t="s">
        <v>8</v>
      </c>
      <c r="B209" s="5" t="s">
        <v>291</v>
      </c>
      <c r="C209" s="5" t="s">
        <v>27</v>
      </c>
      <c r="D209" s="5" t="s">
        <v>385</v>
      </c>
      <c r="E209" s="5" t="s">
        <v>384</v>
      </c>
      <c r="F209" s="5" t="s">
        <v>30</v>
      </c>
      <c r="G209" s="5" t="s">
        <v>397</v>
      </c>
      <c r="H209" s="5" t="s">
        <v>36</v>
      </c>
      <c r="I209" s="5" t="s">
        <v>39</v>
      </c>
      <c r="J209" s="15">
        <v>1140</v>
      </c>
      <c r="K209" s="7">
        <v>27.3</v>
      </c>
      <c r="L209" s="7">
        <f t="shared" si="48"/>
        <v>41.758241758241759</v>
      </c>
      <c r="M209" s="5" t="s">
        <v>10</v>
      </c>
      <c r="N209" s="5">
        <v>4</v>
      </c>
      <c r="O209" s="6">
        <f t="shared" si="49"/>
        <v>1.2424224127520831</v>
      </c>
      <c r="P209" s="6">
        <f t="shared" si="50"/>
        <v>0.12921193092621663</v>
      </c>
      <c r="Q209" s="10">
        <f t="shared" si="51"/>
        <v>2.6919152276295133E-3</v>
      </c>
      <c r="R209" s="10">
        <f t="shared" si="52"/>
        <v>1.8711089765198051E-2</v>
      </c>
      <c r="S209" s="10">
        <f t="shared" si="53"/>
        <v>2.1403004992827563E-2</v>
      </c>
    </row>
    <row r="210" spans="1:19" x14ac:dyDescent="0.25">
      <c r="A210" s="5" t="s">
        <v>8</v>
      </c>
      <c r="B210" s="5" t="s">
        <v>311</v>
      </c>
      <c r="C210" s="5" t="s">
        <v>27</v>
      </c>
      <c r="D210" s="5" t="s">
        <v>385</v>
      </c>
      <c r="E210" s="5" t="s">
        <v>384</v>
      </c>
      <c r="F210" s="5" t="s">
        <v>30</v>
      </c>
      <c r="G210" s="5" t="s">
        <v>397</v>
      </c>
      <c r="H210" s="5" t="s">
        <v>36</v>
      </c>
      <c r="I210" s="5" t="s">
        <v>39</v>
      </c>
      <c r="J210" s="15">
        <v>1850</v>
      </c>
      <c r="K210" s="7">
        <v>37.5</v>
      </c>
      <c r="L210" s="7">
        <f t="shared" si="48"/>
        <v>49.333333333333336</v>
      </c>
      <c r="M210" s="5" t="s">
        <v>10</v>
      </c>
      <c r="N210" s="5">
        <v>4</v>
      </c>
      <c r="O210" s="6">
        <f t="shared" si="49"/>
        <v>2.8140555555555555</v>
      </c>
      <c r="P210" s="6">
        <f t="shared" si="50"/>
        <v>0.29266177777777774</v>
      </c>
      <c r="Q210" s="10">
        <f t="shared" si="51"/>
        <v>6.0971203703703699E-3</v>
      </c>
      <c r="R210" s="10">
        <f t="shared" si="52"/>
        <v>3.4545908997176758E-2</v>
      </c>
      <c r="S210" s="10">
        <f t="shared" si="53"/>
        <v>4.0643029367547129E-2</v>
      </c>
    </row>
    <row r="211" spans="1:19" x14ac:dyDescent="0.25">
      <c r="A211" s="5" t="s">
        <v>8</v>
      </c>
      <c r="B211" s="5" t="s">
        <v>165</v>
      </c>
      <c r="C211" s="5" t="s">
        <v>27</v>
      </c>
      <c r="D211" s="5" t="s">
        <v>385</v>
      </c>
      <c r="E211" s="5" t="s">
        <v>384</v>
      </c>
      <c r="F211" s="5" t="s">
        <v>30</v>
      </c>
      <c r="G211" s="5" t="s">
        <v>397</v>
      </c>
      <c r="H211" s="5" t="s">
        <v>36</v>
      </c>
      <c r="I211" s="5" t="s">
        <v>186</v>
      </c>
      <c r="J211" s="15">
        <v>1150</v>
      </c>
      <c r="K211" s="7">
        <v>27.5</v>
      </c>
      <c r="L211" s="7">
        <f t="shared" si="48"/>
        <v>41.81818181818182</v>
      </c>
      <c r="M211" s="5" t="s">
        <v>10</v>
      </c>
      <c r="N211" s="5">
        <v>4</v>
      </c>
      <c r="O211" s="6">
        <f t="shared" si="49"/>
        <v>1.2569214876033059</v>
      </c>
      <c r="P211" s="6">
        <f t="shared" si="50"/>
        <v>0.1307198347107438</v>
      </c>
      <c r="Q211" s="10">
        <f t="shared" si="51"/>
        <v>2.7233298898071624E-3</v>
      </c>
      <c r="R211" s="10">
        <f t="shared" si="52"/>
        <v>1.8874620894311772E-2</v>
      </c>
      <c r="S211" s="10">
        <f t="shared" si="53"/>
        <v>2.1597950784118934E-2</v>
      </c>
    </row>
    <row r="212" spans="1:19" x14ac:dyDescent="0.25">
      <c r="J212" s="16">
        <f>AVERAGE(J171:J211)</f>
        <v>2121.3658536585367</v>
      </c>
      <c r="K212" s="12">
        <f t="shared" ref="K212:S212" si="54">AVERAGE(K171:K211)</f>
        <v>31.382926829268289</v>
      </c>
      <c r="L212" s="12">
        <f t="shared" si="54"/>
        <v>69.403624297808491</v>
      </c>
      <c r="M212" s="11" t="e">
        <f t="shared" si="54"/>
        <v>#DIV/0!</v>
      </c>
      <c r="N212" s="11">
        <f t="shared" si="54"/>
        <v>4</v>
      </c>
      <c r="O212" s="13">
        <f t="shared" si="54"/>
        <v>11.927629562524523</v>
      </c>
      <c r="P212" s="13">
        <f t="shared" si="54"/>
        <v>1.2404734745025507</v>
      </c>
      <c r="Q212" s="14">
        <f t="shared" si="54"/>
        <v>2.5843197385469797E-2</v>
      </c>
      <c r="R212" s="14">
        <f t="shared" si="54"/>
        <v>8.4536627275623569E-2</v>
      </c>
      <c r="S212" s="14">
        <f t="shared" si="54"/>
        <v>0.11037982466109339</v>
      </c>
    </row>
    <row r="213" spans="1:19" x14ac:dyDescent="0.25">
      <c r="A213" s="5" t="s">
        <v>22</v>
      </c>
      <c r="B213" s="5" t="s">
        <v>63</v>
      </c>
      <c r="C213" s="5" t="s">
        <v>27</v>
      </c>
      <c r="D213" s="5" t="s">
        <v>385</v>
      </c>
      <c r="E213" s="5" t="s">
        <v>384</v>
      </c>
      <c r="F213" s="5" t="s">
        <v>30</v>
      </c>
      <c r="G213" s="5" t="s">
        <v>397</v>
      </c>
      <c r="H213" s="5" t="s">
        <v>64</v>
      </c>
      <c r="I213" s="5" t="s">
        <v>12</v>
      </c>
      <c r="J213" s="15">
        <v>3750</v>
      </c>
      <c r="K213" s="7">
        <v>42</v>
      </c>
      <c r="L213" s="7">
        <f>J213/K213</f>
        <v>89.285714285714292</v>
      </c>
      <c r="M213" s="5" t="s">
        <v>10</v>
      </c>
      <c r="N213" s="5">
        <v>4</v>
      </c>
      <c r="O213" s="6">
        <f>(J213*L213^2)/(1.6*10^6)</f>
        <v>18.684231505102044</v>
      </c>
      <c r="P213" s="6">
        <f>(0.104*J213*L213^2)/(1.6*10^6)</f>
        <v>1.9431600765306125</v>
      </c>
      <c r="Q213" s="10">
        <f>(0.104*O213)/(12*N213)</f>
        <v>4.0482501594387758E-2</v>
      </c>
      <c r="R213" s="10">
        <f>0.0159*O213^0.75</f>
        <v>0.14289056521434054</v>
      </c>
      <c r="S213" s="10">
        <f>Q213+R213</f>
        <v>0.18337306680872831</v>
      </c>
    </row>
    <row r="214" spans="1:19" x14ac:dyDescent="0.25">
      <c r="J214" s="16">
        <f t="shared" ref="J214:S214" si="55">AVERAGE(J213:J213)</f>
        <v>3750</v>
      </c>
      <c r="K214" s="12">
        <f t="shared" si="55"/>
        <v>42</v>
      </c>
      <c r="L214" s="12">
        <f t="shared" si="55"/>
        <v>89.285714285714292</v>
      </c>
      <c r="M214" s="11" t="e">
        <f t="shared" si="55"/>
        <v>#DIV/0!</v>
      </c>
      <c r="N214" s="11">
        <f t="shared" si="55"/>
        <v>4</v>
      </c>
      <c r="O214" s="13">
        <f t="shared" si="55"/>
        <v>18.684231505102044</v>
      </c>
      <c r="P214" s="13">
        <f t="shared" si="55"/>
        <v>1.9431600765306125</v>
      </c>
      <c r="Q214" s="14">
        <f t="shared" si="55"/>
        <v>4.0482501594387758E-2</v>
      </c>
      <c r="R214" s="14">
        <f t="shared" si="55"/>
        <v>0.14289056521434054</v>
      </c>
      <c r="S214" s="14">
        <f t="shared" si="55"/>
        <v>0.18337306680872831</v>
      </c>
    </row>
    <row r="215" spans="1:19" x14ac:dyDescent="0.25">
      <c r="A215" s="5" t="s">
        <v>22</v>
      </c>
      <c r="B215" s="5" t="s">
        <v>26</v>
      </c>
      <c r="C215" s="5" t="s">
        <v>27</v>
      </c>
      <c r="D215" s="5" t="s">
        <v>385</v>
      </c>
      <c r="E215" s="5" t="s">
        <v>384</v>
      </c>
      <c r="F215" s="5" t="s">
        <v>30</v>
      </c>
      <c r="G215" s="5" t="s">
        <v>392</v>
      </c>
      <c r="H215" s="5" t="s">
        <v>31</v>
      </c>
      <c r="I215" s="5" t="s">
        <v>32</v>
      </c>
      <c r="J215" s="15">
        <v>1150</v>
      </c>
      <c r="K215" s="7">
        <v>21.5</v>
      </c>
      <c r="L215" s="7">
        <f t="shared" ref="L215:L227" si="56">J215/K215</f>
        <v>53.488372093023258</v>
      </c>
      <c r="M215" s="5" t="s">
        <v>10</v>
      </c>
      <c r="N215" s="5">
        <v>4</v>
      </c>
      <c r="O215" s="6">
        <f t="shared" ref="O215:O227" si="57">(J215*L215^2)/(1.6*10^6)</f>
        <v>2.0563480259599789</v>
      </c>
      <c r="P215" s="6">
        <f t="shared" ref="P215:P227" si="58">(0.104*J215*L215^2)/(1.6*10^6)</f>
        <v>0.21386019469983777</v>
      </c>
      <c r="Q215" s="10">
        <f t="shared" ref="Q215:Q227" si="59">(0.104*O215)/(12*N215)</f>
        <v>4.4554207229132873E-3</v>
      </c>
      <c r="R215" s="10">
        <f t="shared" ref="R215:R227" si="60">0.0159*O215^0.75</f>
        <v>2.7303579591746802E-2</v>
      </c>
      <c r="S215" s="10">
        <f t="shared" ref="S215:S227" si="61">Q215+R215</f>
        <v>3.1759000314660092E-2</v>
      </c>
    </row>
    <row r="216" spans="1:19" x14ac:dyDescent="0.25">
      <c r="A216" s="5" t="s">
        <v>8</v>
      </c>
      <c r="B216" s="5" t="s">
        <v>217</v>
      </c>
      <c r="C216" s="5" t="s">
        <v>27</v>
      </c>
      <c r="D216" s="5" t="s">
        <v>385</v>
      </c>
      <c r="E216" s="5" t="s">
        <v>384</v>
      </c>
      <c r="F216" s="5" t="s">
        <v>30</v>
      </c>
      <c r="G216" s="5" t="s">
        <v>392</v>
      </c>
      <c r="H216" s="5" t="s">
        <v>31</v>
      </c>
      <c r="I216" s="5" t="s">
        <v>218</v>
      </c>
      <c r="J216" s="15">
        <v>1200</v>
      </c>
      <c r="K216" s="7">
        <v>28</v>
      </c>
      <c r="L216" s="7">
        <f t="shared" si="56"/>
        <v>42.857142857142854</v>
      </c>
      <c r="M216" s="5" t="s">
        <v>10</v>
      </c>
      <c r="N216" s="5">
        <v>4</v>
      </c>
      <c r="O216" s="6">
        <f t="shared" si="57"/>
        <v>1.3775510204081631</v>
      </c>
      <c r="P216" s="6">
        <f t="shared" si="58"/>
        <v>0.14326530612244898</v>
      </c>
      <c r="Q216" s="10">
        <f t="shared" si="59"/>
        <v>2.9846938775510198E-3</v>
      </c>
      <c r="R216" s="10">
        <f t="shared" si="60"/>
        <v>2.0217520582724226E-2</v>
      </c>
      <c r="S216" s="10">
        <f t="shared" si="61"/>
        <v>2.3202214460275247E-2</v>
      </c>
    </row>
    <row r="217" spans="1:19" x14ac:dyDescent="0.25">
      <c r="A217" s="5" t="s">
        <v>22</v>
      </c>
      <c r="B217" s="5" t="s">
        <v>26</v>
      </c>
      <c r="C217" s="5" t="s">
        <v>27</v>
      </c>
      <c r="D217" s="5" t="s">
        <v>385</v>
      </c>
      <c r="E217" s="5" t="s">
        <v>384</v>
      </c>
      <c r="F217" s="5" t="s">
        <v>30</v>
      </c>
      <c r="G217" s="5" t="s">
        <v>392</v>
      </c>
      <c r="H217" s="5" t="s">
        <v>31</v>
      </c>
      <c r="I217" s="5" t="s">
        <v>33</v>
      </c>
      <c r="J217" s="15">
        <v>1200</v>
      </c>
      <c r="K217" s="7">
        <v>25</v>
      </c>
      <c r="L217" s="7">
        <f t="shared" si="56"/>
        <v>48</v>
      </c>
      <c r="M217" s="5" t="s">
        <v>10</v>
      </c>
      <c r="N217" s="5">
        <v>4</v>
      </c>
      <c r="O217" s="6">
        <f t="shared" si="57"/>
        <v>1.728</v>
      </c>
      <c r="P217" s="6">
        <f t="shared" si="58"/>
        <v>0.17971200000000001</v>
      </c>
      <c r="Q217" s="10">
        <f t="shared" si="59"/>
        <v>3.7439999999999995E-3</v>
      </c>
      <c r="R217" s="10">
        <f t="shared" si="60"/>
        <v>2.3963758151521651E-2</v>
      </c>
      <c r="S217" s="10">
        <f t="shared" si="61"/>
        <v>2.7707758151521652E-2</v>
      </c>
    </row>
    <row r="218" spans="1:19" x14ac:dyDescent="0.25">
      <c r="A218" s="5" t="s">
        <v>22</v>
      </c>
      <c r="B218" s="5" t="s">
        <v>63</v>
      </c>
      <c r="C218" s="5" t="s">
        <v>27</v>
      </c>
      <c r="D218" s="5" t="s">
        <v>385</v>
      </c>
      <c r="E218" s="5" t="s">
        <v>384</v>
      </c>
      <c r="F218" s="5" t="s">
        <v>30</v>
      </c>
      <c r="G218" s="5" t="s">
        <v>392</v>
      </c>
      <c r="H218" s="5" t="s">
        <v>31</v>
      </c>
      <c r="I218" s="5" t="s">
        <v>33</v>
      </c>
      <c r="J218" s="15">
        <v>1050</v>
      </c>
      <c r="K218" s="7">
        <v>23</v>
      </c>
      <c r="L218" s="7">
        <f t="shared" si="56"/>
        <v>45.652173913043477</v>
      </c>
      <c r="M218" s="5" t="s">
        <v>10</v>
      </c>
      <c r="N218" s="5">
        <v>4</v>
      </c>
      <c r="O218" s="6">
        <f t="shared" si="57"/>
        <v>1.3677043950850662</v>
      </c>
      <c r="P218" s="6">
        <f t="shared" si="58"/>
        <v>0.14224125708884686</v>
      </c>
      <c r="Q218" s="10">
        <f t="shared" si="59"/>
        <v>2.9633595226843099E-3</v>
      </c>
      <c r="R218" s="10">
        <f t="shared" si="60"/>
        <v>2.0109038528318947E-2</v>
      </c>
      <c r="S218" s="10">
        <f t="shared" si="61"/>
        <v>2.3072398051003258E-2</v>
      </c>
    </row>
    <row r="219" spans="1:19" x14ac:dyDescent="0.25">
      <c r="A219" s="5" t="s">
        <v>8</v>
      </c>
      <c r="B219" s="5" t="s">
        <v>287</v>
      </c>
      <c r="C219" s="5" t="s">
        <v>27</v>
      </c>
      <c r="D219" s="5" t="s">
        <v>385</v>
      </c>
      <c r="E219" s="5" t="s">
        <v>384</v>
      </c>
      <c r="F219" s="5" t="s">
        <v>30</v>
      </c>
      <c r="G219" s="5" t="s">
        <v>392</v>
      </c>
      <c r="H219" s="5" t="s">
        <v>31</v>
      </c>
      <c r="I219" s="5" t="s">
        <v>33</v>
      </c>
      <c r="J219" s="15">
        <v>1000</v>
      </c>
      <c r="K219" s="7">
        <v>24.4</v>
      </c>
      <c r="L219" s="7">
        <f t="shared" si="56"/>
        <v>40.983606557377051</v>
      </c>
      <c r="M219" s="5" t="s">
        <v>10</v>
      </c>
      <c r="N219" s="5">
        <v>4</v>
      </c>
      <c r="O219" s="6">
        <f t="shared" si="57"/>
        <v>1.0497850040311745</v>
      </c>
      <c r="P219" s="6">
        <f t="shared" si="58"/>
        <v>0.10917764041924215</v>
      </c>
      <c r="Q219" s="10">
        <f t="shared" si="59"/>
        <v>2.2745341754008778E-3</v>
      </c>
      <c r="R219" s="10">
        <f t="shared" si="60"/>
        <v>1.6490066149903643E-2</v>
      </c>
      <c r="S219" s="10">
        <f t="shared" si="61"/>
        <v>1.8764600325304519E-2</v>
      </c>
    </row>
    <row r="220" spans="1:19" x14ac:dyDescent="0.25">
      <c r="A220" s="5" t="s">
        <v>8</v>
      </c>
      <c r="B220" s="5" t="s">
        <v>291</v>
      </c>
      <c r="C220" s="5" t="s">
        <v>27</v>
      </c>
      <c r="D220" s="5" t="s">
        <v>385</v>
      </c>
      <c r="E220" s="5" t="s">
        <v>384</v>
      </c>
      <c r="F220" s="5" t="s">
        <v>30</v>
      </c>
      <c r="G220" s="5" t="s">
        <v>392</v>
      </c>
      <c r="H220" s="5" t="s">
        <v>31</v>
      </c>
      <c r="I220" s="5" t="s">
        <v>33</v>
      </c>
      <c r="J220" s="15">
        <v>1171</v>
      </c>
      <c r="K220" s="7">
        <v>23.8</v>
      </c>
      <c r="L220" s="7">
        <f t="shared" si="56"/>
        <v>49.201680672268907</v>
      </c>
      <c r="M220" s="5" t="s">
        <v>10</v>
      </c>
      <c r="N220" s="5">
        <v>4</v>
      </c>
      <c r="O220" s="6">
        <f t="shared" si="57"/>
        <v>1.7717269382017513</v>
      </c>
      <c r="P220" s="6">
        <f t="shared" si="58"/>
        <v>0.18425960157298213</v>
      </c>
      <c r="Q220" s="10">
        <f t="shared" si="59"/>
        <v>3.8387416994371277E-3</v>
      </c>
      <c r="R220" s="10">
        <f t="shared" si="60"/>
        <v>2.4417135633988743E-2</v>
      </c>
      <c r="S220" s="10">
        <f t="shared" si="61"/>
        <v>2.8255877333425869E-2</v>
      </c>
    </row>
    <row r="221" spans="1:19" x14ac:dyDescent="0.25">
      <c r="A221" s="5" t="s">
        <v>8</v>
      </c>
      <c r="B221" s="5" t="s">
        <v>291</v>
      </c>
      <c r="C221" s="5" t="s">
        <v>27</v>
      </c>
      <c r="D221" s="5" t="s">
        <v>385</v>
      </c>
      <c r="E221" s="5" t="s">
        <v>384</v>
      </c>
      <c r="F221" s="5" t="s">
        <v>30</v>
      </c>
      <c r="G221" s="5" t="s">
        <v>392</v>
      </c>
      <c r="H221" s="5" t="s">
        <v>31</v>
      </c>
      <c r="I221" s="5" t="s">
        <v>33</v>
      </c>
      <c r="J221" s="15">
        <v>1121</v>
      </c>
      <c r="K221" s="7">
        <v>23.2</v>
      </c>
      <c r="L221" s="7">
        <f t="shared" si="56"/>
        <v>48.318965517241381</v>
      </c>
      <c r="M221" s="5" t="s">
        <v>10</v>
      </c>
      <c r="N221" s="5">
        <v>4</v>
      </c>
      <c r="O221" s="6">
        <f t="shared" si="57"/>
        <v>1.6357649015773632</v>
      </c>
      <c r="P221" s="6">
        <f t="shared" si="58"/>
        <v>0.17011954976404578</v>
      </c>
      <c r="Q221" s="10">
        <f t="shared" si="59"/>
        <v>3.5441572867509533E-3</v>
      </c>
      <c r="R221" s="10">
        <f t="shared" si="60"/>
        <v>2.2997879194034985E-2</v>
      </c>
      <c r="S221" s="10">
        <f t="shared" si="61"/>
        <v>2.6542036480785937E-2</v>
      </c>
    </row>
    <row r="222" spans="1:19" x14ac:dyDescent="0.25">
      <c r="A222" s="5" t="s">
        <v>8</v>
      </c>
      <c r="B222" s="5" t="s">
        <v>307</v>
      </c>
      <c r="C222" s="5" t="s">
        <v>27</v>
      </c>
      <c r="D222" s="5" t="s">
        <v>385</v>
      </c>
      <c r="E222" s="5" t="s">
        <v>384</v>
      </c>
      <c r="F222" s="5" t="s">
        <v>30</v>
      </c>
      <c r="G222" s="5" t="s">
        <v>392</v>
      </c>
      <c r="H222" s="5" t="s">
        <v>31</v>
      </c>
      <c r="I222" s="5" t="s">
        <v>33</v>
      </c>
      <c r="J222" s="15">
        <v>1150</v>
      </c>
      <c r="K222" s="7">
        <v>29.5</v>
      </c>
      <c r="L222" s="7">
        <f t="shared" si="56"/>
        <v>38.983050847457626</v>
      </c>
      <c r="M222" s="5" t="s">
        <v>10</v>
      </c>
      <c r="N222" s="5">
        <v>4</v>
      </c>
      <c r="O222" s="6">
        <f t="shared" si="57"/>
        <v>1.0922687446136168</v>
      </c>
      <c r="P222" s="6">
        <f t="shared" si="58"/>
        <v>0.11359594943981614</v>
      </c>
      <c r="Q222" s="10">
        <f t="shared" si="59"/>
        <v>2.3665822799961698E-3</v>
      </c>
      <c r="R222" s="10">
        <f t="shared" si="60"/>
        <v>1.6988078304717071E-2</v>
      </c>
      <c r="S222" s="10">
        <f t="shared" si="61"/>
        <v>1.9354660584713242E-2</v>
      </c>
    </row>
    <row r="223" spans="1:19" x14ac:dyDescent="0.25">
      <c r="A223" s="5" t="s">
        <v>8</v>
      </c>
      <c r="B223" s="5" t="s">
        <v>311</v>
      </c>
      <c r="C223" s="5" t="s">
        <v>27</v>
      </c>
      <c r="D223" s="5" t="s">
        <v>385</v>
      </c>
      <c r="E223" s="5" t="s">
        <v>384</v>
      </c>
      <c r="F223" s="5" t="s">
        <v>30</v>
      </c>
      <c r="G223" s="5" t="s">
        <v>392</v>
      </c>
      <c r="H223" s="5" t="s">
        <v>31</v>
      </c>
      <c r="I223" s="5" t="s">
        <v>33</v>
      </c>
      <c r="J223" s="15">
        <v>1100</v>
      </c>
      <c r="K223" s="7">
        <v>28</v>
      </c>
      <c r="L223" s="7">
        <f t="shared" si="56"/>
        <v>39.285714285714285</v>
      </c>
      <c r="M223" s="5" t="s">
        <v>10</v>
      </c>
      <c r="N223" s="5">
        <v>4</v>
      </c>
      <c r="O223" s="6">
        <f t="shared" si="57"/>
        <v>1.061065051020408</v>
      </c>
      <c r="P223" s="6">
        <f t="shared" si="58"/>
        <v>0.11035076530612244</v>
      </c>
      <c r="Q223" s="10">
        <f t="shared" si="59"/>
        <v>2.2989742772108841E-3</v>
      </c>
      <c r="R223" s="10">
        <f t="shared" si="60"/>
        <v>1.6622779036452554E-2</v>
      </c>
      <c r="S223" s="10">
        <f t="shared" si="61"/>
        <v>1.8921753313663438E-2</v>
      </c>
    </row>
    <row r="224" spans="1:19" x14ac:dyDescent="0.25">
      <c r="A224" s="5" t="s">
        <v>8</v>
      </c>
      <c r="B224" s="5" t="s">
        <v>339</v>
      </c>
      <c r="C224" s="5" t="s">
        <v>27</v>
      </c>
      <c r="D224" s="5" t="s">
        <v>385</v>
      </c>
      <c r="E224" s="5" t="s">
        <v>384</v>
      </c>
      <c r="F224" s="5" t="s">
        <v>30</v>
      </c>
      <c r="G224" s="5" t="s">
        <v>392</v>
      </c>
      <c r="H224" s="5" t="s">
        <v>31</v>
      </c>
      <c r="I224" s="5" t="s">
        <v>33</v>
      </c>
      <c r="J224" s="15">
        <v>1080</v>
      </c>
      <c r="K224" s="7">
        <v>19.5</v>
      </c>
      <c r="L224" s="7">
        <f t="shared" si="56"/>
        <v>55.384615384615387</v>
      </c>
      <c r="M224" s="5" t="s">
        <v>10</v>
      </c>
      <c r="N224" s="5">
        <v>4</v>
      </c>
      <c r="O224" s="6">
        <f t="shared" si="57"/>
        <v>2.0705325443786986</v>
      </c>
      <c r="P224" s="6">
        <f t="shared" si="58"/>
        <v>0.21533538461538462</v>
      </c>
      <c r="Q224" s="10">
        <f t="shared" si="59"/>
        <v>4.4861538461538472E-3</v>
      </c>
      <c r="R224" s="10">
        <f t="shared" si="60"/>
        <v>2.744471151966631E-2</v>
      </c>
      <c r="S224" s="10">
        <f t="shared" si="61"/>
        <v>3.1930865365820155E-2</v>
      </c>
    </row>
    <row r="225" spans="1:19" x14ac:dyDescent="0.25">
      <c r="A225" s="5" t="s">
        <v>22</v>
      </c>
      <c r="B225" s="5" t="s">
        <v>63</v>
      </c>
      <c r="C225" s="5" t="s">
        <v>27</v>
      </c>
      <c r="D225" s="5" t="s">
        <v>385</v>
      </c>
      <c r="E225" s="5" t="s">
        <v>384</v>
      </c>
      <c r="F225" s="5" t="s">
        <v>30</v>
      </c>
      <c r="G225" s="5" t="s">
        <v>392</v>
      </c>
      <c r="H225" s="5" t="s">
        <v>31</v>
      </c>
      <c r="I225" s="5" t="s">
        <v>141</v>
      </c>
      <c r="J225" s="15">
        <v>3255</v>
      </c>
      <c r="K225" s="7">
        <v>31</v>
      </c>
      <c r="L225" s="7">
        <f t="shared" si="56"/>
        <v>105</v>
      </c>
      <c r="M225" s="5" t="s">
        <v>10</v>
      </c>
      <c r="N225" s="5">
        <v>4</v>
      </c>
      <c r="O225" s="6">
        <f t="shared" si="57"/>
        <v>22.428984374999999</v>
      </c>
      <c r="P225" s="6">
        <f t="shared" si="58"/>
        <v>2.3326143749999999</v>
      </c>
      <c r="Q225" s="10">
        <f t="shared" si="59"/>
        <v>4.8596132812499998E-2</v>
      </c>
      <c r="R225" s="10">
        <f t="shared" si="60"/>
        <v>0.16387184018502851</v>
      </c>
      <c r="S225" s="10">
        <f t="shared" si="61"/>
        <v>0.21246797299752851</v>
      </c>
    </row>
    <row r="226" spans="1:19" x14ac:dyDescent="0.25">
      <c r="A226" s="5" t="s">
        <v>8</v>
      </c>
      <c r="B226" s="5" t="s">
        <v>284</v>
      </c>
      <c r="C226" s="5" t="s">
        <v>27</v>
      </c>
      <c r="D226" s="5" t="s">
        <v>385</v>
      </c>
      <c r="E226" s="5" t="s">
        <v>384</v>
      </c>
      <c r="F226" s="5" t="s">
        <v>30</v>
      </c>
      <c r="G226" s="5" t="s">
        <v>392</v>
      </c>
      <c r="H226" s="5" t="s">
        <v>31</v>
      </c>
      <c r="I226" s="5" t="s">
        <v>286</v>
      </c>
      <c r="J226" s="15">
        <v>1800</v>
      </c>
      <c r="K226" s="7">
        <v>33.6</v>
      </c>
      <c r="L226" s="7">
        <f t="shared" si="56"/>
        <v>53.571428571428569</v>
      </c>
      <c r="M226" s="5" t="s">
        <v>10</v>
      </c>
      <c r="N226" s="5">
        <v>4</v>
      </c>
      <c r="O226" s="6">
        <f t="shared" si="57"/>
        <v>3.2286352040816326</v>
      </c>
      <c r="P226" s="6">
        <f t="shared" si="58"/>
        <v>0.33577806122448972</v>
      </c>
      <c r="Q226" s="10">
        <f t="shared" si="59"/>
        <v>6.9953762755102034E-3</v>
      </c>
      <c r="R226" s="10">
        <f t="shared" si="60"/>
        <v>3.8296700440793495E-2</v>
      </c>
      <c r="S226" s="10">
        <f t="shared" si="61"/>
        <v>4.5292076716303697E-2</v>
      </c>
    </row>
    <row r="227" spans="1:19" x14ac:dyDescent="0.25">
      <c r="A227" s="5" t="s">
        <v>8</v>
      </c>
      <c r="B227" s="5" t="s">
        <v>308</v>
      </c>
      <c r="C227" s="5" t="s">
        <v>27</v>
      </c>
      <c r="D227" s="5" t="s">
        <v>385</v>
      </c>
      <c r="E227" s="5" t="s">
        <v>384</v>
      </c>
      <c r="F227" s="5" t="s">
        <v>30</v>
      </c>
      <c r="G227" s="5" t="s">
        <v>392</v>
      </c>
      <c r="H227" s="5" t="s">
        <v>31</v>
      </c>
      <c r="I227" s="5" t="s">
        <v>286</v>
      </c>
      <c r="J227" s="15">
        <v>1749</v>
      </c>
      <c r="K227" s="7">
        <v>23</v>
      </c>
      <c r="L227" s="7">
        <f t="shared" si="56"/>
        <v>76.043478260869563</v>
      </c>
      <c r="M227" s="5" t="s">
        <v>10</v>
      </c>
      <c r="N227" s="5">
        <v>4</v>
      </c>
      <c r="O227" s="6">
        <f t="shared" si="57"/>
        <v>6.3211161968336489</v>
      </c>
      <c r="P227" s="6">
        <f t="shared" si="58"/>
        <v>0.65739608447069942</v>
      </c>
      <c r="Q227" s="10">
        <f t="shared" si="59"/>
        <v>1.3695751759806238E-2</v>
      </c>
      <c r="R227" s="10">
        <f t="shared" si="60"/>
        <v>6.3385869858994706E-2</v>
      </c>
      <c r="S227" s="10">
        <f t="shared" si="61"/>
        <v>7.7081621618800944E-2</v>
      </c>
    </row>
    <row r="228" spans="1:19" x14ac:dyDescent="0.25">
      <c r="J228" s="16">
        <f>AVERAGE(J215:J227)</f>
        <v>1386.6153846153845</v>
      </c>
      <c r="K228" s="12">
        <f t="shared" ref="K228:S228" si="62">AVERAGE(K215:K227)</f>
        <v>25.653846153846153</v>
      </c>
      <c r="L228" s="12">
        <f t="shared" si="62"/>
        <v>53.597709920014026</v>
      </c>
      <c r="M228" s="11" t="e">
        <f t="shared" si="62"/>
        <v>#DIV/0!</v>
      </c>
      <c r="N228" s="11">
        <f t="shared" si="62"/>
        <v>4</v>
      </c>
      <c r="O228" s="13">
        <f t="shared" si="62"/>
        <v>3.6299601847070386</v>
      </c>
      <c r="P228" s="13">
        <f t="shared" si="62"/>
        <v>0.37751585920953201</v>
      </c>
      <c r="Q228" s="14">
        <f t="shared" si="62"/>
        <v>7.8649137335319169E-3</v>
      </c>
      <c r="R228" s="14">
        <f t="shared" si="62"/>
        <v>3.7085304398299358E-2</v>
      </c>
      <c r="S228" s="14">
        <f t="shared" si="62"/>
        <v>4.4950218131831268E-2</v>
      </c>
    </row>
    <row r="229" spans="1:19" x14ac:dyDescent="0.25">
      <c r="A229" s="5" t="s">
        <v>8</v>
      </c>
      <c r="B229" s="5" t="s">
        <v>316</v>
      </c>
      <c r="C229" s="5" t="s">
        <v>27</v>
      </c>
      <c r="D229" s="5" t="s">
        <v>385</v>
      </c>
      <c r="E229" s="5" t="s">
        <v>384</v>
      </c>
      <c r="F229" s="5" t="s">
        <v>30</v>
      </c>
      <c r="G229" s="5" t="s">
        <v>392</v>
      </c>
      <c r="H229" s="5" t="s">
        <v>34</v>
      </c>
      <c r="I229" s="5" t="s">
        <v>317</v>
      </c>
      <c r="J229" s="15">
        <v>1190</v>
      </c>
      <c r="K229" s="7">
        <v>18</v>
      </c>
      <c r="L229" s="7">
        <f t="shared" ref="L229:L246" si="63">J229/K229</f>
        <v>66.111111111111114</v>
      </c>
      <c r="M229" s="5" t="s">
        <v>10</v>
      </c>
      <c r="N229" s="5">
        <v>4</v>
      </c>
      <c r="O229" s="6">
        <f t="shared" ref="O229:O246" si="64">(J229*L229^2)/(1.6*10^6)</f>
        <v>3.2506925154320987</v>
      </c>
      <c r="P229" s="6">
        <f t="shared" ref="P229:P246" si="65">(0.104*J229*L229^2)/(1.6*10^6)</f>
        <v>0.33807202160493827</v>
      </c>
      <c r="Q229" s="10">
        <f t="shared" ref="Q229:Q246" si="66">(0.104*O229)/(12*N229)</f>
        <v>7.0431671167695475E-3</v>
      </c>
      <c r="R229" s="10">
        <f t="shared" ref="R229:R246" si="67">0.0159*O229^0.75</f>
        <v>3.8492759193587217E-2</v>
      </c>
      <c r="S229" s="10">
        <f t="shared" ref="S229:S246" si="68">Q229+R229</f>
        <v>4.5535926310356765E-2</v>
      </c>
    </row>
    <row r="230" spans="1:19" x14ac:dyDescent="0.25">
      <c r="A230" s="5" t="s">
        <v>8</v>
      </c>
      <c r="B230" s="5" t="s">
        <v>370</v>
      </c>
      <c r="C230" s="5" t="s">
        <v>27</v>
      </c>
      <c r="D230" s="5" t="s">
        <v>385</v>
      </c>
      <c r="E230" s="5" t="s">
        <v>384</v>
      </c>
      <c r="F230" s="5" t="s">
        <v>30</v>
      </c>
      <c r="G230" s="5" t="s">
        <v>392</v>
      </c>
      <c r="H230" s="5" t="s">
        <v>34</v>
      </c>
      <c r="I230" s="5" t="s">
        <v>371</v>
      </c>
      <c r="J230" s="15">
        <v>823</v>
      </c>
      <c r="K230" s="7">
        <v>21.3</v>
      </c>
      <c r="L230" s="7">
        <f t="shared" si="63"/>
        <v>38.63849765258216</v>
      </c>
      <c r="M230" s="5" t="s">
        <v>10</v>
      </c>
      <c r="N230" s="5">
        <v>4</v>
      </c>
      <c r="O230" s="6">
        <f t="shared" si="64"/>
        <v>0.76792766949899716</v>
      </c>
      <c r="P230" s="6">
        <f t="shared" si="65"/>
        <v>7.9864477627895697E-2</v>
      </c>
      <c r="Q230" s="10">
        <f t="shared" si="66"/>
        <v>1.6638432839144936E-3</v>
      </c>
      <c r="R230" s="10">
        <f t="shared" si="67"/>
        <v>1.3043296338772574E-2</v>
      </c>
      <c r="S230" s="10">
        <f t="shared" si="68"/>
        <v>1.4707139622687068E-2</v>
      </c>
    </row>
    <row r="231" spans="1:19" x14ac:dyDescent="0.25">
      <c r="A231" s="5" t="s">
        <v>8</v>
      </c>
      <c r="B231" s="5" t="s">
        <v>370</v>
      </c>
      <c r="C231" s="5" t="s">
        <v>27</v>
      </c>
      <c r="D231" s="5" t="s">
        <v>385</v>
      </c>
      <c r="E231" s="5" t="s">
        <v>384</v>
      </c>
      <c r="F231" s="5" t="s">
        <v>30</v>
      </c>
      <c r="G231" s="5" t="s">
        <v>392</v>
      </c>
      <c r="H231" s="5" t="s">
        <v>34</v>
      </c>
      <c r="I231" s="5" t="s">
        <v>371</v>
      </c>
      <c r="J231" s="15">
        <v>704</v>
      </c>
      <c r="K231" s="7">
        <v>18.7</v>
      </c>
      <c r="L231" s="7">
        <f t="shared" si="63"/>
        <v>37.647058823529413</v>
      </c>
      <c r="M231" s="5" t="s">
        <v>10</v>
      </c>
      <c r="N231" s="5">
        <v>4</v>
      </c>
      <c r="O231" s="6">
        <f t="shared" si="64"/>
        <v>0.62361245674740484</v>
      </c>
      <c r="P231" s="6">
        <f t="shared" si="65"/>
        <v>6.4855695501730107E-2</v>
      </c>
      <c r="Q231" s="10">
        <f t="shared" si="66"/>
        <v>1.3511603229527105E-3</v>
      </c>
      <c r="R231" s="10">
        <f t="shared" si="67"/>
        <v>1.1157919160137931E-2</v>
      </c>
      <c r="S231" s="10">
        <f t="shared" si="68"/>
        <v>1.2509079483090641E-2</v>
      </c>
    </row>
    <row r="232" spans="1:19" x14ac:dyDescent="0.25">
      <c r="A232" s="5" t="s">
        <v>8</v>
      </c>
      <c r="B232" s="5" t="s">
        <v>270</v>
      </c>
      <c r="C232" s="5" t="s">
        <v>27</v>
      </c>
      <c r="D232" s="5" t="s">
        <v>385</v>
      </c>
      <c r="E232" s="5" t="s">
        <v>384</v>
      </c>
      <c r="F232" s="5" t="s">
        <v>30</v>
      </c>
      <c r="G232" s="5" t="s">
        <v>392</v>
      </c>
      <c r="H232" s="5" t="s">
        <v>34</v>
      </c>
      <c r="I232" s="5" t="s">
        <v>274</v>
      </c>
      <c r="J232" s="15">
        <v>2280</v>
      </c>
      <c r="K232" s="7">
        <v>34.9</v>
      </c>
      <c r="L232" s="7">
        <f t="shared" si="63"/>
        <v>65.329512893982809</v>
      </c>
      <c r="M232" s="5" t="s">
        <v>10</v>
      </c>
      <c r="N232" s="5">
        <v>4</v>
      </c>
      <c r="O232" s="6">
        <f t="shared" si="64"/>
        <v>6.0818219883252187</v>
      </c>
      <c r="P232" s="6">
        <f t="shared" si="65"/>
        <v>0.63250948678582275</v>
      </c>
      <c r="Q232" s="10">
        <f t="shared" si="66"/>
        <v>1.3177280974704641E-2</v>
      </c>
      <c r="R232" s="10">
        <f t="shared" si="67"/>
        <v>6.1577549589278129E-2</v>
      </c>
      <c r="S232" s="10">
        <f t="shared" si="68"/>
        <v>7.4754830563982771E-2</v>
      </c>
    </row>
    <row r="233" spans="1:19" x14ac:dyDescent="0.25">
      <c r="A233" s="5" t="s">
        <v>8</v>
      </c>
      <c r="B233" s="5" t="s">
        <v>270</v>
      </c>
      <c r="C233" s="5" t="s">
        <v>27</v>
      </c>
      <c r="D233" s="5" t="s">
        <v>385</v>
      </c>
      <c r="E233" s="5" t="s">
        <v>384</v>
      </c>
      <c r="F233" s="5" t="s">
        <v>30</v>
      </c>
      <c r="G233" s="5" t="s">
        <v>392</v>
      </c>
      <c r="H233" s="5" t="s">
        <v>34</v>
      </c>
      <c r="I233" s="5" t="s">
        <v>271</v>
      </c>
      <c r="J233" s="15">
        <v>3510</v>
      </c>
      <c r="K233" s="7">
        <v>36.6</v>
      </c>
      <c r="L233" s="7">
        <f t="shared" si="63"/>
        <v>95.901639344262293</v>
      </c>
      <c r="M233" s="5" t="s">
        <v>10</v>
      </c>
      <c r="N233" s="5">
        <v>4</v>
      </c>
      <c r="O233" s="6">
        <f t="shared" si="64"/>
        <v>20.176191715936575</v>
      </c>
      <c r="P233" s="6">
        <f t="shared" si="65"/>
        <v>2.0983239384574035</v>
      </c>
      <c r="Q233" s="10">
        <f t="shared" si="66"/>
        <v>4.3715082051195904E-2</v>
      </c>
      <c r="R233" s="10">
        <f t="shared" si="67"/>
        <v>0.15136536806834505</v>
      </c>
      <c r="S233" s="10">
        <f t="shared" si="68"/>
        <v>0.19508045011954095</v>
      </c>
    </row>
    <row r="234" spans="1:19" x14ac:dyDescent="0.25">
      <c r="A234" s="5" t="s">
        <v>8</v>
      </c>
      <c r="B234" s="5" t="s">
        <v>270</v>
      </c>
      <c r="C234" s="5" t="s">
        <v>27</v>
      </c>
      <c r="D234" s="5" t="s">
        <v>385</v>
      </c>
      <c r="E234" s="5" t="s">
        <v>384</v>
      </c>
      <c r="F234" s="5" t="s">
        <v>30</v>
      </c>
      <c r="G234" s="5" t="s">
        <v>392</v>
      </c>
      <c r="H234" s="5" t="s">
        <v>34</v>
      </c>
      <c r="I234" s="5" t="s">
        <v>273</v>
      </c>
      <c r="J234" s="15">
        <v>1760</v>
      </c>
      <c r="K234" s="7">
        <v>32.5</v>
      </c>
      <c r="L234" s="7">
        <f t="shared" si="63"/>
        <v>54.153846153846153</v>
      </c>
      <c r="M234" s="5" t="s">
        <v>10</v>
      </c>
      <c r="N234" s="5">
        <v>4</v>
      </c>
      <c r="O234" s="6">
        <f t="shared" si="64"/>
        <v>3.2259029585798817</v>
      </c>
      <c r="P234" s="6">
        <f t="shared" si="65"/>
        <v>0.33549390769230769</v>
      </c>
      <c r="Q234" s="10">
        <f t="shared" si="66"/>
        <v>6.9894564102564102E-3</v>
      </c>
      <c r="R234" s="10">
        <f t="shared" si="67"/>
        <v>3.827239131633859E-2</v>
      </c>
      <c r="S234" s="10">
        <f t="shared" si="68"/>
        <v>4.5261847726595E-2</v>
      </c>
    </row>
    <row r="235" spans="1:19" x14ac:dyDescent="0.25">
      <c r="A235" s="5" t="s">
        <v>8</v>
      </c>
      <c r="B235" s="5" t="s">
        <v>270</v>
      </c>
      <c r="C235" s="5" t="s">
        <v>27</v>
      </c>
      <c r="D235" s="5" t="s">
        <v>385</v>
      </c>
      <c r="E235" s="5" t="s">
        <v>384</v>
      </c>
      <c r="F235" s="5" t="s">
        <v>30</v>
      </c>
      <c r="G235" s="5" t="s">
        <v>392</v>
      </c>
      <c r="H235" s="5" t="s">
        <v>34</v>
      </c>
      <c r="I235" s="5" t="s">
        <v>276</v>
      </c>
      <c r="J235" s="15">
        <v>1850</v>
      </c>
      <c r="K235" s="7">
        <v>28.4</v>
      </c>
      <c r="L235" s="7">
        <f t="shared" si="63"/>
        <v>65.140845070422543</v>
      </c>
      <c r="M235" s="5" t="s">
        <v>10</v>
      </c>
      <c r="N235" s="5">
        <v>4</v>
      </c>
      <c r="O235" s="6">
        <f t="shared" si="64"/>
        <v>4.9063499615651676</v>
      </c>
      <c r="P235" s="6">
        <f t="shared" si="65"/>
        <v>0.51026039600277739</v>
      </c>
      <c r="Q235" s="10">
        <f t="shared" si="66"/>
        <v>1.0630424916724529E-2</v>
      </c>
      <c r="R235" s="10">
        <f t="shared" si="67"/>
        <v>5.2416258332901387E-2</v>
      </c>
      <c r="S235" s="10">
        <f t="shared" si="68"/>
        <v>6.3046683249625923E-2</v>
      </c>
    </row>
    <row r="236" spans="1:19" x14ac:dyDescent="0.25">
      <c r="A236" s="5" t="s">
        <v>8</v>
      </c>
      <c r="B236" s="5" t="s">
        <v>270</v>
      </c>
      <c r="C236" s="5" t="s">
        <v>27</v>
      </c>
      <c r="D236" s="5" t="s">
        <v>385</v>
      </c>
      <c r="E236" s="5" t="s">
        <v>384</v>
      </c>
      <c r="F236" s="5" t="s">
        <v>30</v>
      </c>
      <c r="G236" s="5" t="s">
        <v>392</v>
      </c>
      <c r="H236" s="5" t="s">
        <v>34</v>
      </c>
      <c r="I236" s="5" t="s">
        <v>275</v>
      </c>
      <c r="J236" s="15">
        <v>2410</v>
      </c>
      <c r="K236" s="7">
        <v>32.299999999999997</v>
      </c>
      <c r="L236" s="7">
        <f t="shared" si="63"/>
        <v>74.613003095975245</v>
      </c>
      <c r="M236" s="5" t="s">
        <v>10</v>
      </c>
      <c r="N236" s="5">
        <v>4</v>
      </c>
      <c r="O236" s="6">
        <f t="shared" si="64"/>
        <v>8.3854447229437667</v>
      </c>
      <c r="P236" s="6">
        <f t="shared" si="65"/>
        <v>0.8720862511861518</v>
      </c>
      <c r="Q236" s="10">
        <f t="shared" si="66"/>
        <v>1.8168463566378159E-2</v>
      </c>
      <c r="R236" s="10">
        <f t="shared" si="67"/>
        <v>7.8350486889121454E-2</v>
      </c>
      <c r="S236" s="10">
        <f t="shared" si="68"/>
        <v>9.6518950455499616E-2</v>
      </c>
    </row>
    <row r="237" spans="1:19" x14ac:dyDescent="0.25">
      <c r="A237" s="5" t="s">
        <v>8</v>
      </c>
      <c r="B237" s="5" t="s">
        <v>270</v>
      </c>
      <c r="C237" s="5" t="s">
        <v>27</v>
      </c>
      <c r="D237" s="5" t="s">
        <v>385</v>
      </c>
      <c r="E237" s="5" t="s">
        <v>384</v>
      </c>
      <c r="F237" s="5" t="s">
        <v>30</v>
      </c>
      <c r="G237" s="5" t="s">
        <v>392</v>
      </c>
      <c r="H237" s="5" t="s">
        <v>34</v>
      </c>
      <c r="I237" s="5" t="s">
        <v>272</v>
      </c>
      <c r="J237" s="15">
        <v>3350</v>
      </c>
      <c r="K237" s="7">
        <v>37</v>
      </c>
      <c r="L237" s="7">
        <f t="shared" si="63"/>
        <v>90.540540540540547</v>
      </c>
      <c r="M237" s="5" t="s">
        <v>10</v>
      </c>
      <c r="N237" s="5">
        <v>4</v>
      </c>
      <c r="O237" s="6">
        <f t="shared" si="64"/>
        <v>17.163702976625277</v>
      </c>
      <c r="P237" s="6">
        <f t="shared" si="65"/>
        <v>1.7850251095690288</v>
      </c>
      <c r="Q237" s="10">
        <f t="shared" si="66"/>
        <v>3.7188023116021436E-2</v>
      </c>
      <c r="R237" s="10">
        <f t="shared" si="67"/>
        <v>0.13407733437686528</v>
      </c>
      <c r="S237" s="10">
        <f t="shared" si="68"/>
        <v>0.17126535749288671</v>
      </c>
    </row>
    <row r="238" spans="1:19" x14ac:dyDescent="0.25">
      <c r="A238" s="5" t="s">
        <v>8</v>
      </c>
      <c r="B238" s="5" t="s">
        <v>270</v>
      </c>
      <c r="C238" s="5" t="s">
        <v>27</v>
      </c>
      <c r="D238" s="5" t="s">
        <v>385</v>
      </c>
      <c r="E238" s="5" t="s">
        <v>384</v>
      </c>
      <c r="F238" s="5" t="s">
        <v>30</v>
      </c>
      <c r="G238" s="5" t="s">
        <v>392</v>
      </c>
      <c r="H238" s="5" t="s">
        <v>34</v>
      </c>
      <c r="I238" s="5" t="s">
        <v>272</v>
      </c>
      <c r="J238" s="15">
        <v>3350</v>
      </c>
      <c r="K238" s="7">
        <v>38.799999999999997</v>
      </c>
      <c r="L238" s="7">
        <f t="shared" si="63"/>
        <v>86.340206185567013</v>
      </c>
      <c r="M238" s="5" t="s">
        <v>10</v>
      </c>
      <c r="N238" s="5">
        <v>4</v>
      </c>
      <c r="O238" s="6">
        <f t="shared" si="64"/>
        <v>15.608134083723032</v>
      </c>
      <c r="P238" s="6">
        <f t="shared" si="65"/>
        <v>1.6232459447071952</v>
      </c>
      <c r="Q238" s="10">
        <f t="shared" si="66"/>
        <v>3.3817623848066566E-2</v>
      </c>
      <c r="R238" s="10">
        <f t="shared" si="67"/>
        <v>0.12485627237086265</v>
      </c>
      <c r="S238" s="10">
        <f t="shared" si="68"/>
        <v>0.15867389621892922</v>
      </c>
    </row>
    <row r="239" spans="1:19" x14ac:dyDescent="0.25">
      <c r="A239" s="5" t="s">
        <v>22</v>
      </c>
      <c r="B239" s="5" t="s">
        <v>26</v>
      </c>
      <c r="C239" s="5" t="s">
        <v>27</v>
      </c>
      <c r="D239" s="5" t="s">
        <v>385</v>
      </c>
      <c r="E239" s="5" t="s">
        <v>384</v>
      </c>
      <c r="F239" s="5" t="s">
        <v>30</v>
      </c>
      <c r="G239" s="5" t="s">
        <v>392</v>
      </c>
      <c r="H239" s="5" t="s">
        <v>34</v>
      </c>
      <c r="I239" s="5" t="s">
        <v>21</v>
      </c>
      <c r="J239" s="15">
        <v>1000</v>
      </c>
      <c r="K239" s="7">
        <v>20</v>
      </c>
      <c r="L239" s="7">
        <f t="shared" si="63"/>
        <v>50</v>
      </c>
      <c r="M239" s="5" t="s">
        <v>10</v>
      </c>
      <c r="N239" s="5">
        <v>4</v>
      </c>
      <c r="O239" s="6">
        <f t="shared" si="64"/>
        <v>1.5625</v>
      </c>
      <c r="P239" s="6">
        <f t="shared" si="65"/>
        <v>0.16250000000000001</v>
      </c>
      <c r="Q239" s="10">
        <f t="shared" si="66"/>
        <v>3.3854166666666668E-3</v>
      </c>
      <c r="R239" s="10">
        <f t="shared" si="67"/>
        <v>2.2220925526404162E-2</v>
      </c>
      <c r="S239" s="10">
        <f t="shared" si="68"/>
        <v>2.5606342193070827E-2</v>
      </c>
    </row>
    <row r="240" spans="1:19" x14ac:dyDescent="0.25">
      <c r="A240" s="5" t="s">
        <v>22</v>
      </c>
      <c r="B240" s="5" t="s">
        <v>63</v>
      </c>
      <c r="C240" s="5" t="s">
        <v>27</v>
      </c>
      <c r="D240" s="5" t="s">
        <v>385</v>
      </c>
      <c r="E240" s="5" t="s">
        <v>384</v>
      </c>
      <c r="F240" s="5" t="s">
        <v>30</v>
      </c>
      <c r="G240" s="5" t="s">
        <v>392</v>
      </c>
      <c r="H240" s="5" t="s">
        <v>34</v>
      </c>
      <c r="I240" s="5" t="s">
        <v>21</v>
      </c>
      <c r="J240" s="15">
        <v>1050</v>
      </c>
      <c r="K240" s="7">
        <v>23</v>
      </c>
      <c r="L240" s="7">
        <f t="shared" si="63"/>
        <v>45.652173913043477</v>
      </c>
      <c r="M240" s="5" t="s">
        <v>10</v>
      </c>
      <c r="N240" s="5">
        <v>4</v>
      </c>
      <c r="O240" s="6">
        <f t="shared" si="64"/>
        <v>1.3677043950850662</v>
      </c>
      <c r="P240" s="6">
        <f t="shared" si="65"/>
        <v>0.14224125708884686</v>
      </c>
      <c r="Q240" s="10">
        <f t="shared" si="66"/>
        <v>2.9633595226843099E-3</v>
      </c>
      <c r="R240" s="10">
        <f t="shared" si="67"/>
        <v>2.0109038528318947E-2</v>
      </c>
      <c r="S240" s="10">
        <f t="shared" si="68"/>
        <v>2.3072398051003258E-2</v>
      </c>
    </row>
    <row r="241" spans="1:19" x14ac:dyDescent="0.25">
      <c r="A241" s="5" t="s">
        <v>8</v>
      </c>
      <c r="B241" s="5" t="s">
        <v>226</v>
      </c>
      <c r="C241" s="5" t="s">
        <v>27</v>
      </c>
      <c r="D241" s="5" t="s">
        <v>385</v>
      </c>
      <c r="E241" s="5" t="s">
        <v>384</v>
      </c>
      <c r="F241" s="5" t="s">
        <v>30</v>
      </c>
      <c r="G241" s="5" t="s">
        <v>392</v>
      </c>
      <c r="H241" s="5" t="s">
        <v>34</v>
      </c>
      <c r="I241" s="5" t="s">
        <v>21</v>
      </c>
      <c r="J241" s="15">
        <v>1429</v>
      </c>
      <c r="K241" s="7">
        <v>23.9</v>
      </c>
      <c r="L241" s="7">
        <f t="shared" si="63"/>
        <v>59.7907949790795</v>
      </c>
      <c r="M241" s="5" t="s">
        <v>10</v>
      </c>
      <c r="N241" s="5">
        <v>4</v>
      </c>
      <c r="O241" s="6">
        <f t="shared" si="64"/>
        <v>3.1928675410532033</v>
      </c>
      <c r="P241" s="6">
        <f t="shared" si="65"/>
        <v>0.33205822426953308</v>
      </c>
      <c r="Q241" s="10">
        <f t="shared" si="66"/>
        <v>6.9178796722819402E-3</v>
      </c>
      <c r="R241" s="10">
        <f t="shared" si="67"/>
        <v>3.7978062134013092E-2</v>
      </c>
      <c r="S241" s="10">
        <f t="shared" si="68"/>
        <v>4.4895941806295032E-2</v>
      </c>
    </row>
    <row r="242" spans="1:19" x14ac:dyDescent="0.25">
      <c r="A242" s="5" t="s">
        <v>22</v>
      </c>
      <c r="B242" s="5" t="s">
        <v>63</v>
      </c>
      <c r="C242" s="5" t="s">
        <v>27</v>
      </c>
      <c r="D242" s="5" t="s">
        <v>385</v>
      </c>
      <c r="E242" s="5" t="s">
        <v>384</v>
      </c>
      <c r="F242" s="5" t="s">
        <v>30</v>
      </c>
      <c r="G242" s="5" t="s">
        <v>392</v>
      </c>
      <c r="H242" s="5" t="s">
        <v>34</v>
      </c>
      <c r="I242" s="5" t="s">
        <v>142</v>
      </c>
      <c r="J242" s="15">
        <v>1350</v>
      </c>
      <c r="K242" s="7">
        <v>25</v>
      </c>
      <c r="L242" s="7">
        <f t="shared" si="63"/>
        <v>54</v>
      </c>
      <c r="M242" s="5" t="s">
        <v>10</v>
      </c>
      <c r="N242" s="5">
        <v>4</v>
      </c>
      <c r="O242" s="6">
        <f t="shared" si="64"/>
        <v>2.460375</v>
      </c>
      <c r="P242" s="6">
        <f t="shared" si="65"/>
        <v>0.25587900000000002</v>
      </c>
      <c r="Q242" s="10">
        <f t="shared" si="66"/>
        <v>5.3308124999999996E-3</v>
      </c>
      <c r="R242" s="10">
        <f t="shared" si="67"/>
        <v>3.1235474191314793E-2</v>
      </c>
      <c r="S242" s="10">
        <f t="shared" si="68"/>
        <v>3.6566286691314794E-2</v>
      </c>
    </row>
    <row r="243" spans="1:19" x14ac:dyDescent="0.25">
      <c r="A243" s="5" t="s">
        <v>8</v>
      </c>
      <c r="B243" s="5" t="s">
        <v>217</v>
      </c>
      <c r="C243" s="5" t="s">
        <v>27</v>
      </c>
      <c r="D243" s="5" t="s">
        <v>385</v>
      </c>
      <c r="E243" s="5" t="s">
        <v>384</v>
      </c>
      <c r="F243" s="5" t="s">
        <v>30</v>
      </c>
      <c r="G243" s="5" t="s">
        <v>392</v>
      </c>
      <c r="H243" s="5" t="s">
        <v>34</v>
      </c>
      <c r="I243" s="5" t="s">
        <v>142</v>
      </c>
      <c r="J243" s="15">
        <v>1300</v>
      </c>
      <c r="K243" s="7">
        <v>24.8</v>
      </c>
      <c r="L243" s="7">
        <f t="shared" si="63"/>
        <v>52.419354838709673</v>
      </c>
      <c r="M243" s="5" t="s">
        <v>10</v>
      </c>
      <c r="N243" s="5">
        <v>4</v>
      </c>
      <c r="O243" s="6">
        <f t="shared" si="64"/>
        <v>2.2325783688865761</v>
      </c>
      <c r="P243" s="6">
        <f t="shared" si="65"/>
        <v>0.2321881503642039</v>
      </c>
      <c r="Q243" s="10">
        <f t="shared" si="66"/>
        <v>4.8372531325875812E-3</v>
      </c>
      <c r="R243" s="10">
        <f t="shared" si="67"/>
        <v>2.9040370897396122E-2</v>
      </c>
      <c r="S243" s="10">
        <f t="shared" si="68"/>
        <v>3.3877624029983705E-2</v>
      </c>
    </row>
    <row r="244" spans="1:19" x14ac:dyDescent="0.25">
      <c r="A244" s="5" t="s">
        <v>8</v>
      </c>
      <c r="B244" s="5" t="s">
        <v>316</v>
      </c>
      <c r="C244" s="5" t="s">
        <v>27</v>
      </c>
      <c r="D244" s="5" t="s">
        <v>385</v>
      </c>
      <c r="E244" s="5" t="s">
        <v>384</v>
      </c>
      <c r="F244" s="5" t="s">
        <v>30</v>
      </c>
      <c r="G244" s="5" t="s">
        <v>392</v>
      </c>
      <c r="H244" s="5" t="s">
        <v>34</v>
      </c>
      <c r="I244" s="5" t="s">
        <v>318</v>
      </c>
      <c r="J244" s="15">
        <v>1980</v>
      </c>
      <c r="K244" s="7">
        <v>26</v>
      </c>
      <c r="L244" s="7">
        <f t="shared" si="63"/>
        <v>76.15384615384616</v>
      </c>
      <c r="M244" s="5" t="s">
        <v>10</v>
      </c>
      <c r="N244" s="5">
        <v>4</v>
      </c>
      <c r="O244" s="6">
        <f t="shared" si="64"/>
        <v>7.1767677514792911</v>
      </c>
      <c r="P244" s="6">
        <f t="shared" si="65"/>
        <v>0.74638384615384623</v>
      </c>
      <c r="Q244" s="10">
        <f t="shared" si="66"/>
        <v>1.5549663461538464E-2</v>
      </c>
      <c r="R244" s="10">
        <f t="shared" si="67"/>
        <v>6.9717819153043717E-2</v>
      </c>
      <c r="S244" s="10">
        <f t="shared" si="68"/>
        <v>8.5267482614582182E-2</v>
      </c>
    </row>
    <row r="245" spans="1:19" x14ac:dyDescent="0.25">
      <c r="A245" s="5" t="s">
        <v>8</v>
      </c>
      <c r="B245" s="5" t="s">
        <v>357</v>
      </c>
      <c r="C245" s="5" t="s">
        <v>27</v>
      </c>
      <c r="D245" s="5" t="s">
        <v>385</v>
      </c>
      <c r="E245" s="5" t="s">
        <v>384</v>
      </c>
      <c r="F245" s="5" t="s">
        <v>30</v>
      </c>
      <c r="G245" s="5" t="s">
        <v>392</v>
      </c>
      <c r="H245" s="5" t="s">
        <v>34</v>
      </c>
      <c r="I245" s="5" t="s">
        <v>318</v>
      </c>
      <c r="J245" s="15">
        <v>1952</v>
      </c>
      <c r="K245" s="7">
        <v>28.2</v>
      </c>
      <c r="L245" s="7">
        <f t="shared" si="63"/>
        <v>69.219858156028366</v>
      </c>
      <c r="M245" s="5" t="s">
        <v>10</v>
      </c>
      <c r="N245" s="5">
        <v>4</v>
      </c>
      <c r="O245" s="6">
        <f t="shared" si="64"/>
        <v>5.8454942910316374</v>
      </c>
      <c r="P245" s="6">
        <f t="shared" si="65"/>
        <v>0.60793140626729025</v>
      </c>
      <c r="Q245" s="10">
        <f t="shared" si="66"/>
        <v>1.2665237630568546E-2</v>
      </c>
      <c r="R245" s="10">
        <f t="shared" si="67"/>
        <v>5.9774101244652454E-2</v>
      </c>
      <c r="S245" s="10">
        <f t="shared" si="68"/>
        <v>7.2439338875220999E-2</v>
      </c>
    </row>
    <row r="246" spans="1:19" x14ac:dyDescent="0.25">
      <c r="A246" s="5" t="s">
        <v>22</v>
      </c>
      <c r="B246" s="5" t="s">
        <v>26</v>
      </c>
      <c r="C246" s="5" t="s">
        <v>27</v>
      </c>
      <c r="D246" s="5" t="s">
        <v>385</v>
      </c>
      <c r="E246" s="5" t="s">
        <v>384</v>
      </c>
      <c r="F246" s="5" t="s">
        <v>30</v>
      </c>
      <c r="G246" s="5" t="s">
        <v>392</v>
      </c>
      <c r="H246" s="5" t="s">
        <v>34</v>
      </c>
      <c r="I246" s="5" t="s">
        <v>35</v>
      </c>
      <c r="J246" s="15">
        <v>2750</v>
      </c>
      <c r="K246" s="7">
        <v>29</v>
      </c>
      <c r="L246" s="7">
        <f t="shared" si="63"/>
        <v>94.827586206896555</v>
      </c>
      <c r="M246" s="5" t="s">
        <v>10</v>
      </c>
      <c r="N246" s="5">
        <v>4</v>
      </c>
      <c r="O246" s="6">
        <f t="shared" si="64"/>
        <v>15.455465963139122</v>
      </c>
      <c r="P246" s="6">
        <f t="shared" si="65"/>
        <v>1.6073684601664686</v>
      </c>
      <c r="Q246" s="10">
        <f t="shared" si="66"/>
        <v>3.3486842920134763E-2</v>
      </c>
      <c r="R246" s="10">
        <f t="shared" si="67"/>
        <v>0.12393920372417333</v>
      </c>
      <c r="S246" s="10">
        <f t="shared" si="68"/>
        <v>0.15742604664430809</v>
      </c>
    </row>
    <row r="247" spans="1:19" x14ac:dyDescent="0.25">
      <c r="J247" s="16">
        <f>AVERAGE(J229:J246)</f>
        <v>1891</v>
      </c>
      <c r="K247" s="12">
        <f t="shared" ref="K247:S247" si="69">AVERAGE(K229:K246)</f>
        <v>27.688888888888886</v>
      </c>
      <c r="L247" s="12">
        <f t="shared" si="69"/>
        <v>65.359993062190156</v>
      </c>
      <c r="M247" s="11" t="e">
        <f t="shared" si="69"/>
        <v>#DIV/0!</v>
      </c>
      <c r="N247" s="11">
        <f t="shared" si="69"/>
        <v>4</v>
      </c>
      <c r="O247" s="13">
        <f t="shared" si="69"/>
        <v>6.6379741311140172</v>
      </c>
      <c r="P247" s="13">
        <f t="shared" si="69"/>
        <v>0.69034930963585772</v>
      </c>
      <c r="Q247" s="14">
        <f t="shared" si="69"/>
        <v>1.4382277284080369E-2</v>
      </c>
      <c r="R247" s="14">
        <f t="shared" si="69"/>
        <v>6.097914616864037E-2</v>
      </c>
      <c r="S247" s="14">
        <f t="shared" si="69"/>
        <v>7.5361423452720747E-2</v>
      </c>
    </row>
    <row r="248" spans="1:19" x14ac:dyDescent="0.25">
      <c r="A248" s="5" t="s">
        <v>8</v>
      </c>
      <c r="B248" s="5" t="s">
        <v>366</v>
      </c>
      <c r="C248" s="5" t="s">
        <v>27</v>
      </c>
      <c r="D248" s="5" t="s">
        <v>385</v>
      </c>
      <c r="E248" s="5" t="s">
        <v>384</v>
      </c>
      <c r="F248" s="5" t="s">
        <v>30</v>
      </c>
      <c r="G248" s="5" t="s">
        <v>392</v>
      </c>
      <c r="H248" s="5" t="s">
        <v>232</v>
      </c>
      <c r="I248" s="5" t="s">
        <v>367</v>
      </c>
      <c r="J248" s="15">
        <v>1950</v>
      </c>
      <c r="K248" s="7">
        <v>26.5</v>
      </c>
      <c r="L248" s="7">
        <f t="shared" ref="L248:L253" si="70">J248/K248</f>
        <v>73.584905660377359</v>
      </c>
      <c r="M248" s="5" t="s">
        <v>10</v>
      </c>
      <c r="N248" s="5">
        <v>4</v>
      </c>
      <c r="O248" s="6">
        <f t="shared" ref="O248:O253" si="71">(J248*L248^2)/(1.6*10^6)</f>
        <v>6.5992123531505875</v>
      </c>
      <c r="P248" s="6">
        <f t="shared" ref="P248:P253" si="72">(0.104*J248*L248^2)/(1.6*10^6)</f>
        <v>0.68631808472766109</v>
      </c>
      <c r="Q248" s="10">
        <f t="shared" ref="Q248:Q253" si="73">(0.104*O248)/(12*N248)</f>
        <v>1.4298293431826273E-2</v>
      </c>
      <c r="R248" s="10">
        <f t="shared" ref="R248:R253" si="74">0.0159*O248^0.75</f>
        <v>6.5466059667993612E-2</v>
      </c>
      <c r="S248" s="10">
        <f t="shared" ref="S248:S253" si="75">Q248+R248</f>
        <v>7.9764353099819885E-2</v>
      </c>
    </row>
    <row r="249" spans="1:19" x14ac:dyDescent="0.25">
      <c r="A249" s="5" t="s">
        <v>8</v>
      </c>
      <c r="B249" s="5" t="s">
        <v>231</v>
      </c>
      <c r="C249" s="5" t="s">
        <v>27</v>
      </c>
      <c r="D249" s="5" t="s">
        <v>385</v>
      </c>
      <c r="E249" s="5" t="s">
        <v>384</v>
      </c>
      <c r="F249" s="5" t="s">
        <v>30</v>
      </c>
      <c r="G249" s="5" t="s">
        <v>392</v>
      </c>
      <c r="H249" s="5" t="s">
        <v>232</v>
      </c>
      <c r="I249" s="5" t="s">
        <v>67</v>
      </c>
      <c r="J249" s="15">
        <v>2400</v>
      </c>
      <c r="K249" s="7">
        <v>28</v>
      </c>
      <c r="L249" s="7">
        <f t="shared" si="70"/>
        <v>85.714285714285708</v>
      </c>
      <c r="M249" s="5" t="s">
        <v>10</v>
      </c>
      <c r="N249" s="5">
        <v>4</v>
      </c>
      <c r="O249" s="6">
        <f t="shared" si="71"/>
        <v>11.020408163265305</v>
      </c>
      <c r="P249" s="6">
        <f t="shared" si="72"/>
        <v>1.1461224489795918</v>
      </c>
      <c r="Q249" s="10">
        <f t="shared" si="73"/>
        <v>2.3877551020408158E-2</v>
      </c>
      <c r="R249" s="10">
        <f t="shared" si="74"/>
        <v>9.6171277298758448E-2</v>
      </c>
      <c r="S249" s="10">
        <f t="shared" si="75"/>
        <v>0.12004882831916661</v>
      </c>
    </row>
    <row r="250" spans="1:19" x14ac:dyDescent="0.25">
      <c r="A250" s="5" t="s">
        <v>8</v>
      </c>
      <c r="B250" s="5" t="s">
        <v>366</v>
      </c>
      <c r="C250" s="5" t="s">
        <v>27</v>
      </c>
      <c r="D250" s="5" t="s">
        <v>385</v>
      </c>
      <c r="E250" s="5" t="s">
        <v>384</v>
      </c>
      <c r="F250" s="5" t="s">
        <v>30</v>
      </c>
      <c r="G250" s="5" t="s">
        <v>392</v>
      </c>
      <c r="H250" s="5" t="s">
        <v>232</v>
      </c>
      <c r="I250" s="5" t="s">
        <v>368</v>
      </c>
      <c r="J250" s="15">
        <v>2350</v>
      </c>
      <c r="K250" s="7">
        <v>28.5</v>
      </c>
      <c r="L250" s="7">
        <f t="shared" si="70"/>
        <v>82.456140350877192</v>
      </c>
      <c r="M250" s="5" t="s">
        <v>10</v>
      </c>
      <c r="N250" s="5">
        <v>4</v>
      </c>
      <c r="O250" s="6">
        <f t="shared" si="71"/>
        <v>9.9860534010464761</v>
      </c>
      <c r="P250" s="6">
        <f t="shared" si="72"/>
        <v>1.0385495537088334</v>
      </c>
      <c r="Q250" s="10">
        <f t="shared" si="73"/>
        <v>2.1636449035600695E-2</v>
      </c>
      <c r="R250" s="10">
        <f t="shared" si="74"/>
        <v>8.9318729610296993E-2</v>
      </c>
      <c r="S250" s="10">
        <f t="shared" si="75"/>
        <v>0.11095517864589768</v>
      </c>
    </row>
    <row r="251" spans="1:19" x14ac:dyDescent="0.25">
      <c r="A251" s="5" t="s">
        <v>8</v>
      </c>
      <c r="B251" s="5" t="s">
        <v>366</v>
      </c>
      <c r="C251" s="5" t="s">
        <v>27</v>
      </c>
      <c r="D251" s="5" t="s">
        <v>385</v>
      </c>
      <c r="E251" s="5" t="s">
        <v>384</v>
      </c>
      <c r="F251" s="5" t="s">
        <v>30</v>
      </c>
      <c r="G251" s="5" t="s">
        <v>392</v>
      </c>
      <c r="H251" s="5" t="s">
        <v>232</v>
      </c>
      <c r="I251" s="5" t="s">
        <v>368</v>
      </c>
      <c r="J251" s="15">
        <v>2726</v>
      </c>
      <c r="K251" s="7">
        <v>30.5</v>
      </c>
      <c r="L251" s="7">
        <f t="shared" si="70"/>
        <v>89.377049180327873</v>
      </c>
      <c r="M251" s="5" t="s">
        <v>10</v>
      </c>
      <c r="N251" s="5">
        <v>4</v>
      </c>
      <c r="O251" s="6">
        <f t="shared" si="71"/>
        <v>13.609992727761355</v>
      </c>
      <c r="P251" s="6">
        <f t="shared" si="72"/>
        <v>1.4154392436871808</v>
      </c>
      <c r="Q251" s="10">
        <f t="shared" si="73"/>
        <v>2.9488317576816272E-2</v>
      </c>
      <c r="R251" s="10">
        <f t="shared" si="74"/>
        <v>0.11266539513595818</v>
      </c>
      <c r="S251" s="10">
        <f t="shared" si="75"/>
        <v>0.14215371271277444</v>
      </c>
    </row>
    <row r="252" spans="1:19" x14ac:dyDescent="0.25">
      <c r="A252" s="5" t="s">
        <v>8</v>
      </c>
      <c r="B252" s="5" t="s">
        <v>366</v>
      </c>
      <c r="C252" s="5" t="s">
        <v>27</v>
      </c>
      <c r="D252" s="5" t="s">
        <v>385</v>
      </c>
      <c r="E252" s="5" t="s">
        <v>384</v>
      </c>
      <c r="F252" s="5" t="s">
        <v>30</v>
      </c>
      <c r="G252" s="5" t="s">
        <v>392</v>
      </c>
      <c r="H252" s="5" t="s">
        <v>232</v>
      </c>
      <c r="I252" s="5" t="s">
        <v>35</v>
      </c>
      <c r="J252" s="15">
        <v>2900</v>
      </c>
      <c r="K252" s="7">
        <v>33</v>
      </c>
      <c r="L252" s="7">
        <f t="shared" si="70"/>
        <v>87.878787878787875</v>
      </c>
      <c r="M252" s="5" t="s">
        <v>10</v>
      </c>
      <c r="N252" s="5">
        <v>4</v>
      </c>
      <c r="O252" s="6">
        <f t="shared" si="71"/>
        <v>13.997359963269052</v>
      </c>
      <c r="P252" s="6">
        <f t="shared" si="72"/>
        <v>1.4557254361799814</v>
      </c>
      <c r="Q252" s="10">
        <f t="shared" si="73"/>
        <v>3.0327613253749608E-2</v>
      </c>
      <c r="R252" s="10">
        <f t="shared" si="74"/>
        <v>0.11506194811191645</v>
      </c>
      <c r="S252" s="10">
        <f t="shared" si="75"/>
        <v>0.14538956136566605</v>
      </c>
    </row>
    <row r="253" spans="1:19" x14ac:dyDescent="0.25">
      <c r="A253" s="5" t="s">
        <v>22</v>
      </c>
      <c r="B253" s="5" t="s">
        <v>63</v>
      </c>
      <c r="C253" s="5" t="s">
        <v>27</v>
      </c>
      <c r="D253" s="5" t="s">
        <v>385</v>
      </c>
      <c r="E253" s="5" t="s">
        <v>384</v>
      </c>
      <c r="F253" s="5" t="s">
        <v>30</v>
      </c>
      <c r="G253" s="5" t="s">
        <v>392</v>
      </c>
      <c r="H253" s="5" t="s">
        <v>66</v>
      </c>
      <c r="I253" s="5" t="s">
        <v>67</v>
      </c>
      <c r="J253" s="15">
        <v>2350</v>
      </c>
      <c r="K253" s="7">
        <v>28</v>
      </c>
      <c r="L253" s="7">
        <f t="shared" si="70"/>
        <v>83.928571428571431</v>
      </c>
      <c r="M253" s="5" t="s">
        <v>10</v>
      </c>
      <c r="N253" s="5">
        <v>4</v>
      </c>
      <c r="O253" s="6">
        <f t="shared" si="71"/>
        <v>10.345882493622449</v>
      </c>
      <c r="P253" s="6">
        <f t="shared" si="72"/>
        <v>1.0759717793367347</v>
      </c>
      <c r="Q253" s="10">
        <f t="shared" si="73"/>
        <v>2.2416078736181972E-2</v>
      </c>
      <c r="R253" s="10">
        <f t="shared" si="74"/>
        <v>9.1721844656989765E-2</v>
      </c>
      <c r="S253" s="10">
        <f t="shared" si="75"/>
        <v>0.11413792339317173</v>
      </c>
    </row>
    <row r="254" spans="1:19" x14ac:dyDescent="0.25">
      <c r="J254" s="16">
        <f>AVERAGE(J248:J253)</f>
        <v>2446</v>
      </c>
      <c r="K254" s="12">
        <f t="shared" ref="K254:S254" si="76">AVERAGE(K248:K253)</f>
        <v>29.083333333333332</v>
      </c>
      <c r="L254" s="12">
        <f t="shared" si="76"/>
        <v>83.823290035537909</v>
      </c>
      <c r="M254" s="11" t="e">
        <f t="shared" si="76"/>
        <v>#DIV/0!</v>
      </c>
      <c r="N254" s="11">
        <f t="shared" si="76"/>
        <v>4</v>
      </c>
      <c r="O254" s="13">
        <f t="shared" si="76"/>
        <v>10.926484850352537</v>
      </c>
      <c r="P254" s="13">
        <f t="shared" si="76"/>
        <v>1.1363544244366639</v>
      </c>
      <c r="Q254" s="14">
        <f t="shared" si="76"/>
        <v>2.3674050509097166E-2</v>
      </c>
      <c r="R254" s="14">
        <f t="shared" si="76"/>
        <v>9.5067542413652242E-2</v>
      </c>
      <c r="S254" s="14">
        <f t="shared" si="76"/>
        <v>0.1187415929227494</v>
      </c>
    </row>
    <row r="255" spans="1:19" x14ac:dyDescent="0.25">
      <c r="A255" s="5" t="s">
        <v>8</v>
      </c>
      <c r="B255" s="5" t="s">
        <v>241</v>
      </c>
      <c r="C255" s="5" t="s">
        <v>27</v>
      </c>
      <c r="D255" s="5" t="s">
        <v>385</v>
      </c>
      <c r="E255" s="5" t="s">
        <v>384</v>
      </c>
      <c r="F255" s="5" t="s">
        <v>30</v>
      </c>
      <c r="G255" s="5" t="s">
        <v>392</v>
      </c>
      <c r="H255" s="5" t="s">
        <v>40</v>
      </c>
      <c r="I255" s="5" t="s">
        <v>249</v>
      </c>
      <c r="J255" s="15">
        <v>1750</v>
      </c>
      <c r="K255" s="7">
        <v>25</v>
      </c>
      <c r="L255" s="7">
        <f t="shared" ref="L255:L286" si="77">J255/K255</f>
        <v>70</v>
      </c>
      <c r="M255" s="5" t="s">
        <v>10</v>
      </c>
      <c r="N255" s="5">
        <v>4</v>
      </c>
      <c r="O255" s="6">
        <f t="shared" ref="O255:O286" si="78">(J255*L255^2)/(1.6*10^6)</f>
        <v>5.359375</v>
      </c>
      <c r="P255" s="6">
        <f t="shared" ref="P255:P286" si="79">(0.104*J255*L255^2)/(1.6*10^6)</f>
        <v>0.55737499999999995</v>
      </c>
      <c r="Q255" s="10">
        <f t="shared" ref="Q255:Q286" si="80">(0.104*O255)/(12*N255)</f>
        <v>1.1611979166666666E-2</v>
      </c>
      <c r="R255" s="10">
        <f t="shared" ref="R255:R286" si="81">0.0159*O255^0.75</f>
        <v>5.6005765012085269E-2</v>
      </c>
      <c r="S255" s="10">
        <f t="shared" ref="S255:S286" si="82">Q255+R255</f>
        <v>6.7617744178751937E-2</v>
      </c>
    </row>
    <row r="256" spans="1:19" x14ac:dyDescent="0.25">
      <c r="A256" s="5" t="s">
        <v>22</v>
      </c>
      <c r="B256" s="5" t="s">
        <v>26</v>
      </c>
      <c r="C256" s="5" t="s">
        <v>27</v>
      </c>
      <c r="D256" s="5" t="s">
        <v>385</v>
      </c>
      <c r="E256" s="5" t="s">
        <v>384</v>
      </c>
      <c r="F256" s="5" t="s">
        <v>30</v>
      </c>
      <c r="G256" s="5" t="s">
        <v>392</v>
      </c>
      <c r="H256" s="5" t="s">
        <v>40</v>
      </c>
      <c r="I256" s="5" t="s">
        <v>41</v>
      </c>
      <c r="J256" s="15">
        <v>2500</v>
      </c>
      <c r="K256" s="7">
        <v>28</v>
      </c>
      <c r="L256" s="7">
        <f t="shared" si="77"/>
        <v>89.285714285714292</v>
      </c>
      <c r="M256" s="5" t="s">
        <v>10</v>
      </c>
      <c r="N256" s="5">
        <v>4</v>
      </c>
      <c r="O256" s="6">
        <f t="shared" si="78"/>
        <v>12.456154336734695</v>
      </c>
      <c r="P256" s="6">
        <f t="shared" si="79"/>
        <v>1.2954400510204083</v>
      </c>
      <c r="Q256" s="10">
        <f t="shared" si="80"/>
        <v>2.6988334396258504E-2</v>
      </c>
      <c r="R256" s="10">
        <f t="shared" si="81"/>
        <v>0.10542293667898026</v>
      </c>
      <c r="S256" s="10">
        <f t="shared" si="82"/>
        <v>0.13241127107523876</v>
      </c>
    </row>
    <row r="257" spans="1:19" x14ac:dyDescent="0.25">
      <c r="A257" s="5" t="s">
        <v>8</v>
      </c>
      <c r="B257" s="5" t="s">
        <v>241</v>
      </c>
      <c r="C257" s="5" t="s">
        <v>27</v>
      </c>
      <c r="D257" s="5" t="s">
        <v>385</v>
      </c>
      <c r="E257" s="5" t="s">
        <v>384</v>
      </c>
      <c r="F257" s="5" t="s">
        <v>30</v>
      </c>
      <c r="G257" s="5" t="s">
        <v>392</v>
      </c>
      <c r="H257" s="5" t="s">
        <v>40</v>
      </c>
      <c r="I257" s="5" t="s">
        <v>41</v>
      </c>
      <c r="J257" s="15">
        <v>2300</v>
      </c>
      <c r="K257" s="7">
        <v>31</v>
      </c>
      <c r="L257" s="7">
        <f t="shared" si="77"/>
        <v>74.193548387096769</v>
      </c>
      <c r="M257" s="5" t="s">
        <v>10</v>
      </c>
      <c r="N257" s="5">
        <v>4</v>
      </c>
      <c r="O257" s="6">
        <f t="shared" si="78"/>
        <v>7.912981269510925</v>
      </c>
      <c r="P257" s="6">
        <f t="shared" si="79"/>
        <v>0.82295005202913618</v>
      </c>
      <c r="Q257" s="10">
        <f t="shared" si="80"/>
        <v>1.7144792750607003E-2</v>
      </c>
      <c r="R257" s="10">
        <f t="shared" si="81"/>
        <v>7.5015710610391848E-2</v>
      </c>
      <c r="S257" s="10">
        <f t="shared" si="82"/>
        <v>9.2160503360998847E-2</v>
      </c>
    </row>
    <row r="258" spans="1:19" x14ac:dyDescent="0.25">
      <c r="A258" s="5" t="s">
        <v>8</v>
      </c>
      <c r="B258" s="5" t="s">
        <v>313</v>
      </c>
      <c r="C258" s="5" t="s">
        <v>27</v>
      </c>
      <c r="D258" s="5" t="s">
        <v>385</v>
      </c>
      <c r="E258" s="5" t="s">
        <v>384</v>
      </c>
      <c r="F258" s="5" t="s">
        <v>30</v>
      </c>
      <c r="G258" s="5" t="s">
        <v>392</v>
      </c>
      <c r="H258" s="5" t="s">
        <v>40</v>
      </c>
      <c r="I258" s="5" t="s">
        <v>41</v>
      </c>
      <c r="J258" s="15">
        <v>2650</v>
      </c>
      <c r="K258" s="7">
        <v>27.1</v>
      </c>
      <c r="L258" s="7">
        <f t="shared" si="77"/>
        <v>97.785977859778598</v>
      </c>
      <c r="M258" s="5" t="s">
        <v>10</v>
      </c>
      <c r="N258" s="5">
        <v>4</v>
      </c>
      <c r="O258" s="6">
        <f t="shared" si="78"/>
        <v>15.83722392805109</v>
      </c>
      <c r="P258" s="6">
        <f t="shared" si="79"/>
        <v>1.6470712885173131</v>
      </c>
      <c r="Q258" s="10">
        <f t="shared" si="80"/>
        <v>3.431398517744403E-2</v>
      </c>
      <c r="R258" s="10">
        <f t="shared" si="81"/>
        <v>0.1262282081691613</v>
      </c>
      <c r="S258" s="10">
        <f t="shared" si="82"/>
        <v>0.16054219334660533</v>
      </c>
    </row>
    <row r="259" spans="1:19" x14ac:dyDescent="0.25">
      <c r="A259" s="5" t="s">
        <v>8</v>
      </c>
      <c r="B259" s="5" t="s">
        <v>241</v>
      </c>
      <c r="C259" s="5" t="s">
        <v>27</v>
      </c>
      <c r="D259" s="5" t="s">
        <v>385</v>
      </c>
      <c r="E259" s="5" t="s">
        <v>384</v>
      </c>
      <c r="F259" s="5" t="s">
        <v>30</v>
      </c>
      <c r="G259" s="5" t="s">
        <v>392</v>
      </c>
      <c r="H259" s="5" t="s">
        <v>40</v>
      </c>
      <c r="I259" s="5" t="s">
        <v>250</v>
      </c>
      <c r="J259" s="15">
        <v>1710</v>
      </c>
      <c r="K259" s="7">
        <v>25</v>
      </c>
      <c r="L259" s="7">
        <f t="shared" si="77"/>
        <v>68.400000000000006</v>
      </c>
      <c r="M259" s="5" t="s">
        <v>10</v>
      </c>
      <c r="N259" s="5">
        <v>4</v>
      </c>
      <c r="O259" s="6">
        <f t="shared" si="78"/>
        <v>5.0002110000000002</v>
      </c>
      <c r="P259" s="6">
        <f t="shared" si="79"/>
        <v>0.52002194400000012</v>
      </c>
      <c r="Q259" s="10">
        <f t="shared" si="80"/>
        <v>1.0833790500000001E-2</v>
      </c>
      <c r="R259" s="10">
        <f t="shared" si="81"/>
        <v>5.316653690438651E-2</v>
      </c>
      <c r="S259" s="10">
        <f t="shared" si="82"/>
        <v>6.4000327404386506E-2</v>
      </c>
    </row>
    <row r="260" spans="1:19" x14ac:dyDescent="0.25">
      <c r="A260" s="5" t="s">
        <v>8</v>
      </c>
      <c r="B260" s="5" t="s">
        <v>241</v>
      </c>
      <c r="C260" s="5" t="s">
        <v>27</v>
      </c>
      <c r="D260" s="5" t="s">
        <v>385</v>
      </c>
      <c r="E260" s="5" t="s">
        <v>384</v>
      </c>
      <c r="F260" s="5" t="s">
        <v>30</v>
      </c>
      <c r="G260" s="5" t="s">
        <v>392</v>
      </c>
      <c r="H260" s="5" t="s">
        <v>40</v>
      </c>
      <c r="I260" s="5" t="s">
        <v>252</v>
      </c>
      <c r="J260" s="15">
        <v>1670</v>
      </c>
      <c r="K260" s="7">
        <v>28.5</v>
      </c>
      <c r="L260" s="7">
        <f t="shared" si="77"/>
        <v>58.596491228070178</v>
      </c>
      <c r="M260" s="5" t="s">
        <v>10</v>
      </c>
      <c r="N260" s="5">
        <v>4</v>
      </c>
      <c r="O260" s="6">
        <f t="shared" si="78"/>
        <v>3.5837665435518629</v>
      </c>
      <c r="P260" s="6">
        <f t="shared" si="79"/>
        <v>0.37271172052939366</v>
      </c>
      <c r="Q260" s="10">
        <f t="shared" si="80"/>
        <v>7.7648275110290361E-3</v>
      </c>
      <c r="R260" s="10">
        <f t="shared" si="81"/>
        <v>4.1414450883432853E-2</v>
      </c>
      <c r="S260" s="10">
        <f t="shared" si="82"/>
        <v>4.9179278394461887E-2</v>
      </c>
    </row>
    <row r="261" spans="1:19" x14ac:dyDescent="0.25">
      <c r="A261" s="5" t="s">
        <v>8</v>
      </c>
      <c r="B261" s="5" t="s">
        <v>241</v>
      </c>
      <c r="C261" s="5" t="s">
        <v>27</v>
      </c>
      <c r="D261" s="5" t="s">
        <v>385</v>
      </c>
      <c r="E261" s="5" t="s">
        <v>384</v>
      </c>
      <c r="F261" s="5" t="s">
        <v>30</v>
      </c>
      <c r="G261" s="5" t="s">
        <v>392</v>
      </c>
      <c r="H261" s="5" t="s">
        <v>40</v>
      </c>
      <c r="I261" s="5" t="s">
        <v>11</v>
      </c>
      <c r="J261" s="15">
        <v>2375</v>
      </c>
      <c r="K261" s="7">
        <v>27</v>
      </c>
      <c r="L261" s="7">
        <f t="shared" si="77"/>
        <v>87.962962962962962</v>
      </c>
      <c r="M261" s="5" t="s">
        <v>10</v>
      </c>
      <c r="N261" s="5">
        <v>4</v>
      </c>
      <c r="O261" s="6">
        <f t="shared" si="78"/>
        <v>11.485326110253771</v>
      </c>
      <c r="P261" s="6">
        <f t="shared" si="79"/>
        <v>1.1944739154663921</v>
      </c>
      <c r="Q261" s="10">
        <f t="shared" si="80"/>
        <v>2.4884873238883169E-2</v>
      </c>
      <c r="R261" s="10">
        <f t="shared" si="81"/>
        <v>9.9198389756610938E-2</v>
      </c>
      <c r="S261" s="10">
        <f t="shared" si="82"/>
        <v>0.1240832629954941</v>
      </c>
    </row>
    <row r="262" spans="1:19" x14ac:dyDescent="0.25">
      <c r="A262" s="5" t="s">
        <v>8</v>
      </c>
      <c r="B262" s="5" t="s">
        <v>241</v>
      </c>
      <c r="C262" s="5" t="s">
        <v>27</v>
      </c>
      <c r="D262" s="5" t="s">
        <v>385</v>
      </c>
      <c r="E262" s="5" t="s">
        <v>384</v>
      </c>
      <c r="F262" s="5" t="s">
        <v>30</v>
      </c>
      <c r="G262" s="5" t="s">
        <v>392</v>
      </c>
      <c r="H262" s="5" t="s">
        <v>40</v>
      </c>
      <c r="I262" s="5" t="s">
        <v>260</v>
      </c>
      <c r="J262" s="15">
        <v>2250</v>
      </c>
      <c r="K262" s="7">
        <v>26.2</v>
      </c>
      <c r="L262" s="7">
        <f t="shared" si="77"/>
        <v>85.877862595419856</v>
      </c>
      <c r="M262" s="5" t="s">
        <v>10</v>
      </c>
      <c r="N262" s="5">
        <v>4</v>
      </c>
      <c r="O262" s="6">
        <f t="shared" si="78"/>
        <v>10.371103993065674</v>
      </c>
      <c r="P262" s="6">
        <f t="shared" si="79"/>
        <v>1.0785948152788301</v>
      </c>
      <c r="Q262" s="10">
        <f t="shared" si="80"/>
        <v>2.2470725318308959E-2</v>
      </c>
      <c r="R262" s="10">
        <f t="shared" si="81"/>
        <v>9.1889495281948216E-2</v>
      </c>
      <c r="S262" s="10">
        <f t="shared" si="82"/>
        <v>0.11436022060025718</v>
      </c>
    </row>
    <row r="263" spans="1:19" x14ac:dyDescent="0.25">
      <c r="A263" s="5" t="s">
        <v>8</v>
      </c>
      <c r="B263" s="5" t="s">
        <v>188</v>
      </c>
      <c r="C263" s="5" t="s">
        <v>27</v>
      </c>
      <c r="D263" s="5" t="s">
        <v>385</v>
      </c>
      <c r="E263" s="5" t="s">
        <v>384</v>
      </c>
      <c r="F263" s="5" t="s">
        <v>30</v>
      </c>
      <c r="G263" s="5" t="s">
        <v>392</v>
      </c>
      <c r="H263" s="5" t="s">
        <v>40</v>
      </c>
      <c r="I263" s="5" t="s">
        <v>190</v>
      </c>
      <c r="J263" s="15">
        <v>2800</v>
      </c>
      <c r="K263" s="7">
        <v>27</v>
      </c>
      <c r="L263" s="7">
        <f t="shared" si="77"/>
        <v>103.70370370370371</v>
      </c>
      <c r="M263" s="5" t="s">
        <v>10</v>
      </c>
      <c r="N263" s="5">
        <v>4</v>
      </c>
      <c r="O263" s="6">
        <f t="shared" si="78"/>
        <v>18.820301783264746</v>
      </c>
      <c r="P263" s="6">
        <f t="shared" si="79"/>
        <v>1.9573113854595339</v>
      </c>
      <c r="Q263" s="10">
        <f t="shared" si="80"/>
        <v>4.0777320530406946E-2</v>
      </c>
      <c r="R263" s="10">
        <f t="shared" si="81"/>
        <v>0.14367032083802037</v>
      </c>
      <c r="S263" s="10">
        <f t="shared" si="82"/>
        <v>0.18444764136842731</v>
      </c>
    </row>
    <row r="264" spans="1:19" x14ac:dyDescent="0.25">
      <c r="A264" s="5" t="s">
        <v>8</v>
      </c>
      <c r="B264" s="5" t="s">
        <v>241</v>
      </c>
      <c r="C264" s="5" t="s">
        <v>27</v>
      </c>
      <c r="D264" s="5" t="s">
        <v>385</v>
      </c>
      <c r="E264" s="5" t="s">
        <v>384</v>
      </c>
      <c r="F264" s="5" t="s">
        <v>30</v>
      </c>
      <c r="G264" s="5" t="s">
        <v>392</v>
      </c>
      <c r="H264" s="5" t="s">
        <v>40</v>
      </c>
      <c r="I264" s="5" t="s">
        <v>190</v>
      </c>
      <c r="J264" s="15">
        <v>2885</v>
      </c>
      <c r="K264" s="7">
        <v>27.5</v>
      </c>
      <c r="L264" s="7">
        <f t="shared" si="77"/>
        <v>104.90909090909091</v>
      </c>
      <c r="M264" s="5" t="s">
        <v>10</v>
      </c>
      <c r="N264" s="5">
        <v>4</v>
      </c>
      <c r="O264" s="6">
        <f t="shared" si="78"/>
        <v>19.845044731404958</v>
      </c>
      <c r="P264" s="6">
        <f t="shared" si="79"/>
        <v>2.0638846520661156</v>
      </c>
      <c r="Q264" s="10">
        <f t="shared" si="80"/>
        <v>4.2997596918044077E-2</v>
      </c>
      <c r="R264" s="10">
        <f t="shared" si="81"/>
        <v>0.1494982765139998</v>
      </c>
      <c r="S264" s="10">
        <f t="shared" si="82"/>
        <v>0.19249587343204388</v>
      </c>
    </row>
    <row r="265" spans="1:19" x14ac:dyDescent="0.25">
      <c r="A265" s="5" t="s">
        <v>8</v>
      </c>
      <c r="B265" s="5" t="s">
        <v>241</v>
      </c>
      <c r="C265" s="5" t="s">
        <v>27</v>
      </c>
      <c r="D265" s="5" t="s">
        <v>385</v>
      </c>
      <c r="E265" s="5" t="s">
        <v>384</v>
      </c>
      <c r="F265" s="5" t="s">
        <v>30</v>
      </c>
      <c r="G265" s="5" t="s">
        <v>392</v>
      </c>
      <c r="H265" s="5" t="s">
        <v>40</v>
      </c>
      <c r="I265" s="5" t="s">
        <v>257</v>
      </c>
      <c r="J265" s="15">
        <v>2020</v>
      </c>
      <c r="K265" s="7">
        <v>23.5</v>
      </c>
      <c r="L265" s="7">
        <f t="shared" si="77"/>
        <v>85.957446808510639</v>
      </c>
      <c r="M265" s="5" t="s">
        <v>10</v>
      </c>
      <c r="N265" s="5">
        <v>4</v>
      </c>
      <c r="O265" s="6">
        <f t="shared" si="78"/>
        <v>9.3282118605703932</v>
      </c>
      <c r="P265" s="6">
        <f t="shared" si="79"/>
        <v>0.97013403349932081</v>
      </c>
      <c r="Q265" s="10">
        <f t="shared" si="80"/>
        <v>2.0211125697902517E-2</v>
      </c>
      <c r="R265" s="10">
        <f t="shared" si="81"/>
        <v>8.486838252062337E-2</v>
      </c>
      <c r="S265" s="10">
        <f t="shared" si="82"/>
        <v>0.10507950821852588</v>
      </c>
    </row>
    <row r="266" spans="1:19" x14ac:dyDescent="0.25">
      <c r="A266" s="5" t="s">
        <v>8</v>
      </c>
      <c r="B266" s="5" t="s">
        <v>241</v>
      </c>
      <c r="C266" s="5" t="s">
        <v>27</v>
      </c>
      <c r="D266" s="5" t="s">
        <v>385</v>
      </c>
      <c r="E266" s="5" t="s">
        <v>384</v>
      </c>
      <c r="F266" s="5" t="s">
        <v>30</v>
      </c>
      <c r="G266" s="5" t="s">
        <v>392</v>
      </c>
      <c r="H266" s="5" t="s">
        <v>40</v>
      </c>
      <c r="I266" s="5" t="s">
        <v>258</v>
      </c>
      <c r="J266" s="15">
        <v>2220</v>
      </c>
      <c r="K266" s="7">
        <v>28</v>
      </c>
      <c r="L266" s="7">
        <f t="shared" si="77"/>
        <v>79.285714285714292</v>
      </c>
      <c r="M266" s="5" t="s">
        <v>10</v>
      </c>
      <c r="N266" s="5">
        <v>4</v>
      </c>
      <c r="O266" s="6">
        <f t="shared" si="78"/>
        <v>8.7221364795918372</v>
      </c>
      <c r="P266" s="6">
        <f t="shared" si="79"/>
        <v>0.90710219387755109</v>
      </c>
      <c r="Q266" s="10">
        <f t="shared" si="80"/>
        <v>1.8897962372448979E-2</v>
      </c>
      <c r="R266" s="10">
        <f t="shared" si="81"/>
        <v>8.0698280844358428E-2</v>
      </c>
      <c r="S266" s="10">
        <f t="shared" si="82"/>
        <v>9.9596243216807406E-2</v>
      </c>
    </row>
    <row r="267" spans="1:19" x14ac:dyDescent="0.25">
      <c r="A267" s="5" t="s">
        <v>8</v>
      </c>
      <c r="B267" s="5" t="s">
        <v>188</v>
      </c>
      <c r="C267" s="5" t="s">
        <v>27</v>
      </c>
      <c r="D267" s="5" t="s">
        <v>385</v>
      </c>
      <c r="E267" s="5" t="s">
        <v>384</v>
      </c>
      <c r="F267" s="5" t="s">
        <v>30</v>
      </c>
      <c r="G267" s="5" t="s">
        <v>392</v>
      </c>
      <c r="H267" s="5" t="s">
        <v>40</v>
      </c>
      <c r="I267" s="5" t="s">
        <v>189</v>
      </c>
      <c r="J267" s="15">
        <v>2200</v>
      </c>
      <c r="K267" s="7">
        <v>28.7</v>
      </c>
      <c r="L267" s="7">
        <f t="shared" si="77"/>
        <v>76.655052264808361</v>
      </c>
      <c r="M267" s="5" t="s">
        <v>10</v>
      </c>
      <c r="N267" s="5">
        <v>4</v>
      </c>
      <c r="O267" s="6">
        <f t="shared" si="78"/>
        <v>8.0794959268656896</v>
      </c>
      <c r="P267" s="6">
        <f t="shared" si="79"/>
        <v>0.8402675763940316</v>
      </c>
      <c r="Q267" s="10">
        <f t="shared" si="80"/>
        <v>1.7505574508208995E-2</v>
      </c>
      <c r="R267" s="10">
        <f t="shared" si="81"/>
        <v>7.6196552828618133E-2</v>
      </c>
      <c r="S267" s="10">
        <f t="shared" si="82"/>
        <v>9.3702127336827132E-2</v>
      </c>
    </row>
    <row r="268" spans="1:19" x14ac:dyDescent="0.25">
      <c r="A268" s="5" t="s">
        <v>8</v>
      </c>
      <c r="B268" s="5" t="s">
        <v>188</v>
      </c>
      <c r="C268" s="5" t="s">
        <v>27</v>
      </c>
      <c r="D268" s="5" t="s">
        <v>385</v>
      </c>
      <c r="E268" s="5" t="s">
        <v>384</v>
      </c>
      <c r="F268" s="5" t="s">
        <v>30</v>
      </c>
      <c r="G268" s="5" t="s">
        <v>392</v>
      </c>
      <c r="H268" s="5" t="s">
        <v>40</v>
      </c>
      <c r="I268" s="5" t="s">
        <v>189</v>
      </c>
      <c r="J268" s="15">
        <v>2100</v>
      </c>
      <c r="K268" s="7">
        <v>22.2</v>
      </c>
      <c r="L268" s="7">
        <f t="shared" si="77"/>
        <v>94.594594594594597</v>
      </c>
      <c r="M268" s="5" t="s">
        <v>10</v>
      </c>
      <c r="N268" s="5">
        <v>4</v>
      </c>
      <c r="O268" s="6">
        <f t="shared" si="78"/>
        <v>11.744430241051864</v>
      </c>
      <c r="P268" s="6">
        <f t="shared" si="79"/>
        <v>1.2214207450693937</v>
      </c>
      <c r="Q268" s="10">
        <f t="shared" si="80"/>
        <v>2.5446265522279039E-2</v>
      </c>
      <c r="R268" s="10">
        <f t="shared" si="81"/>
        <v>0.1008721061659506</v>
      </c>
      <c r="S268" s="10">
        <f t="shared" si="82"/>
        <v>0.12631837168822965</v>
      </c>
    </row>
    <row r="269" spans="1:19" x14ac:dyDescent="0.25">
      <c r="A269" s="5" t="s">
        <v>8</v>
      </c>
      <c r="B269" s="5" t="s">
        <v>313</v>
      </c>
      <c r="C269" s="5" t="s">
        <v>27</v>
      </c>
      <c r="D269" s="5" t="s">
        <v>385</v>
      </c>
      <c r="E269" s="5" t="s">
        <v>384</v>
      </c>
      <c r="F269" s="5" t="s">
        <v>30</v>
      </c>
      <c r="G269" s="5" t="s">
        <v>392</v>
      </c>
      <c r="H269" s="5" t="s">
        <v>40</v>
      </c>
      <c r="I269" s="5" t="s">
        <v>314</v>
      </c>
      <c r="J269" s="15">
        <v>1910</v>
      </c>
      <c r="K269" s="7">
        <v>24</v>
      </c>
      <c r="L269" s="7">
        <f t="shared" si="77"/>
        <v>79.583333333333329</v>
      </c>
      <c r="M269" s="5" t="s">
        <v>10</v>
      </c>
      <c r="N269" s="5">
        <v>4</v>
      </c>
      <c r="O269" s="6">
        <f t="shared" si="78"/>
        <v>7.5606239149305541</v>
      </c>
      <c r="P269" s="6">
        <f t="shared" si="79"/>
        <v>0.78630488715277769</v>
      </c>
      <c r="Q269" s="10">
        <f t="shared" si="80"/>
        <v>1.6381351815682867E-2</v>
      </c>
      <c r="R269" s="10">
        <f t="shared" si="81"/>
        <v>7.2496218047525651E-2</v>
      </c>
      <c r="S269" s="10">
        <f t="shared" si="82"/>
        <v>8.8877569863208522E-2</v>
      </c>
    </row>
    <row r="270" spans="1:19" x14ac:dyDescent="0.25">
      <c r="A270" s="5" t="s">
        <v>8</v>
      </c>
      <c r="B270" s="5" t="s">
        <v>241</v>
      </c>
      <c r="C270" s="5" t="s">
        <v>27</v>
      </c>
      <c r="D270" s="5" t="s">
        <v>385</v>
      </c>
      <c r="E270" s="5" t="s">
        <v>384</v>
      </c>
      <c r="F270" s="5" t="s">
        <v>30</v>
      </c>
      <c r="G270" s="5" t="s">
        <v>392</v>
      </c>
      <c r="H270" s="5" t="s">
        <v>40</v>
      </c>
      <c r="I270" s="5" t="s">
        <v>251</v>
      </c>
      <c r="J270" s="15">
        <v>1940</v>
      </c>
      <c r="K270" s="7">
        <v>26.5</v>
      </c>
      <c r="L270" s="7">
        <f t="shared" si="77"/>
        <v>73.20754716981132</v>
      </c>
      <c r="M270" s="5" t="s">
        <v>10</v>
      </c>
      <c r="N270" s="5">
        <v>4</v>
      </c>
      <c r="O270" s="6">
        <f t="shared" si="78"/>
        <v>6.4982057671769313</v>
      </c>
      <c r="P270" s="6">
        <f t="shared" si="79"/>
        <v>0.67581339978640087</v>
      </c>
      <c r="Q270" s="10">
        <f t="shared" si="80"/>
        <v>1.4079445828883352E-2</v>
      </c>
      <c r="R270" s="10">
        <f t="shared" si="81"/>
        <v>6.4713102102881032E-2</v>
      </c>
      <c r="S270" s="10">
        <f t="shared" si="82"/>
        <v>7.8792547931764378E-2</v>
      </c>
    </row>
    <row r="271" spans="1:19" x14ac:dyDescent="0.25">
      <c r="A271" s="5" t="s">
        <v>8</v>
      </c>
      <c r="B271" s="5" t="s">
        <v>361</v>
      </c>
      <c r="C271" s="5" t="s">
        <v>27</v>
      </c>
      <c r="D271" s="5" t="s">
        <v>385</v>
      </c>
      <c r="E271" s="5" t="s">
        <v>384</v>
      </c>
      <c r="F271" s="5" t="s">
        <v>30</v>
      </c>
      <c r="G271" s="5" t="s">
        <v>392</v>
      </c>
      <c r="H271" s="5" t="s">
        <v>40</v>
      </c>
      <c r="I271" s="5" t="s">
        <v>362</v>
      </c>
      <c r="J271" s="15">
        <v>1970</v>
      </c>
      <c r="K271" s="7">
        <v>26.9</v>
      </c>
      <c r="L271" s="7">
        <f t="shared" si="77"/>
        <v>73.234200743494426</v>
      </c>
      <c r="M271" s="5" t="s">
        <v>10</v>
      </c>
      <c r="N271" s="5">
        <v>4</v>
      </c>
      <c r="O271" s="6">
        <f t="shared" si="78"/>
        <v>6.6034992952004536</v>
      </c>
      <c r="P271" s="6">
        <f t="shared" si="79"/>
        <v>0.68676392670084707</v>
      </c>
      <c r="Q271" s="10">
        <f t="shared" si="80"/>
        <v>1.430758180626765E-2</v>
      </c>
      <c r="R271" s="10">
        <f t="shared" si="81"/>
        <v>6.5497952840159274E-2</v>
      </c>
      <c r="S271" s="10">
        <f t="shared" si="82"/>
        <v>7.9805534646426923E-2</v>
      </c>
    </row>
    <row r="272" spans="1:19" x14ac:dyDescent="0.25">
      <c r="A272" s="5" t="s">
        <v>8</v>
      </c>
      <c r="B272" s="5" t="s">
        <v>241</v>
      </c>
      <c r="C272" s="5" t="s">
        <v>27</v>
      </c>
      <c r="D272" s="5" t="s">
        <v>385</v>
      </c>
      <c r="E272" s="5" t="s">
        <v>384</v>
      </c>
      <c r="F272" s="5" t="s">
        <v>30</v>
      </c>
      <c r="G272" s="5" t="s">
        <v>392</v>
      </c>
      <c r="H272" s="5" t="s">
        <v>40</v>
      </c>
      <c r="I272" s="5" t="s">
        <v>255</v>
      </c>
      <c r="J272" s="15">
        <v>2180</v>
      </c>
      <c r="K272" s="7">
        <v>20.2</v>
      </c>
      <c r="L272" s="7">
        <f t="shared" si="77"/>
        <v>107.92079207920793</v>
      </c>
      <c r="M272" s="5" t="s">
        <v>10</v>
      </c>
      <c r="N272" s="5">
        <v>4</v>
      </c>
      <c r="O272" s="6">
        <f t="shared" si="78"/>
        <v>15.868897657092445</v>
      </c>
      <c r="P272" s="6">
        <f t="shared" si="79"/>
        <v>1.6503653563376142</v>
      </c>
      <c r="Q272" s="10">
        <f t="shared" si="80"/>
        <v>3.4382611590366964E-2</v>
      </c>
      <c r="R272" s="10">
        <f t="shared" si="81"/>
        <v>0.12641749889048123</v>
      </c>
      <c r="S272" s="10">
        <f t="shared" si="82"/>
        <v>0.16080011048084819</v>
      </c>
    </row>
    <row r="273" spans="1:19" x14ac:dyDescent="0.25">
      <c r="A273" s="5" t="s">
        <v>8</v>
      </c>
      <c r="B273" s="5" t="s">
        <v>375</v>
      </c>
      <c r="C273" s="5" t="s">
        <v>27</v>
      </c>
      <c r="D273" s="5" t="s">
        <v>385</v>
      </c>
      <c r="E273" s="5" t="s">
        <v>384</v>
      </c>
      <c r="F273" s="5" t="s">
        <v>30</v>
      </c>
      <c r="G273" s="5" t="s">
        <v>392</v>
      </c>
      <c r="H273" s="5" t="s">
        <v>40</v>
      </c>
      <c r="I273" s="5" t="s">
        <v>377</v>
      </c>
      <c r="J273" s="15">
        <v>1900</v>
      </c>
      <c r="K273" s="7">
        <v>31.8</v>
      </c>
      <c r="L273" s="7">
        <f t="shared" si="77"/>
        <v>59.748427672955977</v>
      </c>
      <c r="M273" s="5" t="s">
        <v>10</v>
      </c>
      <c r="N273" s="5">
        <v>4</v>
      </c>
      <c r="O273" s="6">
        <f t="shared" si="78"/>
        <v>4.2392260986511614</v>
      </c>
      <c r="P273" s="6">
        <f t="shared" si="79"/>
        <v>0.44087951425972072</v>
      </c>
      <c r="Q273" s="10">
        <f t="shared" si="80"/>
        <v>9.1849898804108494E-3</v>
      </c>
      <c r="R273" s="10">
        <f t="shared" si="81"/>
        <v>4.6974488465593794E-2</v>
      </c>
      <c r="S273" s="10">
        <f t="shared" si="82"/>
        <v>5.615947834600464E-2</v>
      </c>
    </row>
    <row r="274" spans="1:19" x14ac:dyDescent="0.25">
      <c r="A274" s="5" t="s">
        <v>8</v>
      </c>
      <c r="B274" s="5" t="s">
        <v>241</v>
      </c>
      <c r="C274" s="5" t="s">
        <v>27</v>
      </c>
      <c r="D274" s="5" t="s">
        <v>385</v>
      </c>
      <c r="E274" s="5" t="s">
        <v>384</v>
      </c>
      <c r="F274" s="5" t="s">
        <v>30</v>
      </c>
      <c r="G274" s="5" t="s">
        <v>392</v>
      </c>
      <c r="H274" s="5" t="s">
        <v>40</v>
      </c>
      <c r="I274" s="5" t="s">
        <v>242</v>
      </c>
      <c r="J274" s="15">
        <v>1765</v>
      </c>
      <c r="K274" s="7">
        <v>23.2</v>
      </c>
      <c r="L274" s="7">
        <f t="shared" si="77"/>
        <v>76.077586206896555</v>
      </c>
      <c r="M274" s="5" t="s">
        <v>10</v>
      </c>
      <c r="N274" s="5">
        <v>4</v>
      </c>
      <c r="O274" s="6">
        <f t="shared" si="78"/>
        <v>6.3846659076341412</v>
      </c>
      <c r="P274" s="6">
        <f t="shared" si="79"/>
        <v>0.66400525439395075</v>
      </c>
      <c r="Q274" s="10">
        <f t="shared" si="80"/>
        <v>1.3833442799873972E-2</v>
      </c>
      <c r="R274" s="10">
        <f t="shared" si="81"/>
        <v>6.3863211893944297E-2</v>
      </c>
      <c r="S274" s="10">
        <f t="shared" si="82"/>
        <v>7.7696654693818271E-2</v>
      </c>
    </row>
    <row r="275" spans="1:19" x14ac:dyDescent="0.25">
      <c r="A275" s="5" t="s">
        <v>8</v>
      </c>
      <c r="B275" s="5" t="s">
        <v>241</v>
      </c>
      <c r="C275" s="5" t="s">
        <v>27</v>
      </c>
      <c r="D275" s="5" t="s">
        <v>385</v>
      </c>
      <c r="E275" s="5" t="s">
        <v>384</v>
      </c>
      <c r="F275" s="5" t="s">
        <v>30</v>
      </c>
      <c r="G275" s="5" t="s">
        <v>392</v>
      </c>
      <c r="H275" s="5" t="s">
        <v>40</v>
      </c>
      <c r="I275" s="5" t="s">
        <v>261</v>
      </c>
      <c r="J275" s="15">
        <v>2600</v>
      </c>
      <c r="K275" s="7">
        <v>27.5</v>
      </c>
      <c r="L275" s="7">
        <f t="shared" si="77"/>
        <v>94.545454545454547</v>
      </c>
      <c r="M275" s="5" t="s">
        <v>10</v>
      </c>
      <c r="N275" s="5">
        <v>4</v>
      </c>
      <c r="O275" s="6">
        <f t="shared" si="78"/>
        <v>14.525619834710744</v>
      </c>
      <c r="P275" s="6">
        <f t="shared" si="79"/>
        <v>1.5106644628099171</v>
      </c>
      <c r="Q275" s="10">
        <f t="shared" si="80"/>
        <v>3.1472176308539941E-2</v>
      </c>
      <c r="R275" s="10">
        <f t="shared" si="81"/>
        <v>0.11830364604409564</v>
      </c>
      <c r="S275" s="10">
        <f t="shared" si="82"/>
        <v>0.14977582235263559</v>
      </c>
    </row>
    <row r="276" spans="1:19" x14ac:dyDescent="0.25">
      <c r="A276" s="5" t="s">
        <v>8</v>
      </c>
      <c r="B276" s="5" t="s">
        <v>241</v>
      </c>
      <c r="C276" s="5" t="s">
        <v>27</v>
      </c>
      <c r="D276" s="5" t="s">
        <v>385</v>
      </c>
      <c r="E276" s="5" t="s">
        <v>384</v>
      </c>
      <c r="F276" s="5" t="s">
        <v>30</v>
      </c>
      <c r="G276" s="5" t="s">
        <v>392</v>
      </c>
      <c r="H276" s="5" t="s">
        <v>40</v>
      </c>
      <c r="I276" s="5" t="s">
        <v>243</v>
      </c>
      <c r="J276" s="15">
        <v>4700</v>
      </c>
      <c r="K276" s="7">
        <v>36.4</v>
      </c>
      <c r="L276" s="7">
        <f t="shared" si="77"/>
        <v>129.12087912087912</v>
      </c>
      <c r="M276" s="5" t="s">
        <v>10</v>
      </c>
      <c r="N276" s="5">
        <v>4</v>
      </c>
      <c r="O276" s="6">
        <f t="shared" si="78"/>
        <v>48.974591685786741</v>
      </c>
      <c r="P276" s="6">
        <f t="shared" si="79"/>
        <v>5.0933575353218208</v>
      </c>
      <c r="Q276" s="10">
        <f t="shared" si="80"/>
        <v>0.1061116153192046</v>
      </c>
      <c r="R276" s="10">
        <f t="shared" si="81"/>
        <v>0.29435759247386778</v>
      </c>
      <c r="S276" s="10">
        <f t="shared" si="82"/>
        <v>0.40046920779307238</v>
      </c>
    </row>
    <row r="277" spans="1:19" x14ac:dyDescent="0.25">
      <c r="A277" s="5" t="s">
        <v>8</v>
      </c>
      <c r="B277" s="5" t="s">
        <v>241</v>
      </c>
      <c r="C277" s="5" t="s">
        <v>27</v>
      </c>
      <c r="D277" s="5" t="s">
        <v>385</v>
      </c>
      <c r="E277" s="5" t="s">
        <v>384</v>
      </c>
      <c r="F277" s="5" t="s">
        <v>30</v>
      </c>
      <c r="G277" s="5" t="s">
        <v>392</v>
      </c>
      <c r="H277" s="5" t="s">
        <v>40</v>
      </c>
      <c r="I277" s="5" t="s">
        <v>244</v>
      </c>
      <c r="J277" s="15">
        <v>1500</v>
      </c>
      <c r="K277" s="7">
        <v>23</v>
      </c>
      <c r="L277" s="7">
        <f t="shared" si="77"/>
        <v>65.217391304347828</v>
      </c>
      <c r="M277" s="5" t="s">
        <v>10</v>
      </c>
      <c r="N277" s="5">
        <v>4</v>
      </c>
      <c r="O277" s="6">
        <f t="shared" si="78"/>
        <v>3.9874763705103979</v>
      </c>
      <c r="P277" s="6">
        <f t="shared" si="79"/>
        <v>0.41469754253308139</v>
      </c>
      <c r="Q277" s="10">
        <f t="shared" si="80"/>
        <v>8.6395321361058628E-3</v>
      </c>
      <c r="R277" s="10">
        <f t="shared" si="81"/>
        <v>4.4866347546259483E-2</v>
      </c>
      <c r="S277" s="10">
        <f t="shared" si="82"/>
        <v>5.3505879682365344E-2</v>
      </c>
    </row>
    <row r="278" spans="1:19" x14ac:dyDescent="0.25">
      <c r="A278" s="5" t="s">
        <v>22</v>
      </c>
      <c r="B278" s="5" t="s">
        <v>63</v>
      </c>
      <c r="C278" s="5" t="s">
        <v>27</v>
      </c>
      <c r="D278" s="5" t="s">
        <v>385</v>
      </c>
      <c r="E278" s="5" t="s">
        <v>384</v>
      </c>
      <c r="F278" s="5" t="s">
        <v>30</v>
      </c>
      <c r="G278" s="5" t="s">
        <v>392</v>
      </c>
      <c r="H278" s="5" t="s">
        <v>40</v>
      </c>
      <c r="I278" s="5" t="s">
        <v>65</v>
      </c>
      <c r="J278" s="15">
        <v>2200</v>
      </c>
      <c r="K278" s="7">
        <v>27</v>
      </c>
      <c r="L278" s="7">
        <f t="shared" si="77"/>
        <v>81.481481481481481</v>
      </c>
      <c r="M278" s="5" t="s">
        <v>10</v>
      </c>
      <c r="N278" s="5">
        <v>4</v>
      </c>
      <c r="O278" s="6">
        <f t="shared" si="78"/>
        <v>9.1289437585733886</v>
      </c>
      <c r="P278" s="6">
        <f t="shared" si="79"/>
        <v>0.94941015089163217</v>
      </c>
      <c r="Q278" s="10">
        <f t="shared" si="80"/>
        <v>1.9779378143575676E-2</v>
      </c>
      <c r="R278" s="10">
        <f t="shared" si="81"/>
        <v>8.3505008186665314E-2</v>
      </c>
      <c r="S278" s="10">
        <f t="shared" si="82"/>
        <v>0.10328438633024099</v>
      </c>
    </row>
    <row r="279" spans="1:19" x14ac:dyDescent="0.25">
      <c r="A279" s="5" t="s">
        <v>22</v>
      </c>
      <c r="B279" s="5" t="s">
        <v>26</v>
      </c>
      <c r="C279" s="5" t="s">
        <v>27</v>
      </c>
      <c r="D279" s="5" t="s">
        <v>385</v>
      </c>
      <c r="E279" s="5" t="s">
        <v>384</v>
      </c>
      <c r="F279" s="5" t="s">
        <v>30</v>
      </c>
      <c r="G279" s="5" t="s">
        <v>392</v>
      </c>
      <c r="H279" s="5" t="s">
        <v>40</v>
      </c>
      <c r="I279" s="5" t="s">
        <v>42</v>
      </c>
      <c r="J279" s="15">
        <v>2600</v>
      </c>
      <c r="K279" s="7">
        <v>29</v>
      </c>
      <c r="L279" s="7">
        <f t="shared" si="77"/>
        <v>89.65517241379311</v>
      </c>
      <c r="M279" s="5" t="s">
        <v>10</v>
      </c>
      <c r="N279" s="5">
        <v>4</v>
      </c>
      <c r="O279" s="6">
        <f t="shared" si="78"/>
        <v>13.061831153388825</v>
      </c>
      <c r="P279" s="6">
        <f t="shared" si="79"/>
        <v>1.3584304399524376</v>
      </c>
      <c r="Q279" s="10">
        <f t="shared" si="80"/>
        <v>2.8300634165675787E-2</v>
      </c>
      <c r="R279" s="10">
        <f t="shared" si="81"/>
        <v>0.10924464894421673</v>
      </c>
      <c r="S279" s="10">
        <f t="shared" si="82"/>
        <v>0.13754528310989253</v>
      </c>
    </row>
    <row r="280" spans="1:19" x14ac:dyDescent="0.25">
      <c r="A280" s="5" t="s">
        <v>8</v>
      </c>
      <c r="B280" s="5" t="s">
        <v>188</v>
      </c>
      <c r="C280" s="5" t="s">
        <v>27</v>
      </c>
      <c r="D280" s="5" t="s">
        <v>385</v>
      </c>
      <c r="E280" s="5" t="s">
        <v>384</v>
      </c>
      <c r="F280" s="5" t="s">
        <v>30</v>
      </c>
      <c r="G280" s="5" t="s">
        <v>392</v>
      </c>
      <c r="H280" s="5" t="s">
        <v>40</v>
      </c>
      <c r="I280" s="5" t="s">
        <v>42</v>
      </c>
      <c r="J280" s="15">
        <v>2100</v>
      </c>
      <c r="K280" s="7">
        <v>21.8</v>
      </c>
      <c r="L280" s="7">
        <f t="shared" si="77"/>
        <v>96.330275229357795</v>
      </c>
      <c r="M280" s="5" t="s">
        <v>10</v>
      </c>
      <c r="N280" s="5">
        <v>4</v>
      </c>
      <c r="O280" s="6">
        <f t="shared" si="78"/>
        <v>12.179372527565018</v>
      </c>
      <c r="P280" s="6">
        <f t="shared" si="79"/>
        <v>1.2666547428667618</v>
      </c>
      <c r="Q280" s="10">
        <f t="shared" si="80"/>
        <v>2.6388640476390873E-2</v>
      </c>
      <c r="R280" s="10">
        <f t="shared" si="81"/>
        <v>0.10366109929063344</v>
      </c>
      <c r="S280" s="10">
        <f t="shared" si="82"/>
        <v>0.1300497397670243</v>
      </c>
    </row>
    <row r="281" spans="1:19" x14ac:dyDescent="0.25">
      <c r="A281" s="5" t="s">
        <v>8</v>
      </c>
      <c r="B281" s="5" t="s">
        <v>188</v>
      </c>
      <c r="C281" s="5" t="s">
        <v>27</v>
      </c>
      <c r="D281" s="5" t="s">
        <v>385</v>
      </c>
      <c r="E281" s="5" t="s">
        <v>384</v>
      </c>
      <c r="F281" s="5" t="s">
        <v>30</v>
      </c>
      <c r="G281" s="5" t="s">
        <v>392</v>
      </c>
      <c r="H281" s="5" t="s">
        <v>40</v>
      </c>
      <c r="I281" s="5" t="s">
        <v>42</v>
      </c>
      <c r="J281" s="15">
        <v>2700</v>
      </c>
      <c r="K281" s="7">
        <v>24.6</v>
      </c>
      <c r="L281" s="7">
        <f t="shared" si="77"/>
        <v>109.7560975609756</v>
      </c>
      <c r="M281" s="5" t="s">
        <v>10</v>
      </c>
      <c r="N281" s="5">
        <v>4</v>
      </c>
      <c r="O281" s="6">
        <f t="shared" si="78"/>
        <v>20.328301606186795</v>
      </c>
      <c r="P281" s="6">
        <f t="shared" si="79"/>
        <v>2.1141433670434266</v>
      </c>
      <c r="Q281" s="10">
        <f t="shared" si="80"/>
        <v>4.4044653480071388E-2</v>
      </c>
      <c r="R281" s="10">
        <f t="shared" si="81"/>
        <v>0.15222043056323636</v>
      </c>
      <c r="S281" s="10">
        <f t="shared" si="82"/>
        <v>0.19626508404330775</v>
      </c>
    </row>
    <row r="282" spans="1:19" x14ac:dyDescent="0.25">
      <c r="A282" s="5" t="s">
        <v>8</v>
      </c>
      <c r="B282" s="5" t="s">
        <v>241</v>
      </c>
      <c r="C282" s="5" t="s">
        <v>27</v>
      </c>
      <c r="D282" s="5" t="s">
        <v>385</v>
      </c>
      <c r="E282" s="5" t="s">
        <v>384</v>
      </c>
      <c r="F282" s="5" t="s">
        <v>30</v>
      </c>
      <c r="G282" s="5" t="s">
        <v>392</v>
      </c>
      <c r="H282" s="5" t="s">
        <v>40</v>
      </c>
      <c r="I282" s="5" t="s">
        <v>42</v>
      </c>
      <c r="J282" s="15">
        <v>2200</v>
      </c>
      <c r="K282" s="7">
        <v>29</v>
      </c>
      <c r="L282" s="7">
        <f t="shared" si="77"/>
        <v>75.862068965517238</v>
      </c>
      <c r="M282" s="5" t="s">
        <v>10</v>
      </c>
      <c r="N282" s="5">
        <v>4</v>
      </c>
      <c r="O282" s="6">
        <f t="shared" si="78"/>
        <v>7.9131985731272296</v>
      </c>
      <c r="P282" s="6">
        <f t="shared" si="79"/>
        <v>0.82297265160523181</v>
      </c>
      <c r="Q282" s="10">
        <f t="shared" si="80"/>
        <v>1.7145263575108996E-2</v>
      </c>
      <c r="R282" s="10">
        <f t="shared" si="81"/>
        <v>7.501725564715013E-2</v>
      </c>
      <c r="S282" s="10">
        <f t="shared" si="82"/>
        <v>9.2162519222259126E-2</v>
      </c>
    </row>
    <row r="283" spans="1:19" x14ac:dyDescent="0.25">
      <c r="A283" s="5" t="s">
        <v>8</v>
      </c>
      <c r="B283" s="5" t="s">
        <v>339</v>
      </c>
      <c r="C283" s="5" t="s">
        <v>27</v>
      </c>
      <c r="D283" s="5" t="s">
        <v>385</v>
      </c>
      <c r="E283" s="5" t="s">
        <v>384</v>
      </c>
      <c r="F283" s="5" t="s">
        <v>30</v>
      </c>
      <c r="G283" s="5" t="s">
        <v>392</v>
      </c>
      <c r="H283" s="5" t="s">
        <v>40</v>
      </c>
      <c r="I283" s="5" t="s">
        <v>42</v>
      </c>
      <c r="J283" s="15">
        <v>1750</v>
      </c>
      <c r="K283" s="7">
        <v>18.899999999999999</v>
      </c>
      <c r="L283" s="7">
        <f t="shared" si="77"/>
        <v>92.592592592592595</v>
      </c>
      <c r="M283" s="5" t="s">
        <v>10</v>
      </c>
      <c r="N283" s="5">
        <v>4</v>
      </c>
      <c r="O283" s="6">
        <f t="shared" si="78"/>
        <v>9.3771433470507564</v>
      </c>
      <c r="P283" s="6">
        <f t="shared" si="79"/>
        <v>0.9752229080932785</v>
      </c>
      <c r="Q283" s="10">
        <f t="shared" si="80"/>
        <v>2.0317143918609972E-2</v>
      </c>
      <c r="R283" s="10">
        <f t="shared" si="81"/>
        <v>8.5202049293344517E-2</v>
      </c>
      <c r="S283" s="10">
        <f t="shared" si="82"/>
        <v>0.10551919321195449</v>
      </c>
    </row>
    <row r="284" spans="1:19" x14ac:dyDescent="0.25">
      <c r="A284" s="5" t="s">
        <v>8</v>
      </c>
      <c r="B284" s="5" t="s">
        <v>372</v>
      </c>
      <c r="C284" s="5" t="s">
        <v>27</v>
      </c>
      <c r="D284" s="5" t="s">
        <v>385</v>
      </c>
      <c r="E284" s="5" t="s">
        <v>384</v>
      </c>
      <c r="F284" s="5" t="s">
        <v>30</v>
      </c>
      <c r="G284" s="5" t="s">
        <v>392</v>
      </c>
      <c r="H284" s="5" t="s">
        <v>40</v>
      </c>
      <c r="I284" s="5" t="s">
        <v>42</v>
      </c>
      <c r="J284" s="15">
        <v>2260</v>
      </c>
      <c r="K284" s="7">
        <v>32.5</v>
      </c>
      <c r="L284" s="7">
        <f t="shared" si="77"/>
        <v>69.538461538461533</v>
      </c>
      <c r="M284" s="5" t="s">
        <v>10</v>
      </c>
      <c r="N284" s="5">
        <v>4</v>
      </c>
      <c r="O284" s="6">
        <f t="shared" si="78"/>
        <v>6.8302816568047318</v>
      </c>
      <c r="P284" s="6">
        <f t="shared" si="79"/>
        <v>0.71034929230769206</v>
      </c>
      <c r="Q284" s="10">
        <f t="shared" si="80"/>
        <v>1.4798943589743584E-2</v>
      </c>
      <c r="R284" s="10">
        <f t="shared" si="81"/>
        <v>6.7177847468393184E-2</v>
      </c>
      <c r="S284" s="10">
        <f t="shared" si="82"/>
        <v>8.1976791058136766E-2</v>
      </c>
    </row>
    <row r="285" spans="1:19" x14ac:dyDescent="0.25">
      <c r="A285" s="5" t="s">
        <v>8</v>
      </c>
      <c r="B285" s="5" t="s">
        <v>241</v>
      </c>
      <c r="C285" s="5" t="s">
        <v>27</v>
      </c>
      <c r="D285" s="5" t="s">
        <v>385</v>
      </c>
      <c r="E285" s="5" t="s">
        <v>384</v>
      </c>
      <c r="F285" s="5" t="s">
        <v>30</v>
      </c>
      <c r="G285" s="5" t="s">
        <v>392</v>
      </c>
      <c r="H285" s="5" t="s">
        <v>40</v>
      </c>
      <c r="I285" s="5" t="s">
        <v>248</v>
      </c>
      <c r="J285" s="15">
        <v>2250</v>
      </c>
      <c r="K285" s="7">
        <v>26.5</v>
      </c>
      <c r="L285" s="7">
        <f t="shared" si="77"/>
        <v>84.905660377358487</v>
      </c>
      <c r="M285" s="5" t="s">
        <v>10</v>
      </c>
      <c r="N285" s="5">
        <v>4</v>
      </c>
      <c r="O285" s="6">
        <f t="shared" si="78"/>
        <v>10.1376156995372</v>
      </c>
      <c r="P285" s="6">
        <f t="shared" si="79"/>
        <v>1.0543120327518689</v>
      </c>
      <c r="Q285" s="10">
        <f t="shared" si="80"/>
        <v>2.1964834015663931E-2</v>
      </c>
      <c r="R285" s="10">
        <f t="shared" si="81"/>
        <v>9.033353218570736E-2</v>
      </c>
      <c r="S285" s="10">
        <f t="shared" si="82"/>
        <v>0.11229836620137129</v>
      </c>
    </row>
    <row r="286" spans="1:19" x14ac:dyDescent="0.25">
      <c r="A286" s="5" t="s">
        <v>8</v>
      </c>
      <c r="B286" s="5" t="s">
        <v>241</v>
      </c>
      <c r="C286" s="5" t="s">
        <v>27</v>
      </c>
      <c r="D286" s="5" t="s">
        <v>385</v>
      </c>
      <c r="E286" s="5" t="s">
        <v>384</v>
      </c>
      <c r="F286" s="5" t="s">
        <v>30</v>
      </c>
      <c r="G286" s="5" t="s">
        <v>392</v>
      </c>
      <c r="H286" s="5" t="s">
        <v>40</v>
      </c>
      <c r="I286" s="5" t="s">
        <v>256</v>
      </c>
      <c r="J286" s="15">
        <v>2435</v>
      </c>
      <c r="K286" s="7">
        <v>30.5</v>
      </c>
      <c r="L286" s="7">
        <f t="shared" si="77"/>
        <v>79.836065573770497</v>
      </c>
      <c r="M286" s="5" t="s">
        <v>10</v>
      </c>
      <c r="N286" s="5">
        <v>4</v>
      </c>
      <c r="O286" s="6">
        <f t="shared" si="78"/>
        <v>9.7001228668368729</v>
      </c>
      <c r="P286" s="6">
        <f t="shared" si="79"/>
        <v>1.0088127781510348</v>
      </c>
      <c r="Q286" s="10">
        <f t="shared" si="80"/>
        <v>2.1016932878146558E-2</v>
      </c>
      <c r="R286" s="10">
        <f t="shared" si="81"/>
        <v>8.7393684760953466E-2</v>
      </c>
      <c r="S286" s="10">
        <f t="shared" si="82"/>
        <v>0.10841061763910002</v>
      </c>
    </row>
    <row r="287" spans="1:19" x14ac:dyDescent="0.25">
      <c r="A287" s="5" t="s">
        <v>8</v>
      </c>
      <c r="B287" s="5" t="s">
        <v>289</v>
      </c>
      <c r="C287" s="5" t="s">
        <v>27</v>
      </c>
      <c r="D287" s="5" t="s">
        <v>385</v>
      </c>
      <c r="E287" s="5" t="s">
        <v>384</v>
      </c>
      <c r="F287" s="5" t="s">
        <v>30</v>
      </c>
      <c r="G287" s="5" t="s">
        <v>392</v>
      </c>
      <c r="H287" s="5" t="s">
        <v>40</v>
      </c>
      <c r="I287" s="5" t="s">
        <v>256</v>
      </c>
      <c r="J287" s="15">
        <v>2718</v>
      </c>
      <c r="K287" s="7">
        <v>23.1</v>
      </c>
      <c r="L287" s="7">
        <f t="shared" ref="L287:L303" si="83">J287/K287</f>
        <v>117.66233766233765</v>
      </c>
      <c r="M287" s="5" t="s">
        <v>10</v>
      </c>
      <c r="N287" s="5">
        <v>4</v>
      </c>
      <c r="O287" s="6">
        <f t="shared" ref="O287:O303" si="84">(J287*L287^2)/(1.6*10^6)</f>
        <v>23.518218164951929</v>
      </c>
      <c r="P287" s="6">
        <f t="shared" ref="P287:P303" si="85">(0.104*J287*L287^2)/(1.6*10^6)</f>
        <v>2.4458946891549997</v>
      </c>
      <c r="Q287" s="10">
        <f t="shared" ref="Q287:Q303" si="86">(0.104*O287)/(12*N287)</f>
        <v>5.0956139357395847E-2</v>
      </c>
      <c r="R287" s="10">
        <f t="shared" ref="R287:R303" si="87">0.0159*O287^0.75</f>
        <v>0.16980498484927839</v>
      </c>
      <c r="S287" s="10">
        <f t="shared" ref="S287:S303" si="88">Q287+R287</f>
        <v>0.22076112420667424</v>
      </c>
    </row>
    <row r="288" spans="1:19" x14ac:dyDescent="0.25">
      <c r="A288" s="5" t="s">
        <v>8</v>
      </c>
      <c r="B288" s="5" t="s">
        <v>290</v>
      </c>
      <c r="C288" s="5" t="s">
        <v>27</v>
      </c>
      <c r="D288" s="5" t="s">
        <v>385</v>
      </c>
      <c r="E288" s="5" t="s">
        <v>384</v>
      </c>
      <c r="F288" s="5" t="s">
        <v>30</v>
      </c>
      <c r="G288" s="5" t="s">
        <v>392</v>
      </c>
      <c r="H288" s="5" t="s">
        <v>40</v>
      </c>
      <c r="I288" s="5" t="s">
        <v>256</v>
      </c>
      <c r="J288" s="15">
        <v>2452</v>
      </c>
      <c r="K288" s="7">
        <v>30</v>
      </c>
      <c r="L288" s="7">
        <f t="shared" si="83"/>
        <v>81.733333333333334</v>
      </c>
      <c r="M288" s="5" t="s">
        <v>10</v>
      </c>
      <c r="N288" s="5">
        <v>4</v>
      </c>
      <c r="O288" s="6">
        <f t="shared" si="84"/>
        <v>10.237617644444445</v>
      </c>
      <c r="P288" s="6">
        <f t="shared" si="85"/>
        <v>1.0647122350222222</v>
      </c>
      <c r="Q288" s="10">
        <f t="shared" si="86"/>
        <v>2.2181504896296295E-2</v>
      </c>
      <c r="R288" s="10">
        <f t="shared" si="87"/>
        <v>9.1001029050637408E-2</v>
      </c>
      <c r="S288" s="10">
        <f t="shared" si="88"/>
        <v>0.1131825339469337</v>
      </c>
    </row>
    <row r="289" spans="1:19" x14ac:dyDescent="0.25">
      <c r="A289" s="5" t="s">
        <v>8</v>
      </c>
      <c r="B289" s="5" t="s">
        <v>375</v>
      </c>
      <c r="C289" s="5" t="s">
        <v>27</v>
      </c>
      <c r="D289" s="5" t="s">
        <v>385</v>
      </c>
      <c r="E289" s="5" t="s">
        <v>384</v>
      </c>
      <c r="F289" s="5" t="s">
        <v>30</v>
      </c>
      <c r="G289" s="5" t="s">
        <v>392</v>
      </c>
      <c r="H289" s="5" t="s">
        <v>40</v>
      </c>
      <c r="I289" s="5" t="s">
        <v>376</v>
      </c>
      <c r="J289" s="15">
        <v>2200</v>
      </c>
      <c r="K289" s="7">
        <v>31.5</v>
      </c>
      <c r="L289" s="7">
        <f t="shared" si="83"/>
        <v>69.841269841269835</v>
      </c>
      <c r="M289" s="5" t="s">
        <v>10</v>
      </c>
      <c r="N289" s="5">
        <v>4</v>
      </c>
      <c r="O289" s="6">
        <f t="shared" si="84"/>
        <v>6.706979087931467</v>
      </c>
      <c r="P289" s="6">
        <f t="shared" si="85"/>
        <v>0.69752582514487249</v>
      </c>
      <c r="Q289" s="10">
        <f t="shared" si="86"/>
        <v>1.453178802385151E-2</v>
      </c>
      <c r="R289" s="10">
        <f t="shared" si="87"/>
        <v>6.626624143790244E-2</v>
      </c>
      <c r="S289" s="10">
        <f t="shared" si="88"/>
        <v>8.0798029461753948E-2</v>
      </c>
    </row>
    <row r="290" spans="1:19" x14ac:dyDescent="0.25">
      <c r="A290" s="5" t="s">
        <v>8</v>
      </c>
      <c r="B290" s="5" t="s">
        <v>241</v>
      </c>
      <c r="C290" s="5" t="s">
        <v>27</v>
      </c>
      <c r="D290" s="5" t="s">
        <v>385</v>
      </c>
      <c r="E290" s="5" t="s">
        <v>384</v>
      </c>
      <c r="F290" s="5" t="s">
        <v>30</v>
      </c>
      <c r="G290" s="5" t="s">
        <v>392</v>
      </c>
      <c r="H290" s="5" t="s">
        <v>40</v>
      </c>
      <c r="I290" s="5" t="s">
        <v>259</v>
      </c>
      <c r="J290" s="15">
        <v>2120</v>
      </c>
      <c r="K290" s="7">
        <v>28</v>
      </c>
      <c r="L290" s="7">
        <f t="shared" si="83"/>
        <v>75.714285714285708</v>
      </c>
      <c r="M290" s="5" t="s">
        <v>10</v>
      </c>
      <c r="N290" s="5">
        <v>4</v>
      </c>
      <c r="O290" s="6">
        <f t="shared" si="84"/>
        <v>7.5957653061224475</v>
      </c>
      <c r="P290" s="6">
        <f t="shared" si="85"/>
        <v>0.78995959183673448</v>
      </c>
      <c r="Q290" s="10">
        <f t="shared" si="86"/>
        <v>1.6457491496598635E-2</v>
      </c>
      <c r="R290" s="10">
        <f t="shared" si="87"/>
        <v>7.2748790523327542E-2</v>
      </c>
      <c r="S290" s="10">
        <f t="shared" si="88"/>
        <v>8.920628201992617E-2</v>
      </c>
    </row>
    <row r="291" spans="1:19" x14ac:dyDescent="0.25">
      <c r="A291" s="5" t="s">
        <v>8</v>
      </c>
      <c r="B291" s="5" t="s">
        <v>241</v>
      </c>
      <c r="C291" s="5" t="s">
        <v>27</v>
      </c>
      <c r="D291" s="5" t="s">
        <v>385</v>
      </c>
      <c r="E291" s="5" t="s">
        <v>384</v>
      </c>
      <c r="F291" s="5" t="s">
        <v>30</v>
      </c>
      <c r="G291" s="5" t="s">
        <v>392</v>
      </c>
      <c r="H291" s="5" t="s">
        <v>40</v>
      </c>
      <c r="I291" s="5" t="s">
        <v>50</v>
      </c>
      <c r="J291" s="15">
        <v>1960</v>
      </c>
      <c r="K291" s="7">
        <v>26.5</v>
      </c>
      <c r="L291" s="7">
        <f t="shared" si="83"/>
        <v>73.962264150943398</v>
      </c>
      <c r="M291" s="5" t="s">
        <v>10</v>
      </c>
      <c r="N291" s="5">
        <v>4</v>
      </c>
      <c r="O291" s="6">
        <f t="shared" si="84"/>
        <v>6.7012602349590606</v>
      </c>
      <c r="P291" s="6">
        <f t="shared" si="85"/>
        <v>0.69693106443574226</v>
      </c>
      <c r="Q291" s="10">
        <f t="shared" si="86"/>
        <v>1.4519397175744631E-2</v>
      </c>
      <c r="R291" s="10">
        <f t="shared" si="87"/>
        <v>6.62238593952931E-2</v>
      </c>
      <c r="S291" s="10">
        <f t="shared" si="88"/>
        <v>8.074325657103773E-2</v>
      </c>
    </row>
    <row r="292" spans="1:19" x14ac:dyDescent="0.25">
      <c r="A292" s="5" t="s">
        <v>8</v>
      </c>
      <c r="B292" s="5" t="s">
        <v>241</v>
      </c>
      <c r="C292" s="5" t="s">
        <v>27</v>
      </c>
      <c r="D292" s="5" t="s">
        <v>385</v>
      </c>
      <c r="E292" s="5" t="s">
        <v>384</v>
      </c>
      <c r="F292" s="5" t="s">
        <v>30</v>
      </c>
      <c r="G292" s="5" t="s">
        <v>392</v>
      </c>
      <c r="H292" s="5" t="s">
        <v>40</v>
      </c>
      <c r="I292" s="5" t="s">
        <v>246</v>
      </c>
      <c r="J292" s="15">
        <v>1545</v>
      </c>
      <c r="K292" s="7">
        <v>20.5</v>
      </c>
      <c r="L292" s="7">
        <f t="shared" si="83"/>
        <v>75.365853658536579</v>
      </c>
      <c r="M292" s="5" t="s">
        <v>10</v>
      </c>
      <c r="N292" s="5">
        <v>4</v>
      </c>
      <c r="O292" s="6">
        <f t="shared" si="84"/>
        <v>5.4847614886972025</v>
      </c>
      <c r="P292" s="6">
        <f t="shared" si="85"/>
        <v>0.5704151948245092</v>
      </c>
      <c r="Q292" s="10">
        <f t="shared" si="86"/>
        <v>1.1883649892177273E-2</v>
      </c>
      <c r="R292" s="10">
        <f t="shared" si="87"/>
        <v>5.6985640531587591E-2</v>
      </c>
      <c r="S292" s="10">
        <f t="shared" si="88"/>
        <v>6.8869290423764856E-2</v>
      </c>
    </row>
    <row r="293" spans="1:19" x14ac:dyDescent="0.25">
      <c r="A293" s="5" t="s">
        <v>8</v>
      </c>
      <c r="B293" s="5" t="s">
        <v>241</v>
      </c>
      <c r="C293" s="5" t="s">
        <v>27</v>
      </c>
      <c r="D293" s="5" t="s">
        <v>385</v>
      </c>
      <c r="E293" s="5" t="s">
        <v>384</v>
      </c>
      <c r="F293" s="5" t="s">
        <v>30</v>
      </c>
      <c r="G293" s="5" t="s">
        <v>392</v>
      </c>
      <c r="H293" s="5" t="s">
        <v>40</v>
      </c>
      <c r="I293" s="5" t="s">
        <v>262</v>
      </c>
      <c r="J293" s="15">
        <v>2320</v>
      </c>
      <c r="K293" s="7">
        <v>28.5</v>
      </c>
      <c r="L293" s="7">
        <f t="shared" si="83"/>
        <v>81.403508771929822</v>
      </c>
      <c r="M293" s="5" t="s">
        <v>10</v>
      </c>
      <c r="N293" s="5">
        <v>4</v>
      </c>
      <c r="O293" s="6">
        <f t="shared" si="84"/>
        <v>9.6084702985533994</v>
      </c>
      <c r="P293" s="6">
        <f t="shared" si="85"/>
        <v>0.99928091104955352</v>
      </c>
      <c r="Q293" s="10">
        <f t="shared" si="86"/>
        <v>2.0818352313532365E-2</v>
      </c>
      <c r="R293" s="10">
        <f t="shared" si="87"/>
        <v>8.6773639521385768E-2</v>
      </c>
      <c r="S293" s="10">
        <f t="shared" si="88"/>
        <v>0.10759199183491813</v>
      </c>
    </row>
    <row r="294" spans="1:19" x14ac:dyDescent="0.25">
      <c r="A294" s="5" t="s">
        <v>22</v>
      </c>
      <c r="B294" s="5" t="s">
        <v>26</v>
      </c>
      <c r="C294" s="5" t="s">
        <v>27</v>
      </c>
      <c r="D294" s="5" t="s">
        <v>385</v>
      </c>
      <c r="E294" s="5" t="s">
        <v>384</v>
      </c>
      <c r="F294" s="5" t="s">
        <v>30</v>
      </c>
      <c r="G294" s="5" t="s">
        <v>392</v>
      </c>
      <c r="H294" s="5" t="s">
        <v>40</v>
      </c>
      <c r="I294" s="5" t="s">
        <v>43</v>
      </c>
      <c r="J294" s="15">
        <v>2000</v>
      </c>
      <c r="K294" s="7">
        <v>31.5</v>
      </c>
      <c r="L294" s="7">
        <f t="shared" si="83"/>
        <v>63.492063492063494</v>
      </c>
      <c r="M294" s="5" t="s">
        <v>10</v>
      </c>
      <c r="N294" s="5">
        <v>4</v>
      </c>
      <c r="O294" s="6">
        <f t="shared" si="84"/>
        <v>5.0390526581002772</v>
      </c>
      <c r="P294" s="6">
        <f t="shared" si="85"/>
        <v>0.52406147644242884</v>
      </c>
      <c r="Q294" s="10">
        <f t="shared" si="86"/>
        <v>1.0917947425883935E-2</v>
      </c>
      <c r="R294" s="10">
        <f t="shared" si="87"/>
        <v>5.34759855037336E-2</v>
      </c>
      <c r="S294" s="10">
        <f t="shared" si="88"/>
        <v>6.4393932929617537E-2</v>
      </c>
    </row>
    <row r="295" spans="1:19" x14ac:dyDescent="0.25">
      <c r="A295" s="5" t="s">
        <v>8</v>
      </c>
      <c r="B295" s="5" t="s">
        <v>241</v>
      </c>
      <c r="C295" s="5" t="s">
        <v>27</v>
      </c>
      <c r="D295" s="5" t="s">
        <v>385</v>
      </c>
      <c r="E295" s="5" t="s">
        <v>384</v>
      </c>
      <c r="F295" s="5" t="s">
        <v>30</v>
      </c>
      <c r="G295" s="5" t="s">
        <v>392</v>
      </c>
      <c r="H295" s="5" t="s">
        <v>40</v>
      </c>
      <c r="I295" s="5" t="s">
        <v>43</v>
      </c>
      <c r="J295" s="15">
        <v>1850</v>
      </c>
      <c r="K295" s="7">
        <v>32</v>
      </c>
      <c r="L295" s="7">
        <f t="shared" si="83"/>
        <v>57.8125</v>
      </c>
      <c r="M295" s="5" t="s">
        <v>10</v>
      </c>
      <c r="N295" s="5">
        <v>4</v>
      </c>
      <c r="O295" s="6">
        <f t="shared" si="84"/>
        <v>3.8645172119140625</v>
      </c>
      <c r="P295" s="6">
        <f t="shared" si="85"/>
        <v>0.40190979003906241</v>
      </c>
      <c r="Q295" s="10">
        <f t="shared" si="86"/>
        <v>8.3731206258138013E-3</v>
      </c>
      <c r="R295" s="10">
        <f t="shared" si="87"/>
        <v>4.3824660334541701E-2</v>
      </c>
      <c r="S295" s="10">
        <f t="shared" si="88"/>
        <v>5.2197780960355503E-2</v>
      </c>
    </row>
    <row r="296" spans="1:19" x14ac:dyDescent="0.25">
      <c r="A296" s="5" t="s">
        <v>8</v>
      </c>
      <c r="B296" s="5" t="s">
        <v>241</v>
      </c>
      <c r="C296" s="5" t="s">
        <v>27</v>
      </c>
      <c r="D296" s="5" t="s">
        <v>385</v>
      </c>
      <c r="E296" s="5" t="s">
        <v>384</v>
      </c>
      <c r="F296" s="5" t="s">
        <v>30</v>
      </c>
      <c r="G296" s="5" t="s">
        <v>392</v>
      </c>
      <c r="H296" s="5" t="s">
        <v>40</v>
      </c>
      <c r="I296" s="5" t="s">
        <v>263</v>
      </c>
      <c r="J296" s="15">
        <v>2260</v>
      </c>
      <c r="K296" s="7">
        <v>33.200000000000003</v>
      </c>
      <c r="L296" s="7">
        <f t="shared" si="83"/>
        <v>68.072289156626496</v>
      </c>
      <c r="M296" s="5" t="s">
        <v>10</v>
      </c>
      <c r="N296" s="5">
        <v>4</v>
      </c>
      <c r="O296" s="6">
        <f t="shared" si="84"/>
        <v>6.5452941283205082</v>
      </c>
      <c r="P296" s="6">
        <f t="shared" si="85"/>
        <v>0.68071058934533279</v>
      </c>
      <c r="Q296" s="10">
        <f t="shared" si="86"/>
        <v>1.41814706113611E-2</v>
      </c>
      <c r="R296" s="10">
        <f t="shared" si="87"/>
        <v>6.506448548789423E-2</v>
      </c>
      <c r="S296" s="10">
        <f t="shared" si="88"/>
        <v>7.9245956099255332E-2</v>
      </c>
    </row>
    <row r="297" spans="1:19" x14ac:dyDescent="0.25">
      <c r="A297" s="5" t="s">
        <v>22</v>
      </c>
      <c r="B297" s="5" t="s">
        <v>26</v>
      </c>
      <c r="C297" s="5" t="s">
        <v>27</v>
      </c>
      <c r="D297" s="5" t="s">
        <v>385</v>
      </c>
      <c r="E297" s="5" t="s">
        <v>384</v>
      </c>
      <c r="F297" s="5" t="s">
        <v>30</v>
      </c>
      <c r="G297" s="5" t="s">
        <v>392</v>
      </c>
      <c r="H297" s="5" t="s">
        <v>40</v>
      </c>
      <c r="I297" s="5" t="s">
        <v>44</v>
      </c>
      <c r="J297" s="15">
        <v>3400</v>
      </c>
      <c r="K297" s="7">
        <v>35</v>
      </c>
      <c r="L297" s="7">
        <f t="shared" si="83"/>
        <v>97.142857142857139</v>
      </c>
      <c r="M297" s="5" t="s">
        <v>10</v>
      </c>
      <c r="N297" s="5">
        <v>4</v>
      </c>
      <c r="O297" s="6">
        <f t="shared" si="84"/>
        <v>20.053061224489795</v>
      </c>
      <c r="P297" s="6">
        <f t="shared" si="85"/>
        <v>2.0855183673469386</v>
      </c>
      <c r="Q297" s="10">
        <f t="shared" si="86"/>
        <v>4.3448299319727886E-2</v>
      </c>
      <c r="R297" s="10">
        <f t="shared" si="87"/>
        <v>0.15067202812691205</v>
      </c>
      <c r="S297" s="10">
        <f t="shared" si="88"/>
        <v>0.19412032744663993</v>
      </c>
    </row>
    <row r="298" spans="1:19" x14ac:dyDescent="0.25">
      <c r="A298" s="5" t="s">
        <v>8</v>
      </c>
      <c r="B298" s="5" t="s">
        <v>241</v>
      </c>
      <c r="C298" s="5" t="s">
        <v>27</v>
      </c>
      <c r="D298" s="5" t="s">
        <v>385</v>
      </c>
      <c r="E298" s="5" t="s">
        <v>384</v>
      </c>
      <c r="F298" s="5" t="s">
        <v>30</v>
      </c>
      <c r="G298" s="5" t="s">
        <v>392</v>
      </c>
      <c r="H298" s="5" t="s">
        <v>40</v>
      </c>
      <c r="I298" s="5" t="s">
        <v>44</v>
      </c>
      <c r="J298" s="15">
        <v>3250</v>
      </c>
      <c r="K298" s="7">
        <v>36.5</v>
      </c>
      <c r="L298" s="7">
        <f t="shared" si="83"/>
        <v>89.041095890410958</v>
      </c>
      <c r="M298" s="5" t="s">
        <v>10</v>
      </c>
      <c r="N298" s="5">
        <v>4</v>
      </c>
      <c r="O298" s="6">
        <f t="shared" si="84"/>
        <v>16.104393413398384</v>
      </c>
      <c r="P298" s="6">
        <f t="shared" si="85"/>
        <v>1.674856914993432</v>
      </c>
      <c r="Q298" s="10">
        <f t="shared" si="86"/>
        <v>3.4892852395696498E-2</v>
      </c>
      <c r="R298" s="10">
        <f t="shared" si="87"/>
        <v>0.12782193945216461</v>
      </c>
      <c r="S298" s="10">
        <f t="shared" si="88"/>
        <v>0.16271479184786111</v>
      </c>
    </row>
    <row r="299" spans="1:19" x14ac:dyDescent="0.25">
      <c r="A299" s="5" t="s">
        <v>8</v>
      </c>
      <c r="B299" s="5" t="s">
        <v>364</v>
      </c>
      <c r="C299" s="5" t="s">
        <v>27</v>
      </c>
      <c r="D299" s="5" t="s">
        <v>385</v>
      </c>
      <c r="E299" s="5" t="s">
        <v>384</v>
      </c>
      <c r="F299" s="5" t="s">
        <v>30</v>
      </c>
      <c r="G299" s="5" t="s">
        <v>392</v>
      </c>
      <c r="H299" s="5" t="s">
        <v>40</v>
      </c>
      <c r="I299" s="5" t="s">
        <v>365</v>
      </c>
      <c r="J299" s="15">
        <v>1764</v>
      </c>
      <c r="K299" s="7">
        <v>23.3</v>
      </c>
      <c r="L299" s="7">
        <f t="shared" si="83"/>
        <v>75.708154506437765</v>
      </c>
      <c r="M299" s="5" t="s">
        <v>10</v>
      </c>
      <c r="N299" s="5">
        <v>4</v>
      </c>
      <c r="O299" s="6">
        <f t="shared" si="84"/>
        <v>6.3192264362946453</v>
      </c>
      <c r="P299" s="6">
        <f t="shared" si="85"/>
        <v>0.65719954937464309</v>
      </c>
      <c r="Q299" s="10">
        <f t="shared" si="86"/>
        <v>1.3691657278638398E-2</v>
      </c>
      <c r="R299" s="10">
        <f t="shared" si="87"/>
        <v>6.3371656950773778E-2</v>
      </c>
      <c r="S299" s="10">
        <f t="shared" si="88"/>
        <v>7.7063314229412178E-2</v>
      </c>
    </row>
    <row r="300" spans="1:19" x14ac:dyDescent="0.25">
      <c r="A300" s="5" t="s">
        <v>8</v>
      </c>
      <c r="B300" s="5" t="s">
        <v>241</v>
      </c>
      <c r="C300" s="5" t="s">
        <v>27</v>
      </c>
      <c r="D300" s="5" t="s">
        <v>385</v>
      </c>
      <c r="E300" s="5" t="s">
        <v>384</v>
      </c>
      <c r="F300" s="5" t="s">
        <v>30</v>
      </c>
      <c r="G300" s="5" t="s">
        <v>392</v>
      </c>
      <c r="H300" s="5" t="s">
        <v>40</v>
      </c>
      <c r="I300" s="5" t="s">
        <v>247</v>
      </c>
      <c r="J300" s="15">
        <v>2450</v>
      </c>
      <c r="K300" s="7">
        <v>30</v>
      </c>
      <c r="L300" s="7">
        <f t="shared" si="83"/>
        <v>81.666666666666671</v>
      </c>
      <c r="M300" s="5" t="s">
        <v>10</v>
      </c>
      <c r="N300" s="5">
        <v>4</v>
      </c>
      <c r="O300" s="6">
        <f t="shared" si="84"/>
        <v>10.212586805555558</v>
      </c>
      <c r="P300" s="6">
        <f t="shared" si="85"/>
        <v>1.0621090277777778</v>
      </c>
      <c r="Q300" s="10">
        <f t="shared" si="86"/>
        <v>2.2127271412037044E-2</v>
      </c>
      <c r="R300" s="10">
        <f t="shared" si="87"/>
        <v>9.0834105769885987E-2</v>
      </c>
      <c r="S300" s="10">
        <f t="shared" si="88"/>
        <v>0.11296137718192303</v>
      </c>
    </row>
    <row r="301" spans="1:19" x14ac:dyDescent="0.25">
      <c r="A301" s="5" t="s">
        <v>8</v>
      </c>
      <c r="B301" s="5" t="s">
        <v>241</v>
      </c>
      <c r="C301" s="5" t="s">
        <v>27</v>
      </c>
      <c r="D301" s="5" t="s">
        <v>385</v>
      </c>
      <c r="E301" s="5" t="s">
        <v>384</v>
      </c>
      <c r="F301" s="5" t="s">
        <v>30</v>
      </c>
      <c r="G301" s="5" t="s">
        <v>392</v>
      </c>
      <c r="H301" s="5" t="s">
        <v>40</v>
      </c>
      <c r="I301" s="5" t="s">
        <v>253</v>
      </c>
      <c r="J301" s="15">
        <v>1750</v>
      </c>
      <c r="K301" s="7">
        <v>28.5</v>
      </c>
      <c r="L301" s="7">
        <f t="shared" si="83"/>
        <v>61.403508771929822</v>
      </c>
      <c r="M301" s="5" t="s">
        <v>10</v>
      </c>
      <c r="N301" s="5">
        <v>4</v>
      </c>
      <c r="O301" s="6">
        <f t="shared" si="84"/>
        <v>4.1238650353955055</v>
      </c>
      <c r="P301" s="6">
        <f t="shared" si="85"/>
        <v>0.42888196368113263</v>
      </c>
      <c r="Q301" s="10">
        <f t="shared" si="86"/>
        <v>8.9350409100235947E-3</v>
      </c>
      <c r="R301" s="10">
        <f t="shared" si="87"/>
        <v>4.6012460418506596E-2</v>
      </c>
      <c r="S301" s="10">
        <f t="shared" si="88"/>
        <v>5.4947501328530192E-2</v>
      </c>
    </row>
    <row r="302" spans="1:19" x14ac:dyDescent="0.25">
      <c r="A302" s="5" t="s">
        <v>8</v>
      </c>
      <c r="B302" s="5" t="s">
        <v>241</v>
      </c>
      <c r="C302" s="5" t="s">
        <v>27</v>
      </c>
      <c r="D302" s="5" t="s">
        <v>385</v>
      </c>
      <c r="E302" s="5" t="s">
        <v>384</v>
      </c>
      <c r="F302" s="5" t="s">
        <v>30</v>
      </c>
      <c r="G302" s="5" t="s">
        <v>392</v>
      </c>
      <c r="H302" s="5" t="s">
        <v>40</v>
      </c>
      <c r="I302" s="5" t="s">
        <v>245</v>
      </c>
      <c r="J302" s="15">
        <v>1340</v>
      </c>
      <c r="K302" s="7">
        <v>23</v>
      </c>
      <c r="L302" s="7">
        <f t="shared" si="83"/>
        <v>58.260869565217391</v>
      </c>
      <c r="M302" s="5" t="s">
        <v>10</v>
      </c>
      <c r="N302" s="5">
        <v>4</v>
      </c>
      <c r="O302" s="6">
        <f t="shared" si="84"/>
        <v>2.8427504725897923</v>
      </c>
      <c r="P302" s="6">
        <f t="shared" si="85"/>
        <v>0.29564604914933834</v>
      </c>
      <c r="Q302" s="10">
        <f t="shared" si="86"/>
        <v>6.1592926906112169E-3</v>
      </c>
      <c r="R302" s="10">
        <f t="shared" si="87"/>
        <v>3.4809772072794537E-2</v>
      </c>
      <c r="S302" s="10">
        <f t="shared" si="88"/>
        <v>4.0969064763405755E-2</v>
      </c>
    </row>
    <row r="303" spans="1:19" x14ac:dyDescent="0.25">
      <c r="A303" s="5" t="s">
        <v>8</v>
      </c>
      <c r="B303" s="5" t="s">
        <v>241</v>
      </c>
      <c r="C303" s="5" t="s">
        <v>27</v>
      </c>
      <c r="D303" s="5" t="s">
        <v>385</v>
      </c>
      <c r="E303" s="5" t="s">
        <v>384</v>
      </c>
      <c r="F303" s="5" t="s">
        <v>30</v>
      </c>
      <c r="G303" s="5" t="s">
        <v>392</v>
      </c>
      <c r="H303" s="5" t="s">
        <v>40</v>
      </c>
      <c r="I303" s="5" t="s">
        <v>254</v>
      </c>
      <c r="J303" s="15">
        <v>2500</v>
      </c>
      <c r="K303" s="7">
        <v>26.5</v>
      </c>
      <c r="L303" s="7">
        <f t="shared" si="83"/>
        <v>94.339622641509436</v>
      </c>
      <c r="M303" s="5" t="s">
        <v>10</v>
      </c>
      <c r="N303" s="5">
        <v>4</v>
      </c>
      <c r="O303" s="6">
        <f t="shared" si="84"/>
        <v>13.906194375222499</v>
      </c>
      <c r="P303" s="6">
        <f t="shared" si="85"/>
        <v>1.44624421502314</v>
      </c>
      <c r="Q303" s="10">
        <f t="shared" si="86"/>
        <v>3.0130087812982081E-2</v>
      </c>
      <c r="R303" s="10">
        <f t="shared" si="87"/>
        <v>0.11449943560372897</v>
      </c>
      <c r="S303" s="10">
        <f t="shared" si="88"/>
        <v>0.14462952341671104</v>
      </c>
    </row>
    <row r="304" spans="1:19" x14ac:dyDescent="0.25">
      <c r="J304" s="16">
        <f>AVERAGE(J255:J303)</f>
        <v>2250.387755102041</v>
      </c>
      <c r="K304" s="12">
        <f t="shared" ref="K304:S304" si="89">AVERAGE(K255:K303)</f>
        <v>27.379591836734694</v>
      </c>
      <c r="L304" s="12">
        <f t="shared" si="89"/>
        <v>82.417227117581859</v>
      </c>
      <c r="M304" s="11" t="e">
        <f t="shared" si="89"/>
        <v>#DIV/0!</v>
      </c>
      <c r="N304" s="11">
        <f t="shared" si="89"/>
        <v>4</v>
      </c>
      <c r="O304" s="13">
        <f t="shared" si="89"/>
        <v>10.62672234513516</v>
      </c>
      <c r="P304" s="13">
        <f t="shared" si="89"/>
        <v>1.1051791238940567</v>
      </c>
      <c r="Q304" s="14">
        <f t="shared" si="89"/>
        <v>2.3024565081126176E-2</v>
      </c>
      <c r="R304" s="14">
        <f t="shared" si="89"/>
        <v>9.052207638130659E-2</v>
      </c>
      <c r="S304" s="14">
        <f t="shared" si="89"/>
        <v>0.11354664146243282</v>
      </c>
    </row>
    <row r="305" spans="1:19" x14ac:dyDescent="0.25">
      <c r="A305" s="5" t="s">
        <v>22</v>
      </c>
      <c r="B305" s="5" t="s">
        <v>63</v>
      </c>
      <c r="C305" s="5" t="s">
        <v>27</v>
      </c>
      <c r="D305" s="5" t="s">
        <v>385</v>
      </c>
      <c r="E305" s="5" t="s">
        <v>384</v>
      </c>
      <c r="F305" s="5" t="s">
        <v>45</v>
      </c>
      <c r="G305" s="5" t="s">
        <v>390</v>
      </c>
      <c r="H305" s="5" t="s">
        <v>68</v>
      </c>
      <c r="I305" s="5" t="s">
        <v>69</v>
      </c>
      <c r="J305" s="15">
        <v>945</v>
      </c>
      <c r="K305" s="7">
        <v>21.5</v>
      </c>
      <c r="L305" s="7">
        <f>J305/K305</f>
        <v>43.953488372093027</v>
      </c>
      <c r="M305" s="5" t="s">
        <v>10</v>
      </c>
      <c r="N305" s="5">
        <v>4</v>
      </c>
      <c r="O305" s="6">
        <f>(J305*L305^2)/(1.6*10^6)</f>
        <v>1.1410338358572203</v>
      </c>
      <c r="P305" s="6">
        <f>(0.104*J305*L305^2)/(1.6*10^6)</f>
        <v>0.11866751892915092</v>
      </c>
      <c r="Q305" s="10">
        <f>(0.104*O305)/(12*N305)</f>
        <v>2.4722399776906439E-3</v>
      </c>
      <c r="R305" s="10">
        <f>0.0159*O305^0.75</f>
        <v>1.7553794774037217E-2</v>
      </c>
      <c r="S305" s="10">
        <f>Q305+R305</f>
        <v>2.0026034751727862E-2</v>
      </c>
    </row>
    <row r="307" spans="1:19" x14ac:dyDescent="0.25">
      <c r="A307" s="5" t="s">
        <v>22</v>
      </c>
      <c r="B307" s="5" t="s">
        <v>63</v>
      </c>
      <c r="C307" s="5" t="s">
        <v>27</v>
      </c>
      <c r="D307" s="5" t="s">
        <v>385</v>
      </c>
      <c r="E307" s="5" t="s">
        <v>384</v>
      </c>
      <c r="F307" s="5" t="s">
        <v>45</v>
      </c>
      <c r="G307" s="5" t="s">
        <v>390</v>
      </c>
      <c r="H307" s="5" t="s">
        <v>79</v>
      </c>
      <c r="I307" s="5" t="s">
        <v>80</v>
      </c>
      <c r="J307" s="15">
        <v>1270</v>
      </c>
      <c r="K307" s="7">
        <v>44</v>
      </c>
      <c r="L307" s="7">
        <f>J307/K307</f>
        <v>28.863636363636363</v>
      </c>
      <c r="M307" s="5" t="s">
        <v>10</v>
      </c>
      <c r="N307" s="5">
        <v>4</v>
      </c>
      <c r="O307" s="6">
        <f>(J307*L307^2)/(1.6*10^6)</f>
        <v>0.66128066890495862</v>
      </c>
      <c r="P307" s="6">
        <f>(0.104*J307*L307^2)/(1.6*10^6)</f>
        <v>6.8773189566115694E-2</v>
      </c>
      <c r="Q307" s="10">
        <f>(0.104*O307)/(12*N307)</f>
        <v>1.4327747826274103E-3</v>
      </c>
      <c r="R307" s="10">
        <f>0.0159*O307^0.75</f>
        <v>1.165967633207318E-2</v>
      </c>
      <c r="S307" s="10">
        <f>Q307+R307</f>
        <v>1.3092451114700591E-2</v>
      </c>
    </row>
    <row r="309" spans="1:19" x14ac:dyDescent="0.25">
      <c r="A309" s="5" t="s">
        <v>22</v>
      </c>
      <c r="B309" s="5" t="s">
        <v>63</v>
      </c>
      <c r="C309" s="5" t="s">
        <v>27</v>
      </c>
      <c r="D309" s="5" t="s">
        <v>385</v>
      </c>
      <c r="E309" s="5" t="s">
        <v>384</v>
      </c>
      <c r="F309" s="5" t="s">
        <v>45</v>
      </c>
      <c r="G309" s="5" t="s">
        <v>390</v>
      </c>
      <c r="H309" s="5" t="s">
        <v>81</v>
      </c>
      <c r="I309" s="5" t="s">
        <v>82</v>
      </c>
      <c r="J309" s="15">
        <v>740</v>
      </c>
      <c r="K309" s="7">
        <v>27</v>
      </c>
      <c r="L309" s="7">
        <f>J309/K309</f>
        <v>27.407407407407408</v>
      </c>
      <c r="M309" s="5" t="s">
        <v>10</v>
      </c>
      <c r="N309" s="5">
        <v>4</v>
      </c>
      <c r="O309" s="6">
        <f>(J309*L309^2)/(1.6*10^6)</f>
        <v>0.34741426611796983</v>
      </c>
      <c r="P309" s="6">
        <f>(0.104*J309*L309^2)/(1.6*10^6)</f>
        <v>3.6131083676268862E-2</v>
      </c>
      <c r="Q309" s="10">
        <f>(0.104*O309)/(12*N309)</f>
        <v>7.5273090992226792E-4</v>
      </c>
      <c r="R309" s="10">
        <f>0.0159*O309^0.75</f>
        <v>7.1950341649546588E-3</v>
      </c>
      <c r="S309" s="10">
        <f>Q309+R309</f>
        <v>7.9477650748769266E-3</v>
      </c>
    </row>
    <row r="311" spans="1:19" x14ac:dyDescent="0.25">
      <c r="A311" s="5" t="s">
        <v>22</v>
      </c>
      <c r="B311" s="5" t="s">
        <v>63</v>
      </c>
      <c r="C311" s="5" t="s">
        <v>27</v>
      </c>
      <c r="D311" s="5" t="s">
        <v>385</v>
      </c>
      <c r="E311" s="5" t="s">
        <v>384</v>
      </c>
      <c r="F311" s="5" t="s">
        <v>45</v>
      </c>
      <c r="G311" s="5" t="s">
        <v>390</v>
      </c>
      <c r="H311" s="5" t="s">
        <v>70</v>
      </c>
      <c r="I311" s="5" t="s">
        <v>71</v>
      </c>
      <c r="J311" s="15">
        <v>950</v>
      </c>
      <c r="K311" s="7">
        <v>37</v>
      </c>
      <c r="L311" s="7">
        <f>J311/K311</f>
        <v>25.675675675675677</v>
      </c>
      <c r="M311" s="5" t="s">
        <v>10</v>
      </c>
      <c r="N311" s="5">
        <v>4</v>
      </c>
      <c r="O311" s="6">
        <f>(J311*L311^2)/(1.6*10^6)</f>
        <v>0.39142394083272469</v>
      </c>
      <c r="P311" s="6">
        <f>(0.104*J311*L311^2)/(1.6*10^6)</f>
        <v>4.0708089846603367E-2</v>
      </c>
      <c r="Q311" s="10">
        <f>(0.104*O311)/(12*N311)</f>
        <v>8.4808520513757017E-4</v>
      </c>
      <c r="R311" s="10">
        <f>0.0159*O311^0.75</f>
        <v>7.8683317585654267E-3</v>
      </c>
      <c r="S311" s="10">
        <f>Q311+R311</f>
        <v>8.716416963702997E-3</v>
      </c>
    </row>
    <row r="312" spans="1:19" x14ac:dyDescent="0.25">
      <c r="A312" s="5" t="s">
        <v>8</v>
      </c>
      <c r="B312" s="5" t="s">
        <v>161</v>
      </c>
      <c r="C312" s="5" t="s">
        <v>27</v>
      </c>
      <c r="D312" s="5" t="s">
        <v>385</v>
      </c>
      <c r="E312" s="5" t="s">
        <v>384</v>
      </c>
      <c r="F312" s="5" t="s">
        <v>45</v>
      </c>
      <c r="G312" s="5" t="s">
        <v>390</v>
      </c>
      <c r="H312" s="5" t="s">
        <v>70</v>
      </c>
      <c r="I312" s="5" t="s">
        <v>71</v>
      </c>
      <c r="J312" s="15">
        <v>940</v>
      </c>
      <c r="K312" s="7">
        <v>36</v>
      </c>
      <c r="L312" s="7">
        <f>J312/K312</f>
        <v>26.111111111111111</v>
      </c>
      <c r="M312" s="5" t="s">
        <v>10</v>
      </c>
      <c r="N312" s="5">
        <v>4</v>
      </c>
      <c r="O312" s="6">
        <f>(J312*L312^2)/(1.6*10^6)</f>
        <v>0.40055169753086417</v>
      </c>
      <c r="P312" s="6">
        <f>(0.104*J312*L312^2)/(1.6*10^6)</f>
        <v>4.1657376543209869E-2</v>
      </c>
      <c r="Q312" s="10">
        <f>(0.104*O312)/(12*N312)</f>
        <v>8.678620113168723E-4</v>
      </c>
      <c r="R312" s="10">
        <f>0.0159*O312^0.75</f>
        <v>8.0055478331547292E-3</v>
      </c>
      <c r="S312" s="10">
        <f>Q312+R312</f>
        <v>8.8734098444716008E-3</v>
      </c>
    </row>
    <row r="313" spans="1:19" x14ac:dyDescent="0.25">
      <c r="J313" s="16">
        <f>AVERAGE(J311:J312)</f>
        <v>945</v>
      </c>
      <c r="K313" s="12">
        <f t="shared" ref="K313:S313" si="90">AVERAGE(K311:K312)</f>
        <v>36.5</v>
      </c>
      <c r="L313" s="12">
        <f t="shared" si="90"/>
        <v>25.893393393393396</v>
      </c>
      <c r="M313" s="11" t="e">
        <f t="shared" si="90"/>
        <v>#DIV/0!</v>
      </c>
      <c r="N313" s="11">
        <f t="shared" si="90"/>
        <v>4</v>
      </c>
      <c r="O313" s="13">
        <f t="shared" si="90"/>
        <v>0.39598781918179443</v>
      </c>
      <c r="P313" s="13">
        <f t="shared" si="90"/>
        <v>4.1182733194906618E-2</v>
      </c>
      <c r="Q313" s="14">
        <f t="shared" si="90"/>
        <v>8.5797360822722124E-4</v>
      </c>
      <c r="R313" s="14">
        <f t="shared" si="90"/>
        <v>7.936939795860078E-3</v>
      </c>
      <c r="S313" s="14">
        <f t="shared" si="90"/>
        <v>8.7949134040872998E-3</v>
      </c>
    </row>
    <row r="314" spans="1:19" x14ac:dyDescent="0.25">
      <c r="A314" s="5" t="s">
        <v>22</v>
      </c>
      <c r="B314" s="5" t="s">
        <v>63</v>
      </c>
      <c r="C314" s="5" t="s">
        <v>27</v>
      </c>
      <c r="D314" s="5" t="s">
        <v>385</v>
      </c>
      <c r="E314" s="5" t="s">
        <v>384</v>
      </c>
      <c r="F314" s="5" t="s">
        <v>45</v>
      </c>
      <c r="G314" s="5" t="s">
        <v>390</v>
      </c>
      <c r="H314" s="5" t="s">
        <v>75</v>
      </c>
      <c r="I314" s="5" t="s">
        <v>76</v>
      </c>
      <c r="J314" s="15">
        <v>1700</v>
      </c>
      <c r="K314" s="7">
        <v>55</v>
      </c>
      <c r="L314" s="7">
        <f>J314/K314</f>
        <v>30.90909090909091</v>
      </c>
      <c r="M314" s="5" t="s">
        <v>10</v>
      </c>
      <c r="N314" s="5">
        <v>4</v>
      </c>
      <c r="O314" s="6">
        <f>(J314*L314^2)/(1.6*10^6)</f>
        <v>1.0150826446280992</v>
      </c>
      <c r="P314" s="6">
        <f>(0.104*J314*L314^2)/(1.6*10^6)</f>
        <v>0.10556859504132231</v>
      </c>
      <c r="Q314" s="10">
        <f>(0.104*O314)/(12*N314)</f>
        <v>2.1993457300275481E-3</v>
      </c>
      <c r="R314" s="10">
        <f>0.0159*O314^0.75</f>
        <v>1.6079523553745634E-2</v>
      </c>
      <c r="S314" s="10">
        <f>Q314+R314</f>
        <v>1.8278869283773182E-2</v>
      </c>
    </row>
    <row r="316" spans="1:19" x14ac:dyDescent="0.25">
      <c r="A316" s="5" t="s">
        <v>8</v>
      </c>
      <c r="B316" s="5" t="s">
        <v>313</v>
      </c>
      <c r="C316" s="5" t="s">
        <v>27</v>
      </c>
      <c r="D316" s="5" t="s">
        <v>385</v>
      </c>
      <c r="E316" s="5" t="s">
        <v>384</v>
      </c>
      <c r="F316" s="5" t="s">
        <v>45</v>
      </c>
      <c r="G316" s="5" t="s">
        <v>390</v>
      </c>
      <c r="H316" s="5" t="s">
        <v>46</v>
      </c>
      <c r="I316" s="5" t="s">
        <v>167</v>
      </c>
      <c r="J316" s="15">
        <v>980</v>
      </c>
      <c r="K316" s="7">
        <v>26</v>
      </c>
      <c r="L316" s="7">
        <f t="shared" ref="L316:L347" si="91">J316/K316</f>
        <v>37.692307692307693</v>
      </c>
      <c r="M316" s="5" t="s">
        <v>10</v>
      </c>
      <c r="N316" s="5">
        <v>4</v>
      </c>
      <c r="O316" s="6">
        <f t="shared" ref="O316:O347" si="92">(J316*L316^2)/(1.6*10^6)</f>
        <v>0.87018491124260366</v>
      </c>
      <c r="P316" s="6">
        <f t="shared" ref="P316:P347" si="93">(0.104*J316*L316^2)/(1.6*10^6)</f>
        <v>9.0499230769230776E-2</v>
      </c>
      <c r="Q316" s="10">
        <f t="shared" ref="Q316:Q347" si="94">(0.104*O316)/(12*N316)</f>
        <v>1.8854006410256412E-3</v>
      </c>
      <c r="R316" s="10">
        <f t="shared" ref="R316:R347" si="95">0.0159*O316^0.75</f>
        <v>1.4325367948525116E-2</v>
      </c>
      <c r="S316" s="10">
        <f t="shared" ref="S316:S347" si="96">Q316+R316</f>
        <v>1.6210768589550756E-2</v>
      </c>
    </row>
    <row r="317" spans="1:19" x14ac:dyDescent="0.25">
      <c r="A317" s="5" t="s">
        <v>8</v>
      </c>
      <c r="B317" s="5" t="s">
        <v>206</v>
      </c>
      <c r="C317" s="5" t="s">
        <v>27</v>
      </c>
      <c r="D317" s="5" t="s">
        <v>385</v>
      </c>
      <c r="E317" s="5" t="s">
        <v>384</v>
      </c>
      <c r="F317" s="5" t="s">
        <v>45</v>
      </c>
      <c r="G317" s="5" t="s">
        <v>390</v>
      </c>
      <c r="H317" s="5" t="s">
        <v>46</v>
      </c>
      <c r="I317" s="5" t="s">
        <v>207</v>
      </c>
      <c r="J317" s="15">
        <v>1000</v>
      </c>
      <c r="K317" s="7">
        <v>28.3</v>
      </c>
      <c r="L317" s="7">
        <f t="shared" si="91"/>
        <v>35.335689045936398</v>
      </c>
      <c r="M317" s="5" t="s">
        <v>10</v>
      </c>
      <c r="N317" s="5">
        <v>4</v>
      </c>
      <c r="O317" s="6">
        <f t="shared" si="92"/>
        <v>0.78038182521944355</v>
      </c>
      <c r="P317" s="6">
        <f t="shared" si="93"/>
        <v>8.1159709822822126E-2</v>
      </c>
      <c r="Q317" s="10">
        <f t="shared" si="94"/>
        <v>1.690827287975461E-3</v>
      </c>
      <c r="R317" s="10">
        <f t="shared" si="95"/>
        <v>1.3201627791862751E-2</v>
      </c>
      <c r="S317" s="10">
        <f t="shared" si="96"/>
        <v>1.4892455079838211E-2</v>
      </c>
    </row>
    <row r="318" spans="1:19" x14ac:dyDescent="0.25">
      <c r="A318" s="5" t="s">
        <v>8</v>
      </c>
      <c r="B318" s="5" t="s">
        <v>208</v>
      </c>
      <c r="C318" s="5" t="s">
        <v>27</v>
      </c>
      <c r="D318" s="5" t="s">
        <v>385</v>
      </c>
      <c r="E318" s="5" t="s">
        <v>384</v>
      </c>
      <c r="F318" s="5" t="s">
        <v>45</v>
      </c>
      <c r="G318" s="5" t="s">
        <v>390</v>
      </c>
      <c r="H318" s="5" t="s">
        <v>46</v>
      </c>
      <c r="I318" s="5" t="s">
        <v>207</v>
      </c>
      <c r="J318" s="15">
        <v>1070</v>
      </c>
      <c r="K318" s="7">
        <v>28.1</v>
      </c>
      <c r="L318" s="7">
        <f t="shared" si="91"/>
        <v>38.078291814946617</v>
      </c>
      <c r="M318" s="5" t="s">
        <v>10</v>
      </c>
      <c r="N318" s="5">
        <v>4</v>
      </c>
      <c r="O318" s="6">
        <f t="shared" si="92"/>
        <v>0.9696582806702041</v>
      </c>
      <c r="P318" s="6">
        <f t="shared" si="93"/>
        <v>0.10084446118970124</v>
      </c>
      <c r="Q318" s="10">
        <f t="shared" si="94"/>
        <v>2.1009262747854422E-3</v>
      </c>
      <c r="R318" s="10">
        <f t="shared" si="95"/>
        <v>1.5536785046705944E-2</v>
      </c>
      <c r="S318" s="10">
        <f t="shared" si="96"/>
        <v>1.7637711321491386E-2</v>
      </c>
    </row>
    <row r="319" spans="1:19" x14ac:dyDescent="0.25">
      <c r="A319" s="5" t="s">
        <v>8</v>
      </c>
      <c r="B319" s="5" t="s">
        <v>209</v>
      </c>
      <c r="C319" s="5" t="s">
        <v>27</v>
      </c>
      <c r="D319" s="5" t="s">
        <v>385</v>
      </c>
      <c r="E319" s="5" t="s">
        <v>384</v>
      </c>
      <c r="F319" s="5" t="s">
        <v>45</v>
      </c>
      <c r="G319" s="5" t="s">
        <v>390</v>
      </c>
      <c r="H319" s="5" t="s">
        <v>46</v>
      </c>
      <c r="I319" s="5" t="s">
        <v>207</v>
      </c>
      <c r="J319" s="15">
        <v>1500</v>
      </c>
      <c r="K319" s="7">
        <v>46.9</v>
      </c>
      <c r="L319" s="7">
        <f t="shared" si="91"/>
        <v>31.982942430703627</v>
      </c>
      <c r="M319" s="5" t="s">
        <v>10</v>
      </c>
      <c r="N319" s="5">
        <v>4</v>
      </c>
      <c r="O319" s="6">
        <f t="shared" si="92"/>
        <v>0.95897681861784601</v>
      </c>
      <c r="P319" s="6">
        <f t="shared" si="93"/>
        <v>9.973358913625599E-2</v>
      </c>
      <c r="Q319" s="10">
        <f t="shared" si="94"/>
        <v>2.0777831070053327E-3</v>
      </c>
      <c r="R319" s="10">
        <f t="shared" si="95"/>
        <v>1.5408246091418672E-2</v>
      </c>
      <c r="S319" s="10">
        <f t="shared" si="96"/>
        <v>1.7486029198424003E-2</v>
      </c>
    </row>
    <row r="320" spans="1:19" x14ac:dyDescent="0.25">
      <c r="A320" s="5" t="s">
        <v>8</v>
      </c>
      <c r="B320" s="5" t="s">
        <v>210</v>
      </c>
      <c r="C320" s="5" t="s">
        <v>27</v>
      </c>
      <c r="D320" s="5" t="s">
        <v>385</v>
      </c>
      <c r="E320" s="5" t="s">
        <v>384</v>
      </c>
      <c r="F320" s="5" t="s">
        <v>45</v>
      </c>
      <c r="G320" s="5" t="s">
        <v>390</v>
      </c>
      <c r="H320" s="5" t="s">
        <v>46</v>
      </c>
      <c r="I320" s="5" t="s">
        <v>207</v>
      </c>
      <c r="J320" s="15">
        <v>1330</v>
      </c>
      <c r="K320" s="7">
        <v>30</v>
      </c>
      <c r="L320" s="7">
        <f t="shared" si="91"/>
        <v>44.333333333333336</v>
      </c>
      <c r="M320" s="5" t="s">
        <v>10</v>
      </c>
      <c r="N320" s="5">
        <v>4</v>
      </c>
      <c r="O320" s="6">
        <f t="shared" si="92"/>
        <v>1.6337756944444446</v>
      </c>
      <c r="P320" s="6">
        <f t="shared" si="93"/>
        <v>0.1699126722222222</v>
      </c>
      <c r="Q320" s="10">
        <f t="shared" si="94"/>
        <v>3.5398473379629632E-3</v>
      </c>
      <c r="R320" s="10">
        <f t="shared" si="95"/>
        <v>2.2976900704314702E-2</v>
      </c>
      <c r="S320" s="10">
        <f t="shared" si="96"/>
        <v>2.6516748042277664E-2</v>
      </c>
    </row>
    <row r="321" spans="1:19" x14ac:dyDescent="0.25">
      <c r="A321" s="5" t="s">
        <v>8</v>
      </c>
      <c r="B321" s="5" t="s">
        <v>308</v>
      </c>
      <c r="C321" s="5" t="s">
        <v>27</v>
      </c>
      <c r="D321" s="5" t="s">
        <v>385</v>
      </c>
      <c r="E321" s="5" t="s">
        <v>384</v>
      </c>
      <c r="F321" s="5" t="s">
        <v>45</v>
      </c>
      <c r="G321" s="5" t="s">
        <v>390</v>
      </c>
      <c r="H321" s="5" t="s">
        <v>46</v>
      </c>
      <c r="I321" s="5" t="s">
        <v>310</v>
      </c>
      <c r="J321" s="15">
        <v>972</v>
      </c>
      <c r="K321" s="7">
        <v>19.7</v>
      </c>
      <c r="L321" s="7">
        <f t="shared" si="91"/>
        <v>49.340101522842644</v>
      </c>
      <c r="M321" s="5" t="s">
        <v>10</v>
      </c>
      <c r="N321" s="5">
        <v>4</v>
      </c>
      <c r="O321" s="6">
        <f t="shared" si="92"/>
        <v>1.4789257131077846</v>
      </c>
      <c r="P321" s="6">
        <f t="shared" si="93"/>
        <v>0.15380827416320958</v>
      </c>
      <c r="Q321" s="10">
        <f t="shared" si="94"/>
        <v>3.204339045066867E-3</v>
      </c>
      <c r="R321" s="10">
        <f t="shared" si="95"/>
        <v>2.1323421621601071E-2</v>
      </c>
      <c r="S321" s="10">
        <f t="shared" si="96"/>
        <v>2.4527760666667939E-2</v>
      </c>
    </row>
    <row r="322" spans="1:19" x14ac:dyDescent="0.25">
      <c r="A322" s="5" t="s">
        <v>22</v>
      </c>
      <c r="B322" s="5" t="s">
        <v>26</v>
      </c>
      <c r="C322" s="5" t="s">
        <v>27</v>
      </c>
      <c r="D322" s="5" t="s">
        <v>385</v>
      </c>
      <c r="E322" s="5" t="s">
        <v>384</v>
      </c>
      <c r="F322" s="5" t="s">
        <v>45</v>
      </c>
      <c r="G322" s="5" t="s">
        <v>390</v>
      </c>
      <c r="H322" s="5" t="s">
        <v>46</v>
      </c>
      <c r="I322" s="5" t="s">
        <v>16</v>
      </c>
      <c r="J322" s="15">
        <v>1400</v>
      </c>
      <c r="K322" s="7">
        <v>39</v>
      </c>
      <c r="L322" s="7">
        <f t="shared" si="91"/>
        <v>35.897435897435898</v>
      </c>
      <c r="M322" s="5" t="s">
        <v>10</v>
      </c>
      <c r="N322" s="5">
        <v>4</v>
      </c>
      <c r="O322" s="6">
        <f t="shared" si="92"/>
        <v>1.1275476660092045</v>
      </c>
      <c r="P322" s="6">
        <f t="shared" si="93"/>
        <v>0.11726495726495727</v>
      </c>
      <c r="Q322" s="10">
        <f t="shared" si="94"/>
        <v>2.4430199430199432E-3</v>
      </c>
      <c r="R322" s="10">
        <f t="shared" si="95"/>
        <v>1.7397959160789959E-2</v>
      </c>
      <c r="S322" s="10">
        <f t="shared" si="96"/>
        <v>1.9840979103809903E-2</v>
      </c>
    </row>
    <row r="323" spans="1:19" x14ac:dyDescent="0.25">
      <c r="A323" s="5" t="s">
        <v>8</v>
      </c>
      <c r="B323" s="5" t="s">
        <v>322</v>
      </c>
      <c r="C323" s="5" t="s">
        <v>27</v>
      </c>
      <c r="D323" s="5" t="s">
        <v>385</v>
      </c>
      <c r="E323" s="5" t="s">
        <v>384</v>
      </c>
      <c r="F323" s="5" t="s">
        <v>45</v>
      </c>
      <c r="G323" s="5" t="s">
        <v>390</v>
      </c>
      <c r="H323" s="5" t="s">
        <v>46</v>
      </c>
      <c r="I323" s="5" t="s">
        <v>323</v>
      </c>
      <c r="J323" s="15">
        <v>810</v>
      </c>
      <c r="K323" s="7">
        <v>29</v>
      </c>
      <c r="L323" s="7">
        <f t="shared" si="91"/>
        <v>27.931034482758619</v>
      </c>
      <c r="M323" s="5" t="s">
        <v>10</v>
      </c>
      <c r="N323" s="5">
        <v>4</v>
      </c>
      <c r="O323" s="6">
        <f t="shared" si="92"/>
        <v>0.39494723543400712</v>
      </c>
      <c r="P323" s="6">
        <f t="shared" si="93"/>
        <v>4.1074512485136737E-2</v>
      </c>
      <c r="Q323" s="10">
        <f t="shared" si="94"/>
        <v>8.5571901010701539E-4</v>
      </c>
      <c r="R323" s="10">
        <f t="shared" si="95"/>
        <v>7.9213906781575756E-3</v>
      </c>
      <c r="S323" s="10">
        <f t="shared" si="96"/>
        <v>8.7771096882645911E-3</v>
      </c>
    </row>
    <row r="324" spans="1:19" x14ac:dyDescent="0.25">
      <c r="A324" s="5" t="s">
        <v>22</v>
      </c>
      <c r="B324" s="5" t="s">
        <v>26</v>
      </c>
      <c r="C324" s="5" t="s">
        <v>27</v>
      </c>
      <c r="D324" s="5" t="s">
        <v>385</v>
      </c>
      <c r="E324" s="5" t="s">
        <v>384</v>
      </c>
      <c r="F324" s="5" t="s">
        <v>45</v>
      </c>
      <c r="G324" s="5" t="s">
        <v>390</v>
      </c>
      <c r="H324" s="5" t="s">
        <v>46</v>
      </c>
      <c r="I324" s="5" t="s">
        <v>47</v>
      </c>
      <c r="J324" s="15">
        <v>1200</v>
      </c>
      <c r="K324" s="7">
        <v>28</v>
      </c>
      <c r="L324" s="7">
        <f t="shared" si="91"/>
        <v>42.857142857142854</v>
      </c>
      <c r="M324" s="5" t="s">
        <v>10</v>
      </c>
      <c r="N324" s="5">
        <v>4</v>
      </c>
      <c r="O324" s="6">
        <f t="shared" si="92"/>
        <v>1.3775510204081631</v>
      </c>
      <c r="P324" s="6">
        <f t="shared" si="93"/>
        <v>0.14326530612244898</v>
      </c>
      <c r="Q324" s="10">
        <f t="shared" si="94"/>
        <v>2.9846938775510198E-3</v>
      </c>
      <c r="R324" s="10">
        <f t="shared" si="95"/>
        <v>2.0217520582724226E-2</v>
      </c>
      <c r="S324" s="10">
        <f t="shared" si="96"/>
        <v>2.3202214460275247E-2</v>
      </c>
    </row>
    <row r="325" spans="1:19" x14ac:dyDescent="0.25">
      <c r="A325" s="5" t="s">
        <v>8</v>
      </c>
      <c r="B325" s="5" t="s">
        <v>300</v>
      </c>
      <c r="C325" s="5" t="s">
        <v>27</v>
      </c>
      <c r="D325" s="5" t="s">
        <v>385</v>
      </c>
      <c r="E325" s="5" t="s">
        <v>384</v>
      </c>
      <c r="F325" s="5" t="s">
        <v>45</v>
      </c>
      <c r="G325" s="5" t="s">
        <v>390</v>
      </c>
      <c r="H325" s="5" t="s">
        <v>46</v>
      </c>
      <c r="I325" s="5" t="s">
        <v>47</v>
      </c>
      <c r="J325" s="15">
        <v>1198</v>
      </c>
      <c r="K325" s="7">
        <v>28.2</v>
      </c>
      <c r="L325" s="7">
        <f t="shared" si="91"/>
        <v>42.4822695035461</v>
      </c>
      <c r="M325" s="5" t="s">
        <v>10</v>
      </c>
      <c r="N325" s="5">
        <v>4</v>
      </c>
      <c r="O325" s="6">
        <f t="shared" si="92"/>
        <v>1.3513014876012275</v>
      </c>
      <c r="P325" s="6">
        <f t="shared" si="93"/>
        <v>0.14053535471052764</v>
      </c>
      <c r="Q325" s="10">
        <f t="shared" si="94"/>
        <v>2.927819889802659E-3</v>
      </c>
      <c r="R325" s="10">
        <f t="shared" si="95"/>
        <v>1.9927889917281474E-2</v>
      </c>
      <c r="S325" s="10">
        <f t="shared" si="96"/>
        <v>2.2855709807084134E-2</v>
      </c>
    </row>
    <row r="326" spans="1:19" x14ac:dyDescent="0.25">
      <c r="A326" s="5" t="s">
        <v>8</v>
      </c>
      <c r="B326" s="5" t="s">
        <v>202</v>
      </c>
      <c r="C326" s="5" t="s">
        <v>27</v>
      </c>
      <c r="D326" s="5" t="s">
        <v>385</v>
      </c>
      <c r="E326" s="5" t="s">
        <v>384</v>
      </c>
      <c r="F326" s="5" t="s">
        <v>45</v>
      </c>
      <c r="G326" s="5" t="s">
        <v>390</v>
      </c>
      <c r="H326" s="5" t="s">
        <v>46</v>
      </c>
      <c r="I326" s="5" t="s">
        <v>203</v>
      </c>
      <c r="J326" s="15">
        <v>1230</v>
      </c>
      <c r="K326" s="7">
        <v>25.5</v>
      </c>
      <c r="L326" s="7">
        <f t="shared" si="91"/>
        <v>48.235294117647058</v>
      </c>
      <c r="M326" s="5" t="s">
        <v>10</v>
      </c>
      <c r="N326" s="5">
        <v>4</v>
      </c>
      <c r="O326" s="6">
        <f t="shared" si="92"/>
        <v>1.788607266435986</v>
      </c>
      <c r="P326" s="6">
        <f t="shared" si="93"/>
        <v>0.18601515570934254</v>
      </c>
      <c r="Q326" s="10">
        <f t="shared" si="94"/>
        <v>3.8753157439446362E-3</v>
      </c>
      <c r="R326" s="10">
        <f t="shared" si="95"/>
        <v>2.4591406420233046E-2</v>
      </c>
      <c r="S326" s="10">
        <f t="shared" si="96"/>
        <v>2.8466722164177682E-2</v>
      </c>
    </row>
    <row r="327" spans="1:19" x14ac:dyDescent="0.25">
      <c r="A327" s="5" t="s">
        <v>8</v>
      </c>
      <c r="B327" s="5" t="s">
        <v>204</v>
      </c>
      <c r="C327" s="5" t="s">
        <v>27</v>
      </c>
      <c r="D327" s="5" t="s">
        <v>385</v>
      </c>
      <c r="E327" s="5" t="s">
        <v>384</v>
      </c>
      <c r="F327" s="5" t="s">
        <v>45</v>
      </c>
      <c r="G327" s="5" t="s">
        <v>390</v>
      </c>
      <c r="H327" s="5" t="s">
        <v>46</v>
      </c>
      <c r="I327" s="5" t="s">
        <v>203</v>
      </c>
      <c r="J327" s="15">
        <v>900</v>
      </c>
      <c r="K327" s="7">
        <v>26</v>
      </c>
      <c r="L327" s="7">
        <f t="shared" si="91"/>
        <v>34.615384615384613</v>
      </c>
      <c r="M327" s="5" t="s">
        <v>10</v>
      </c>
      <c r="N327" s="5">
        <v>4</v>
      </c>
      <c r="O327" s="6">
        <f t="shared" si="92"/>
        <v>0.67400147928994081</v>
      </c>
      <c r="P327" s="6">
        <f t="shared" si="93"/>
        <v>7.0096153846153836E-2</v>
      </c>
      <c r="Q327" s="10">
        <f t="shared" si="94"/>
        <v>1.4603365384615382E-3</v>
      </c>
      <c r="R327" s="10">
        <f t="shared" si="95"/>
        <v>1.1827494686413892E-2</v>
      </c>
      <c r="S327" s="10">
        <f t="shared" si="96"/>
        <v>1.3287831224875431E-2</v>
      </c>
    </row>
    <row r="328" spans="1:19" x14ac:dyDescent="0.25">
      <c r="A328" s="5" t="s">
        <v>8</v>
      </c>
      <c r="B328" s="5" t="s">
        <v>205</v>
      </c>
      <c r="C328" s="5" t="s">
        <v>27</v>
      </c>
      <c r="D328" s="5" t="s">
        <v>385</v>
      </c>
      <c r="E328" s="5" t="s">
        <v>384</v>
      </c>
      <c r="F328" s="5" t="s">
        <v>45</v>
      </c>
      <c r="G328" s="5" t="s">
        <v>390</v>
      </c>
      <c r="H328" s="5" t="s">
        <v>46</v>
      </c>
      <c r="I328" s="5" t="s">
        <v>203</v>
      </c>
      <c r="J328" s="15">
        <v>1100</v>
      </c>
      <c r="K328" s="7">
        <v>30</v>
      </c>
      <c r="L328" s="7">
        <f t="shared" si="91"/>
        <v>36.666666666666664</v>
      </c>
      <c r="M328" s="5" t="s">
        <v>10</v>
      </c>
      <c r="N328" s="5">
        <v>4</v>
      </c>
      <c r="O328" s="6">
        <f t="shared" si="92"/>
        <v>0.92430555555555549</v>
      </c>
      <c r="P328" s="6">
        <f t="shared" si="93"/>
        <v>9.6127777777777756E-2</v>
      </c>
      <c r="Q328" s="10">
        <f t="shared" si="94"/>
        <v>2.0026620370370367E-3</v>
      </c>
      <c r="R328" s="10">
        <f t="shared" si="95"/>
        <v>1.4988521556455617E-2</v>
      </c>
      <c r="S328" s="10">
        <f t="shared" si="96"/>
        <v>1.6991183593492654E-2</v>
      </c>
    </row>
    <row r="329" spans="1:19" x14ac:dyDescent="0.25">
      <c r="A329" s="5" t="s">
        <v>8</v>
      </c>
      <c r="B329" s="5" t="s">
        <v>201</v>
      </c>
      <c r="C329" s="5" t="s">
        <v>27</v>
      </c>
      <c r="D329" s="5" t="s">
        <v>385</v>
      </c>
      <c r="E329" s="5" t="s">
        <v>384</v>
      </c>
      <c r="F329" s="5" t="s">
        <v>45</v>
      </c>
      <c r="G329" s="5" t="s">
        <v>390</v>
      </c>
      <c r="H329" s="5" t="s">
        <v>46</v>
      </c>
      <c r="I329" s="5" t="s">
        <v>203</v>
      </c>
      <c r="J329" s="15">
        <v>1060</v>
      </c>
      <c r="K329" s="7">
        <v>29.5</v>
      </c>
      <c r="L329" s="7">
        <f t="shared" si="91"/>
        <v>35.932203389830505</v>
      </c>
      <c r="M329" s="5" t="s">
        <v>10</v>
      </c>
      <c r="N329" s="5">
        <v>4</v>
      </c>
      <c r="O329" s="6">
        <f t="shared" si="92"/>
        <v>0.85536914679689724</v>
      </c>
      <c r="P329" s="6">
        <f t="shared" si="93"/>
        <v>8.895839126687731E-2</v>
      </c>
      <c r="Q329" s="10">
        <f t="shared" si="94"/>
        <v>1.8532998180599439E-3</v>
      </c>
      <c r="R329" s="10">
        <f t="shared" si="95"/>
        <v>1.414204810560408E-2</v>
      </c>
      <c r="S329" s="10">
        <f t="shared" si="96"/>
        <v>1.5995347923664024E-2</v>
      </c>
    </row>
    <row r="330" spans="1:19" x14ac:dyDescent="0.25">
      <c r="A330" s="5" t="s">
        <v>8</v>
      </c>
      <c r="B330" s="5" t="s">
        <v>219</v>
      </c>
      <c r="C330" s="5" t="s">
        <v>27</v>
      </c>
      <c r="D330" s="5" t="s">
        <v>385</v>
      </c>
      <c r="E330" s="5" t="s">
        <v>384</v>
      </c>
      <c r="F330" s="5" t="s">
        <v>45</v>
      </c>
      <c r="G330" s="5" t="s">
        <v>390</v>
      </c>
      <c r="H330" s="5" t="s">
        <v>46</v>
      </c>
      <c r="I330" s="5" t="s">
        <v>203</v>
      </c>
      <c r="J330" s="15">
        <v>900</v>
      </c>
      <c r="K330" s="7">
        <v>26.9</v>
      </c>
      <c r="L330" s="7">
        <f t="shared" si="91"/>
        <v>33.457249070631974</v>
      </c>
      <c r="M330" s="5" t="s">
        <v>10</v>
      </c>
      <c r="N330" s="5">
        <v>4</v>
      </c>
      <c r="O330" s="6">
        <f t="shared" si="92"/>
        <v>0.62965547739804595</v>
      </c>
      <c r="P330" s="6">
        <f t="shared" si="93"/>
        <v>6.5484169649396781E-2</v>
      </c>
      <c r="Q330" s="10">
        <f t="shared" si="94"/>
        <v>1.3642535343624329E-3</v>
      </c>
      <c r="R330" s="10">
        <f t="shared" si="95"/>
        <v>1.1238914402422381E-2</v>
      </c>
      <c r="S330" s="10">
        <f t="shared" si="96"/>
        <v>1.2603167936784815E-2</v>
      </c>
    </row>
    <row r="331" spans="1:19" x14ac:dyDescent="0.25">
      <c r="A331" s="5" t="s">
        <v>8</v>
      </c>
      <c r="B331" s="5" t="s">
        <v>291</v>
      </c>
      <c r="C331" s="5" t="s">
        <v>27</v>
      </c>
      <c r="D331" s="5" t="s">
        <v>385</v>
      </c>
      <c r="E331" s="5" t="s">
        <v>384</v>
      </c>
      <c r="F331" s="5" t="s">
        <v>45</v>
      </c>
      <c r="G331" s="5" t="s">
        <v>390</v>
      </c>
      <c r="H331" s="5" t="s">
        <v>46</v>
      </c>
      <c r="I331" s="5" t="s">
        <v>203</v>
      </c>
      <c r="J331" s="15">
        <v>1221</v>
      </c>
      <c r="K331" s="7">
        <v>34.799999999999997</v>
      </c>
      <c r="L331" s="7">
        <f t="shared" si="91"/>
        <v>35.08620689655173</v>
      </c>
      <c r="M331" s="5" t="s">
        <v>10</v>
      </c>
      <c r="N331" s="5">
        <v>4</v>
      </c>
      <c r="O331" s="6">
        <f t="shared" si="92"/>
        <v>0.9394388609170633</v>
      </c>
      <c r="P331" s="6">
        <f t="shared" si="93"/>
        <v>9.770164153537457E-2</v>
      </c>
      <c r="Q331" s="10">
        <f t="shared" si="94"/>
        <v>2.035450865320304E-3</v>
      </c>
      <c r="R331" s="10">
        <f t="shared" si="95"/>
        <v>1.5172198474885332E-2</v>
      </c>
      <c r="S331" s="10">
        <f t="shared" si="96"/>
        <v>1.7207649340205636E-2</v>
      </c>
    </row>
    <row r="332" spans="1:19" x14ac:dyDescent="0.25">
      <c r="A332" s="5" t="s">
        <v>8</v>
      </c>
      <c r="B332" s="5" t="s">
        <v>291</v>
      </c>
      <c r="C332" s="5" t="s">
        <v>27</v>
      </c>
      <c r="D332" s="5" t="s">
        <v>385</v>
      </c>
      <c r="E332" s="5" t="s">
        <v>384</v>
      </c>
      <c r="F332" s="5" t="s">
        <v>45</v>
      </c>
      <c r="G332" s="5" t="s">
        <v>390</v>
      </c>
      <c r="H332" s="5" t="s">
        <v>46</v>
      </c>
      <c r="I332" s="5" t="s">
        <v>203</v>
      </c>
      <c r="J332" s="15">
        <v>1180</v>
      </c>
      <c r="K332" s="7">
        <v>28.1</v>
      </c>
      <c r="L332" s="7">
        <f t="shared" si="91"/>
        <v>41.992882562277579</v>
      </c>
      <c r="M332" s="5" t="s">
        <v>10</v>
      </c>
      <c r="N332" s="5">
        <v>4</v>
      </c>
      <c r="O332" s="6">
        <f t="shared" si="92"/>
        <v>1.3005091120933117</v>
      </c>
      <c r="P332" s="6">
        <f t="shared" si="93"/>
        <v>0.13525294765770443</v>
      </c>
      <c r="Q332" s="10">
        <f t="shared" si="94"/>
        <v>2.8177697428688419E-3</v>
      </c>
      <c r="R332" s="10">
        <f t="shared" si="95"/>
        <v>1.9363424830278701E-2</v>
      </c>
      <c r="S332" s="10">
        <f t="shared" si="96"/>
        <v>2.2181194573147541E-2</v>
      </c>
    </row>
    <row r="333" spans="1:19" x14ac:dyDescent="0.25">
      <c r="A333" s="5" t="s">
        <v>8</v>
      </c>
      <c r="B333" s="5" t="s">
        <v>291</v>
      </c>
      <c r="C333" s="5" t="s">
        <v>27</v>
      </c>
      <c r="D333" s="5" t="s">
        <v>385</v>
      </c>
      <c r="E333" s="5" t="s">
        <v>384</v>
      </c>
      <c r="F333" s="5" t="s">
        <v>45</v>
      </c>
      <c r="G333" s="5" t="s">
        <v>390</v>
      </c>
      <c r="H333" s="5" t="s">
        <v>46</v>
      </c>
      <c r="I333" s="5" t="s">
        <v>203</v>
      </c>
      <c r="J333" s="15">
        <v>1358</v>
      </c>
      <c r="K333" s="7">
        <v>27.2</v>
      </c>
      <c r="L333" s="7">
        <f t="shared" si="91"/>
        <v>49.926470588235297</v>
      </c>
      <c r="M333" s="5" t="s">
        <v>10</v>
      </c>
      <c r="N333" s="5">
        <v>4</v>
      </c>
      <c r="O333" s="6">
        <f t="shared" si="92"/>
        <v>2.115638780006488</v>
      </c>
      <c r="P333" s="6">
        <f t="shared" si="93"/>
        <v>0.22002643312067477</v>
      </c>
      <c r="Q333" s="10">
        <f t="shared" si="94"/>
        <v>4.5838840233473907E-3</v>
      </c>
      <c r="R333" s="10">
        <f t="shared" si="95"/>
        <v>2.7891910544193911E-2</v>
      </c>
      <c r="S333" s="10">
        <f t="shared" si="96"/>
        <v>3.2475794567541301E-2</v>
      </c>
    </row>
    <row r="334" spans="1:19" x14ac:dyDescent="0.25">
      <c r="A334" s="5" t="s">
        <v>8</v>
      </c>
      <c r="B334" s="5" t="s">
        <v>291</v>
      </c>
      <c r="C334" s="5" t="s">
        <v>27</v>
      </c>
      <c r="D334" s="5" t="s">
        <v>385</v>
      </c>
      <c r="E334" s="5" t="s">
        <v>384</v>
      </c>
      <c r="F334" s="5" t="s">
        <v>45</v>
      </c>
      <c r="G334" s="5" t="s">
        <v>390</v>
      </c>
      <c r="H334" s="5" t="s">
        <v>46</v>
      </c>
      <c r="I334" s="5" t="s">
        <v>203</v>
      </c>
      <c r="J334" s="15">
        <v>1194</v>
      </c>
      <c r="K334" s="7">
        <v>25.9</v>
      </c>
      <c r="L334" s="7">
        <f t="shared" si="91"/>
        <v>46.100386100386103</v>
      </c>
      <c r="M334" s="5" t="s">
        <v>10</v>
      </c>
      <c r="N334" s="5">
        <v>4</v>
      </c>
      <c r="O334" s="6">
        <f t="shared" si="92"/>
        <v>1.5859645279587367</v>
      </c>
      <c r="P334" s="6">
        <f t="shared" si="93"/>
        <v>0.16494031090770858</v>
      </c>
      <c r="Q334" s="10">
        <f t="shared" si="94"/>
        <v>3.4362564772439292E-3</v>
      </c>
      <c r="R334" s="10">
        <f t="shared" si="95"/>
        <v>2.2470732330724698E-2</v>
      </c>
      <c r="S334" s="10">
        <f t="shared" si="96"/>
        <v>2.5906988807968628E-2</v>
      </c>
    </row>
    <row r="335" spans="1:19" x14ac:dyDescent="0.25">
      <c r="A335" s="5" t="s">
        <v>8</v>
      </c>
      <c r="B335" s="5" t="s">
        <v>291</v>
      </c>
      <c r="C335" s="5" t="s">
        <v>27</v>
      </c>
      <c r="D335" s="5" t="s">
        <v>385</v>
      </c>
      <c r="E335" s="5" t="s">
        <v>384</v>
      </c>
      <c r="F335" s="5" t="s">
        <v>45</v>
      </c>
      <c r="G335" s="5" t="s">
        <v>390</v>
      </c>
      <c r="H335" s="5" t="s">
        <v>46</v>
      </c>
      <c r="I335" s="5" t="s">
        <v>203</v>
      </c>
      <c r="J335" s="15">
        <v>1038</v>
      </c>
      <c r="K335" s="7">
        <v>25.2</v>
      </c>
      <c r="L335" s="7">
        <f t="shared" si="91"/>
        <v>41.19047619047619</v>
      </c>
      <c r="M335" s="5" t="s">
        <v>10</v>
      </c>
      <c r="N335" s="5">
        <v>4</v>
      </c>
      <c r="O335" s="6">
        <f t="shared" si="92"/>
        <v>1.1007051445578231</v>
      </c>
      <c r="P335" s="6">
        <f t="shared" si="93"/>
        <v>0.11447333503401359</v>
      </c>
      <c r="Q335" s="10">
        <f t="shared" si="94"/>
        <v>2.3848611465419499E-3</v>
      </c>
      <c r="R335" s="10">
        <f t="shared" si="95"/>
        <v>1.7086392225529067E-2</v>
      </c>
      <c r="S335" s="10">
        <f t="shared" si="96"/>
        <v>1.9471253372071017E-2</v>
      </c>
    </row>
    <row r="336" spans="1:19" x14ac:dyDescent="0.25">
      <c r="A336" s="5" t="s">
        <v>8</v>
      </c>
      <c r="B336" s="5" t="s">
        <v>322</v>
      </c>
      <c r="C336" s="5" t="s">
        <v>27</v>
      </c>
      <c r="D336" s="5" t="s">
        <v>385</v>
      </c>
      <c r="E336" s="5" t="s">
        <v>384</v>
      </c>
      <c r="F336" s="5" t="s">
        <v>45</v>
      </c>
      <c r="G336" s="5" t="s">
        <v>390</v>
      </c>
      <c r="H336" s="5" t="s">
        <v>46</v>
      </c>
      <c r="I336" s="5" t="s">
        <v>203</v>
      </c>
      <c r="J336" s="15">
        <v>1000</v>
      </c>
      <c r="K336" s="7">
        <v>22</v>
      </c>
      <c r="L336" s="7">
        <f t="shared" si="91"/>
        <v>45.454545454545453</v>
      </c>
      <c r="M336" s="5" t="s">
        <v>10</v>
      </c>
      <c r="N336" s="5">
        <v>4</v>
      </c>
      <c r="O336" s="6">
        <f t="shared" si="92"/>
        <v>1.2913223140495866</v>
      </c>
      <c r="P336" s="6">
        <f t="shared" si="93"/>
        <v>0.13429752066115702</v>
      </c>
      <c r="Q336" s="10">
        <f t="shared" si="94"/>
        <v>2.7978650137741039E-3</v>
      </c>
      <c r="R336" s="10">
        <f t="shared" si="95"/>
        <v>1.9260746534398895E-2</v>
      </c>
      <c r="S336" s="10">
        <f t="shared" si="96"/>
        <v>2.2058611548172999E-2</v>
      </c>
    </row>
    <row r="337" spans="1:19" x14ac:dyDescent="0.25">
      <c r="A337" s="5" t="s">
        <v>22</v>
      </c>
      <c r="B337" s="5" t="s">
        <v>26</v>
      </c>
      <c r="C337" s="5" t="s">
        <v>27</v>
      </c>
      <c r="D337" s="5" t="s">
        <v>385</v>
      </c>
      <c r="E337" s="5" t="s">
        <v>384</v>
      </c>
      <c r="F337" s="5" t="s">
        <v>45</v>
      </c>
      <c r="G337" s="5" t="s">
        <v>390</v>
      </c>
      <c r="H337" s="5" t="s">
        <v>46</v>
      </c>
      <c r="I337" s="5" t="s">
        <v>11</v>
      </c>
      <c r="J337" s="15">
        <v>1450</v>
      </c>
      <c r="K337" s="7">
        <v>27</v>
      </c>
      <c r="L337" s="7">
        <f t="shared" si="91"/>
        <v>53.703703703703702</v>
      </c>
      <c r="M337" s="5" t="s">
        <v>10</v>
      </c>
      <c r="N337" s="5">
        <v>4</v>
      </c>
      <c r="O337" s="6">
        <f t="shared" si="92"/>
        <v>2.6137045610425238</v>
      </c>
      <c r="P337" s="6">
        <f t="shared" si="93"/>
        <v>0.27182527434842246</v>
      </c>
      <c r="Q337" s="10">
        <f t="shared" si="94"/>
        <v>5.6630265489254683E-3</v>
      </c>
      <c r="R337" s="10">
        <f t="shared" si="95"/>
        <v>3.2684323180094878E-2</v>
      </c>
      <c r="S337" s="10">
        <f t="shared" si="96"/>
        <v>3.8347349729020347E-2</v>
      </c>
    </row>
    <row r="338" spans="1:19" x14ac:dyDescent="0.25">
      <c r="A338" s="5" t="s">
        <v>8</v>
      </c>
      <c r="B338" s="5" t="s">
        <v>192</v>
      </c>
      <c r="C338" s="5" t="s">
        <v>27</v>
      </c>
      <c r="D338" s="5" t="s">
        <v>385</v>
      </c>
      <c r="E338" s="5" t="s">
        <v>384</v>
      </c>
      <c r="F338" s="5" t="s">
        <v>45</v>
      </c>
      <c r="G338" s="5" t="s">
        <v>390</v>
      </c>
      <c r="H338" s="5" t="s">
        <v>46</v>
      </c>
      <c r="I338" s="5" t="s">
        <v>11</v>
      </c>
      <c r="J338" s="15">
        <v>1050</v>
      </c>
      <c r="K338" s="7">
        <v>32</v>
      </c>
      <c r="L338" s="7">
        <f t="shared" si="91"/>
        <v>32.8125</v>
      </c>
      <c r="M338" s="5" t="s">
        <v>10</v>
      </c>
      <c r="N338" s="5">
        <v>4</v>
      </c>
      <c r="O338" s="6">
        <f t="shared" si="92"/>
        <v>0.7065582275390625</v>
      </c>
      <c r="P338" s="6">
        <f t="shared" si="93"/>
        <v>7.348205566406249E-2</v>
      </c>
      <c r="Q338" s="10">
        <f t="shared" si="94"/>
        <v>1.5308761596679685E-3</v>
      </c>
      <c r="R338" s="10">
        <f t="shared" si="95"/>
        <v>1.2253441811234738E-2</v>
      </c>
      <c r="S338" s="10">
        <f t="shared" si="96"/>
        <v>1.3784317970902706E-2</v>
      </c>
    </row>
    <row r="339" spans="1:19" x14ac:dyDescent="0.25">
      <c r="A339" s="5" t="s">
        <v>8</v>
      </c>
      <c r="B339" s="5" t="s">
        <v>214</v>
      </c>
      <c r="C339" s="5" t="s">
        <v>27</v>
      </c>
      <c r="D339" s="5" t="s">
        <v>385</v>
      </c>
      <c r="E339" s="5" t="s">
        <v>384</v>
      </c>
      <c r="F339" s="5" t="s">
        <v>45</v>
      </c>
      <c r="G339" s="5" t="s">
        <v>390</v>
      </c>
      <c r="H339" s="5" t="s">
        <v>46</v>
      </c>
      <c r="I339" s="5" t="s">
        <v>216</v>
      </c>
      <c r="J339" s="15">
        <v>910</v>
      </c>
      <c r="K339" s="7">
        <v>31</v>
      </c>
      <c r="L339" s="7">
        <f t="shared" si="91"/>
        <v>29.35483870967742</v>
      </c>
      <c r="M339" s="5" t="s">
        <v>10</v>
      </c>
      <c r="N339" s="5">
        <v>4</v>
      </c>
      <c r="O339" s="6">
        <f t="shared" si="92"/>
        <v>0.49009560353798132</v>
      </c>
      <c r="P339" s="6">
        <f t="shared" si="93"/>
        <v>5.0969942767950062E-2</v>
      </c>
      <c r="Q339" s="10">
        <f t="shared" si="94"/>
        <v>1.0618738076656261E-3</v>
      </c>
      <c r="R339" s="10">
        <f t="shared" si="95"/>
        <v>9.3133887089925389E-3</v>
      </c>
      <c r="S339" s="10">
        <f t="shared" si="96"/>
        <v>1.0375262516658166E-2</v>
      </c>
    </row>
    <row r="340" spans="1:19" x14ac:dyDescent="0.25">
      <c r="A340" s="5" t="s">
        <v>8</v>
      </c>
      <c r="B340" s="5" t="s">
        <v>281</v>
      </c>
      <c r="C340" s="5" t="s">
        <v>27</v>
      </c>
      <c r="D340" s="5" t="s">
        <v>385</v>
      </c>
      <c r="E340" s="5" t="s">
        <v>384</v>
      </c>
      <c r="F340" s="5" t="s">
        <v>45</v>
      </c>
      <c r="G340" s="5" t="s">
        <v>390</v>
      </c>
      <c r="H340" s="5" t="s">
        <v>46</v>
      </c>
      <c r="I340" s="5" t="s">
        <v>216</v>
      </c>
      <c r="J340" s="15">
        <v>990</v>
      </c>
      <c r="K340" s="7">
        <v>25.5</v>
      </c>
      <c r="L340" s="7">
        <f t="shared" si="91"/>
        <v>38.823529411764703</v>
      </c>
      <c r="M340" s="5" t="s">
        <v>10</v>
      </c>
      <c r="N340" s="5">
        <v>4</v>
      </c>
      <c r="O340" s="6">
        <f t="shared" si="92"/>
        <v>0.93262110726643588</v>
      </c>
      <c r="P340" s="6">
        <f t="shared" si="93"/>
        <v>9.6992595155709335E-2</v>
      </c>
      <c r="Q340" s="10">
        <f t="shared" si="94"/>
        <v>2.0206790657439442E-3</v>
      </c>
      <c r="R340" s="10">
        <f t="shared" si="95"/>
        <v>1.5089541872016023E-2</v>
      </c>
      <c r="S340" s="10">
        <f t="shared" si="96"/>
        <v>1.7110220937759969E-2</v>
      </c>
    </row>
    <row r="341" spans="1:19" x14ac:dyDescent="0.25">
      <c r="A341" s="5" t="s">
        <v>8</v>
      </c>
      <c r="B341" s="5" t="s">
        <v>307</v>
      </c>
      <c r="C341" s="5" t="s">
        <v>27</v>
      </c>
      <c r="D341" s="5" t="s">
        <v>385</v>
      </c>
      <c r="E341" s="5" t="s">
        <v>384</v>
      </c>
      <c r="F341" s="5" t="s">
        <v>45</v>
      </c>
      <c r="G341" s="5" t="s">
        <v>390</v>
      </c>
      <c r="H341" s="5" t="s">
        <v>46</v>
      </c>
      <c r="I341" s="5" t="s">
        <v>216</v>
      </c>
      <c r="J341" s="15">
        <v>820</v>
      </c>
      <c r="K341" s="7">
        <v>31</v>
      </c>
      <c r="L341" s="7">
        <f t="shared" si="91"/>
        <v>26.451612903225808</v>
      </c>
      <c r="M341" s="5" t="s">
        <v>10</v>
      </c>
      <c r="N341" s="5">
        <v>4</v>
      </c>
      <c r="O341" s="6">
        <f t="shared" si="92"/>
        <v>0.35859001040582733</v>
      </c>
      <c r="P341" s="6">
        <f t="shared" si="93"/>
        <v>3.7293361082206045E-2</v>
      </c>
      <c r="Q341" s="10">
        <f t="shared" si="94"/>
        <v>7.7694502254595915E-4</v>
      </c>
      <c r="R341" s="10">
        <f t="shared" si="95"/>
        <v>7.3679346366924492E-3</v>
      </c>
      <c r="S341" s="10">
        <f t="shared" si="96"/>
        <v>8.1448796592384076E-3</v>
      </c>
    </row>
    <row r="342" spans="1:19" x14ac:dyDescent="0.25">
      <c r="A342" s="5" t="s">
        <v>8</v>
      </c>
      <c r="B342" s="5" t="s">
        <v>339</v>
      </c>
      <c r="C342" s="5" t="s">
        <v>27</v>
      </c>
      <c r="D342" s="5" t="s">
        <v>385</v>
      </c>
      <c r="E342" s="5" t="s">
        <v>384</v>
      </c>
      <c r="F342" s="5" t="s">
        <v>45</v>
      </c>
      <c r="G342" s="5" t="s">
        <v>390</v>
      </c>
      <c r="H342" s="5" t="s">
        <v>46</v>
      </c>
      <c r="I342" s="5" t="s">
        <v>216</v>
      </c>
      <c r="J342" s="15">
        <v>763</v>
      </c>
      <c r="K342" s="7">
        <v>24.1</v>
      </c>
      <c r="L342" s="7">
        <f t="shared" si="91"/>
        <v>31.659751037344396</v>
      </c>
      <c r="M342" s="5" t="s">
        <v>10</v>
      </c>
      <c r="N342" s="5">
        <v>4</v>
      </c>
      <c r="O342" s="6">
        <f t="shared" si="92"/>
        <v>0.47799080917167397</v>
      </c>
      <c r="P342" s="6">
        <f t="shared" si="93"/>
        <v>4.9711044153854085E-2</v>
      </c>
      <c r="Q342" s="10">
        <f t="shared" si="94"/>
        <v>1.0356467532052936E-3</v>
      </c>
      <c r="R342" s="10">
        <f t="shared" si="95"/>
        <v>9.1403280678869249E-3</v>
      </c>
      <c r="S342" s="10">
        <f t="shared" si="96"/>
        <v>1.0175974821092219E-2</v>
      </c>
    </row>
    <row r="343" spans="1:19" x14ac:dyDescent="0.25">
      <c r="A343" s="5" t="s">
        <v>8</v>
      </c>
      <c r="B343" s="5" t="s">
        <v>214</v>
      </c>
      <c r="C343" s="5" t="s">
        <v>27</v>
      </c>
      <c r="D343" s="5" t="s">
        <v>385</v>
      </c>
      <c r="E343" s="5" t="s">
        <v>384</v>
      </c>
      <c r="F343" s="5" t="s">
        <v>45</v>
      </c>
      <c r="G343" s="5" t="s">
        <v>390</v>
      </c>
      <c r="H343" s="5" t="s">
        <v>46</v>
      </c>
      <c r="I343" s="5" t="s">
        <v>62</v>
      </c>
      <c r="J343" s="15">
        <v>1000</v>
      </c>
      <c r="K343" s="7">
        <v>29</v>
      </c>
      <c r="L343" s="7">
        <f t="shared" si="91"/>
        <v>34.482758620689658</v>
      </c>
      <c r="M343" s="5" t="s">
        <v>10</v>
      </c>
      <c r="N343" s="5">
        <v>4</v>
      </c>
      <c r="O343" s="6">
        <f t="shared" si="92"/>
        <v>0.74316290130796681</v>
      </c>
      <c r="P343" s="6">
        <f t="shared" si="93"/>
        <v>7.7288941736028557E-2</v>
      </c>
      <c r="Q343" s="10">
        <f t="shared" si="94"/>
        <v>1.6101862861672613E-3</v>
      </c>
      <c r="R343" s="10">
        <f t="shared" si="95"/>
        <v>1.27265339526514E-2</v>
      </c>
      <c r="S343" s="10">
        <f t="shared" si="96"/>
        <v>1.4336720238818662E-2</v>
      </c>
    </row>
    <row r="344" spans="1:19" x14ac:dyDescent="0.25">
      <c r="A344" s="5" t="s">
        <v>8</v>
      </c>
      <c r="B344" s="5" t="s">
        <v>197</v>
      </c>
      <c r="C344" s="5" t="s">
        <v>27</v>
      </c>
      <c r="D344" s="5" t="s">
        <v>385</v>
      </c>
      <c r="E344" s="5" t="s">
        <v>384</v>
      </c>
      <c r="F344" s="5" t="s">
        <v>45</v>
      </c>
      <c r="G344" s="5" t="s">
        <v>390</v>
      </c>
      <c r="H344" s="5" t="s">
        <v>46</v>
      </c>
      <c r="I344" s="5" t="s">
        <v>196</v>
      </c>
      <c r="J344" s="15">
        <v>1150</v>
      </c>
      <c r="K344" s="7">
        <v>24.5</v>
      </c>
      <c r="L344" s="7">
        <f t="shared" si="91"/>
        <v>46.938775510204081</v>
      </c>
      <c r="M344" s="5" t="s">
        <v>10</v>
      </c>
      <c r="N344" s="5">
        <v>4</v>
      </c>
      <c r="O344" s="6">
        <f t="shared" si="92"/>
        <v>1.5835849645980844</v>
      </c>
      <c r="P344" s="6">
        <f t="shared" si="93"/>
        <v>0.16469283631820075</v>
      </c>
      <c r="Q344" s="10">
        <f t="shared" si="94"/>
        <v>3.4311007566291828E-3</v>
      </c>
      <c r="R344" s="10">
        <f t="shared" si="95"/>
        <v>2.2445441459619402E-2</v>
      </c>
      <c r="S344" s="10">
        <f t="shared" si="96"/>
        <v>2.5876542216248584E-2</v>
      </c>
    </row>
    <row r="345" spans="1:19" x14ac:dyDescent="0.25">
      <c r="A345" s="5" t="s">
        <v>8</v>
      </c>
      <c r="B345" s="5" t="s">
        <v>191</v>
      </c>
      <c r="C345" s="5" t="s">
        <v>27</v>
      </c>
      <c r="D345" s="5" t="s">
        <v>385</v>
      </c>
      <c r="E345" s="5" t="s">
        <v>384</v>
      </c>
      <c r="F345" s="5" t="s">
        <v>45</v>
      </c>
      <c r="G345" s="5" t="s">
        <v>390</v>
      </c>
      <c r="H345" s="5" t="s">
        <v>46</v>
      </c>
      <c r="I345" s="5" t="s">
        <v>196</v>
      </c>
      <c r="J345" s="15">
        <v>1100</v>
      </c>
      <c r="K345" s="7">
        <v>26</v>
      </c>
      <c r="L345" s="7">
        <f t="shared" si="91"/>
        <v>42.307692307692307</v>
      </c>
      <c r="M345" s="5" t="s">
        <v>10</v>
      </c>
      <c r="N345" s="5">
        <v>4</v>
      </c>
      <c r="O345" s="6">
        <f t="shared" si="92"/>
        <v>1.2305843195266273</v>
      </c>
      <c r="P345" s="6">
        <f t="shared" si="93"/>
        <v>0.12798076923076923</v>
      </c>
      <c r="Q345" s="10">
        <f t="shared" si="94"/>
        <v>2.6662660256410258E-3</v>
      </c>
      <c r="R345" s="10">
        <f t="shared" si="95"/>
        <v>1.8577217122682087E-2</v>
      </c>
      <c r="S345" s="10">
        <f t="shared" si="96"/>
        <v>2.1243483148323111E-2</v>
      </c>
    </row>
    <row r="346" spans="1:19" x14ac:dyDescent="0.25">
      <c r="A346" s="5" t="s">
        <v>8</v>
      </c>
      <c r="B346" s="5" t="s">
        <v>193</v>
      </c>
      <c r="C346" s="5" t="s">
        <v>27</v>
      </c>
      <c r="D346" s="5" t="s">
        <v>385</v>
      </c>
      <c r="E346" s="5" t="s">
        <v>384</v>
      </c>
      <c r="F346" s="5" t="s">
        <v>45</v>
      </c>
      <c r="G346" s="5" t="s">
        <v>390</v>
      </c>
      <c r="H346" s="5" t="s">
        <v>46</v>
      </c>
      <c r="I346" s="5" t="s">
        <v>196</v>
      </c>
      <c r="J346" s="15">
        <v>925</v>
      </c>
      <c r="K346" s="7">
        <v>24</v>
      </c>
      <c r="L346" s="7">
        <f t="shared" si="91"/>
        <v>38.541666666666664</v>
      </c>
      <c r="M346" s="5" t="s">
        <v>10</v>
      </c>
      <c r="N346" s="5">
        <v>4</v>
      </c>
      <c r="O346" s="6">
        <f t="shared" si="92"/>
        <v>0.85878160264756942</v>
      </c>
      <c r="P346" s="6">
        <f t="shared" si="93"/>
        <v>8.9313286675347214E-2</v>
      </c>
      <c r="Q346" s="10">
        <f t="shared" si="94"/>
        <v>1.860693472403067E-3</v>
      </c>
      <c r="R346" s="10">
        <f t="shared" si="95"/>
        <v>1.4184341326858875E-2</v>
      </c>
      <c r="S346" s="10">
        <f t="shared" si="96"/>
        <v>1.6045034799261941E-2</v>
      </c>
    </row>
    <row r="347" spans="1:19" x14ac:dyDescent="0.25">
      <c r="A347" s="5" t="s">
        <v>8</v>
      </c>
      <c r="B347" s="5" t="s">
        <v>198</v>
      </c>
      <c r="C347" s="5" t="s">
        <v>27</v>
      </c>
      <c r="D347" s="5" t="s">
        <v>385</v>
      </c>
      <c r="E347" s="5" t="s">
        <v>384</v>
      </c>
      <c r="F347" s="5" t="s">
        <v>45</v>
      </c>
      <c r="G347" s="5" t="s">
        <v>390</v>
      </c>
      <c r="H347" s="5" t="s">
        <v>46</v>
      </c>
      <c r="I347" s="5" t="s">
        <v>196</v>
      </c>
      <c r="J347" s="15">
        <v>720</v>
      </c>
      <c r="K347" s="7">
        <v>19.5</v>
      </c>
      <c r="L347" s="7">
        <f t="shared" si="91"/>
        <v>36.92307692307692</v>
      </c>
      <c r="M347" s="5" t="s">
        <v>10</v>
      </c>
      <c r="N347" s="5">
        <v>4</v>
      </c>
      <c r="O347" s="6">
        <f t="shared" si="92"/>
        <v>0.6134911242603549</v>
      </c>
      <c r="P347" s="6">
        <f t="shared" si="93"/>
        <v>6.3803076923076907E-2</v>
      </c>
      <c r="Q347" s="10">
        <f t="shared" si="94"/>
        <v>1.329230769230769E-3</v>
      </c>
      <c r="R347" s="10">
        <f t="shared" si="95"/>
        <v>1.1021820585628738E-2</v>
      </c>
      <c r="S347" s="10">
        <f t="shared" si="96"/>
        <v>1.2351051354859506E-2</v>
      </c>
    </row>
    <row r="348" spans="1:19" x14ac:dyDescent="0.25">
      <c r="A348" s="5" t="s">
        <v>8</v>
      </c>
      <c r="B348" s="5" t="s">
        <v>199</v>
      </c>
      <c r="C348" s="5" t="s">
        <v>27</v>
      </c>
      <c r="D348" s="5" t="s">
        <v>385</v>
      </c>
      <c r="E348" s="5" t="s">
        <v>384</v>
      </c>
      <c r="F348" s="5" t="s">
        <v>45</v>
      </c>
      <c r="G348" s="5" t="s">
        <v>390</v>
      </c>
      <c r="H348" s="5" t="s">
        <v>46</v>
      </c>
      <c r="I348" s="5" t="s">
        <v>196</v>
      </c>
      <c r="J348" s="15">
        <v>1090</v>
      </c>
      <c r="K348" s="7">
        <v>25</v>
      </c>
      <c r="L348" s="7">
        <f t="shared" ref="L348:L379" si="97">J348/K348</f>
        <v>43.6</v>
      </c>
      <c r="M348" s="5" t="s">
        <v>10</v>
      </c>
      <c r="N348" s="5">
        <v>4</v>
      </c>
      <c r="O348" s="6">
        <f t="shared" ref="O348:O379" si="98">(J348*L348^2)/(1.6*10^6)</f>
        <v>1.295029</v>
      </c>
      <c r="P348" s="6">
        <f t="shared" ref="P348:P379" si="99">(0.104*J348*L348^2)/(1.6*10^6)</f>
        <v>0.13468301600000002</v>
      </c>
      <c r="Q348" s="10">
        <f t="shared" ref="Q348:Q379" si="100">(0.104*O348)/(12*N348)</f>
        <v>2.8058961666666666E-3</v>
      </c>
      <c r="R348" s="10">
        <f t="shared" ref="R348:R379" si="101">0.0159*O348^0.75</f>
        <v>1.9302197041295953E-2</v>
      </c>
      <c r="S348" s="10">
        <f t="shared" ref="S348:S379" si="102">Q348+R348</f>
        <v>2.2108093207962618E-2</v>
      </c>
    </row>
    <row r="349" spans="1:19" x14ac:dyDescent="0.25">
      <c r="A349" s="5" t="s">
        <v>8</v>
      </c>
      <c r="B349" s="5" t="s">
        <v>200</v>
      </c>
      <c r="C349" s="5" t="s">
        <v>27</v>
      </c>
      <c r="D349" s="5" t="s">
        <v>385</v>
      </c>
      <c r="E349" s="5" t="s">
        <v>384</v>
      </c>
      <c r="F349" s="5" t="s">
        <v>45</v>
      </c>
      <c r="G349" s="5" t="s">
        <v>390</v>
      </c>
      <c r="H349" s="5" t="s">
        <v>46</v>
      </c>
      <c r="I349" s="5" t="s">
        <v>196</v>
      </c>
      <c r="J349" s="15">
        <v>1040</v>
      </c>
      <c r="K349" s="7">
        <v>25.5</v>
      </c>
      <c r="L349" s="7">
        <f t="shared" si="97"/>
        <v>40.784313725490193</v>
      </c>
      <c r="M349" s="5" t="s">
        <v>10</v>
      </c>
      <c r="N349" s="5">
        <v>4</v>
      </c>
      <c r="O349" s="6">
        <f t="shared" si="98"/>
        <v>1.081184159938485</v>
      </c>
      <c r="P349" s="6">
        <f t="shared" si="99"/>
        <v>0.11244315263360244</v>
      </c>
      <c r="Q349" s="10">
        <f t="shared" si="100"/>
        <v>2.3425656798667176E-3</v>
      </c>
      <c r="R349" s="10">
        <f t="shared" si="101"/>
        <v>1.685861450724056E-2</v>
      </c>
      <c r="S349" s="10">
        <f t="shared" si="102"/>
        <v>1.9201180187107276E-2</v>
      </c>
    </row>
    <row r="350" spans="1:19" x14ac:dyDescent="0.25">
      <c r="A350" s="5" t="s">
        <v>8</v>
      </c>
      <c r="B350" s="5" t="s">
        <v>201</v>
      </c>
      <c r="C350" s="5" t="s">
        <v>27</v>
      </c>
      <c r="D350" s="5" t="s">
        <v>385</v>
      </c>
      <c r="E350" s="5" t="s">
        <v>384</v>
      </c>
      <c r="F350" s="5" t="s">
        <v>45</v>
      </c>
      <c r="G350" s="5" t="s">
        <v>390</v>
      </c>
      <c r="H350" s="5" t="s">
        <v>46</v>
      </c>
      <c r="I350" s="5" t="s">
        <v>196</v>
      </c>
      <c r="J350" s="15">
        <v>1020</v>
      </c>
      <c r="K350" s="7">
        <v>23.5</v>
      </c>
      <c r="L350" s="7">
        <f t="shared" si="97"/>
        <v>43.404255319148938</v>
      </c>
      <c r="M350" s="5" t="s">
        <v>10</v>
      </c>
      <c r="N350" s="5">
        <v>4</v>
      </c>
      <c r="O350" s="6">
        <f t="shared" si="98"/>
        <v>1.2010049796287914</v>
      </c>
      <c r="P350" s="6">
        <f t="shared" si="99"/>
        <v>0.1249045178813943</v>
      </c>
      <c r="Q350" s="10">
        <f t="shared" si="100"/>
        <v>2.6021774558623811E-3</v>
      </c>
      <c r="R350" s="10">
        <f t="shared" si="101"/>
        <v>1.824129766845984E-2</v>
      </c>
      <c r="S350" s="10">
        <f t="shared" si="102"/>
        <v>2.0843475124322219E-2</v>
      </c>
    </row>
    <row r="351" spans="1:19" x14ac:dyDescent="0.25">
      <c r="A351" s="5" t="s">
        <v>8</v>
      </c>
      <c r="B351" s="5" t="s">
        <v>300</v>
      </c>
      <c r="C351" s="5" t="s">
        <v>27</v>
      </c>
      <c r="D351" s="5" t="s">
        <v>385</v>
      </c>
      <c r="E351" s="5" t="s">
        <v>384</v>
      </c>
      <c r="F351" s="5" t="s">
        <v>45</v>
      </c>
      <c r="G351" s="5" t="s">
        <v>390</v>
      </c>
      <c r="H351" s="5" t="s">
        <v>46</v>
      </c>
      <c r="I351" s="5" t="s">
        <v>196</v>
      </c>
      <c r="J351" s="15">
        <v>1195</v>
      </c>
      <c r="K351" s="7">
        <v>24</v>
      </c>
      <c r="L351" s="7">
        <f t="shared" si="97"/>
        <v>49.791666666666664</v>
      </c>
      <c r="M351" s="5" t="s">
        <v>10</v>
      </c>
      <c r="N351" s="5">
        <v>4</v>
      </c>
      <c r="O351" s="6">
        <f t="shared" si="98"/>
        <v>1.8516600206163194</v>
      </c>
      <c r="P351" s="6">
        <f t="shared" si="99"/>
        <v>0.19257264214409722</v>
      </c>
      <c r="Q351" s="10">
        <f t="shared" si="100"/>
        <v>4.0119300446686918E-3</v>
      </c>
      <c r="R351" s="10">
        <f t="shared" si="101"/>
        <v>2.5238762776790758E-2</v>
      </c>
      <c r="S351" s="10">
        <f t="shared" si="102"/>
        <v>2.9250692821459451E-2</v>
      </c>
    </row>
    <row r="352" spans="1:19" x14ac:dyDescent="0.25">
      <c r="A352" s="5" t="s">
        <v>8</v>
      </c>
      <c r="B352" s="5" t="s">
        <v>322</v>
      </c>
      <c r="C352" s="5" t="s">
        <v>27</v>
      </c>
      <c r="D352" s="5" t="s">
        <v>385</v>
      </c>
      <c r="E352" s="5" t="s">
        <v>384</v>
      </c>
      <c r="F352" s="5" t="s">
        <v>45</v>
      </c>
      <c r="G352" s="5" t="s">
        <v>390</v>
      </c>
      <c r="H352" s="5" t="s">
        <v>46</v>
      </c>
      <c r="I352" s="5" t="s">
        <v>196</v>
      </c>
      <c r="J352" s="15">
        <v>840</v>
      </c>
      <c r="K352" s="7">
        <v>25</v>
      </c>
      <c r="L352" s="7">
        <f t="shared" si="97"/>
        <v>33.6</v>
      </c>
      <c r="M352" s="5" t="s">
        <v>10</v>
      </c>
      <c r="N352" s="5">
        <v>4</v>
      </c>
      <c r="O352" s="6">
        <f t="shared" si="98"/>
        <v>0.59270400000000001</v>
      </c>
      <c r="P352" s="6">
        <f t="shared" si="99"/>
        <v>6.1641216000000006E-2</v>
      </c>
      <c r="Q352" s="10">
        <f t="shared" si="100"/>
        <v>1.284192E-3</v>
      </c>
      <c r="R352" s="10">
        <f t="shared" si="101"/>
        <v>1.0740525188849282E-2</v>
      </c>
      <c r="S352" s="10">
        <f t="shared" si="102"/>
        <v>1.2024717188849282E-2</v>
      </c>
    </row>
    <row r="353" spans="1:19" x14ac:dyDescent="0.25">
      <c r="A353" s="5" t="s">
        <v>8</v>
      </c>
      <c r="B353" s="5" t="s">
        <v>328</v>
      </c>
      <c r="C353" s="5" t="s">
        <v>27</v>
      </c>
      <c r="D353" s="5" t="s">
        <v>385</v>
      </c>
      <c r="E353" s="5" t="s">
        <v>384</v>
      </c>
      <c r="F353" s="5" t="s">
        <v>45</v>
      </c>
      <c r="G353" s="5" t="s">
        <v>390</v>
      </c>
      <c r="H353" s="5" t="s">
        <v>46</v>
      </c>
      <c r="I353" s="5" t="s">
        <v>196</v>
      </c>
      <c r="J353" s="15">
        <v>1022</v>
      </c>
      <c r="K353" s="7">
        <v>24.8</v>
      </c>
      <c r="L353" s="7">
        <f t="shared" si="97"/>
        <v>41.20967741935484</v>
      </c>
      <c r="M353" s="5" t="s">
        <v>10</v>
      </c>
      <c r="N353" s="5">
        <v>4</v>
      </c>
      <c r="O353" s="6">
        <f t="shared" si="98"/>
        <v>1.0847492114334027</v>
      </c>
      <c r="P353" s="6">
        <f t="shared" si="99"/>
        <v>0.11281391798907389</v>
      </c>
      <c r="Q353" s="10">
        <f t="shared" si="100"/>
        <v>2.3502899581057056E-3</v>
      </c>
      <c r="R353" s="10">
        <f t="shared" si="101"/>
        <v>1.6900289015310911E-2</v>
      </c>
      <c r="S353" s="10">
        <f t="shared" si="102"/>
        <v>1.9250578973416616E-2</v>
      </c>
    </row>
    <row r="354" spans="1:19" x14ac:dyDescent="0.25">
      <c r="A354" s="5" t="s">
        <v>8</v>
      </c>
      <c r="B354" s="5" t="s">
        <v>339</v>
      </c>
      <c r="C354" s="5" t="s">
        <v>27</v>
      </c>
      <c r="D354" s="5" t="s">
        <v>385</v>
      </c>
      <c r="E354" s="5" t="s">
        <v>384</v>
      </c>
      <c r="F354" s="5" t="s">
        <v>45</v>
      </c>
      <c r="G354" s="5" t="s">
        <v>390</v>
      </c>
      <c r="H354" s="5" t="s">
        <v>46</v>
      </c>
      <c r="I354" s="5" t="s">
        <v>196</v>
      </c>
      <c r="J354" s="15">
        <v>880</v>
      </c>
      <c r="K354" s="7">
        <v>22.6</v>
      </c>
      <c r="L354" s="7">
        <f t="shared" si="97"/>
        <v>38.938053097345133</v>
      </c>
      <c r="M354" s="5" t="s">
        <v>10</v>
      </c>
      <c r="N354" s="5">
        <v>4</v>
      </c>
      <c r="O354" s="6">
        <f t="shared" si="98"/>
        <v>0.83389458845641784</v>
      </c>
      <c r="P354" s="6">
        <f t="shared" si="99"/>
        <v>8.6725037199467447E-2</v>
      </c>
      <c r="Q354" s="10">
        <f t="shared" si="100"/>
        <v>1.8067716083222385E-3</v>
      </c>
      <c r="R354" s="10">
        <f t="shared" si="101"/>
        <v>1.3874920102171794E-2</v>
      </c>
      <c r="S354" s="10">
        <f t="shared" si="102"/>
        <v>1.5681691710494033E-2</v>
      </c>
    </row>
    <row r="355" spans="1:19" x14ac:dyDescent="0.25">
      <c r="A355" s="5" t="s">
        <v>8</v>
      </c>
      <c r="B355" s="5" t="s">
        <v>339</v>
      </c>
      <c r="C355" s="5" t="s">
        <v>27</v>
      </c>
      <c r="D355" s="5" t="s">
        <v>385</v>
      </c>
      <c r="E355" s="5" t="s">
        <v>384</v>
      </c>
      <c r="F355" s="5" t="s">
        <v>45</v>
      </c>
      <c r="G355" s="5" t="s">
        <v>390</v>
      </c>
      <c r="H355" s="5" t="s">
        <v>46</v>
      </c>
      <c r="I355" s="5" t="s">
        <v>196</v>
      </c>
      <c r="J355" s="15">
        <v>820</v>
      </c>
      <c r="K355" s="7">
        <v>21.8</v>
      </c>
      <c r="L355" s="7">
        <f t="shared" si="97"/>
        <v>37.61467889908257</v>
      </c>
      <c r="M355" s="5" t="s">
        <v>10</v>
      </c>
      <c r="N355" s="5">
        <v>4</v>
      </c>
      <c r="O355" s="6">
        <f t="shared" si="98"/>
        <v>0.72511783519905726</v>
      </c>
      <c r="P355" s="6">
        <f t="shared" si="99"/>
        <v>7.5412254860701966E-2</v>
      </c>
      <c r="Q355" s="10">
        <f t="shared" si="100"/>
        <v>1.5710886429312907E-3</v>
      </c>
      <c r="R355" s="10">
        <f t="shared" si="101"/>
        <v>1.2494059354586017E-2</v>
      </c>
      <c r="S355" s="10">
        <f t="shared" si="102"/>
        <v>1.4065147997517308E-2</v>
      </c>
    </row>
    <row r="356" spans="1:19" x14ac:dyDescent="0.25">
      <c r="A356" s="5" t="s">
        <v>8</v>
      </c>
      <c r="B356" s="5" t="s">
        <v>192</v>
      </c>
      <c r="C356" s="5" t="s">
        <v>27</v>
      </c>
      <c r="D356" s="5" t="s">
        <v>385</v>
      </c>
      <c r="E356" s="5" t="s">
        <v>384</v>
      </c>
      <c r="F356" s="5" t="s">
        <v>45</v>
      </c>
      <c r="G356" s="5" t="s">
        <v>390</v>
      </c>
      <c r="H356" s="5" t="s">
        <v>46</v>
      </c>
      <c r="I356" s="5" t="s">
        <v>212</v>
      </c>
      <c r="J356" s="15">
        <v>730</v>
      </c>
      <c r="K356" s="7">
        <v>24.3</v>
      </c>
      <c r="L356" s="7">
        <f t="shared" si="97"/>
        <v>30.041152263374485</v>
      </c>
      <c r="M356" s="5" t="s">
        <v>10</v>
      </c>
      <c r="N356" s="5">
        <v>4</v>
      </c>
      <c r="O356" s="6">
        <f t="shared" si="98"/>
        <v>0.41175231587325783</v>
      </c>
      <c r="P356" s="6">
        <f t="shared" si="99"/>
        <v>4.2822240850818816E-2</v>
      </c>
      <c r="Q356" s="10">
        <f t="shared" si="100"/>
        <v>8.9213001772539199E-4</v>
      </c>
      <c r="R356" s="10">
        <f t="shared" si="101"/>
        <v>8.1728619312888239E-3</v>
      </c>
      <c r="S356" s="10">
        <f t="shared" si="102"/>
        <v>9.0649919490142158E-3</v>
      </c>
    </row>
    <row r="357" spans="1:19" x14ac:dyDescent="0.25">
      <c r="A357" s="5" t="s">
        <v>22</v>
      </c>
      <c r="B357" s="5" t="s">
        <v>63</v>
      </c>
      <c r="C357" s="5" t="s">
        <v>27</v>
      </c>
      <c r="D357" s="5" t="s">
        <v>385</v>
      </c>
      <c r="E357" s="5" t="s">
        <v>384</v>
      </c>
      <c r="F357" s="5" t="s">
        <v>45</v>
      </c>
      <c r="G357" s="5" t="s">
        <v>390</v>
      </c>
      <c r="H357" s="5" t="s">
        <v>46</v>
      </c>
      <c r="I357" s="5" t="s">
        <v>152</v>
      </c>
      <c r="J357" s="15">
        <v>2050</v>
      </c>
      <c r="K357" s="7">
        <v>48</v>
      </c>
      <c r="L357" s="7">
        <f t="shared" si="97"/>
        <v>42.708333333333336</v>
      </c>
      <c r="M357" s="5" t="s">
        <v>10</v>
      </c>
      <c r="N357" s="5">
        <v>4</v>
      </c>
      <c r="O357" s="6">
        <f t="shared" si="98"/>
        <v>2.3370022243923612</v>
      </c>
      <c r="P357" s="6">
        <f t="shared" si="99"/>
        <v>0.24304823133680559</v>
      </c>
      <c r="Q357" s="10">
        <f t="shared" si="100"/>
        <v>5.0635048195167825E-3</v>
      </c>
      <c r="R357" s="10">
        <f t="shared" si="101"/>
        <v>3.0053251699317985E-2</v>
      </c>
      <c r="S357" s="10">
        <f t="shared" si="102"/>
        <v>3.5116756518834766E-2</v>
      </c>
    </row>
    <row r="358" spans="1:19" x14ac:dyDescent="0.25">
      <c r="A358" s="5" t="s">
        <v>8</v>
      </c>
      <c r="B358" s="5" t="s">
        <v>375</v>
      </c>
      <c r="C358" s="5" t="s">
        <v>27</v>
      </c>
      <c r="D358" s="5" t="s">
        <v>385</v>
      </c>
      <c r="E358" s="5" t="s">
        <v>384</v>
      </c>
      <c r="F358" s="5" t="s">
        <v>45</v>
      </c>
      <c r="G358" s="5" t="s">
        <v>390</v>
      </c>
      <c r="H358" s="5" t="s">
        <v>46</v>
      </c>
      <c r="I358" s="5" t="s">
        <v>152</v>
      </c>
      <c r="J358" s="15">
        <v>2000</v>
      </c>
      <c r="K358" s="7">
        <v>47</v>
      </c>
      <c r="L358" s="7">
        <f t="shared" si="97"/>
        <v>42.553191489361701</v>
      </c>
      <c r="M358" s="5" t="s">
        <v>10</v>
      </c>
      <c r="N358" s="5">
        <v>4</v>
      </c>
      <c r="O358" s="6">
        <f t="shared" si="98"/>
        <v>2.2634676324128562</v>
      </c>
      <c r="P358" s="6">
        <f t="shared" si="99"/>
        <v>0.23540063377093706</v>
      </c>
      <c r="Q358" s="10">
        <f t="shared" si="100"/>
        <v>4.9041798702278549E-3</v>
      </c>
      <c r="R358" s="10">
        <f t="shared" si="101"/>
        <v>2.9341197903551185E-2</v>
      </c>
      <c r="S358" s="10">
        <f t="shared" si="102"/>
        <v>3.4245377773779041E-2</v>
      </c>
    </row>
    <row r="359" spans="1:19" x14ac:dyDescent="0.25">
      <c r="A359" s="5" t="s">
        <v>8</v>
      </c>
      <c r="B359" s="5" t="s">
        <v>300</v>
      </c>
      <c r="C359" s="5" t="s">
        <v>27</v>
      </c>
      <c r="D359" s="5" t="s">
        <v>385</v>
      </c>
      <c r="E359" s="5" t="s">
        <v>384</v>
      </c>
      <c r="F359" s="5" t="s">
        <v>45</v>
      </c>
      <c r="G359" s="5" t="s">
        <v>390</v>
      </c>
      <c r="H359" s="5" t="s">
        <v>46</v>
      </c>
      <c r="I359" s="5" t="s">
        <v>302</v>
      </c>
      <c r="J359" s="15">
        <v>1357</v>
      </c>
      <c r="K359" s="7">
        <v>29</v>
      </c>
      <c r="L359" s="7">
        <f t="shared" si="97"/>
        <v>46.793103448275865</v>
      </c>
      <c r="M359" s="5" t="s">
        <v>10</v>
      </c>
      <c r="N359" s="5">
        <v>4</v>
      </c>
      <c r="O359" s="6">
        <f t="shared" si="98"/>
        <v>1.8570498610285375</v>
      </c>
      <c r="P359" s="6">
        <f t="shared" si="99"/>
        <v>0.19313318554696787</v>
      </c>
      <c r="Q359" s="10">
        <f t="shared" si="100"/>
        <v>4.0236080322284982E-3</v>
      </c>
      <c r="R359" s="10">
        <f t="shared" si="101"/>
        <v>2.5293841786768613E-2</v>
      </c>
      <c r="S359" s="10">
        <f t="shared" si="102"/>
        <v>2.9317449818997112E-2</v>
      </c>
    </row>
    <row r="360" spans="1:19" x14ac:dyDescent="0.25">
      <c r="A360" s="5" t="s">
        <v>8</v>
      </c>
      <c r="B360" s="5" t="s">
        <v>328</v>
      </c>
      <c r="C360" s="5" t="s">
        <v>27</v>
      </c>
      <c r="D360" s="5" t="s">
        <v>385</v>
      </c>
      <c r="E360" s="5" t="s">
        <v>384</v>
      </c>
      <c r="F360" s="5" t="s">
        <v>45</v>
      </c>
      <c r="G360" s="5" t="s">
        <v>390</v>
      </c>
      <c r="H360" s="5" t="s">
        <v>46</v>
      </c>
      <c r="I360" s="5" t="s">
        <v>302</v>
      </c>
      <c r="J360" s="15">
        <v>1363</v>
      </c>
      <c r="K360" s="7">
        <v>28.2</v>
      </c>
      <c r="L360" s="7">
        <f t="shared" si="97"/>
        <v>48.333333333333336</v>
      </c>
      <c r="M360" s="5" t="s">
        <v>10</v>
      </c>
      <c r="N360" s="5">
        <v>4</v>
      </c>
      <c r="O360" s="6">
        <f t="shared" si="98"/>
        <v>1.9900746527777777</v>
      </c>
      <c r="P360" s="6">
        <f t="shared" si="99"/>
        <v>0.20696776388888888</v>
      </c>
      <c r="Q360" s="10">
        <f t="shared" si="100"/>
        <v>4.3118284143518516E-3</v>
      </c>
      <c r="R360" s="10">
        <f t="shared" si="101"/>
        <v>2.6640915833609679E-2</v>
      </c>
      <c r="S360" s="10">
        <f t="shared" si="102"/>
        <v>3.0952744247961531E-2</v>
      </c>
    </row>
    <row r="361" spans="1:19" x14ac:dyDescent="0.25">
      <c r="A361" s="5" t="s">
        <v>8</v>
      </c>
      <c r="B361" s="5" t="s">
        <v>354</v>
      </c>
      <c r="C361" s="5" t="s">
        <v>27</v>
      </c>
      <c r="D361" s="5" t="s">
        <v>385</v>
      </c>
      <c r="E361" s="5" t="s">
        <v>384</v>
      </c>
      <c r="F361" s="5" t="s">
        <v>45</v>
      </c>
      <c r="G361" s="5" t="s">
        <v>390</v>
      </c>
      <c r="H361" s="5" t="s">
        <v>46</v>
      </c>
      <c r="I361" s="5" t="s">
        <v>302</v>
      </c>
      <c r="J361" s="15">
        <v>1350</v>
      </c>
      <c r="K361" s="7">
        <v>32.5</v>
      </c>
      <c r="L361" s="7">
        <f t="shared" si="97"/>
        <v>41.53846153846154</v>
      </c>
      <c r="M361" s="5" t="s">
        <v>10</v>
      </c>
      <c r="N361" s="5">
        <v>4</v>
      </c>
      <c r="O361" s="6">
        <f t="shared" si="98"/>
        <v>1.4558431952662723</v>
      </c>
      <c r="P361" s="6">
        <f t="shared" si="99"/>
        <v>0.15140769230769233</v>
      </c>
      <c r="Q361" s="10">
        <f t="shared" si="100"/>
        <v>3.1543269230769229E-3</v>
      </c>
      <c r="R361" s="10">
        <f t="shared" si="101"/>
        <v>2.107332548180799E-2</v>
      </c>
      <c r="S361" s="10">
        <f t="shared" si="102"/>
        <v>2.4227652404884913E-2</v>
      </c>
    </row>
    <row r="362" spans="1:19" x14ac:dyDescent="0.25">
      <c r="A362" s="5" t="s">
        <v>22</v>
      </c>
      <c r="B362" s="5" t="s">
        <v>26</v>
      </c>
      <c r="C362" s="5" t="s">
        <v>27</v>
      </c>
      <c r="D362" s="5" t="s">
        <v>385</v>
      </c>
      <c r="E362" s="5" t="s">
        <v>384</v>
      </c>
      <c r="F362" s="5" t="s">
        <v>45</v>
      </c>
      <c r="G362" s="5" t="s">
        <v>390</v>
      </c>
      <c r="H362" s="5" t="s">
        <v>46</v>
      </c>
      <c r="I362" s="5" t="s">
        <v>48</v>
      </c>
      <c r="J362" s="15">
        <v>1300</v>
      </c>
      <c r="K362" s="7">
        <v>31.5</v>
      </c>
      <c r="L362" s="7">
        <f t="shared" si="97"/>
        <v>41.269841269841272</v>
      </c>
      <c r="M362" s="5" t="s">
        <v>10</v>
      </c>
      <c r="N362" s="5">
        <v>4</v>
      </c>
      <c r="O362" s="6">
        <f t="shared" si="98"/>
        <v>1.3838498362307887</v>
      </c>
      <c r="P362" s="6">
        <f t="shared" si="99"/>
        <v>0.14392038296800203</v>
      </c>
      <c r="Q362" s="10">
        <f t="shared" si="100"/>
        <v>2.9983413118333754E-3</v>
      </c>
      <c r="R362" s="10">
        <f t="shared" si="101"/>
        <v>2.0286814091063157E-2</v>
      </c>
      <c r="S362" s="10">
        <f t="shared" si="102"/>
        <v>2.3285155402896534E-2</v>
      </c>
    </row>
    <row r="363" spans="1:19" x14ac:dyDescent="0.25">
      <c r="A363" s="5" t="s">
        <v>8</v>
      </c>
      <c r="B363" s="5" t="s">
        <v>191</v>
      </c>
      <c r="C363" s="5" t="s">
        <v>27</v>
      </c>
      <c r="D363" s="5" t="s">
        <v>385</v>
      </c>
      <c r="E363" s="5" t="s">
        <v>384</v>
      </c>
      <c r="F363" s="5" t="s">
        <v>45</v>
      </c>
      <c r="G363" s="5" t="s">
        <v>390</v>
      </c>
      <c r="H363" s="5" t="s">
        <v>46</v>
      </c>
      <c r="I363" s="5" t="s">
        <v>48</v>
      </c>
      <c r="J363" s="15">
        <v>1700</v>
      </c>
      <c r="K363" s="7">
        <v>30</v>
      </c>
      <c r="L363" s="7">
        <f t="shared" si="97"/>
        <v>56.666666666666664</v>
      </c>
      <c r="M363" s="5" t="s">
        <v>10</v>
      </c>
      <c r="N363" s="5">
        <v>4</v>
      </c>
      <c r="O363" s="6">
        <f t="shared" si="98"/>
        <v>3.4118055555555551</v>
      </c>
      <c r="P363" s="6">
        <f t="shared" si="99"/>
        <v>0.35482777777777774</v>
      </c>
      <c r="Q363" s="10">
        <f t="shared" si="100"/>
        <v>7.3922453703703685E-3</v>
      </c>
      <c r="R363" s="10">
        <f t="shared" si="101"/>
        <v>3.9914925990768291E-2</v>
      </c>
      <c r="S363" s="10">
        <f t="shared" si="102"/>
        <v>4.7307171361138656E-2</v>
      </c>
    </row>
    <row r="364" spans="1:19" x14ac:dyDescent="0.25">
      <c r="A364" s="5" t="s">
        <v>8</v>
      </c>
      <c r="B364" s="5" t="s">
        <v>192</v>
      </c>
      <c r="C364" s="5" t="s">
        <v>27</v>
      </c>
      <c r="D364" s="5" t="s">
        <v>385</v>
      </c>
      <c r="E364" s="5" t="s">
        <v>384</v>
      </c>
      <c r="F364" s="5" t="s">
        <v>45</v>
      </c>
      <c r="G364" s="5" t="s">
        <v>390</v>
      </c>
      <c r="H364" s="5" t="s">
        <v>46</v>
      </c>
      <c r="I364" s="5" t="s">
        <v>48</v>
      </c>
      <c r="J364" s="15">
        <v>1590</v>
      </c>
      <c r="K364" s="7">
        <v>29.6</v>
      </c>
      <c r="L364" s="7">
        <f t="shared" si="97"/>
        <v>53.71621621621621</v>
      </c>
      <c r="M364" s="5" t="s">
        <v>10</v>
      </c>
      <c r="N364" s="5">
        <v>4</v>
      </c>
      <c r="O364" s="6">
        <f t="shared" si="98"/>
        <v>2.867397935308619</v>
      </c>
      <c r="P364" s="6">
        <f t="shared" si="99"/>
        <v>0.29820938527209634</v>
      </c>
      <c r="Q364" s="10">
        <f t="shared" si="100"/>
        <v>6.2126955265020068E-3</v>
      </c>
      <c r="R364" s="10">
        <f t="shared" si="101"/>
        <v>3.5035885669132544E-2</v>
      </c>
      <c r="S364" s="10">
        <f t="shared" si="102"/>
        <v>4.124858119563455E-2</v>
      </c>
    </row>
    <row r="365" spans="1:19" x14ac:dyDescent="0.25">
      <c r="A365" s="5" t="s">
        <v>8</v>
      </c>
      <c r="B365" s="5" t="s">
        <v>214</v>
      </c>
      <c r="C365" s="5" t="s">
        <v>27</v>
      </c>
      <c r="D365" s="5" t="s">
        <v>385</v>
      </c>
      <c r="E365" s="5" t="s">
        <v>384</v>
      </c>
      <c r="F365" s="5" t="s">
        <v>45</v>
      </c>
      <c r="G365" s="5" t="s">
        <v>390</v>
      </c>
      <c r="H365" s="5" t="s">
        <v>46</v>
      </c>
      <c r="I365" s="5" t="s">
        <v>48</v>
      </c>
      <c r="J365" s="15">
        <v>1100</v>
      </c>
      <c r="K365" s="7">
        <v>27</v>
      </c>
      <c r="L365" s="7">
        <f t="shared" si="97"/>
        <v>40.74074074074074</v>
      </c>
      <c r="M365" s="5" t="s">
        <v>10</v>
      </c>
      <c r="N365" s="5">
        <v>4</v>
      </c>
      <c r="O365" s="6">
        <f t="shared" si="98"/>
        <v>1.1411179698216736</v>
      </c>
      <c r="P365" s="6">
        <f t="shared" si="99"/>
        <v>0.11867626886145402</v>
      </c>
      <c r="Q365" s="10">
        <f t="shared" si="100"/>
        <v>2.4724222679469595E-3</v>
      </c>
      <c r="R365" s="10">
        <f t="shared" si="101"/>
        <v>1.7554765509974736E-2</v>
      </c>
      <c r="S365" s="10">
        <f t="shared" si="102"/>
        <v>2.0027187777921694E-2</v>
      </c>
    </row>
    <row r="366" spans="1:19" x14ac:dyDescent="0.25">
      <c r="A366" s="5" t="s">
        <v>8</v>
      </c>
      <c r="B366" s="5" t="s">
        <v>291</v>
      </c>
      <c r="C366" s="5" t="s">
        <v>27</v>
      </c>
      <c r="D366" s="5" t="s">
        <v>385</v>
      </c>
      <c r="E366" s="5" t="s">
        <v>384</v>
      </c>
      <c r="F366" s="5" t="s">
        <v>45</v>
      </c>
      <c r="G366" s="5" t="s">
        <v>390</v>
      </c>
      <c r="H366" s="5" t="s">
        <v>46</v>
      </c>
      <c r="I366" s="5" t="s">
        <v>48</v>
      </c>
      <c r="J366" s="15">
        <v>980</v>
      </c>
      <c r="K366" s="7">
        <v>26</v>
      </c>
      <c r="L366" s="7">
        <f t="shared" si="97"/>
        <v>37.692307692307693</v>
      </c>
      <c r="M366" s="5" t="s">
        <v>10</v>
      </c>
      <c r="N366" s="5">
        <v>4</v>
      </c>
      <c r="O366" s="6">
        <f t="shared" si="98"/>
        <v>0.87018491124260366</v>
      </c>
      <c r="P366" s="6">
        <f t="shared" si="99"/>
        <v>9.0499230769230776E-2</v>
      </c>
      <c r="Q366" s="10">
        <f t="shared" si="100"/>
        <v>1.8854006410256412E-3</v>
      </c>
      <c r="R366" s="10">
        <f t="shared" si="101"/>
        <v>1.4325367948525116E-2</v>
      </c>
      <c r="S366" s="10">
        <f t="shared" si="102"/>
        <v>1.6210768589550756E-2</v>
      </c>
    </row>
    <row r="367" spans="1:19" x14ac:dyDescent="0.25">
      <c r="A367" s="5" t="s">
        <v>8</v>
      </c>
      <c r="B367" s="5" t="s">
        <v>300</v>
      </c>
      <c r="C367" s="5" t="s">
        <v>27</v>
      </c>
      <c r="D367" s="5" t="s">
        <v>385</v>
      </c>
      <c r="E367" s="5" t="s">
        <v>384</v>
      </c>
      <c r="F367" s="5" t="s">
        <v>45</v>
      </c>
      <c r="G367" s="5" t="s">
        <v>390</v>
      </c>
      <c r="H367" s="5" t="s">
        <v>46</v>
      </c>
      <c r="I367" s="5" t="s">
        <v>48</v>
      </c>
      <c r="J367" s="15">
        <v>980</v>
      </c>
      <c r="K367" s="7">
        <v>26</v>
      </c>
      <c r="L367" s="7">
        <f t="shared" si="97"/>
        <v>37.692307692307693</v>
      </c>
      <c r="M367" s="5" t="s">
        <v>10</v>
      </c>
      <c r="N367" s="5">
        <v>4</v>
      </c>
      <c r="O367" s="6">
        <f t="shared" si="98"/>
        <v>0.87018491124260366</v>
      </c>
      <c r="P367" s="6">
        <f t="shared" si="99"/>
        <v>9.0499230769230776E-2</v>
      </c>
      <c r="Q367" s="10">
        <f t="shared" si="100"/>
        <v>1.8854006410256412E-3</v>
      </c>
      <c r="R367" s="10">
        <f t="shared" si="101"/>
        <v>1.4325367948525116E-2</v>
      </c>
      <c r="S367" s="10">
        <f t="shared" si="102"/>
        <v>1.6210768589550756E-2</v>
      </c>
    </row>
    <row r="368" spans="1:19" x14ac:dyDescent="0.25">
      <c r="A368" s="5" t="s">
        <v>8</v>
      </c>
      <c r="B368" s="5" t="s">
        <v>307</v>
      </c>
      <c r="C368" s="5" t="s">
        <v>27</v>
      </c>
      <c r="D368" s="5" t="s">
        <v>385</v>
      </c>
      <c r="E368" s="5" t="s">
        <v>384</v>
      </c>
      <c r="F368" s="5" t="s">
        <v>45</v>
      </c>
      <c r="G368" s="5" t="s">
        <v>390</v>
      </c>
      <c r="H368" s="5" t="s">
        <v>46</v>
      </c>
      <c r="I368" s="5" t="s">
        <v>48</v>
      </c>
      <c r="J368" s="15">
        <v>1600</v>
      </c>
      <c r="K368" s="7">
        <v>31.2</v>
      </c>
      <c r="L368" s="7">
        <f t="shared" si="97"/>
        <v>51.282051282051285</v>
      </c>
      <c r="M368" s="5" t="s">
        <v>10</v>
      </c>
      <c r="N368" s="5">
        <v>4</v>
      </c>
      <c r="O368" s="6">
        <f t="shared" si="98"/>
        <v>2.6298487836949382</v>
      </c>
      <c r="P368" s="6">
        <f t="shared" si="99"/>
        <v>0.27350427350427353</v>
      </c>
      <c r="Q368" s="10">
        <f t="shared" si="100"/>
        <v>5.6980056980057E-3</v>
      </c>
      <c r="R368" s="10">
        <f t="shared" si="101"/>
        <v>3.2835618960862005E-2</v>
      </c>
      <c r="S368" s="10">
        <f t="shared" si="102"/>
        <v>3.8533624658867706E-2</v>
      </c>
    </row>
    <row r="369" spans="1:19" x14ac:dyDescent="0.25">
      <c r="A369" s="5" t="s">
        <v>8</v>
      </c>
      <c r="B369" s="5" t="s">
        <v>339</v>
      </c>
      <c r="C369" s="5" t="s">
        <v>27</v>
      </c>
      <c r="D369" s="5" t="s">
        <v>385</v>
      </c>
      <c r="E369" s="5" t="s">
        <v>384</v>
      </c>
      <c r="F369" s="5" t="s">
        <v>45</v>
      </c>
      <c r="G369" s="5" t="s">
        <v>390</v>
      </c>
      <c r="H369" s="5" t="s">
        <v>46</v>
      </c>
      <c r="I369" s="5" t="s">
        <v>48</v>
      </c>
      <c r="J369" s="15">
        <v>1080</v>
      </c>
      <c r="K369" s="7">
        <v>28.5</v>
      </c>
      <c r="L369" s="7">
        <f t="shared" si="97"/>
        <v>37.89473684210526</v>
      </c>
      <c r="M369" s="5" t="s">
        <v>10</v>
      </c>
      <c r="N369" s="5">
        <v>4</v>
      </c>
      <c r="O369" s="6">
        <f t="shared" si="98"/>
        <v>0.96930747922437654</v>
      </c>
      <c r="P369" s="6">
        <f t="shared" si="99"/>
        <v>0.10080797783933516</v>
      </c>
      <c r="Q369" s="10">
        <f t="shared" si="100"/>
        <v>2.1001662049861488E-3</v>
      </c>
      <c r="R369" s="10">
        <f t="shared" si="101"/>
        <v>1.5532569200814635E-2</v>
      </c>
      <c r="S369" s="10">
        <f t="shared" si="102"/>
        <v>1.7632735405800785E-2</v>
      </c>
    </row>
    <row r="370" spans="1:19" x14ac:dyDescent="0.25">
      <c r="A370" s="5" t="s">
        <v>8</v>
      </c>
      <c r="B370" s="5" t="s">
        <v>339</v>
      </c>
      <c r="C370" s="5" t="s">
        <v>27</v>
      </c>
      <c r="D370" s="5" t="s">
        <v>385</v>
      </c>
      <c r="E370" s="5" t="s">
        <v>384</v>
      </c>
      <c r="F370" s="5" t="s">
        <v>45</v>
      </c>
      <c r="G370" s="5" t="s">
        <v>390</v>
      </c>
      <c r="H370" s="5" t="s">
        <v>46</v>
      </c>
      <c r="I370" s="5" t="s">
        <v>48</v>
      </c>
      <c r="J370" s="15">
        <v>962</v>
      </c>
      <c r="K370" s="7">
        <v>25</v>
      </c>
      <c r="L370" s="7">
        <f t="shared" si="97"/>
        <v>38.479999999999997</v>
      </c>
      <c r="M370" s="5" t="s">
        <v>10</v>
      </c>
      <c r="N370" s="5">
        <v>4</v>
      </c>
      <c r="O370" s="6">
        <f t="shared" si="98"/>
        <v>0.89027712799999981</v>
      </c>
      <c r="P370" s="6">
        <f t="shared" si="99"/>
        <v>9.2588821311999983E-2</v>
      </c>
      <c r="Q370" s="10">
        <f t="shared" si="100"/>
        <v>1.9289337773333328E-3</v>
      </c>
      <c r="R370" s="10">
        <f t="shared" si="101"/>
        <v>1.4572733957196257E-2</v>
      </c>
      <c r="S370" s="10">
        <f t="shared" si="102"/>
        <v>1.6501667734529591E-2</v>
      </c>
    </row>
    <row r="371" spans="1:19" x14ac:dyDescent="0.25">
      <c r="A371" s="5" t="s">
        <v>8</v>
      </c>
      <c r="B371" s="5" t="s">
        <v>339</v>
      </c>
      <c r="C371" s="5" t="s">
        <v>27</v>
      </c>
      <c r="D371" s="5" t="s">
        <v>385</v>
      </c>
      <c r="E371" s="5" t="s">
        <v>384</v>
      </c>
      <c r="F371" s="5" t="s">
        <v>45</v>
      </c>
      <c r="G371" s="5" t="s">
        <v>390</v>
      </c>
      <c r="H371" s="5" t="s">
        <v>46</v>
      </c>
      <c r="I371" s="5" t="s">
        <v>48</v>
      </c>
      <c r="J371" s="15">
        <v>970</v>
      </c>
      <c r="K371" s="7">
        <v>24.4</v>
      </c>
      <c r="L371" s="7">
        <f t="shared" si="97"/>
        <v>39.754098360655739</v>
      </c>
      <c r="M371" s="5" t="s">
        <v>10</v>
      </c>
      <c r="N371" s="5">
        <v>4</v>
      </c>
      <c r="O371" s="6">
        <f t="shared" si="98"/>
        <v>0.95811042898414411</v>
      </c>
      <c r="P371" s="6">
        <f t="shared" si="99"/>
        <v>9.9643484614350977E-2</v>
      </c>
      <c r="Q371" s="10">
        <f t="shared" si="100"/>
        <v>2.0759059294656454E-3</v>
      </c>
      <c r="R371" s="10">
        <f t="shared" si="101"/>
        <v>1.5397804452543755E-2</v>
      </c>
      <c r="S371" s="10">
        <f t="shared" si="102"/>
        <v>1.74737103820094E-2</v>
      </c>
    </row>
    <row r="372" spans="1:19" x14ac:dyDescent="0.25">
      <c r="A372" s="5" t="s">
        <v>22</v>
      </c>
      <c r="B372" s="5" t="s">
        <v>63</v>
      </c>
      <c r="C372" s="5" t="s">
        <v>27</v>
      </c>
      <c r="D372" s="5" t="s">
        <v>385</v>
      </c>
      <c r="E372" s="5" t="s">
        <v>384</v>
      </c>
      <c r="F372" s="5" t="s">
        <v>45</v>
      </c>
      <c r="G372" s="5" t="s">
        <v>390</v>
      </c>
      <c r="H372" s="5" t="s">
        <v>46</v>
      </c>
      <c r="I372" s="5" t="s">
        <v>14</v>
      </c>
      <c r="J372" s="15">
        <v>1110</v>
      </c>
      <c r="K372" s="7">
        <v>25</v>
      </c>
      <c r="L372" s="7">
        <f t="shared" si="97"/>
        <v>44.4</v>
      </c>
      <c r="M372" s="5" t="s">
        <v>10</v>
      </c>
      <c r="N372" s="5">
        <v>4</v>
      </c>
      <c r="O372" s="6">
        <f t="shared" si="98"/>
        <v>1.367631</v>
      </c>
      <c r="P372" s="6">
        <f t="shared" si="99"/>
        <v>0.14223362399999998</v>
      </c>
      <c r="Q372" s="10">
        <f t="shared" si="100"/>
        <v>2.9632005000000002E-3</v>
      </c>
      <c r="R372" s="10">
        <f t="shared" si="101"/>
        <v>2.0108229189784745E-2</v>
      </c>
      <c r="S372" s="10">
        <f t="shared" si="102"/>
        <v>2.3071429689784744E-2</v>
      </c>
    </row>
    <row r="373" spans="1:19" x14ac:dyDescent="0.25">
      <c r="A373" s="5" t="s">
        <v>8</v>
      </c>
      <c r="B373" s="5" t="s">
        <v>192</v>
      </c>
      <c r="C373" s="5" t="s">
        <v>27</v>
      </c>
      <c r="D373" s="5" t="s">
        <v>385</v>
      </c>
      <c r="E373" s="5" t="s">
        <v>384</v>
      </c>
      <c r="F373" s="5" t="s">
        <v>45</v>
      </c>
      <c r="G373" s="5" t="s">
        <v>390</v>
      </c>
      <c r="H373" s="5" t="s">
        <v>46</v>
      </c>
      <c r="I373" s="5" t="s">
        <v>14</v>
      </c>
      <c r="J373" s="15">
        <v>1090</v>
      </c>
      <c r="K373" s="7">
        <v>27.3</v>
      </c>
      <c r="L373" s="7">
        <f t="shared" si="97"/>
        <v>39.926739926739927</v>
      </c>
      <c r="M373" s="5" t="s">
        <v>10</v>
      </c>
      <c r="N373" s="5">
        <v>4</v>
      </c>
      <c r="O373" s="6">
        <f t="shared" si="98"/>
        <v>1.0860109823021911</v>
      </c>
      <c r="P373" s="6">
        <f t="shared" si="99"/>
        <v>0.11294514215942787</v>
      </c>
      <c r="Q373" s="10">
        <f t="shared" si="100"/>
        <v>2.3530237949880807E-3</v>
      </c>
      <c r="R373" s="10">
        <f t="shared" si="101"/>
        <v>1.6915030574766531E-2</v>
      </c>
      <c r="S373" s="10">
        <f t="shared" si="102"/>
        <v>1.9268054369754612E-2</v>
      </c>
    </row>
    <row r="374" spans="1:19" x14ac:dyDescent="0.25">
      <c r="A374" s="5" t="s">
        <v>8</v>
      </c>
      <c r="B374" s="5" t="s">
        <v>191</v>
      </c>
      <c r="C374" s="5" t="s">
        <v>27</v>
      </c>
      <c r="D374" s="5" t="s">
        <v>385</v>
      </c>
      <c r="E374" s="5" t="s">
        <v>384</v>
      </c>
      <c r="F374" s="5" t="s">
        <v>45</v>
      </c>
      <c r="G374" s="5" t="s">
        <v>390</v>
      </c>
      <c r="H374" s="5" t="s">
        <v>46</v>
      </c>
      <c r="I374" s="5" t="s">
        <v>14</v>
      </c>
      <c r="J374" s="15">
        <v>1200</v>
      </c>
      <c r="K374" s="7">
        <v>25</v>
      </c>
      <c r="L374" s="7">
        <f t="shared" si="97"/>
        <v>48</v>
      </c>
      <c r="M374" s="5" t="s">
        <v>10</v>
      </c>
      <c r="N374" s="5">
        <v>4</v>
      </c>
      <c r="O374" s="6">
        <f t="shared" si="98"/>
        <v>1.728</v>
      </c>
      <c r="P374" s="6">
        <f t="shared" si="99"/>
        <v>0.17971200000000001</v>
      </c>
      <c r="Q374" s="10">
        <f t="shared" si="100"/>
        <v>3.7439999999999995E-3</v>
      </c>
      <c r="R374" s="10">
        <f t="shared" si="101"/>
        <v>2.3963758151521651E-2</v>
      </c>
      <c r="S374" s="10">
        <f t="shared" si="102"/>
        <v>2.7707758151521652E-2</v>
      </c>
    </row>
    <row r="375" spans="1:19" x14ac:dyDescent="0.25">
      <c r="A375" s="5" t="s">
        <v>8</v>
      </c>
      <c r="B375" s="5" t="s">
        <v>193</v>
      </c>
      <c r="C375" s="5" t="s">
        <v>27</v>
      </c>
      <c r="D375" s="5" t="s">
        <v>385</v>
      </c>
      <c r="E375" s="5" t="s">
        <v>384</v>
      </c>
      <c r="F375" s="5" t="s">
        <v>45</v>
      </c>
      <c r="G375" s="5" t="s">
        <v>390</v>
      </c>
      <c r="H375" s="5" t="s">
        <v>46</v>
      </c>
      <c r="I375" s="5" t="s">
        <v>14</v>
      </c>
      <c r="J375" s="15">
        <v>1110</v>
      </c>
      <c r="K375" s="7">
        <v>24.5</v>
      </c>
      <c r="L375" s="7">
        <f t="shared" si="97"/>
        <v>45.306122448979593</v>
      </c>
      <c r="M375" s="5" t="s">
        <v>10</v>
      </c>
      <c r="N375" s="5">
        <v>4</v>
      </c>
      <c r="O375" s="6">
        <f t="shared" si="98"/>
        <v>1.424022282382341</v>
      </c>
      <c r="P375" s="6">
        <f t="shared" si="99"/>
        <v>0.14809831736776344</v>
      </c>
      <c r="Q375" s="10">
        <f t="shared" si="100"/>
        <v>3.0853816118284055E-3</v>
      </c>
      <c r="R375" s="10">
        <f t="shared" si="101"/>
        <v>2.0726917227040922E-2</v>
      </c>
      <c r="S375" s="10">
        <f t="shared" si="102"/>
        <v>2.3812298838869327E-2</v>
      </c>
    </row>
    <row r="376" spans="1:19" x14ac:dyDescent="0.25">
      <c r="A376" s="5" t="s">
        <v>8</v>
      </c>
      <c r="B376" s="5" t="s">
        <v>194</v>
      </c>
      <c r="C376" s="5" t="s">
        <v>27</v>
      </c>
      <c r="D376" s="5" t="s">
        <v>385</v>
      </c>
      <c r="E376" s="5" t="s">
        <v>384</v>
      </c>
      <c r="F376" s="5" t="s">
        <v>45</v>
      </c>
      <c r="G376" s="5" t="s">
        <v>390</v>
      </c>
      <c r="H376" s="5" t="s">
        <v>46</v>
      </c>
      <c r="I376" s="5" t="s">
        <v>14</v>
      </c>
      <c r="J376" s="15">
        <v>1070</v>
      </c>
      <c r="K376" s="7">
        <v>24.5</v>
      </c>
      <c r="L376" s="7">
        <f t="shared" si="97"/>
        <v>43.673469387755105</v>
      </c>
      <c r="M376" s="5" t="s">
        <v>10</v>
      </c>
      <c r="N376" s="5">
        <v>4</v>
      </c>
      <c r="O376" s="6">
        <f t="shared" si="98"/>
        <v>1.275554977092878</v>
      </c>
      <c r="P376" s="6">
        <f t="shared" si="99"/>
        <v>0.13265771761765932</v>
      </c>
      <c r="Q376" s="10">
        <f t="shared" si="100"/>
        <v>2.7637024503679025E-3</v>
      </c>
      <c r="R376" s="10">
        <f t="shared" si="101"/>
        <v>1.9084092397598378E-2</v>
      </c>
      <c r="S376" s="10">
        <f t="shared" si="102"/>
        <v>2.1847794847966281E-2</v>
      </c>
    </row>
    <row r="377" spans="1:19" x14ac:dyDescent="0.25">
      <c r="A377" s="5" t="s">
        <v>8</v>
      </c>
      <c r="B377" s="5" t="s">
        <v>195</v>
      </c>
      <c r="C377" s="5" t="s">
        <v>27</v>
      </c>
      <c r="D377" s="5" t="s">
        <v>385</v>
      </c>
      <c r="E377" s="5" t="s">
        <v>384</v>
      </c>
      <c r="F377" s="5" t="s">
        <v>45</v>
      </c>
      <c r="G377" s="5" t="s">
        <v>390</v>
      </c>
      <c r="H377" s="5" t="s">
        <v>46</v>
      </c>
      <c r="I377" s="5" t="s">
        <v>14</v>
      </c>
      <c r="J377" s="15">
        <v>1160</v>
      </c>
      <c r="K377" s="7">
        <v>31.9</v>
      </c>
      <c r="L377" s="7">
        <f t="shared" si="97"/>
        <v>36.363636363636367</v>
      </c>
      <c r="M377" s="5" t="s">
        <v>10</v>
      </c>
      <c r="N377" s="5">
        <v>4</v>
      </c>
      <c r="O377" s="6">
        <f t="shared" si="98"/>
        <v>0.95867768595041347</v>
      </c>
      <c r="P377" s="6">
        <f t="shared" si="99"/>
        <v>9.9702479338843006E-2</v>
      </c>
      <c r="Q377" s="10">
        <f t="shared" si="100"/>
        <v>2.0771349862258957E-3</v>
      </c>
      <c r="R377" s="10">
        <f t="shared" si="101"/>
        <v>1.5404641241904566E-2</v>
      </c>
      <c r="S377" s="10">
        <f t="shared" si="102"/>
        <v>1.7481776228130463E-2</v>
      </c>
    </row>
    <row r="378" spans="1:19" x14ac:dyDescent="0.25">
      <c r="A378" s="5" t="s">
        <v>8</v>
      </c>
      <c r="B378" s="5" t="s">
        <v>214</v>
      </c>
      <c r="C378" s="5" t="s">
        <v>27</v>
      </c>
      <c r="D378" s="5" t="s">
        <v>385</v>
      </c>
      <c r="E378" s="5" t="s">
        <v>384</v>
      </c>
      <c r="F378" s="5" t="s">
        <v>45</v>
      </c>
      <c r="G378" s="5" t="s">
        <v>390</v>
      </c>
      <c r="H378" s="5" t="s">
        <v>46</v>
      </c>
      <c r="I378" s="5" t="s">
        <v>14</v>
      </c>
      <c r="J378" s="15">
        <v>1100</v>
      </c>
      <c r="K378" s="7">
        <v>32</v>
      </c>
      <c r="L378" s="7">
        <f t="shared" si="97"/>
        <v>34.375</v>
      </c>
      <c r="M378" s="5" t="s">
        <v>10</v>
      </c>
      <c r="N378" s="5">
        <v>4</v>
      </c>
      <c r="O378" s="6">
        <f t="shared" si="98"/>
        <v>0.8123779296875</v>
      </c>
      <c r="P378" s="6">
        <f t="shared" si="99"/>
        <v>8.4487304687500001E-2</v>
      </c>
      <c r="Q378" s="10">
        <f t="shared" si="100"/>
        <v>1.7601521809895834E-3</v>
      </c>
      <c r="R378" s="10">
        <f t="shared" si="101"/>
        <v>1.3605537743536752E-2</v>
      </c>
      <c r="S378" s="10">
        <f t="shared" si="102"/>
        <v>1.5365689924526336E-2</v>
      </c>
    </row>
    <row r="379" spans="1:19" x14ac:dyDescent="0.25">
      <c r="A379" s="5" t="s">
        <v>8</v>
      </c>
      <c r="B379" s="5" t="s">
        <v>329</v>
      </c>
      <c r="C379" s="5" t="s">
        <v>27</v>
      </c>
      <c r="D379" s="5" t="s">
        <v>385</v>
      </c>
      <c r="E379" s="5" t="s">
        <v>384</v>
      </c>
      <c r="F379" s="5" t="s">
        <v>45</v>
      </c>
      <c r="G379" s="5" t="s">
        <v>390</v>
      </c>
      <c r="H379" s="5" t="s">
        <v>46</v>
      </c>
      <c r="I379" s="5" t="s">
        <v>14</v>
      </c>
      <c r="J379" s="15">
        <v>1120</v>
      </c>
      <c r="K379" s="7">
        <v>36.5</v>
      </c>
      <c r="L379" s="7">
        <f t="shared" si="97"/>
        <v>30.684931506849313</v>
      </c>
      <c r="M379" s="5" t="s">
        <v>10</v>
      </c>
      <c r="N379" s="5">
        <v>4</v>
      </c>
      <c r="O379" s="6">
        <f t="shared" si="98"/>
        <v>0.65909551510602349</v>
      </c>
      <c r="P379" s="6">
        <f t="shared" si="99"/>
        <v>6.8545933571026438E-2</v>
      </c>
      <c r="Q379" s="10">
        <f t="shared" si="100"/>
        <v>1.4280402827297175E-3</v>
      </c>
      <c r="R379" s="10">
        <f t="shared" si="101"/>
        <v>1.1630767966535846E-2</v>
      </c>
      <c r="S379" s="10">
        <f t="shared" si="102"/>
        <v>1.3058808249265565E-2</v>
      </c>
    </row>
    <row r="380" spans="1:19" x14ac:dyDescent="0.25">
      <c r="A380" s="5" t="s">
        <v>8</v>
      </c>
      <c r="B380" s="5" t="s">
        <v>339</v>
      </c>
      <c r="C380" s="5" t="s">
        <v>27</v>
      </c>
      <c r="D380" s="5" t="s">
        <v>385</v>
      </c>
      <c r="E380" s="5" t="s">
        <v>384</v>
      </c>
      <c r="F380" s="5" t="s">
        <v>45</v>
      </c>
      <c r="G380" s="5" t="s">
        <v>390</v>
      </c>
      <c r="H380" s="5" t="s">
        <v>46</v>
      </c>
      <c r="I380" s="5" t="s">
        <v>14</v>
      </c>
      <c r="J380" s="15">
        <v>1010</v>
      </c>
      <c r="K380" s="7">
        <v>21.1</v>
      </c>
      <c r="L380" s="7">
        <f t="shared" ref="L380:L411" si="103">J380/K380</f>
        <v>47.867298578199048</v>
      </c>
      <c r="M380" s="5" t="s">
        <v>10</v>
      </c>
      <c r="N380" s="5">
        <v>4</v>
      </c>
      <c r="O380" s="6">
        <f t="shared" ref="O380:O412" si="104">(J380*L380^2)/(1.6*10^6)</f>
        <v>1.4463694099413755</v>
      </c>
      <c r="P380" s="6">
        <f t="shared" ref="P380:P412" si="105">(0.104*J380*L380^2)/(1.6*10^6)</f>
        <v>0.15042241863390304</v>
      </c>
      <c r="Q380" s="10">
        <f t="shared" ref="Q380:Q412" si="106">(0.104*O380)/(12*N380)</f>
        <v>3.1338003882063134E-3</v>
      </c>
      <c r="R380" s="10">
        <f t="shared" ref="R380:R412" si="107">0.0159*O380^0.75</f>
        <v>2.0970391834637787E-2</v>
      </c>
      <c r="S380" s="10">
        <f t="shared" ref="S380:S411" si="108">Q380+R380</f>
        <v>2.4104192222844101E-2</v>
      </c>
    </row>
    <row r="381" spans="1:19" x14ac:dyDescent="0.25">
      <c r="A381" s="5" t="s">
        <v>8</v>
      </c>
      <c r="B381" s="5" t="s">
        <v>308</v>
      </c>
      <c r="C381" s="5" t="s">
        <v>27</v>
      </c>
      <c r="D381" s="5" t="s">
        <v>385</v>
      </c>
      <c r="E381" s="5" t="s">
        <v>384</v>
      </c>
      <c r="F381" s="5" t="s">
        <v>45</v>
      </c>
      <c r="G381" s="5" t="s">
        <v>390</v>
      </c>
      <c r="H381" s="5" t="s">
        <v>46</v>
      </c>
      <c r="I381" s="5" t="s">
        <v>71</v>
      </c>
      <c r="J381" s="15">
        <v>924</v>
      </c>
      <c r="K381" s="7">
        <v>33</v>
      </c>
      <c r="L381" s="7">
        <f t="shared" si="103"/>
        <v>28</v>
      </c>
      <c r="M381" s="5" t="s">
        <v>10</v>
      </c>
      <c r="N381" s="5">
        <v>4</v>
      </c>
      <c r="O381" s="6">
        <f t="shared" si="104"/>
        <v>0.45276</v>
      </c>
      <c r="P381" s="6">
        <f t="shared" si="105"/>
        <v>4.7087039999999997E-2</v>
      </c>
      <c r="Q381" s="10">
        <f t="shared" si="106"/>
        <v>9.8098E-4</v>
      </c>
      <c r="R381" s="10">
        <f t="shared" si="107"/>
        <v>8.7760312850900107E-3</v>
      </c>
      <c r="S381" s="10">
        <f t="shared" si="108"/>
        <v>9.7570112850900101E-3</v>
      </c>
    </row>
    <row r="382" spans="1:19" x14ac:dyDescent="0.25">
      <c r="A382" s="5" t="s">
        <v>8</v>
      </c>
      <c r="B382" s="5" t="s">
        <v>214</v>
      </c>
      <c r="C382" s="5" t="s">
        <v>27</v>
      </c>
      <c r="D382" s="5" t="s">
        <v>385</v>
      </c>
      <c r="E382" s="5" t="s">
        <v>384</v>
      </c>
      <c r="F382" s="5" t="s">
        <v>45</v>
      </c>
      <c r="G382" s="5" t="s">
        <v>390</v>
      </c>
      <c r="H382" s="5" t="s">
        <v>46</v>
      </c>
      <c r="I382" s="5" t="s">
        <v>215</v>
      </c>
      <c r="J382" s="15">
        <v>1100</v>
      </c>
      <c r="K382" s="7">
        <v>25</v>
      </c>
      <c r="L382" s="7">
        <f t="shared" si="103"/>
        <v>44</v>
      </c>
      <c r="M382" s="5" t="s">
        <v>10</v>
      </c>
      <c r="N382" s="5">
        <v>4</v>
      </c>
      <c r="O382" s="6">
        <f t="shared" si="104"/>
        <v>1.331</v>
      </c>
      <c r="P382" s="6">
        <f t="shared" si="105"/>
        <v>0.13842399999999999</v>
      </c>
      <c r="Q382" s="10">
        <f t="shared" si="106"/>
        <v>2.8838333333333333E-3</v>
      </c>
      <c r="R382" s="10">
        <f t="shared" si="107"/>
        <v>1.9702923264295638E-2</v>
      </c>
      <c r="S382" s="10">
        <f t="shared" si="108"/>
        <v>2.258675659762897E-2</v>
      </c>
    </row>
    <row r="383" spans="1:19" x14ac:dyDescent="0.25">
      <c r="A383" s="5" t="s">
        <v>8</v>
      </c>
      <c r="B383" s="5" t="s">
        <v>311</v>
      </c>
      <c r="C383" s="5" t="s">
        <v>27</v>
      </c>
      <c r="D383" s="5" t="s">
        <v>385</v>
      </c>
      <c r="E383" s="5" t="s">
        <v>384</v>
      </c>
      <c r="F383" s="5" t="s">
        <v>45</v>
      </c>
      <c r="G383" s="5" t="s">
        <v>390</v>
      </c>
      <c r="H383" s="5" t="s">
        <v>46</v>
      </c>
      <c r="I383" s="5" t="s">
        <v>215</v>
      </c>
      <c r="J383" s="15">
        <v>1200</v>
      </c>
      <c r="K383" s="7">
        <v>28</v>
      </c>
      <c r="L383" s="7">
        <f t="shared" si="103"/>
        <v>42.857142857142854</v>
      </c>
      <c r="M383" s="5" t="s">
        <v>10</v>
      </c>
      <c r="N383" s="5">
        <v>4</v>
      </c>
      <c r="O383" s="6">
        <f t="shared" si="104"/>
        <v>1.3775510204081631</v>
      </c>
      <c r="P383" s="6">
        <f t="shared" si="105"/>
        <v>0.14326530612244898</v>
      </c>
      <c r="Q383" s="10">
        <f t="shared" si="106"/>
        <v>2.9846938775510198E-3</v>
      </c>
      <c r="R383" s="10">
        <f t="shared" si="107"/>
        <v>2.0217520582724226E-2</v>
      </c>
      <c r="S383" s="10">
        <f t="shared" si="108"/>
        <v>2.3202214460275247E-2</v>
      </c>
    </row>
    <row r="384" spans="1:19" x14ac:dyDescent="0.25">
      <c r="A384" s="5" t="s">
        <v>8</v>
      </c>
      <c r="B384" s="5" t="s">
        <v>339</v>
      </c>
      <c r="C384" s="5" t="s">
        <v>27</v>
      </c>
      <c r="D384" s="5" t="s">
        <v>385</v>
      </c>
      <c r="E384" s="5" t="s">
        <v>384</v>
      </c>
      <c r="F384" s="5" t="s">
        <v>45</v>
      </c>
      <c r="G384" s="5" t="s">
        <v>390</v>
      </c>
      <c r="H384" s="5" t="s">
        <v>46</v>
      </c>
      <c r="I384" s="5" t="s">
        <v>342</v>
      </c>
      <c r="J384" s="15">
        <v>1400</v>
      </c>
      <c r="K384" s="7">
        <v>25.1</v>
      </c>
      <c r="L384" s="7">
        <f t="shared" si="103"/>
        <v>55.776892430278885</v>
      </c>
      <c r="M384" s="5" t="s">
        <v>10</v>
      </c>
      <c r="N384" s="5">
        <v>4</v>
      </c>
      <c r="O384" s="6">
        <f t="shared" si="104"/>
        <v>2.7221790130315395</v>
      </c>
      <c r="P384" s="6">
        <f t="shared" si="105"/>
        <v>0.28310661735528009</v>
      </c>
      <c r="Q384" s="10">
        <f t="shared" si="106"/>
        <v>5.8980545282350015E-3</v>
      </c>
      <c r="R384" s="10">
        <f t="shared" si="107"/>
        <v>3.3696487711617512E-2</v>
      </c>
      <c r="S384" s="10">
        <f t="shared" si="108"/>
        <v>3.9594542239852516E-2</v>
      </c>
    </row>
    <row r="385" spans="1:19" x14ac:dyDescent="0.25">
      <c r="A385" s="5" t="s">
        <v>8</v>
      </c>
      <c r="B385" s="5" t="s">
        <v>356</v>
      </c>
      <c r="C385" s="5" t="s">
        <v>27</v>
      </c>
      <c r="D385" s="5" t="s">
        <v>385</v>
      </c>
      <c r="E385" s="5" t="s">
        <v>384</v>
      </c>
      <c r="F385" s="5" t="s">
        <v>45</v>
      </c>
      <c r="G385" s="5" t="s">
        <v>390</v>
      </c>
      <c r="H385" s="5" t="s">
        <v>46</v>
      </c>
      <c r="I385" s="5" t="s">
        <v>355</v>
      </c>
      <c r="J385" s="15">
        <v>1145</v>
      </c>
      <c r="K385" s="7">
        <v>25</v>
      </c>
      <c r="L385" s="7">
        <f t="shared" si="103"/>
        <v>45.8</v>
      </c>
      <c r="M385" s="5" t="s">
        <v>10</v>
      </c>
      <c r="N385" s="5">
        <v>4</v>
      </c>
      <c r="O385" s="6">
        <f t="shared" si="104"/>
        <v>1.501123625</v>
      </c>
      <c r="P385" s="6">
        <f t="shared" si="105"/>
        <v>0.15611685699999997</v>
      </c>
      <c r="Q385" s="10">
        <f t="shared" si="106"/>
        <v>3.2524345208333333E-3</v>
      </c>
      <c r="R385" s="10">
        <f t="shared" si="107"/>
        <v>2.156301422213177E-2</v>
      </c>
      <c r="S385" s="10">
        <f t="shared" si="108"/>
        <v>2.4815448742965103E-2</v>
      </c>
    </row>
    <row r="386" spans="1:19" x14ac:dyDescent="0.25">
      <c r="A386" s="5" t="s">
        <v>8</v>
      </c>
      <c r="B386" s="5" t="s">
        <v>354</v>
      </c>
      <c r="C386" s="5" t="s">
        <v>27</v>
      </c>
      <c r="D386" s="5" t="s">
        <v>385</v>
      </c>
      <c r="E386" s="5" t="s">
        <v>384</v>
      </c>
      <c r="F386" s="5" t="s">
        <v>45</v>
      </c>
      <c r="G386" s="5" t="s">
        <v>390</v>
      </c>
      <c r="H386" s="5" t="s">
        <v>46</v>
      </c>
      <c r="I386" s="5" t="s">
        <v>355</v>
      </c>
      <c r="J386" s="15">
        <v>1110</v>
      </c>
      <c r="K386" s="7">
        <v>23.5</v>
      </c>
      <c r="L386" s="7">
        <f t="shared" si="103"/>
        <v>47.234042553191486</v>
      </c>
      <c r="M386" s="5" t="s">
        <v>10</v>
      </c>
      <c r="N386" s="5">
        <v>4</v>
      </c>
      <c r="O386" s="6">
        <f t="shared" si="104"/>
        <v>1.5477942507922133</v>
      </c>
      <c r="P386" s="6">
        <f t="shared" si="105"/>
        <v>0.16097060208239017</v>
      </c>
      <c r="Q386" s="10">
        <f t="shared" si="106"/>
        <v>3.3535542100497952E-3</v>
      </c>
      <c r="R386" s="10">
        <f t="shared" si="107"/>
        <v>2.2063888096792793E-2</v>
      </c>
      <c r="S386" s="10">
        <f t="shared" si="108"/>
        <v>2.5417442306842588E-2</v>
      </c>
    </row>
    <row r="387" spans="1:19" x14ac:dyDescent="0.25">
      <c r="A387" s="5" t="s">
        <v>22</v>
      </c>
      <c r="B387" s="5" t="s">
        <v>26</v>
      </c>
      <c r="C387" s="5" t="s">
        <v>27</v>
      </c>
      <c r="D387" s="5" t="s">
        <v>385</v>
      </c>
      <c r="E387" s="5" t="s">
        <v>384</v>
      </c>
      <c r="F387" s="5" t="s">
        <v>45</v>
      </c>
      <c r="G387" s="5" t="s">
        <v>390</v>
      </c>
      <c r="H387" s="5" t="s">
        <v>46</v>
      </c>
      <c r="I387" s="5" t="s">
        <v>49</v>
      </c>
      <c r="J387" s="15">
        <v>1350</v>
      </c>
      <c r="K387" s="7">
        <v>27</v>
      </c>
      <c r="L387" s="7">
        <f t="shared" si="103"/>
        <v>50</v>
      </c>
      <c r="M387" s="5" t="s">
        <v>10</v>
      </c>
      <c r="N387" s="5">
        <v>4</v>
      </c>
      <c r="O387" s="6">
        <f t="shared" si="104"/>
        <v>2.109375</v>
      </c>
      <c r="P387" s="6">
        <f t="shared" si="105"/>
        <v>0.21937499999999999</v>
      </c>
      <c r="Q387" s="10">
        <f t="shared" si="106"/>
        <v>4.5703124999999997E-3</v>
      </c>
      <c r="R387" s="10">
        <f t="shared" si="107"/>
        <v>2.7829952828119141E-2</v>
      </c>
      <c r="S387" s="10">
        <f t="shared" si="108"/>
        <v>3.2400265328119141E-2</v>
      </c>
    </row>
    <row r="388" spans="1:19" x14ac:dyDescent="0.25">
      <c r="A388" s="5" t="s">
        <v>8</v>
      </c>
      <c r="B388" s="5" t="s">
        <v>161</v>
      </c>
      <c r="C388" s="5" t="s">
        <v>27</v>
      </c>
      <c r="D388" s="5" t="s">
        <v>385</v>
      </c>
      <c r="E388" s="5" t="s">
        <v>384</v>
      </c>
      <c r="F388" s="5" t="s">
        <v>45</v>
      </c>
      <c r="G388" s="5" t="s">
        <v>390</v>
      </c>
      <c r="H388" s="5" t="s">
        <v>46</v>
      </c>
      <c r="I388" s="5" t="s">
        <v>49</v>
      </c>
      <c r="J388" s="15">
        <v>1280</v>
      </c>
      <c r="K388" s="7">
        <v>22</v>
      </c>
      <c r="L388" s="7">
        <f t="shared" si="103"/>
        <v>58.18181818181818</v>
      </c>
      <c r="M388" s="5" t="s">
        <v>10</v>
      </c>
      <c r="N388" s="5">
        <v>4</v>
      </c>
      <c r="O388" s="6">
        <f t="shared" si="104"/>
        <v>2.7080991735537188</v>
      </c>
      <c r="P388" s="6">
        <f t="shared" si="105"/>
        <v>0.28164231404958673</v>
      </c>
      <c r="Q388" s="10">
        <f t="shared" si="106"/>
        <v>5.8675482093663899E-3</v>
      </c>
      <c r="R388" s="10">
        <f t="shared" si="107"/>
        <v>3.3565687567479949E-2</v>
      </c>
      <c r="S388" s="10">
        <f t="shared" si="108"/>
        <v>3.9433235776846341E-2</v>
      </c>
    </row>
    <row r="389" spans="1:19" x14ac:dyDescent="0.25">
      <c r="A389" s="5" t="s">
        <v>8</v>
      </c>
      <c r="B389" s="5" t="s">
        <v>300</v>
      </c>
      <c r="C389" s="5" t="s">
        <v>27</v>
      </c>
      <c r="D389" s="5" t="s">
        <v>385</v>
      </c>
      <c r="E389" s="5" t="s">
        <v>384</v>
      </c>
      <c r="F389" s="5" t="s">
        <v>45</v>
      </c>
      <c r="G389" s="5" t="s">
        <v>390</v>
      </c>
      <c r="H389" s="5" t="s">
        <v>46</v>
      </c>
      <c r="I389" s="5" t="s">
        <v>301</v>
      </c>
      <c r="J389" s="15">
        <v>1165</v>
      </c>
      <c r="K389" s="7">
        <v>30</v>
      </c>
      <c r="L389" s="7">
        <f t="shared" si="103"/>
        <v>38.833333333333336</v>
      </c>
      <c r="M389" s="5" t="s">
        <v>10</v>
      </c>
      <c r="N389" s="5">
        <v>4</v>
      </c>
      <c r="O389" s="6">
        <f t="shared" si="104"/>
        <v>1.0980327256944447</v>
      </c>
      <c r="P389" s="6">
        <f t="shared" si="105"/>
        <v>0.11419540347222225</v>
      </c>
      <c r="Q389" s="10">
        <f t="shared" si="106"/>
        <v>2.3790709056712967E-3</v>
      </c>
      <c r="R389" s="10">
        <f t="shared" si="107"/>
        <v>1.7055269538571984E-2</v>
      </c>
      <c r="S389" s="10">
        <f t="shared" si="108"/>
        <v>1.9434340444243279E-2</v>
      </c>
    </row>
    <row r="390" spans="1:19" x14ac:dyDescent="0.25">
      <c r="A390" s="5" t="s">
        <v>8</v>
      </c>
      <c r="B390" s="5" t="s">
        <v>156</v>
      </c>
      <c r="C390" s="5" t="s">
        <v>27</v>
      </c>
      <c r="D390" s="5" t="s">
        <v>385</v>
      </c>
      <c r="E390" s="5" t="s">
        <v>384</v>
      </c>
      <c r="F390" s="5" t="s">
        <v>45</v>
      </c>
      <c r="G390" s="5" t="s">
        <v>390</v>
      </c>
      <c r="H390" s="5" t="s">
        <v>46</v>
      </c>
      <c r="I390" s="5" t="s">
        <v>159</v>
      </c>
      <c r="J390" s="15">
        <v>850</v>
      </c>
      <c r="K390" s="7">
        <v>30</v>
      </c>
      <c r="L390" s="7">
        <f t="shared" si="103"/>
        <v>28.333333333333332</v>
      </c>
      <c r="M390" s="5" t="s">
        <v>10</v>
      </c>
      <c r="N390" s="5">
        <v>4</v>
      </c>
      <c r="O390" s="6">
        <f t="shared" si="104"/>
        <v>0.42647569444444439</v>
      </c>
      <c r="P390" s="6">
        <f t="shared" si="105"/>
        <v>4.4353472222222218E-2</v>
      </c>
      <c r="Q390" s="10">
        <f t="shared" si="106"/>
        <v>9.2403067129629606E-4</v>
      </c>
      <c r="R390" s="10">
        <f t="shared" si="107"/>
        <v>8.3910795451885949E-3</v>
      </c>
      <c r="S390" s="10">
        <f t="shared" si="108"/>
        <v>9.3151102164848905E-3</v>
      </c>
    </row>
    <row r="391" spans="1:19" x14ac:dyDescent="0.25">
      <c r="A391" s="5" t="s">
        <v>8</v>
      </c>
      <c r="B391" s="5" t="s">
        <v>308</v>
      </c>
      <c r="C391" s="5" t="s">
        <v>27</v>
      </c>
      <c r="D391" s="5" t="s">
        <v>385</v>
      </c>
      <c r="E391" s="5" t="s">
        <v>384</v>
      </c>
      <c r="F391" s="5" t="s">
        <v>45</v>
      </c>
      <c r="G391" s="5" t="s">
        <v>390</v>
      </c>
      <c r="H391" s="5" t="s">
        <v>46</v>
      </c>
      <c r="I391" s="5" t="s">
        <v>159</v>
      </c>
      <c r="J391" s="15">
        <v>886</v>
      </c>
      <c r="K391" s="7">
        <v>27.7</v>
      </c>
      <c r="L391" s="7">
        <f t="shared" si="103"/>
        <v>31.985559566787003</v>
      </c>
      <c r="M391" s="5" t="s">
        <v>10</v>
      </c>
      <c r="N391" s="5">
        <v>4</v>
      </c>
      <c r="O391" s="6">
        <f t="shared" si="104"/>
        <v>0.56652834651826556</v>
      </c>
      <c r="P391" s="6">
        <f t="shared" si="105"/>
        <v>5.8918948037899606E-2</v>
      </c>
      <c r="Q391" s="10">
        <f t="shared" si="106"/>
        <v>1.2274780841229087E-3</v>
      </c>
      <c r="R391" s="10">
        <f t="shared" si="107"/>
        <v>1.0382772973710441E-2</v>
      </c>
      <c r="S391" s="10">
        <f t="shared" si="108"/>
        <v>1.1610251057833349E-2</v>
      </c>
    </row>
    <row r="392" spans="1:19" x14ac:dyDescent="0.25">
      <c r="A392" s="5" t="s">
        <v>22</v>
      </c>
      <c r="B392" s="5" t="s">
        <v>26</v>
      </c>
      <c r="C392" s="5" t="s">
        <v>27</v>
      </c>
      <c r="D392" s="5" t="s">
        <v>385</v>
      </c>
      <c r="E392" s="5" t="s">
        <v>384</v>
      </c>
      <c r="F392" s="5" t="s">
        <v>45</v>
      </c>
      <c r="G392" s="5" t="s">
        <v>390</v>
      </c>
      <c r="H392" s="5" t="s">
        <v>46</v>
      </c>
      <c r="I392" s="5" t="s">
        <v>50</v>
      </c>
      <c r="J392" s="15">
        <v>2050</v>
      </c>
      <c r="K392" s="7">
        <v>33</v>
      </c>
      <c r="L392" s="7">
        <f t="shared" si="103"/>
        <v>62.121212121212125</v>
      </c>
      <c r="M392" s="5" t="s">
        <v>10</v>
      </c>
      <c r="N392" s="5">
        <v>4</v>
      </c>
      <c r="O392" s="6">
        <f t="shared" si="104"/>
        <v>4.94440140036731</v>
      </c>
      <c r="P392" s="6">
        <f t="shared" si="105"/>
        <v>0.51421774563820022</v>
      </c>
      <c r="Q392" s="10">
        <f t="shared" si="106"/>
        <v>1.0712869700795838E-2</v>
      </c>
      <c r="R392" s="10">
        <f t="shared" si="107"/>
        <v>5.2720851367536438E-2</v>
      </c>
      <c r="S392" s="10">
        <f t="shared" si="108"/>
        <v>6.3433721068332283E-2</v>
      </c>
    </row>
    <row r="393" spans="1:19" x14ac:dyDescent="0.25">
      <c r="A393" s="5" t="s">
        <v>8</v>
      </c>
      <c r="B393" s="5" t="s">
        <v>284</v>
      </c>
      <c r="C393" s="5" t="s">
        <v>27</v>
      </c>
      <c r="D393" s="5" t="s">
        <v>385</v>
      </c>
      <c r="E393" s="5" t="s">
        <v>384</v>
      </c>
      <c r="F393" s="5" t="s">
        <v>45</v>
      </c>
      <c r="G393" s="5" t="s">
        <v>390</v>
      </c>
      <c r="H393" s="5" t="s">
        <v>46</v>
      </c>
      <c r="I393" s="5" t="s">
        <v>50</v>
      </c>
      <c r="J393" s="15">
        <v>1800</v>
      </c>
      <c r="K393" s="7">
        <v>36.700000000000003</v>
      </c>
      <c r="L393" s="7">
        <f t="shared" si="103"/>
        <v>49.046321525885553</v>
      </c>
      <c r="M393" s="5" t="s">
        <v>10</v>
      </c>
      <c r="N393" s="5">
        <v>4</v>
      </c>
      <c r="O393" s="6">
        <f t="shared" si="104"/>
        <v>2.7062343621231126</v>
      </c>
      <c r="P393" s="6">
        <f t="shared" si="105"/>
        <v>0.28144837366080372</v>
      </c>
      <c r="Q393" s="10">
        <f t="shared" si="106"/>
        <v>5.8635077846000772E-3</v>
      </c>
      <c r="R393" s="10">
        <f t="shared" si="107"/>
        <v>3.3548350942273784E-2</v>
      </c>
      <c r="S393" s="10">
        <f t="shared" si="108"/>
        <v>3.9411858726873861E-2</v>
      </c>
    </row>
    <row r="394" spans="1:19" x14ac:dyDescent="0.25">
      <c r="A394" s="5" t="s">
        <v>8</v>
      </c>
      <c r="B394" s="5" t="s">
        <v>233</v>
      </c>
      <c r="C394" s="5" t="s">
        <v>27</v>
      </c>
      <c r="D394" s="5" t="s">
        <v>385</v>
      </c>
      <c r="E394" s="5" t="s">
        <v>384</v>
      </c>
      <c r="F394" s="5" t="s">
        <v>45</v>
      </c>
      <c r="G394" s="5" t="s">
        <v>390</v>
      </c>
      <c r="H394" s="5" t="s">
        <v>46</v>
      </c>
      <c r="I394" s="5" t="s">
        <v>234</v>
      </c>
      <c r="J394" s="15">
        <v>1465</v>
      </c>
      <c r="K394" s="7">
        <v>35</v>
      </c>
      <c r="L394" s="7">
        <f t="shared" si="103"/>
        <v>41.857142857142854</v>
      </c>
      <c r="M394" s="5" t="s">
        <v>10</v>
      </c>
      <c r="N394" s="5">
        <v>4</v>
      </c>
      <c r="O394" s="6">
        <f t="shared" si="104"/>
        <v>1.6041936862244897</v>
      </c>
      <c r="P394" s="6">
        <f t="shared" si="105"/>
        <v>0.1668361433673469</v>
      </c>
      <c r="Q394" s="10">
        <f t="shared" si="106"/>
        <v>3.4757529868197274E-3</v>
      </c>
      <c r="R394" s="10">
        <f t="shared" si="107"/>
        <v>2.2664165160455583E-2</v>
      </c>
      <c r="S394" s="10">
        <f t="shared" si="108"/>
        <v>2.6139918147275312E-2</v>
      </c>
    </row>
    <row r="395" spans="1:19" x14ac:dyDescent="0.25">
      <c r="A395" s="5" t="s">
        <v>22</v>
      </c>
      <c r="B395" s="5" t="s">
        <v>26</v>
      </c>
      <c r="C395" s="5" t="s">
        <v>27</v>
      </c>
      <c r="D395" s="5" t="s">
        <v>385</v>
      </c>
      <c r="E395" s="5" t="s">
        <v>384</v>
      </c>
      <c r="F395" s="5" t="s">
        <v>45</v>
      </c>
      <c r="G395" s="5" t="s">
        <v>390</v>
      </c>
      <c r="H395" s="5" t="s">
        <v>46</v>
      </c>
      <c r="I395" s="5" t="s">
        <v>51</v>
      </c>
      <c r="J395" s="15">
        <v>1400</v>
      </c>
      <c r="K395" s="7">
        <v>30.5</v>
      </c>
      <c r="L395" s="7">
        <f t="shared" si="103"/>
        <v>45.901639344262293</v>
      </c>
      <c r="M395" s="5" t="s">
        <v>10</v>
      </c>
      <c r="N395" s="5">
        <v>4</v>
      </c>
      <c r="O395" s="6">
        <f t="shared" si="104"/>
        <v>1.843590432679387</v>
      </c>
      <c r="P395" s="6">
        <f t="shared" si="105"/>
        <v>0.19173340499865626</v>
      </c>
      <c r="Q395" s="10">
        <f t="shared" si="106"/>
        <v>3.9944459374720047E-3</v>
      </c>
      <c r="R395" s="10">
        <f t="shared" si="107"/>
        <v>2.5156224312647517E-2</v>
      </c>
      <c r="S395" s="10">
        <f t="shared" si="108"/>
        <v>2.9150670250119522E-2</v>
      </c>
    </row>
    <row r="396" spans="1:19" x14ac:dyDescent="0.25">
      <c r="A396" s="5" t="s">
        <v>8</v>
      </c>
      <c r="B396" s="5" t="s">
        <v>192</v>
      </c>
      <c r="C396" s="5" t="s">
        <v>27</v>
      </c>
      <c r="D396" s="5" t="s">
        <v>385</v>
      </c>
      <c r="E396" s="5" t="s">
        <v>384</v>
      </c>
      <c r="F396" s="5" t="s">
        <v>45</v>
      </c>
      <c r="G396" s="5" t="s">
        <v>390</v>
      </c>
      <c r="H396" s="5" t="s">
        <v>46</v>
      </c>
      <c r="I396" s="5" t="s">
        <v>51</v>
      </c>
      <c r="J396" s="15">
        <v>1100</v>
      </c>
      <c r="K396" s="7">
        <v>31</v>
      </c>
      <c r="L396" s="7">
        <f t="shared" si="103"/>
        <v>35.483870967741936</v>
      </c>
      <c r="M396" s="5" t="s">
        <v>10</v>
      </c>
      <c r="N396" s="5">
        <v>4</v>
      </c>
      <c r="O396" s="6">
        <f t="shared" si="104"/>
        <v>0.86563475546305946</v>
      </c>
      <c r="P396" s="6">
        <f t="shared" si="105"/>
        <v>9.0026014568158175E-2</v>
      </c>
      <c r="Q396" s="10">
        <f t="shared" si="106"/>
        <v>1.875541970169962E-3</v>
      </c>
      <c r="R396" s="10">
        <f t="shared" si="107"/>
        <v>1.4269151143928181E-2</v>
      </c>
      <c r="S396" s="10">
        <f t="shared" si="108"/>
        <v>1.6144693114098142E-2</v>
      </c>
    </row>
    <row r="397" spans="1:19" x14ac:dyDescent="0.25">
      <c r="A397" s="5" t="s">
        <v>8</v>
      </c>
      <c r="B397" s="5" t="s">
        <v>291</v>
      </c>
      <c r="C397" s="5" t="s">
        <v>27</v>
      </c>
      <c r="D397" s="5" t="s">
        <v>385</v>
      </c>
      <c r="E397" s="5" t="s">
        <v>384</v>
      </c>
      <c r="F397" s="5" t="s">
        <v>45</v>
      </c>
      <c r="G397" s="5" t="s">
        <v>390</v>
      </c>
      <c r="H397" s="5" t="s">
        <v>46</v>
      </c>
      <c r="I397" s="5" t="s">
        <v>51</v>
      </c>
      <c r="J397" s="15">
        <v>1294</v>
      </c>
      <c r="K397" s="7">
        <v>31.7</v>
      </c>
      <c r="L397" s="7">
        <f t="shared" si="103"/>
        <v>40.820189274447948</v>
      </c>
      <c r="M397" s="5" t="s">
        <v>10</v>
      </c>
      <c r="N397" s="5">
        <v>4</v>
      </c>
      <c r="O397" s="6">
        <f t="shared" si="104"/>
        <v>1.3476103006299196</v>
      </c>
      <c r="P397" s="6">
        <f t="shared" si="105"/>
        <v>0.14015147126551164</v>
      </c>
      <c r="Q397" s="10">
        <f t="shared" si="106"/>
        <v>2.9198223180314925E-3</v>
      </c>
      <c r="R397" s="10">
        <f t="shared" si="107"/>
        <v>1.9887050004996944E-2</v>
      </c>
      <c r="S397" s="10">
        <f t="shared" si="108"/>
        <v>2.2806872323028436E-2</v>
      </c>
    </row>
    <row r="398" spans="1:19" x14ac:dyDescent="0.25">
      <c r="A398" s="5" t="s">
        <v>8</v>
      </c>
      <c r="B398" s="5" t="s">
        <v>291</v>
      </c>
      <c r="C398" s="5" t="s">
        <v>27</v>
      </c>
      <c r="D398" s="5" t="s">
        <v>385</v>
      </c>
      <c r="E398" s="5" t="s">
        <v>384</v>
      </c>
      <c r="F398" s="5" t="s">
        <v>45</v>
      </c>
      <c r="G398" s="5" t="s">
        <v>390</v>
      </c>
      <c r="H398" s="5" t="s">
        <v>46</v>
      </c>
      <c r="I398" s="5" t="s">
        <v>51</v>
      </c>
      <c r="J398" s="15">
        <v>1309</v>
      </c>
      <c r="K398" s="7">
        <v>33.4</v>
      </c>
      <c r="L398" s="7">
        <f t="shared" si="103"/>
        <v>39.191616766467071</v>
      </c>
      <c r="M398" s="5" t="s">
        <v>10</v>
      </c>
      <c r="N398" s="5">
        <v>4</v>
      </c>
      <c r="O398" s="6">
        <f t="shared" si="104"/>
        <v>1.2566259485146476</v>
      </c>
      <c r="P398" s="6">
        <f t="shared" si="105"/>
        <v>0.13068909864552336</v>
      </c>
      <c r="Q398" s="10">
        <f t="shared" si="106"/>
        <v>2.7226895551150693E-3</v>
      </c>
      <c r="R398" s="10">
        <f t="shared" si="107"/>
        <v>1.8871292313959852E-2</v>
      </c>
      <c r="S398" s="10">
        <f t="shared" si="108"/>
        <v>2.1593981869074921E-2</v>
      </c>
    </row>
    <row r="399" spans="1:19" x14ac:dyDescent="0.25">
      <c r="A399" s="5" t="s">
        <v>8</v>
      </c>
      <c r="B399" s="5" t="s">
        <v>291</v>
      </c>
      <c r="C399" s="5" t="s">
        <v>27</v>
      </c>
      <c r="D399" s="5" t="s">
        <v>385</v>
      </c>
      <c r="E399" s="5" t="s">
        <v>384</v>
      </c>
      <c r="F399" s="5" t="s">
        <v>45</v>
      </c>
      <c r="G399" s="5" t="s">
        <v>390</v>
      </c>
      <c r="H399" s="5" t="s">
        <v>46</v>
      </c>
      <c r="I399" s="5" t="s">
        <v>51</v>
      </c>
      <c r="J399" s="15">
        <v>1245</v>
      </c>
      <c r="K399" s="7">
        <v>35.700000000000003</v>
      </c>
      <c r="L399" s="7">
        <f t="shared" si="103"/>
        <v>34.87394957983193</v>
      </c>
      <c r="M399" s="5" t="s">
        <v>10</v>
      </c>
      <c r="N399" s="5">
        <v>4</v>
      </c>
      <c r="O399" s="6">
        <f t="shared" si="104"/>
        <v>0.94634967957771321</v>
      </c>
      <c r="P399" s="6">
        <f t="shared" si="105"/>
        <v>9.8420366676082172E-2</v>
      </c>
      <c r="Q399" s="10">
        <f t="shared" si="106"/>
        <v>2.0504243057517121E-3</v>
      </c>
      <c r="R399" s="10">
        <f t="shared" si="107"/>
        <v>1.5255830466574619E-2</v>
      </c>
      <c r="S399" s="10">
        <f t="shared" si="108"/>
        <v>1.7306254772326331E-2</v>
      </c>
    </row>
    <row r="400" spans="1:19" x14ac:dyDescent="0.25">
      <c r="A400" s="5" t="s">
        <v>8</v>
      </c>
      <c r="B400" s="5" t="s">
        <v>291</v>
      </c>
      <c r="C400" s="5" t="s">
        <v>27</v>
      </c>
      <c r="D400" s="5" t="s">
        <v>385</v>
      </c>
      <c r="E400" s="5" t="s">
        <v>384</v>
      </c>
      <c r="F400" s="5" t="s">
        <v>45</v>
      </c>
      <c r="G400" s="5" t="s">
        <v>390</v>
      </c>
      <c r="H400" s="5" t="s">
        <v>46</v>
      </c>
      <c r="I400" s="5" t="s">
        <v>51</v>
      </c>
      <c r="J400" s="15">
        <v>1263</v>
      </c>
      <c r="K400" s="7">
        <v>27.6</v>
      </c>
      <c r="L400" s="7">
        <f t="shared" si="103"/>
        <v>45.760869565217391</v>
      </c>
      <c r="M400" s="5" t="s">
        <v>10</v>
      </c>
      <c r="N400" s="5">
        <v>4</v>
      </c>
      <c r="O400" s="6">
        <f t="shared" si="104"/>
        <v>1.6529963891186199</v>
      </c>
      <c r="P400" s="6">
        <f t="shared" si="105"/>
        <v>0.17191162446833649</v>
      </c>
      <c r="Q400" s="10">
        <f t="shared" si="106"/>
        <v>3.5814921764236764E-3</v>
      </c>
      <c r="R400" s="10">
        <f t="shared" si="107"/>
        <v>2.3179339312449272E-2</v>
      </c>
      <c r="S400" s="10">
        <f t="shared" si="108"/>
        <v>2.6760831488872948E-2</v>
      </c>
    </row>
    <row r="401" spans="1:19" x14ac:dyDescent="0.25">
      <c r="A401" s="5" t="s">
        <v>8</v>
      </c>
      <c r="B401" s="5" t="s">
        <v>291</v>
      </c>
      <c r="C401" s="5" t="s">
        <v>27</v>
      </c>
      <c r="D401" s="5" t="s">
        <v>385</v>
      </c>
      <c r="E401" s="5" t="s">
        <v>384</v>
      </c>
      <c r="F401" s="5" t="s">
        <v>45</v>
      </c>
      <c r="G401" s="5" t="s">
        <v>390</v>
      </c>
      <c r="H401" s="5" t="s">
        <v>46</v>
      </c>
      <c r="I401" s="5" t="s">
        <v>51</v>
      </c>
      <c r="J401" s="15">
        <v>1284</v>
      </c>
      <c r="K401" s="7">
        <v>30</v>
      </c>
      <c r="L401" s="7">
        <f t="shared" si="103"/>
        <v>42.8</v>
      </c>
      <c r="M401" s="5" t="s">
        <v>10</v>
      </c>
      <c r="N401" s="5">
        <v>4</v>
      </c>
      <c r="O401" s="6">
        <f t="shared" si="104"/>
        <v>1.4700515999999997</v>
      </c>
      <c r="P401" s="6">
        <f t="shared" si="105"/>
        <v>0.15288536639999997</v>
      </c>
      <c r="Q401" s="10">
        <f t="shared" si="106"/>
        <v>3.1851117999999994E-3</v>
      </c>
      <c r="R401" s="10">
        <f t="shared" si="107"/>
        <v>2.122738802515543E-2</v>
      </c>
      <c r="S401" s="10">
        <f t="shared" si="108"/>
        <v>2.4412499825155427E-2</v>
      </c>
    </row>
    <row r="402" spans="1:19" x14ac:dyDescent="0.25">
      <c r="A402" s="5" t="s">
        <v>8</v>
      </c>
      <c r="B402" s="5" t="s">
        <v>291</v>
      </c>
      <c r="C402" s="5" t="s">
        <v>27</v>
      </c>
      <c r="D402" s="5" t="s">
        <v>385</v>
      </c>
      <c r="E402" s="5" t="s">
        <v>384</v>
      </c>
      <c r="F402" s="5" t="s">
        <v>45</v>
      </c>
      <c r="G402" s="5" t="s">
        <v>390</v>
      </c>
      <c r="H402" s="5" t="s">
        <v>46</v>
      </c>
      <c r="I402" s="5" t="s">
        <v>51</v>
      </c>
      <c r="J402" s="15">
        <v>1251</v>
      </c>
      <c r="K402" s="7">
        <v>32.700000000000003</v>
      </c>
      <c r="L402" s="7">
        <f t="shared" si="103"/>
        <v>38.256880733944953</v>
      </c>
      <c r="M402" s="5" t="s">
        <v>10</v>
      </c>
      <c r="N402" s="5">
        <v>4</v>
      </c>
      <c r="O402" s="6">
        <f t="shared" si="104"/>
        <v>1.1443435895547511</v>
      </c>
      <c r="P402" s="6">
        <f t="shared" si="105"/>
        <v>0.11901173331369411</v>
      </c>
      <c r="Q402" s="10">
        <f t="shared" si="106"/>
        <v>2.4794111107019606E-3</v>
      </c>
      <c r="R402" s="10">
        <f t="shared" si="107"/>
        <v>1.759196916585937E-2</v>
      </c>
      <c r="S402" s="10">
        <f t="shared" si="108"/>
        <v>2.0071380276561329E-2</v>
      </c>
    </row>
    <row r="403" spans="1:19" x14ac:dyDescent="0.25">
      <c r="A403" s="5" t="s">
        <v>8</v>
      </c>
      <c r="B403" s="5" t="s">
        <v>291</v>
      </c>
      <c r="C403" s="5" t="s">
        <v>27</v>
      </c>
      <c r="D403" s="5" t="s">
        <v>385</v>
      </c>
      <c r="E403" s="5" t="s">
        <v>384</v>
      </c>
      <c r="F403" s="5" t="s">
        <v>45</v>
      </c>
      <c r="G403" s="5" t="s">
        <v>390</v>
      </c>
      <c r="H403" s="5" t="s">
        <v>46</v>
      </c>
      <c r="I403" s="5" t="s">
        <v>51</v>
      </c>
      <c r="J403" s="15">
        <v>1135</v>
      </c>
      <c r="K403" s="7">
        <v>29.2</v>
      </c>
      <c r="L403" s="7">
        <f t="shared" si="103"/>
        <v>38.869863013698634</v>
      </c>
      <c r="M403" s="5" t="s">
        <v>10</v>
      </c>
      <c r="N403" s="5">
        <v>4</v>
      </c>
      <c r="O403" s="6">
        <f t="shared" si="104"/>
        <v>1.0717707465929349</v>
      </c>
      <c r="P403" s="6">
        <f t="shared" si="105"/>
        <v>0.11146415764566524</v>
      </c>
      <c r="Q403" s="10">
        <f t="shared" si="106"/>
        <v>2.3221699509513587E-3</v>
      </c>
      <c r="R403" s="10">
        <f t="shared" si="107"/>
        <v>1.6748408640447264E-2</v>
      </c>
      <c r="S403" s="10">
        <f t="shared" si="108"/>
        <v>1.9070578591398622E-2</v>
      </c>
    </row>
    <row r="404" spans="1:19" x14ac:dyDescent="0.25">
      <c r="A404" s="5" t="s">
        <v>8</v>
      </c>
      <c r="B404" s="5" t="s">
        <v>291</v>
      </c>
      <c r="C404" s="5" t="s">
        <v>27</v>
      </c>
      <c r="D404" s="5" t="s">
        <v>385</v>
      </c>
      <c r="E404" s="5" t="s">
        <v>384</v>
      </c>
      <c r="F404" s="5" t="s">
        <v>45</v>
      </c>
      <c r="G404" s="5" t="s">
        <v>390</v>
      </c>
      <c r="H404" s="5" t="s">
        <v>46</v>
      </c>
      <c r="I404" s="5" t="s">
        <v>51</v>
      </c>
      <c r="J404" s="15">
        <v>1203</v>
      </c>
      <c r="K404" s="7">
        <v>26.7</v>
      </c>
      <c r="L404" s="7">
        <f t="shared" si="103"/>
        <v>45.056179775280903</v>
      </c>
      <c r="M404" s="5" t="s">
        <v>10</v>
      </c>
      <c r="N404" s="5">
        <v>4</v>
      </c>
      <c r="O404" s="6">
        <f t="shared" si="104"/>
        <v>1.526350863211716</v>
      </c>
      <c r="P404" s="6">
        <f t="shared" si="105"/>
        <v>0.15874048977401847</v>
      </c>
      <c r="Q404" s="10">
        <f t="shared" si="106"/>
        <v>3.3070935369587176E-3</v>
      </c>
      <c r="R404" s="10">
        <f t="shared" si="107"/>
        <v>2.1834231306130446E-2</v>
      </c>
      <c r="S404" s="10">
        <f t="shared" si="108"/>
        <v>2.5141324843089164E-2</v>
      </c>
    </row>
    <row r="405" spans="1:19" x14ac:dyDescent="0.25">
      <c r="A405" s="5" t="s">
        <v>8</v>
      </c>
      <c r="B405" s="5" t="s">
        <v>300</v>
      </c>
      <c r="C405" s="5" t="s">
        <v>27</v>
      </c>
      <c r="D405" s="5" t="s">
        <v>385</v>
      </c>
      <c r="E405" s="5" t="s">
        <v>384</v>
      </c>
      <c r="F405" s="5" t="s">
        <v>45</v>
      </c>
      <c r="G405" s="5" t="s">
        <v>390</v>
      </c>
      <c r="H405" s="5" t="s">
        <v>46</v>
      </c>
      <c r="I405" s="5" t="s">
        <v>51</v>
      </c>
      <c r="J405" s="15">
        <v>1263</v>
      </c>
      <c r="K405" s="7">
        <v>31.9</v>
      </c>
      <c r="L405" s="7">
        <f t="shared" si="103"/>
        <v>39.592476489028215</v>
      </c>
      <c r="M405" s="5" t="s">
        <v>10</v>
      </c>
      <c r="N405" s="5">
        <v>4</v>
      </c>
      <c r="O405" s="6">
        <f t="shared" si="104"/>
        <v>1.2373959860604751</v>
      </c>
      <c r="P405" s="6">
        <f t="shared" si="105"/>
        <v>0.12868918255028944</v>
      </c>
      <c r="Q405" s="10">
        <f t="shared" si="106"/>
        <v>2.6810246364643627E-3</v>
      </c>
      <c r="R405" s="10">
        <f t="shared" si="107"/>
        <v>1.8654286884243587E-2</v>
      </c>
      <c r="S405" s="10">
        <f t="shared" si="108"/>
        <v>2.1335311520707952E-2</v>
      </c>
    </row>
    <row r="406" spans="1:19" x14ac:dyDescent="0.25">
      <c r="A406" s="5" t="s">
        <v>8</v>
      </c>
      <c r="B406" s="5" t="s">
        <v>378</v>
      </c>
      <c r="C406" s="5" t="s">
        <v>27</v>
      </c>
      <c r="D406" s="5" t="s">
        <v>385</v>
      </c>
      <c r="E406" s="5" t="s">
        <v>384</v>
      </c>
      <c r="F406" s="5" t="s">
        <v>45</v>
      </c>
      <c r="G406" s="5" t="s">
        <v>390</v>
      </c>
      <c r="H406" s="5" t="s">
        <v>46</v>
      </c>
      <c r="I406" s="5" t="s">
        <v>183</v>
      </c>
      <c r="J406" s="15">
        <v>1470</v>
      </c>
      <c r="K406" s="7">
        <v>38.1</v>
      </c>
      <c r="L406" s="7">
        <f t="shared" si="103"/>
        <v>38.582677165354326</v>
      </c>
      <c r="M406" s="5" t="s">
        <v>10</v>
      </c>
      <c r="N406" s="5">
        <v>4</v>
      </c>
      <c r="O406" s="6">
        <f t="shared" si="104"/>
        <v>1.3676723603447203</v>
      </c>
      <c r="P406" s="6">
        <f t="shared" si="105"/>
        <v>0.14223792547585093</v>
      </c>
      <c r="Q406" s="10">
        <f t="shared" si="106"/>
        <v>2.963290114080227E-3</v>
      </c>
      <c r="R406" s="10">
        <f t="shared" si="107"/>
        <v>2.010868527780138E-2</v>
      </c>
      <c r="S406" s="10">
        <f t="shared" si="108"/>
        <v>2.3071975391881609E-2</v>
      </c>
    </row>
    <row r="407" spans="1:19" x14ac:dyDescent="0.25">
      <c r="A407" s="5" t="s">
        <v>22</v>
      </c>
      <c r="B407" s="5" t="s">
        <v>63</v>
      </c>
      <c r="C407" s="5" t="s">
        <v>27</v>
      </c>
      <c r="D407" s="5" t="s">
        <v>385</v>
      </c>
      <c r="E407" s="5" t="s">
        <v>384</v>
      </c>
      <c r="F407" s="5" t="s">
        <v>45</v>
      </c>
      <c r="G407" s="5" t="s">
        <v>390</v>
      </c>
      <c r="H407" s="5" t="s">
        <v>46</v>
      </c>
      <c r="I407" s="5" t="s">
        <v>153</v>
      </c>
      <c r="J407" s="15">
        <v>1510</v>
      </c>
      <c r="K407" s="7">
        <v>39</v>
      </c>
      <c r="L407" s="7">
        <f t="shared" si="103"/>
        <v>38.717948717948715</v>
      </c>
      <c r="M407" s="5" t="s">
        <v>10</v>
      </c>
      <c r="N407" s="5">
        <v>4</v>
      </c>
      <c r="O407" s="6">
        <f t="shared" si="104"/>
        <v>1.4147563280736355</v>
      </c>
      <c r="P407" s="6">
        <f t="shared" si="105"/>
        <v>0.14713465811965809</v>
      </c>
      <c r="Q407" s="10">
        <f t="shared" si="106"/>
        <v>3.0653053774928767E-3</v>
      </c>
      <c r="R407" s="10">
        <f t="shared" si="107"/>
        <v>2.0625683925483206E-2</v>
      </c>
      <c r="S407" s="10">
        <f t="shared" si="108"/>
        <v>2.3690989302976084E-2</v>
      </c>
    </row>
    <row r="408" spans="1:19" x14ac:dyDescent="0.25">
      <c r="A408" s="5" t="s">
        <v>8</v>
      </c>
      <c r="B408" s="5" t="s">
        <v>375</v>
      </c>
      <c r="C408" s="5" t="s">
        <v>27</v>
      </c>
      <c r="D408" s="5" t="s">
        <v>385</v>
      </c>
      <c r="E408" s="5" t="s">
        <v>384</v>
      </c>
      <c r="F408" s="5" t="s">
        <v>45</v>
      </c>
      <c r="G408" s="5" t="s">
        <v>390</v>
      </c>
      <c r="H408" s="5" t="s">
        <v>46</v>
      </c>
      <c r="I408" s="5" t="s">
        <v>153</v>
      </c>
      <c r="J408" s="15">
        <v>1510</v>
      </c>
      <c r="K408" s="7">
        <v>39</v>
      </c>
      <c r="L408" s="7">
        <f t="shared" si="103"/>
        <v>38.717948717948715</v>
      </c>
      <c r="M408" s="5" t="s">
        <v>10</v>
      </c>
      <c r="N408" s="5">
        <v>4</v>
      </c>
      <c r="O408" s="6">
        <f t="shared" si="104"/>
        <v>1.4147563280736355</v>
      </c>
      <c r="P408" s="6">
        <f t="shared" si="105"/>
        <v>0.14713465811965809</v>
      </c>
      <c r="Q408" s="10">
        <f t="shared" si="106"/>
        <v>3.0653053774928767E-3</v>
      </c>
      <c r="R408" s="10">
        <f t="shared" si="107"/>
        <v>2.0625683925483206E-2</v>
      </c>
      <c r="S408" s="10">
        <f t="shared" si="108"/>
        <v>2.3690989302976084E-2</v>
      </c>
    </row>
    <row r="409" spans="1:19" x14ac:dyDescent="0.25">
      <c r="A409" s="5" t="s">
        <v>8</v>
      </c>
      <c r="B409" s="5" t="s">
        <v>328</v>
      </c>
      <c r="C409" s="5" t="s">
        <v>27</v>
      </c>
      <c r="D409" s="5" t="s">
        <v>385</v>
      </c>
      <c r="E409" s="5" t="s">
        <v>384</v>
      </c>
      <c r="F409" s="5" t="s">
        <v>45</v>
      </c>
      <c r="G409" s="5" t="s">
        <v>390</v>
      </c>
      <c r="H409" s="5" t="s">
        <v>46</v>
      </c>
      <c r="I409" s="5" t="s">
        <v>39</v>
      </c>
      <c r="J409" s="15">
        <v>1735</v>
      </c>
      <c r="K409" s="7">
        <v>27</v>
      </c>
      <c r="L409" s="7">
        <f t="shared" si="103"/>
        <v>64.259259259259252</v>
      </c>
      <c r="M409" s="5" t="s">
        <v>10</v>
      </c>
      <c r="N409" s="5">
        <v>4</v>
      </c>
      <c r="O409" s="6">
        <f t="shared" si="104"/>
        <v>4.4776580718449912</v>
      </c>
      <c r="P409" s="6">
        <f t="shared" si="105"/>
        <v>0.46567643947187914</v>
      </c>
      <c r="Q409" s="10">
        <f t="shared" si="106"/>
        <v>9.7015924889974816E-3</v>
      </c>
      <c r="R409" s="10">
        <f t="shared" si="107"/>
        <v>4.8942406422067777E-2</v>
      </c>
      <c r="S409" s="10">
        <f t="shared" si="108"/>
        <v>5.8643998911065261E-2</v>
      </c>
    </row>
    <row r="410" spans="1:19" x14ac:dyDescent="0.25">
      <c r="A410" s="5" t="s">
        <v>8</v>
      </c>
      <c r="B410" s="5" t="s">
        <v>378</v>
      </c>
      <c r="C410" s="5" t="s">
        <v>27</v>
      </c>
      <c r="D410" s="5" t="s">
        <v>385</v>
      </c>
      <c r="E410" s="5" t="s">
        <v>384</v>
      </c>
      <c r="F410" s="5" t="s">
        <v>45</v>
      </c>
      <c r="G410" s="5" t="s">
        <v>390</v>
      </c>
      <c r="H410" s="5" t="s">
        <v>46</v>
      </c>
      <c r="I410" s="5" t="s">
        <v>379</v>
      </c>
      <c r="J410" s="15">
        <v>1160</v>
      </c>
      <c r="K410" s="7">
        <v>39</v>
      </c>
      <c r="L410" s="7">
        <f t="shared" si="103"/>
        <v>29.743589743589745</v>
      </c>
      <c r="M410" s="5" t="s">
        <v>10</v>
      </c>
      <c r="N410" s="5">
        <v>4</v>
      </c>
      <c r="O410" s="6">
        <f t="shared" si="104"/>
        <v>0.64139381985535826</v>
      </c>
      <c r="P410" s="6">
        <f t="shared" si="105"/>
        <v>6.670495726495726E-2</v>
      </c>
      <c r="Q410" s="10">
        <f t="shared" si="106"/>
        <v>1.3896866096866096E-3</v>
      </c>
      <c r="R410" s="10">
        <f t="shared" si="107"/>
        <v>1.1395691995518462E-2</v>
      </c>
      <c r="S410" s="10">
        <f t="shared" si="108"/>
        <v>1.2785378605205072E-2</v>
      </c>
    </row>
    <row r="411" spans="1:19" x14ac:dyDescent="0.25">
      <c r="A411" s="5" t="s">
        <v>8</v>
      </c>
      <c r="B411" s="5" t="s">
        <v>339</v>
      </c>
      <c r="C411" s="5" t="s">
        <v>27</v>
      </c>
      <c r="D411" s="5" t="s">
        <v>385</v>
      </c>
      <c r="E411" s="5" t="s">
        <v>384</v>
      </c>
      <c r="F411" s="5" t="s">
        <v>45</v>
      </c>
      <c r="G411" s="5" t="s">
        <v>390</v>
      </c>
      <c r="H411" s="5" t="s">
        <v>46</v>
      </c>
      <c r="I411" s="5" t="s">
        <v>343</v>
      </c>
      <c r="J411" s="15">
        <v>917</v>
      </c>
      <c r="K411" s="7">
        <v>21.1</v>
      </c>
      <c r="L411" s="7">
        <f t="shared" si="103"/>
        <v>43.459715639810426</v>
      </c>
      <c r="M411" s="5" t="s">
        <v>10</v>
      </c>
      <c r="N411" s="5">
        <v>4</v>
      </c>
      <c r="O411" s="6">
        <f t="shared" si="104"/>
        <v>1.0824880576020304</v>
      </c>
      <c r="P411" s="6">
        <f t="shared" si="105"/>
        <v>0.11257875799061115</v>
      </c>
      <c r="Q411" s="10">
        <f t="shared" si="106"/>
        <v>2.3453907914710655E-3</v>
      </c>
      <c r="R411" s="10">
        <f t="shared" si="107"/>
        <v>1.6873860704511252E-2</v>
      </c>
      <c r="S411" s="10">
        <f t="shared" si="108"/>
        <v>1.9219251495982317E-2</v>
      </c>
    </row>
    <row r="412" spans="1:19" x14ac:dyDescent="0.25">
      <c r="A412" s="5" t="s">
        <v>8</v>
      </c>
      <c r="B412" s="5" t="s">
        <v>161</v>
      </c>
      <c r="C412" s="5" t="s">
        <v>27</v>
      </c>
      <c r="D412" s="5" t="s">
        <v>385</v>
      </c>
      <c r="E412" s="5" t="s">
        <v>384</v>
      </c>
      <c r="F412" s="5" t="s">
        <v>45</v>
      </c>
      <c r="G412" s="5" t="s">
        <v>390</v>
      </c>
      <c r="H412" s="5" t="s">
        <v>46</v>
      </c>
      <c r="I412" s="5" t="s">
        <v>163</v>
      </c>
      <c r="J412" s="15">
        <v>1320</v>
      </c>
      <c r="K412" s="7">
        <v>31</v>
      </c>
      <c r="L412" s="7">
        <f t="shared" ref="L412" si="109">J412/K412</f>
        <v>42.58064516129032</v>
      </c>
      <c r="M412" s="5" t="s">
        <v>10</v>
      </c>
      <c r="N412" s="5">
        <v>4</v>
      </c>
      <c r="O412" s="6">
        <f t="shared" si="104"/>
        <v>1.4958168574401665</v>
      </c>
      <c r="P412" s="6">
        <f t="shared" si="105"/>
        <v>0.1555649531737773</v>
      </c>
      <c r="Q412" s="10">
        <f t="shared" si="106"/>
        <v>3.2409365244536938E-3</v>
      </c>
      <c r="R412" s="10">
        <f t="shared" si="107"/>
        <v>2.1505816795006499E-2</v>
      </c>
      <c r="S412" s="10">
        <f t="shared" ref="S412" si="110">Q412+R412</f>
        <v>2.4746753319460191E-2</v>
      </c>
    </row>
    <row r="413" spans="1:19" x14ac:dyDescent="0.25">
      <c r="J413" s="16">
        <f>AVERAGE(J316:J412)</f>
        <v>1181.4639175257732</v>
      </c>
      <c r="K413" s="12">
        <f t="shared" ref="K413:S413" si="111">AVERAGE(K316:K412)</f>
        <v>28.88350515463916</v>
      </c>
      <c r="L413" s="12">
        <f t="shared" si="111"/>
        <v>41.236914682589301</v>
      </c>
      <c r="M413" s="11" t="e">
        <f t="shared" si="111"/>
        <v>#DIV/0!</v>
      </c>
      <c r="N413" s="11">
        <f t="shared" si="111"/>
        <v>4</v>
      </c>
      <c r="O413" s="13">
        <f t="shared" si="111"/>
        <v>1.3591886841309846</v>
      </c>
      <c r="P413" s="13">
        <f t="shared" si="111"/>
        <v>0.14135562314962236</v>
      </c>
      <c r="Q413" s="14">
        <f t="shared" si="111"/>
        <v>2.9449088156171333E-3</v>
      </c>
      <c r="R413" s="14">
        <f t="shared" si="111"/>
        <v>1.9509520499329008E-2</v>
      </c>
      <c r="S413" s="14">
        <f t="shared" si="111"/>
        <v>2.245442931494613E-2</v>
      </c>
    </row>
    <row r="414" spans="1:19" x14ac:dyDescent="0.25">
      <c r="A414" s="5" t="s">
        <v>22</v>
      </c>
      <c r="B414" s="5" t="s">
        <v>63</v>
      </c>
      <c r="C414" s="5" t="s">
        <v>27</v>
      </c>
      <c r="D414" s="5" t="s">
        <v>385</v>
      </c>
      <c r="E414" s="5" t="s">
        <v>384</v>
      </c>
      <c r="F414" s="5" t="s">
        <v>45</v>
      </c>
      <c r="G414" s="5" t="s">
        <v>390</v>
      </c>
      <c r="H414" s="5" t="s">
        <v>72</v>
      </c>
      <c r="I414" s="5" t="s">
        <v>73</v>
      </c>
      <c r="J414" s="15">
        <v>1100</v>
      </c>
      <c r="K414" s="7">
        <v>29</v>
      </c>
      <c r="L414" s="7">
        <f>J414/K414</f>
        <v>37.931034482758619</v>
      </c>
      <c r="M414" s="5" t="s">
        <v>10</v>
      </c>
      <c r="N414" s="5">
        <v>4</v>
      </c>
      <c r="O414" s="6">
        <f>(J414*L414^2)/(1.6*10^6)</f>
        <v>0.9891498216409037</v>
      </c>
      <c r="P414" s="6">
        <f>(0.104*J414*L414^2)/(1.6*10^6)</f>
        <v>0.10287158145065398</v>
      </c>
      <c r="Q414" s="10">
        <f>(0.104*O414)/(12*N414)</f>
        <v>2.1431579468886245E-3</v>
      </c>
      <c r="R414" s="10">
        <f>0.0159*O414^0.75</f>
        <v>1.5770435338965008E-2</v>
      </c>
      <c r="S414" s="10">
        <f>Q414+R414</f>
        <v>1.7913593285853631E-2</v>
      </c>
    </row>
    <row r="416" spans="1:19" x14ac:dyDescent="0.25">
      <c r="A416" s="5" t="s">
        <v>22</v>
      </c>
      <c r="B416" s="5" t="s">
        <v>63</v>
      </c>
      <c r="C416" s="5" t="s">
        <v>27</v>
      </c>
      <c r="D416" s="5" t="s">
        <v>385</v>
      </c>
      <c r="E416" s="5" t="s">
        <v>384</v>
      </c>
      <c r="F416" s="5" t="s">
        <v>45</v>
      </c>
      <c r="G416" s="5" t="s">
        <v>390</v>
      </c>
      <c r="H416" s="5" t="s">
        <v>77</v>
      </c>
      <c r="I416" s="5" t="s">
        <v>78</v>
      </c>
      <c r="J416" s="15">
        <v>750</v>
      </c>
      <c r="K416" s="7">
        <v>25.5</v>
      </c>
      <c r="L416" s="7">
        <f>J416/K416</f>
        <v>29.411764705882351</v>
      </c>
      <c r="M416" s="5" t="s">
        <v>10</v>
      </c>
      <c r="N416" s="5">
        <v>4</v>
      </c>
      <c r="O416" s="6">
        <f>(J416*L416^2)/(1.6*10^6)</f>
        <v>0.40549307958477504</v>
      </c>
      <c r="P416" s="6">
        <f>(0.104*J416*L416^2)/(1.6*10^6)</f>
        <v>4.2171280276816603E-2</v>
      </c>
      <c r="Q416" s="10">
        <f>(0.104*O416)/(12*N416)</f>
        <v>8.7856833910034593E-4</v>
      </c>
      <c r="R416" s="10">
        <f>0.0159*O416^0.75</f>
        <v>8.0795041676919276E-3</v>
      </c>
      <c r="S416" s="10">
        <f>Q416+R416</f>
        <v>8.958072506792274E-3</v>
      </c>
    </row>
    <row r="417" spans="1:19" x14ac:dyDescent="0.25">
      <c r="A417" s="5" t="s">
        <v>8</v>
      </c>
      <c r="B417" s="5" t="s">
        <v>296</v>
      </c>
      <c r="C417" s="5" t="s">
        <v>27</v>
      </c>
      <c r="D417" s="5" t="s">
        <v>385</v>
      </c>
      <c r="E417" s="5" t="s">
        <v>384</v>
      </c>
      <c r="F417" s="5" t="s">
        <v>45</v>
      </c>
      <c r="G417" s="5" t="s">
        <v>390</v>
      </c>
      <c r="H417" s="5" t="s">
        <v>77</v>
      </c>
      <c r="I417" s="5" t="s">
        <v>297</v>
      </c>
      <c r="J417" s="15">
        <v>740</v>
      </c>
      <c r="K417" s="7">
        <v>26</v>
      </c>
      <c r="L417" s="7">
        <f>J417/K417</f>
        <v>28.46153846153846</v>
      </c>
      <c r="M417" s="5" t="s">
        <v>10</v>
      </c>
      <c r="N417" s="5">
        <v>4</v>
      </c>
      <c r="O417" s="6">
        <f>(J417*L417^2)/(1.6*10^6)</f>
        <v>0.37465236686390524</v>
      </c>
      <c r="P417" s="6">
        <f>(0.104*J417*L417^2)/(1.6*10^6)</f>
        <v>3.8963846153846148E-2</v>
      </c>
      <c r="Q417" s="10">
        <f>(0.104*O417)/(12*N417)</f>
        <v>8.117467948717946E-4</v>
      </c>
      <c r="R417" s="10">
        <f>0.0159*O417^0.75</f>
        <v>7.6140983946227968E-3</v>
      </c>
      <c r="S417" s="10">
        <f>Q417+R417</f>
        <v>8.4258451894945914E-3</v>
      </c>
    </row>
    <row r="418" spans="1:19" x14ac:dyDescent="0.25">
      <c r="A418" s="5" t="s">
        <v>8</v>
      </c>
      <c r="B418" s="5" t="s">
        <v>322</v>
      </c>
      <c r="C418" s="5" t="s">
        <v>27</v>
      </c>
      <c r="D418" s="5" t="s">
        <v>385</v>
      </c>
      <c r="E418" s="5" t="s">
        <v>384</v>
      </c>
      <c r="F418" s="5" t="s">
        <v>45</v>
      </c>
      <c r="G418" s="5" t="s">
        <v>390</v>
      </c>
      <c r="H418" s="5" t="s">
        <v>77</v>
      </c>
      <c r="I418" s="5" t="s">
        <v>324</v>
      </c>
      <c r="J418" s="15">
        <v>1100</v>
      </c>
      <c r="K418" s="7">
        <v>37</v>
      </c>
      <c r="L418" s="7">
        <f>J418/K418</f>
        <v>29.72972972972973</v>
      </c>
      <c r="M418" s="5" t="s">
        <v>10</v>
      </c>
      <c r="N418" s="5">
        <v>4</v>
      </c>
      <c r="O418" s="6">
        <f>(J418*L418^2)/(1.6*10^6)</f>
        <v>0.60765157048940832</v>
      </c>
      <c r="P418" s="6">
        <f>(0.104*J418*L418^2)/(1.6*10^6)</f>
        <v>6.3195763330898463E-2</v>
      </c>
      <c r="Q418" s="10">
        <f>(0.104*O418)/(12*N418)</f>
        <v>1.3165784027270512E-3</v>
      </c>
      <c r="R418" s="10">
        <f>0.0159*O418^0.75</f>
        <v>1.0943042674342459E-2</v>
      </c>
      <c r="S418" s="10">
        <f>Q418+R418</f>
        <v>1.2259621077069511E-2</v>
      </c>
    </row>
    <row r="419" spans="1:19" x14ac:dyDescent="0.25">
      <c r="A419" s="5" t="s">
        <v>8</v>
      </c>
      <c r="B419" s="5" t="s">
        <v>322</v>
      </c>
      <c r="C419" s="5" t="s">
        <v>27</v>
      </c>
      <c r="D419" s="5" t="s">
        <v>385</v>
      </c>
      <c r="E419" s="5" t="s">
        <v>384</v>
      </c>
      <c r="F419" s="5" t="s">
        <v>45</v>
      </c>
      <c r="G419" s="5" t="s">
        <v>390</v>
      </c>
      <c r="H419" s="5" t="s">
        <v>77</v>
      </c>
      <c r="I419" s="5" t="s">
        <v>71</v>
      </c>
      <c r="J419" s="15">
        <v>1000</v>
      </c>
      <c r="K419" s="7">
        <v>34</v>
      </c>
      <c r="L419" s="7">
        <f>J419/K419</f>
        <v>29.411764705882351</v>
      </c>
      <c r="M419" s="5" t="s">
        <v>10</v>
      </c>
      <c r="N419" s="5">
        <v>4</v>
      </c>
      <c r="O419" s="6">
        <f>(J419*L419^2)/(1.6*10^6)</f>
        <v>0.54065743944636668</v>
      </c>
      <c r="P419" s="6">
        <f>(0.104*J419*L419^2)/(1.6*10^6)</f>
        <v>5.6228373702422139E-2</v>
      </c>
      <c r="Q419" s="10">
        <f>(0.104*O419)/(12*N419)</f>
        <v>1.1714244521337945E-3</v>
      </c>
      <c r="R419" s="10">
        <f>0.0159*O419^0.75</f>
        <v>1.0025101116786362E-2</v>
      </c>
      <c r="S419" s="10">
        <f>Q419+R419</f>
        <v>1.1196525568920156E-2</v>
      </c>
    </row>
    <row r="420" spans="1:19" x14ac:dyDescent="0.25">
      <c r="J420" s="16">
        <f>AVERAGE(J416:J419)</f>
        <v>897.5</v>
      </c>
      <c r="K420" s="12">
        <f t="shared" ref="K420:S420" si="112">AVERAGE(K416:K419)</f>
        <v>30.625</v>
      </c>
      <c r="L420" s="12">
        <f t="shared" si="112"/>
        <v>29.253699400758222</v>
      </c>
      <c r="M420" s="11" t="e">
        <f t="shared" si="112"/>
        <v>#DIV/0!</v>
      </c>
      <c r="N420" s="11">
        <f t="shared" si="112"/>
        <v>4</v>
      </c>
      <c r="O420" s="13">
        <f t="shared" si="112"/>
        <v>0.48211361409611386</v>
      </c>
      <c r="P420" s="13">
        <f t="shared" si="112"/>
        <v>5.0139815865995842E-2</v>
      </c>
      <c r="Q420" s="14">
        <f t="shared" si="112"/>
        <v>1.0445794972082467E-3</v>
      </c>
      <c r="R420" s="14">
        <f t="shared" si="112"/>
        <v>9.1654365883608851E-3</v>
      </c>
      <c r="S420" s="14">
        <f t="shared" si="112"/>
        <v>1.0210016085569134E-2</v>
      </c>
    </row>
    <row r="421" spans="1:19" x14ac:dyDescent="0.25">
      <c r="A421" s="5" t="s">
        <v>22</v>
      </c>
      <c r="B421" s="5" t="s">
        <v>63</v>
      </c>
      <c r="C421" s="5" t="s">
        <v>27</v>
      </c>
      <c r="D421" s="5" t="s">
        <v>385</v>
      </c>
      <c r="E421" s="5" t="s">
        <v>384</v>
      </c>
      <c r="F421" s="5" t="s">
        <v>45</v>
      </c>
      <c r="G421" s="5" t="s">
        <v>390</v>
      </c>
      <c r="H421" s="5" t="s">
        <v>74</v>
      </c>
      <c r="I421" s="5" t="s">
        <v>24</v>
      </c>
      <c r="J421" s="15">
        <v>1000</v>
      </c>
      <c r="K421" s="7">
        <v>30</v>
      </c>
      <c r="L421" s="7">
        <f>J421/K421</f>
        <v>33.333333333333336</v>
      </c>
      <c r="M421" s="5" t="s">
        <v>10</v>
      </c>
      <c r="N421" s="5">
        <v>4</v>
      </c>
      <c r="O421" s="6">
        <f>(J421*L421^2)/(1.6*10^6)</f>
        <v>0.69444444444444453</v>
      </c>
      <c r="P421" s="6">
        <f>(0.104*J421*L421^2)/(1.6*10^6)</f>
        <v>7.2222222222222229E-2</v>
      </c>
      <c r="Q421" s="10">
        <f>(0.104*O421)/(12*N421)</f>
        <v>1.5046296296296298E-3</v>
      </c>
      <c r="R421" s="10">
        <f>0.0159*O421^0.75</f>
        <v>1.2095539811572421E-2</v>
      </c>
      <c r="S421" s="10">
        <f>Q421+R421</f>
        <v>1.3600169441202051E-2</v>
      </c>
    </row>
    <row r="423" spans="1:19" x14ac:dyDescent="0.25">
      <c r="A423" s="5" t="s">
        <v>8</v>
      </c>
      <c r="B423" s="5" t="s">
        <v>264</v>
      </c>
      <c r="C423" s="5" t="s">
        <v>27</v>
      </c>
      <c r="D423" s="5" t="s">
        <v>385</v>
      </c>
      <c r="E423" s="5" t="s">
        <v>384</v>
      </c>
      <c r="F423" s="5" t="s">
        <v>45</v>
      </c>
      <c r="G423" s="5" t="s">
        <v>383</v>
      </c>
      <c r="H423" s="5" t="s">
        <v>89</v>
      </c>
      <c r="I423" s="5" t="s">
        <v>266</v>
      </c>
      <c r="J423" s="15">
        <v>1120</v>
      </c>
      <c r="K423" s="7">
        <v>29.2</v>
      </c>
      <c r="L423" s="7">
        <f t="shared" ref="L423:L436" si="113">J423/K423</f>
        <v>38.356164383561648</v>
      </c>
      <c r="M423" s="5" t="s">
        <v>10</v>
      </c>
      <c r="N423" s="5">
        <v>4</v>
      </c>
      <c r="O423" s="6">
        <f t="shared" ref="O423:O436" si="114">(J423*L423^2)/(1.6*10^6)</f>
        <v>1.029836742353162</v>
      </c>
      <c r="P423" s="6">
        <f t="shared" ref="P423:P436" si="115">(0.104*J423*L423^2)/(1.6*10^6)</f>
        <v>0.10710302120472885</v>
      </c>
      <c r="Q423" s="10">
        <f t="shared" ref="Q423:Q436" si="116">(0.104*O423)/(12*N423)</f>
        <v>2.2313129417651846E-3</v>
      </c>
      <c r="R423" s="10">
        <f t="shared" ref="R423:R436" si="117">0.0159*O423^0.75</f>
        <v>1.6254492377313225E-2</v>
      </c>
      <c r="S423" s="10">
        <f t="shared" ref="S423:S436" si="118">Q423+R423</f>
        <v>1.8485805319078411E-2</v>
      </c>
    </row>
    <row r="424" spans="1:19" x14ac:dyDescent="0.25">
      <c r="A424" s="5" t="s">
        <v>8</v>
      </c>
      <c r="B424" s="5" t="s">
        <v>358</v>
      </c>
      <c r="C424" s="5" t="s">
        <v>27</v>
      </c>
      <c r="D424" s="5" t="s">
        <v>385</v>
      </c>
      <c r="E424" s="5" t="s">
        <v>384</v>
      </c>
      <c r="F424" s="5" t="s">
        <v>45</v>
      </c>
      <c r="G424" s="5" t="s">
        <v>383</v>
      </c>
      <c r="H424" s="5" t="s">
        <v>89</v>
      </c>
      <c r="I424" s="5" t="s">
        <v>267</v>
      </c>
      <c r="J424" s="15">
        <v>1425</v>
      </c>
      <c r="K424" s="7">
        <v>33.5</v>
      </c>
      <c r="L424" s="7">
        <f t="shared" si="113"/>
        <v>42.537313432835823</v>
      </c>
      <c r="M424" s="5" t="s">
        <v>10</v>
      </c>
      <c r="N424" s="5">
        <v>4</v>
      </c>
      <c r="O424" s="6">
        <f t="shared" si="114"/>
        <v>1.6115173897304527</v>
      </c>
      <c r="P424" s="6">
        <f t="shared" si="115"/>
        <v>0.16759780853196707</v>
      </c>
      <c r="Q424" s="10">
        <f t="shared" si="116"/>
        <v>3.4916210110826473E-3</v>
      </c>
      <c r="R424" s="10">
        <f t="shared" si="117"/>
        <v>2.2741723321392279E-2</v>
      </c>
      <c r="S424" s="10">
        <f t="shared" si="118"/>
        <v>2.6233344332474928E-2</v>
      </c>
    </row>
    <row r="425" spans="1:19" x14ac:dyDescent="0.25">
      <c r="A425" s="5" t="s">
        <v>8</v>
      </c>
      <c r="B425" s="5" t="s">
        <v>264</v>
      </c>
      <c r="C425" s="5" t="s">
        <v>27</v>
      </c>
      <c r="D425" s="5" t="s">
        <v>385</v>
      </c>
      <c r="E425" s="5" t="s">
        <v>384</v>
      </c>
      <c r="F425" s="5" t="s">
        <v>45</v>
      </c>
      <c r="G425" s="5" t="s">
        <v>383</v>
      </c>
      <c r="H425" s="5" t="s">
        <v>89</v>
      </c>
      <c r="I425" s="5" t="s">
        <v>267</v>
      </c>
      <c r="J425" s="15">
        <v>1300</v>
      </c>
      <c r="K425" s="7">
        <v>33.5</v>
      </c>
      <c r="L425" s="7">
        <f t="shared" si="113"/>
        <v>38.805970149253731</v>
      </c>
      <c r="M425" s="5" t="s">
        <v>10</v>
      </c>
      <c r="N425" s="5">
        <v>4</v>
      </c>
      <c r="O425" s="6">
        <f t="shared" si="114"/>
        <v>1.2235464468701269</v>
      </c>
      <c r="P425" s="6">
        <f t="shared" si="115"/>
        <v>0.1272488304744932</v>
      </c>
      <c r="Q425" s="10">
        <f t="shared" si="116"/>
        <v>2.6510173015519417E-3</v>
      </c>
      <c r="R425" s="10">
        <f t="shared" si="117"/>
        <v>1.8497475870327421E-2</v>
      </c>
      <c r="S425" s="10">
        <f t="shared" si="118"/>
        <v>2.1148493171879362E-2</v>
      </c>
    </row>
    <row r="426" spans="1:19" x14ac:dyDescent="0.25">
      <c r="A426" s="5" t="s">
        <v>22</v>
      </c>
      <c r="B426" s="5" t="s">
        <v>63</v>
      </c>
      <c r="C426" s="5" t="s">
        <v>27</v>
      </c>
      <c r="D426" s="5" t="s">
        <v>385</v>
      </c>
      <c r="E426" s="5" t="s">
        <v>384</v>
      </c>
      <c r="F426" s="5" t="s">
        <v>45</v>
      </c>
      <c r="G426" s="5" t="s">
        <v>383</v>
      </c>
      <c r="H426" s="5" t="s">
        <v>89</v>
      </c>
      <c r="I426" s="5" t="s">
        <v>90</v>
      </c>
      <c r="J426" s="15">
        <v>840</v>
      </c>
      <c r="K426" s="7">
        <v>21.5</v>
      </c>
      <c r="L426" s="7">
        <f t="shared" si="113"/>
        <v>39.069767441860463</v>
      </c>
      <c r="M426" s="5" t="s">
        <v>10</v>
      </c>
      <c r="N426" s="5">
        <v>4</v>
      </c>
      <c r="O426" s="6">
        <f t="shared" si="114"/>
        <v>0.80138453217955641</v>
      </c>
      <c r="P426" s="6">
        <f t="shared" si="115"/>
        <v>8.3343991346673862E-2</v>
      </c>
      <c r="Q426" s="10">
        <f t="shared" si="116"/>
        <v>1.7363331530557055E-3</v>
      </c>
      <c r="R426" s="10">
        <f t="shared" si="117"/>
        <v>1.3467216474127932E-2</v>
      </c>
      <c r="S426" s="10">
        <f t="shared" si="118"/>
        <v>1.5203549627183637E-2</v>
      </c>
    </row>
    <row r="427" spans="1:19" x14ac:dyDescent="0.25">
      <c r="A427" s="5" t="s">
        <v>8</v>
      </c>
      <c r="B427" s="5" t="s">
        <v>359</v>
      </c>
      <c r="C427" s="5" t="s">
        <v>27</v>
      </c>
      <c r="D427" s="5" t="s">
        <v>385</v>
      </c>
      <c r="E427" s="5" t="s">
        <v>384</v>
      </c>
      <c r="F427" s="5" t="s">
        <v>45</v>
      </c>
      <c r="G427" s="5" t="s">
        <v>383</v>
      </c>
      <c r="H427" s="5" t="s">
        <v>89</v>
      </c>
      <c r="I427" s="5" t="s">
        <v>90</v>
      </c>
      <c r="J427" s="15">
        <v>840</v>
      </c>
      <c r="K427" s="7">
        <v>21.5</v>
      </c>
      <c r="L427" s="7">
        <f t="shared" si="113"/>
        <v>39.069767441860463</v>
      </c>
      <c r="M427" s="5" t="s">
        <v>10</v>
      </c>
      <c r="N427" s="5">
        <v>4</v>
      </c>
      <c r="O427" s="6">
        <f t="shared" si="114"/>
        <v>0.80138453217955641</v>
      </c>
      <c r="P427" s="6">
        <f t="shared" si="115"/>
        <v>8.3343991346673862E-2</v>
      </c>
      <c r="Q427" s="10">
        <f t="shared" si="116"/>
        <v>1.7363331530557055E-3</v>
      </c>
      <c r="R427" s="10">
        <f t="shared" si="117"/>
        <v>1.3467216474127932E-2</v>
      </c>
      <c r="S427" s="10">
        <f t="shared" si="118"/>
        <v>1.5203549627183637E-2</v>
      </c>
    </row>
    <row r="428" spans="1:19" x14ac:dyDescent="0.25">
      <c r="A428" s="5" t="s">
        <v>8</v>
      </c>
      <c r="B428" s="5" t="s">
        <v>360</v>
      </c>
      <c r="C428" s="5" t="s">
        <v>27</v>
      </c>
      <c r="D428" s="5" t="s">
        <v>385</v>
      </c>
      <c r="E428" s="5" t="s">
        <v>384</v>
      </c>
      <c r="F428" s="5" t="s">
        <v>45</v>
      </c>
      <c r="G428" s="5" t="s">
        <v>383</v>
      </c>
      <c r="H428" s="5" t="s">
        <v>89</v>
      </c>
      <c r="I428" s="5" t="s">
        <v>90</v>
      </c>
      <c r="J428" s="15">
        <v>1190</v>
      </c>
      <c r="K428" s="7">
        <v>22.5</v>
      </c>
      <c r="L428" s="7">
        <f t="shared" si="113"/>
        <v>52.888888888888886</v>
      </c>
      <c r="M428" s="5" t="s">
        <v>10</v>
      </c>
      <c r="N428" s="5">
        <v>4</v>
      </c>
      <c r="O428" s="6">
        <f t="shared" si="114"/>
        <v>2.0804432098765431</v>
      </c>
      <c r="P428" s="6">
        <f t="shared" si="115"/>
        <v>0.21636609382716043</v>
      </c>
      <c r="Q428" s="10">
        <f t="shared" si="116"/>
        <v>4.5076269547325099E-3</v>
      </c>
      <c r="R428" s="10">
        <f t="shared" si="117"/>
        <v>2.7543176383485118E-2</v>
      </c>
      <c r="S428" s="10">
        <f t="shared" si="118"/>
        <v>3.205080333821763E-2</v>
      </c>
    </row>
    <row r="429" spans="1:19" x14ac:dyDescent="0.25">
      <c r="A429" s="5" t="s">
        <v>8</v>
      </c>
      <c r="B429" s="5" t="s">
        <v>264</v>
      </c>
      <c r="C429" s="5" t="s">
        <v>27</v>
      </c>
      <c r="D429" s="5" t="s">
        <v>385</v>
      </c>
      <c r="E429" s="5" t="s">
        <v>384</v>
      </c>
      <c r="F429" s="5" t="s">
        <v>45</v>
      </c>
      <c r="G429" s="5" t="s">
        <v>383</v>
      </c>
      <c r="H429" s="5" t="s">
        <v>89</v>
      </c>
      <c r="I429" s="5" t="s">
        <v>90</v>
      </c>
      <c r="J429" s="15">
        <v>1000</v>
      </c>
      <c r="K429" s="7">
        <v>22</v>
      </c>
      <c r="L429" s="7">
        <f t="shared" si="113"/>
        <v>45.454545454545453</v>
      </c>
      <c r="M429" s="5" t="s">
        <v>10</v>
      </c>
      <c r="N429" s="5">
        <v>4</v>
      </c>
      <c r="O429" s="6">
        <f t="shared" si="114"/>
        <v>1.2913223140495866</v>
      </c>
      <c r="P429" s="6">
        <f t="shared" si="115"/>
        <v>0.13429752066115702</v>
      </c>
      <c r="Q429" s="10">
        <f t="shared" si="116"/>
        <v>2.7978650137741039E-3</v>
      </c>
      <c r="R429" s="10">
        <f t="shared" si="117"/>
        <v>1.9260746534398895E-2</v>
      </c>
      <c r="S429" s="10">
        <f t="shared" si="118"/>
        <v>2.2058611548172999E-2</v>
      </c>
    </row>
    <row r="430" spans="1:19" x14ac:dyDescent="0.25">
      <c r="A430" s="5" t="s">
        <v>8</v>
      </c>
      <c r="B430" s="5" t="s">
        <v>264</v>
      </c>
      <c r="C430" s="5" t="s">
        <v>27</v>
      </c>
      <c r="D430" s="5" t="s">
        <v>385</v>
      </c>
      <c r="E430" s="5" t="s">
        <v>384</v>
      </c>
      <c r="F430" s="5" t="s">
        <v>45</v>
      </c>
      <c r="G430" s="5" t="s">
        <v>383</v>
      </c>
      <c r="H430" s="5" t="s">
        <v>89</v>
      </c>
      <c r="I430" s="5" t="s">
        <v>265</v>
      </c>
      <c r="J430" s="15">
        <v>1000</v>
      </c>
      <c r="K430" s="7">
        <v>25</v>
      </c>
      <c r="L430" s="7">
        <f t="shared" si="113"/>
        <v>40</v>
      </c>
      <c r="M430" s="5" t="s">
        <v>10</v>
      </c>
      <c r="N430" s="5">
        <v>4</v>
      </c>
      <c r="O430" s="6">
        <f t="shared" si="114"/>
        <v>1</v>
      </c>
      <c r="P430" s="6">
        <f t="shared" si="115"/>
        <v>0.104</v>
      </c>
      <c r="Q430" s="10">
        <f t="shared" si="116"/>
        <v>2.1666666666666666E-3</v>
      </c>
      <c r="R430" s="10">
        <f t="shared" si="117"/>
        <v>1.5900000000000001E-2</v>
      </c>
      <c r="S430" s="10">
        <f t="shared" si="118"/>
        <v>1.8066666666666668E-2</v>
      </c>
    </row>
    <row r="431" spans="1:19" x14ac:dyDescent="0.25">
      <c r="A431" s="5" t="s">
        <v>8</v>
      </c>
      <c r="B431" s="5" t="s">
        <v>264</v>
      </c>
      <c r="C431" s="5" t="s">
        <v>27</v>
      </c>
      <c r="D431" s="5" t="s">
        <v>385</v>
      </c>
      <c r="E431" s="5" t="s">
        <v>384</v>
      </c>
      <c r="F431" s="5" t="s">
        <v>45</v>
      </c>
      <c r="G431" s="5" t="s">
        <v>383</v>
      </c>
      <c r="H431" s="5" t="s">
        <v>89</v>
      </c>
      <c r="I431" s="5" t="s">
        <v>268</v>
      </c>
      <c r="J431" s="15">
        <v>1300</v>
      </c>
      <c r="K431" s="7">
        <v>27.5</v>
      </c>
      <c r="L431" s="7">
        <f t="shared" si="113"/>
        <v>47.272727272727273</v>
      </c>
      <c r="M431" s="5" t="s">
        <v>10</v>
      </c>
      <c r="N431" s="5">
        <v>4</v>
      </c>
      <c r="O431" s="6">
        <f t="shared" si="114"/>
        <v>1.815702479338843</v>
      </c>
      <c r="P431" s="6">
        <f t="shared" si="115"/>
        <v>0.18883305785123963</v>
      </c>
      <c r="Q431" s="10">
        <f t="shared" si="116"/>
        <v>3.9340220385674926E-3</v>
      </c>
      <c r="R431" s="10">
        <f t="shared" si="117"/>
        <v>2.4870277967481078E-2</v>
      </c>
      <c r="S431" s="10">
        <f t="shared" si="118"/>
        <v>2.8804300006048569E-2</v>
      </c>
    </row>
    <row r="432" spans="1:19" x14ac:dyDescent="0.25">
      <c r="A432" s="5" t="s">
        <v>8</v>
      </c>
      <c r="B432" s="5" t="s">
        <v>358</v>
      </c>
      <c r="C432" s="5" t="s">
        <v>27</v>
      </c>
      <c r="D432" s="5" t="s">
        <v>385</v>
      </c>
      <c r="E432" s="5" t="s">
        <v>384</v>
      </c>
      <c r="F432" s="5" t="s">
        <v>45</v>
      </c>
      <c r="G432" s="5" t="s">
        <v>383</v>
      </c>
      <c r="H432" s="5" t="s">
        <v>89</v>
      </c>
      <c r="I432" s="5" t="s">
        <v>269</v>
      </c>
      <c r="J432" s="15">
        <v>1150</v>
      </c>
      <c r="K432" s="7">
        <v>25.8</v>
      </c>
      <c r="L432" s="7">
        <f t="shared" si="113"/>
        <v>44.573643410852711</v>
      </c>
      <c r="M432" s="5" t="s">
        <v>10</v>
      </c>
      <c r="N432" s="5">
        <v>4</v>
      </c>
      <c r="O432" s="6">
        <f t="shared" si="114"/>
        <v>1.4280194624722071</v>
      </c>
      <c r="P432" s="6">
        <f t="shared" si="115"/>
        <v>0.14851402409710951</v>
      </c>
      <c r="Q432" s="10">
        <f t="shared" si="116"/>
        <v>3.0940421686897822E-3</v>
      </c>
      <c r="R432" s="10">
        <f t="shared" si="117"/>
        <v>2.0770536726440858E-2</v>
      </c>
      <c r="S432" s="10">
        <f t="shared" si="118"/>
        <v>2.3864578895130641E-2</v>
      </c>
    </row>
    <row r="433" spans="1:19" x14ac:dyDescent="0.25">
      <c r="A433" s="5" t="s">
        <v>8</v>
      </c>
      <c r="B433" s="5" t="s">
        <v>264</v>
      </c>
      <c r="C433" s="5" t="s">
        <v>27</v>
      </c>
      <c r="D433" s="5" t="s">
        <v>385</v>
      </c>
      <c r="E433" s="5" t="s">
        <v>384</v>
      </c>
      <c r="F433" s="5" t="s">
        <v>45</v>
      </c>
      <c r="G433" s="5" t="s">
        <v>383</v>
      </c>
      <c r="H433" s="5" t="s">
        <v>89</v>
      </c>
      <c r="I433" s="5" t="s">
        <v>269</v>
      </c>
      <c r="J433" s="15">
        <v>1060</v>
      </c>
      <c r="K433" s="7">
        <v>23.5</v>
      </c>
      <c r="L433" s="7">
        <f t="shared" si="113"/>
        <v>45.106382978723403</v>
      </c>
      <c r="M433" s="5" t="s">
        <v>10</v>
      </c>
      <c r="N433" s="5">
        <v>4</v>
      </c>
      <c r="O433" s="6">
        <f t="shared" si="114"/>
        <v>1.3479130828429153</v>
      </c>
      <c r="P433" s="6">
        <f t="shared" si="115"/>
        <v>0.14018296061566318</v>
      </c>
      <c r="Q433" s="10">
        <f t="shared" si="116"/>
        <v>2.9204783461596498E-3</v>
      </c>
      <c r="R433" s="10">
        <f t="shared" si="117"/>
        <v>1.9890401090197855E-2</v>
      </c>
      <c r="S433" s="10">
        <f t="shared" si="118"/>
        <v>2.2810879436357505E-2</v>
      </c>
    </row>
    <row r="434" spans="1:19" x14ac:dyDescent="0.25">
      <c r="A434" s="5" t="s">
        <v>8</v>
      </c>
      <c r="B434" s="5" t="s">
        <v>312</v>
      </c>
      <c r="C434" s="5" t="s">
        <v>27</v>
      </c>
      <c r="D434" s="5" t="s">
        <v>385</v>
      </c>
      <c r="E434" s="5" t="s">
        <v>384</v>
      </c>
      <c r="F434" s="5" t="s">
        <v>45</v>
      </c>
      <c r="G434" s="5" t="s">
        <v>383</v>
      </c>
      <c r="H434" s="5" t="s">
        <v>89</v>
      </c>
      <c r="I434" s="5" t="s">
        <v>269</v>
      </c>
      <c r="J434" s="15">
        <v>1040</v>
      </c>
      <c r="K434" s="7">
        <v>22</v>
      </c>
      <c r="L434" s="7">
        <f t="shared" si="113"/>
        <v>47.272727272727273</v>
      </c>
      <c r="M434" s="5" t="s">
        <v>10</v>
      </c>
      <c r="N434" s="5">
        <v>4</v>
      </c>
      <c r="O434" s="6">
        <f t="shared" si="114"/>
        <v>1.4525619834710741</v>
      </c>
      <c r="P434" s="6">
        <f t="shared" si="115"/>
        <v>0.15106644628099172</v>
      </c>
      <c r="Q434" s="10">
        <f t="shared" si="116"/>
        <v>3.1472176308539935E-3</v>
      </c>
      <c r="R434" s="10">
        <f t="shared" si="117"/>
        <v>2.1037693789274791E-2</v>
      </c>
      <c r="S434" s="10">
        <f t="shared" si="118"/>
        <v>2.4184911420128786E-2</v>
      </c>
    </row>
    <row r="435" spans="1:19" x14ac:dyDescent="0.25">
      <c r="A435" s="5" t="s">
        <v>8</v>
      </c>
      <c r="B435" s="5" t="s">
        <v>312</v>
      </c>
      <c r="C435" s="5" t="s">
        <v>27</v>
      </c>
      <c r="D435" s="5" t="s">
        <v>385</v>
      </c>
      <c r="E435" s="5" t="s">
        <v>384</v>
      </c>
      <c r="F435" s="5" t="s">
        <v>45</v>
      </c>
      <c r="G435" s="5" t="s">
        <v>383</v>
      </c>
      <c r="H435" s="5" t="s">
        <v>89</v>
      </c>
      <c r="I435" s="5" t="s">
        <v>269</v>
      </c>
      <c r="J435" s="15">
        <v>1215</v>
      </c>
      <c r="K435" s="7">
        <v>26.3</v>
      </c>
      <c r="L435" s="7">
        <f t="shared" si="113"/>
        <v>46.197718631178709</v>
      </c>
      <c r="M435" s="5" t="s">
        <v>10</v>
      </c>
      <c r="N435" s="5">
        <v>4</v>
      </c>
      <c r="O435" s="6">
        <f t="shared" si="114"/>
        <v>1.6206803038572197</v>
      </c>
      <c r="P435" s="6">
        <f t="shared" si="115"/>
        <v>0.16855075160115085</v>
      </c>
      <c r="Q435" s="10">
        <f t="shared" si="116"/>
        <v>3.5114739916906426E-3</v>
      </c>
      <c r="R435" s="10">
        <f t="shared" si="117"/>
        <v>2.2838634796892455E-2</v>
      </c>
      <c r="S435" s="10">
        <f t="shared" si="118"/>
        <v>2.6350108788583099E-2</v>
      </c>
    </row>
    <row r="436" spans="1:19" x14ac:dyDescent="0.25">
      <c r="A436" s="5" t="s">
        <v>8</v>
      </c>
      <c r="B436" s="5" t="s">
        <v>264</v>
      </c>
      <c r="C436" s="5" t="s">
        <v>27</v>
      </c>
      <c r="D436" s="5" t="s">
        <v>385</v>
      </c>
      <c r="E436" s="5" t="s">
        <v>384</v>
      </c>
      <c r="F436" s="5" t="s">
        <v>45</v>
      </c>
      <c r="G436" s="5" t="s">
        <v>383</v>
      </c>
      <c r="H436" s="5" t="s">
        <v>89</v>
      </c>
      <c r="I436" s="5" t="s">
        <v>130</v>
      </c>
      <c r="J436" s="15">
        <v>1385</v>
      </c>
      <c r="K436" s="7">
        <v>26.4</v>
      </c>
      <c r="L436" s="7">
        <f t="shared" si="113"/>
        <v>52.462121212121218</v>
      </c>
      <c r="M436" s="5" t="s">
        <v>10</v>
      </c>
      <c r="N436" s="5">
        <v>4</v>
      </c>
      <c r="O436" s="6">
        <f t="shared" si="114"/>
        <v>2.3824373215464307</v>
      </c>
      <c r="P436" s="6">
        <f t="shared" si="115"/>
        <v>0.24777348144082881</v>
      </c>
      <c r="Q436" s="10">
        <f t="shared" si="116"/>
        <v>5.1619475300172663E-3</v>
      </c>
      <c r="R436" s="10">
        <f t="shared" si="117"/>
        <v>3.0490408095780776E-2</v>
      </c>
      <c r="S436" s="10">
        <f t="shared" si="118"/>
        <v>3.5652355625798042E-2</v>
      </c>
    </row>
    <row r="437" spans="1:19" x14ac:dyDescent="0.25">
      <c r="J437" s="16">
        <f>AVERAGE(J423:J436)</f>
        <v>1133.2142857142858</v>
      </c>
      <c r="K437" s="12">
        <f t="shared" ref="K437:S437" si="119">AVERAGE(K423:K436)</f>
        <v>25.728571428571428</v>
      </c>
      <c r="L437" s="12">
        <f t="shared" si="119"/>
        <v>44.219124140795508</v>
      </c>
      <c r="M437" s="11" t="e">
        <f t="shared" si="119"/>
        <v>#DIV/0!</v>
      </c>
      <c r="N437" s="11">
        <f t="shared" si="119"/>
        <v>4</v>
      </c>
      <c r="O437" s="13">
        <f t="shared" si="119"/>
        <v>1.4204821286262626</v>
      </c>
      <c r="P437" s="13">
        <f t="shared" si="119"/>
        <v>0.14773014137713128</v>
      </c>
      <c r="Q437" s="14">
        <f t="shared" si="119"/>
        <v>3.0777112786902349E-3</v>
      </c>
      <c r="R437" s="14">
        <f t="shared" si="119"/>
        <v>2.0502142850088615E-2</v>
      </c>
      <c r="S437" s="14">
        <f t="shared" si="119"/>
        <v>2.3579854128778849E-2</v>
      </c>
    </row>
    <row r="438" spans="1:19" x14ac:dyDescent="0.25">
      <c r="A438" s="5" t="s">
        <v>22</v>
      </c>
      <c r="B438" s="5" t="s">
        <v>63</v>
      </c>
      <c r="C438" s="5" t="s">
        <v>27</v>
      </c>
      <c r="D438" s="5" t="s">
        <v>385</v>
      </c>
      <c r="E438" s="5" t="s">
        <v>384</v>
      </c>
      <c r="F438" s="5" t="s">
        <v>45</v>
      </c>
      <c r="G438" s="5" t="s">
        <v>383</v>
      </c>
      <c r="H438" s="5" t="s">
        <v>84</v>
      </c>
      <c r="I438" s="5" t="s">
        <v>85</v>
      </c>
      <c r="J438" s="15">
        <v>1150</v>
      </c>
      <c r="K438" s="7">
        <v>26</v>
      </c>
      <c r="L438" s="7">
        <f t="shared" ref="L438:L443" si="120">J438/K438</f>
        <v>44.230769230769234</v>
      </c>
      <c r="M438" s="5" t="s">
        <v>10</v>
      </c>
      <c r="N438" s="5">
        <v>4</v>
      </c>
      <c r="O438" s="6">
        <f t="shared" ref="O438:O443" si="121">(J438*L438^2)/(1.6*10^6)</f>
        <v>1.4061344304733729</v>
      </c>
      <c r="P438" s="6">
        <f t="shared" ref="P438:P443" si="122">(0.104*J438*L438^2)/(1.6*10^6)</f>
        <v>0.14623798076923078</v>
      </c>
      <c r="Q438" s="10">
        <f t="shared" ref="Q438:Q443" si="123">(0.104*O438)/(12*N438)</f>
        <v>3.0466245993589747E-3</v>
      </c>
      <c r="R438" s="10">
        <f t="shared" ref="R438:R443" si="124">0.0159*O438^0.75</f>
        <v>2.0531338164569143E-2</v>
      </c>
      <c r="S438" s="10">
        <f t="shared" ref="S438:S443" si="125">Q438+R438</f>
        <v>2.3577962763928116E-2</v>
      </c>
    </row>
    <row r="439" spans="1:19" x14ac:dyDescent="0.25">
      <c r="A439" s="5" t="s">
        <v>8</v>
      </c>
      <c r="B439" s="5" t="s">
        <v>326</v>
      </c>
      <c r="C439" s="5" t="s">
        <v>27</v>
      </c>
      <c r="D439" s="5" t="s">
        <v>385</v>
      </c>
      <c r="E439" s="5" t="s">
        <v>384</v>
      </c>
      <c r="F439" s="5" t="s">
        <v>45</v>
      </c>
      <c r="G439" s="5" t="s">
        <v>383</v>
      </c>
      <c r="H439" s="5" t="s">
        <v>84</v>
      </c>
      <c r="I439" s="5" t="s">
        <v>327</v>
      </c>
      <c r="J439" s="15">
        <v>1150</v>
      </c>
      <c r="K439" s="7">
        <v>21</v>
      </c>
      <c r="L439" s="7">
        <f t="shared" si="120"/>
        <v>54.761904761904759</v>
      </c>
      <c r="M439" s="5" t="s">
        <v>10</v>
      </c>
      <c r="N439" s="5">
        <v>4</v>
      </c>
      <c r="O439" s="6">
        <f t="shared" si="121"/>
        <v>2.1554350907029476</v>
      </c>
      <c r="P439" s="6">
        <f t="shared" si="122"/>
        <v>0.22416524943310653</v>
      </c>
      <c r="Q439" s="10">
        <f t="shared" si="123"/>
        <v>4.6701093631897192E-3</v>
      </c>
      <c r="R439" s="10">
        <f t="shared" si="124"/>
        <v>2.828448893687794E-2</v>
      </c>
      <c r="S439" s="10">
        <f t="shared" si="125"/>
        <v>3.295459830006766E-2</v>
      </c>
    </row>
    <row r="440" spans="1:19" x14ac:dyDescent="0.25">
      <c r="A440" s="5" t="s">
        <v>8</v>
      </c>
      <c r="B440" s="5" t="s">
        <v>322</v>
      </c>
      <c r="C440" s="5" t="s">
        <v>27</v>
      </c>
      <c r="D440" s="5" t="s">
        <v>385</v>
      </c>
      <c r="E440" s="5" t="s">
        <v>384</v>
      </c>
      <c r="F440" s="5" t="s">
        <v>45</v>
      </c>
      <c r="G440" s="5" t="s">
        <v>383</v>
      </c>
      <c r="H440" s="5" t="s">
        <v>84</v>
      </c>
      <c r="I440" s="5" t="s">
        <v>211</v>
      </c>
      <c r="J440" s="15">
        <v>1350</v>
      </c>
      <c r="K440" s="7">
        <v>35</v>
      </c>
      <c r="L440" s="7">
        <f t="shared" si="120"/>
        <v>38.571428571428569</v>
      </c>
      <c r="M440" s="5" t="s">
        <v>10</v>
      </c>
      <c r="N440" s="5">
        <v>4</v>
      </c>
      <c r="O440" s="6">
        <f t="shared" si="121"/>
        <v>1.2552933673469386</v>
      </c>
      <c r="P440" s="6">
        <f t="shared" si="122"/>
        <v>0.13055051020408162</v>
      </c>
      <c r="Q440" s="10">
        <f t="shared" si="123"/>
        <v>2.719802295918367E-3</v>
      </c>
      <c r="R440" s="10">
        <f t="shared" si="124"/>
        <v>1.8856281365180333E-2</v>
      </c>
      <c r="S440" s="10">
        <f t="shared" si="125"/>
        <v>2.1576083661098699E-2</v>
      </c>
    </row>
    <row r="441" spans="1:19" x14ac:dyDescent="0.25">
      <c r="A441" s="5" t="s">
        <v>8</v>
      </c>
      <c r="B441" s="5" t="s">
        <v>206</v>
      </c>
      <c r="C441" s="5" t="s">
        <v>27</v>
      </c>
      <c r="D441" s="5" t="s">
        <v>385</v>
      </c>
      <c r="E441" s="5" t="s">
        <v>384</v>
      </c>
      <c r="F441" s="5" t="s">
        <v>45</v>
      </c>
      <c r="G441" s="5" t="s">
        <v>383</v>
      </c>
      <c r="H441" s="5" t="s">
        <v>84</v>
      </c>
      <c r="I441" s="5" t="s">
        <v>211</v>
      </c>
      <c r="J441" s="15">
        <v>1050</v>
      </c>
      <c r="K441" s="7">
        <v>20</v>
      </c>
      <c r="L441" s="7">
        <f t="shared" si="120"/>
        <v>52.5</v>
      </c>
      <c r="M441" s="5" t="s">
        <v>10</v>
      </c>
      <c r="N441" s="5">
        <v>4</v>
      </c>
      <c r="O441" s="6">
        <f t="shared" si="121"/>
        <v>1.8087890625</v>
      </c>
      <c r="P441" s="6">
        <f t="shared" si="122"/>
        <v>0.18811406249999996</v>
      </c>
      <c r="Q441" s="10">
        <f t="shared" si="123"/>
        <v>3.9190429687499997E-3</v>
      </c>
      <c r="R441" s="10">
        <f t="shared" si="124"/>
        <v>2.4799222591898096E-2</v>
      </c>
      <c r="S441" s="10">
        <f t="shared" si="125"/>
        <v>2.8718265560648097E-2</v>
      </c>
    </row>
    <row r="442" spans="1:19" x14ac:dyDescent="0.25">
      <c r="A442" s="5" t="s">
        <v>8</v>
      </c>
      <c r="B442" s="5" t="s">
        <v>204</v>
      </c>
      <c r="C442" s="5" t="s">
        <v>27</v>
      </c>
      <c r="D442" s="5" t="s">
        <v>385</v>
      </c>
      <c r="E442" s="5" t="s">
        <v>384</v>
      </c>
      <c r="F442" s="5" t="s">
        <v>45</v>
      </c>
      <c r="G442" s="5" t="s">
        <v>383</v>
      </c>
      <c r="H442" s="5" t="s">
        <v>84</v>
      </c>
      <c r="I442" s="5" t="s">
        <v>211</v>
      </c>
      <c r="J442" s="15">
        <v>1300</v>
      </c>
      <c r="K442" s="7">
        <v>31</v>
      </c>
      <c r="L442" s="7">
        <f t="shared" si="120"/>
        <v>41.935483870967744</v>
      </c>
      <c r="M442" s="5" t="s">
        <v>10</v>
      </c>
      <c r="N442" s="5">
        <v>4</v>
      </c>
      <c r="O442" s="6">
        <f t="shared" si="121"/>
        <v>1.4288501560874092</v>
      </c>
      <c r="P442" s="6">
        <f t="shared" si="122"/>
        <v>0.14860041623309053</v>
      </c>
      <c r="Q442" s="10">
        <f t="shared" si="123"/>
        <v>3.0958420048560532E-3</v>
      </c>
      <c r="R442" s="10">
        <f t="shared" si="124"/>
        <v>2.0779597893882982E-2</v>
      </c>
      <c r="S442" s="10">
        <f t="shared" si="125"/>
        <v>2.3875439898739036E-2</v>
      </c>
    </row>
    <row r="443" spans="1:19" x14ac:dyDescent="0.25">
      <c r="A443" s="5" t="s">
        <v>8</v>
      </c>
      <c r="B443" s="5" t="s">
        <v>192</v>
      </c>
      <c r="C443" s="5" t="s">
        <v>27</v>
      </c>
      <c r="D443" s="5" t="s">
        <v>385</v>
      </c>
      <c r="E443" s="5" t="s">
        <v>384</v>
      </c>
      <c r="F443" s="5" t="s">
        <v>45</v>
      </c>
      <c r="G443" s="5" t="s">
        <v>383</v>
      </c>
      <c r="H443" s="5" t="s">
        <v>84</v>
      </c>
      <c r="I443" s="5" t="s">
        <v>211</v>
      </c>
      <c r="J443" s="15">
        <v>1240</v>
      </c>
      <c r="K443" s="7">
        <v>33</v>
      </c>
      <c r="L443" s="7">
        <f t="shared" si="120"/>
        <v>37.575757575757578</v>
      </c>
      <c r="M443" s="5" t="s">
        <v>10</v>
      </c>
      <c r="N443" s="5">
        <v>4</v>
      </c>
      <c r="O443" s="6">
        <f t="shared" si="121"/>
        <v>1.0942516069788797</v>
      </c>
      <c r="P443" s="6">
        <f t="shared" si="122"/>
        <v>0.1138021671258035</v>
      </c>
      <c r="Q443" s="10">
        <f t="shared" si="123"/>
        <v>2.3708784817875728E-3</v>
      </c>
      <c r="R443" s="10">
        <f t="shared" si="124"/>
        <v>1.7011202684541326E-2</v>
      </c>
      <c r="S443" s="10">
        <f t="shared" si="125"/>
        <v>1.9382081166328897E-2</v>
      </c>
    </row>
    <row r="444" spans="1:19" x14ac:dyDescent="0.25">
      <c r="J444" s="15">
        <f>AVERAGE(J438:J443)</f>
        <v>1206.6666666666667</v>
      </c>
      <c r="K444" s="7">
        <f t="shared" ref="K444:S444" si="126">AVERAGE(K438:K443)</f>
        <v>27.666666666666668</v>
      </c>
      <c r="L444" s="7">
        <f t="shared" si="126"/>
        <v>44.929224001804641</v>
      </c>
      <c r="M444" s="5" t="e">
        <f t="shared" si="126"/>
        <v>#DIV/0!</v>
      </c>
      <c r="N444" s="5">
        <f t="shared" si="126"/>
        <v>4</v>
      </c>
      <c r="O444" s="6">
        <f t="shared" si="126"/>
        <v>1.5247922856815912</v>
      </c>
      <c r="P444" s="6">
        <f t="shared" si="126"/>
        <v>0.15857839771088547</v>
      </c>
      <c r="Q444" s="10">
        <f t="shared" si="126"/>
        <v>3.3037166189767808E-3</v>
      </c>
      <c r="R444" s="10">
        <f t="shared" si="126"/>
        <v>2.1710355272824968E-2</v>
      </c>
      <c r="S444" s="10">
        <f t="shared" si="126"/>
        <v>2.5014071891801746E-2</v>
      </c>
    </row>
    <row r="445" spans="1:19" x14ac:dyDescent="0.25">
      <c r="A445" s="5" t="s">
        <v>22</v>
      </c>
      <c r="B445" s="5" t="s">
        <v>63</v>
      </c>
      <c r="C445" s="5" t="s">
        <v>27</v>
      </c>
      <c r="D445" s="5" t="s">
        <v>385</v>
      </c>
      <c r="E445" s="5" t="s">
        <v>384</v>
      </c>
      <c r="F445" s="5" t="s">
        <v>45</v>
      </c>
      <c r="G445" s="5" t="s">
        <v>383</v>
      </c>
      <c r="H445" s="5" t="s">
        <v>86</v>
      </c>
      <c r="I445" s="5" t="s">
        <v>87</v>
      </c>
      <c r="J445" s="15">
        <v>1500</v>
      </c>
      <c r="K445" s="7">
        <v>36</v>
      </c>
      <c r="L445" s="7">
        <f>J445/K445</f>
        <v>41.666666666666664</v>
      </c>
      <c r="M445" s="5" t="s">
        <v>10</v>
      </c>
      <c r="N445" s="5">
        <v>4</v>
      </c>
      <c r="O445" s="6">
        <f>(J445*L445^2)/(1.6*10^6)</f>
        <v>1.6276041666666665</v>
      </c>
      <c r="P445" s="6">
        <f>(0.104*J445*L445^2)/(1.6*10^6)</f>
        <v>0.16927083333333331</v>
      </c>
      <c r="Q445" s="10">
        <f>(0.104*O445)/(12*N445)</f>
        <v>3.5264756944444441E-3</v>
      </c>
      <c r="R445" s="10">
        <f>0.0159*O445^0.75</f>
        <v>2.2911774118795719E-2</v>
      </c>
      <c r="S445" s="10">
        <f>Q445+R445</f>
        <v>2.6438249813240163E-2</v>
      </c>
    </row>
    <row r="447" spans="1:19" x14ac:dyDescent="0.25">
      <c r="A447" s="5" t="s">
        <v>22</v>
      </c>
      <c r="B447" s="5" t="s">
        <v>63</v>
      </c>
      <c r="C447" s="5" t="s">
        <v>27</v>
      </c>
      <c r="D447" s="5" t="s">
        <v>385</v>
      </c>
      <c r="E447" s="5" t="s">
        <v>384</v>
      </c>
      <c r="F447" s="5" t="s">
        <v>45</v>
      </c>
      <c r="G447" s="5" t="s">
        <v>383</v>
      </c>
      <c r="H447" s="5" t="s">
        <v>88</v>
      </c>
      <c r="I447" s="5" t="s">
        <v>15</v>
      </c>
      <c r="J447" s="15">
        <v>1700</v>
      </c>
      <c r="K447" s="7">
        <v>22</v>
      </c>
      <c r="L447" s="7">
        <f>J447/K447</f>
        <v>77.272727272727266</v>
      </c>
      <c r="M447" s="5" t="s">
        <v>10</v>
      </c>
      <c r="N447" s="5">
        <v>4</v>
      </c>
      <c r="O447" s="6">
        <f>(J447*L447^2)/(1.6*10^6)</f>
        <v>6.344266528925619</v>
      </c>
      <c r="P447" s="6">
        <f>(0.104*J447*L447^2)/(1.6*10^6)</f>
        <v>0.65980371900826429</v>
      </c>
      <c r="Q447" s="10">
        <f>(0.104*O447)/(12*N447)</f>
        <v>1.3745910812672174E-2</v>
      </c>
      <c r="R447" s="10">
        <f>0.0159*O447^0.75</f>
        <v>6.3559897650201369E-2</v>
      </c>
      <c r="S447" s="10">
        <f>Q447+R447</f>
        <v>7.7305808462873549E-2</v>
      </c>
    </row>
    <row r="449" spans="1:19" x14ac:dyDescent="0.25">
      <c r="A449" s="5" t="s">
        <v>22</v>
      </c>
      <c r="B449" s="5" t="s">
        <v>63</v>
      </c>
      <c r="C449" s="5" t="s">
        <v>27</v>
      </c>
      <c r="D449" s="5" t="s">
        <v>385</v>
      </c>
      <c r="E449" s="5" t="s">
        <v>384</v>
      </c>
      <c r="F449" s="5" t="s">
        <v>45</v>
      </c>
      <c r="G449" s="5" t="s">
        <v>383</v>
      </c>
      <c r="H449" s="5" t="s">
        <v>83</v>
      </c>
      <c r="I449" s="5" t="s">
        <v>62</v>
      </c>
      <c r="J449" s="15">
        <v>1300</v>
      </c>
      <c r="K449" s="7">
        <v>28</v>
      </c>
      <c r="L449" s="7">
        <f t="shared" ref="L449:L454" si="127">J449/K449</f>
        <v>46.428571428571431</v>
      </c>
      <c r="M449" s="5" t="s">
        <v>10</v>
      </c>
      <c r="N449" s="5">
        <v>4</v>
      </c>
      <c r="O449" s="6">
        <f t="shared" ref="O449:O454" si="128">(J449*L449^2)/(1.6*10^6)</f>
        <v>1.751434948979592</v>
      </c>
      <c r="P449" s="6">
        <f t="shared" ref="P449:P454" si="129">(0.104*J449*L449^2)/(1.6*10^6)</f>
        <v>0.18214923469387756</v>
      </c>
      <c r="Q449" s="10">
        <f t="shared" ref="Q449:Q454" si="130">(0.104*O449)/(12*N449)</f>
        <v>3.7947757227891157E-3</v>
      </c>
      <c r="R449" s="10">
        <f t="shared" ref="R449:R454" si="131">0.0159*O449^0.75</f>
        <v>2.4207092683528889E-2</v>
      </c>
      <c r="S449" s="10">
        <f t="shared" ref="S449:S454" si="132">Q449+R449</f>
        <v>2.8001868406318006E-2</v>
      </c>
    </row>
    <row r="450" spans="1:19" x14ac:dyDescent="0.25">
      <c r="A450" s="5" t="s">
        <v>8</v>
      </c>
      <c r="B450" s="5" t="s">
        <v>339</v>
      </c>
      <c r="C450" s="5" t="s">
        <v>27</v>
      </c>
      <c r="D450" s="5" t="s">
        <v>385</v>
      </c>
      <c r="E450" s="5" t="s">
        <v>384</v>
      </c>
      <c r="F450" s="5" t="s">
        <v>45</v>
      </c>
      <c r="G450" s="5" t="s">
        <v>383</v>
      </c>
      <c r="H450" s="5" t="s">
        <v>83</v>
      </c>
      <c r="I450" s="5" t="s">
        <v>341</v>
      </c>
      <c r="J450" s="15">
        <v>1103</v>
      </c>
      <c r="K450" s="7">
        <v>27.5</v>
      </c>
      <c r="L450" s="7">
        <f t="shared" si="127"/>
        <v>40.109090909090909</v>
      </c>
      <c r="M450" s="5" t="s">
        <v>10</v>
      </c>
      <c r="N450" s="5">
        <v>4</v>
      </c>
      <c r="O450" s="6">
        <f t="shared" si="128"/>
        <v>1.109024567768595</v>
      </c>
      <c r="P450" s="6">
        <f t="shared" si="129"/>
        <v>0.11533855504793387</v>
      </c>
      <c r="Q450" s="10">
        <f t="shared" si="130"/>
        <v>2.4028865634986222E-3</v>
      </c>
      <c r="R450" s="10">
        <f t="shared" si="131"/>
        <v>1.7183158637034863E-2</v>
      </c>
      <c r="S450" s="10">
        <f t="shared" si="132"/>
        <v>1.9586045200533485E-2</v>
      </c>
    </row>
    <row r="451" spans="1:19" x14ac:dyDescent="0.25">
      <c r="A451" s="5" t="s">
        <v>8</v>
      </c>
      <c r="B451" s="5" t="s">
        <v>369</v>
      </c>
      <c r="C451" s="5" t="s">
        <v>27</v>
      </c>
      <c r="D451" s="5" t="s">
        <v>385</v>
      </c>
      <c r="E451" s="5" t="s">
        <v>384</v>
      </c>
      <c r="F451" s="5" t="s">
        <v>45</v>
      </c>
      <c r="G451" s="5" t="s">
        <v>383</v>
      </c>
      <c r="H451" s="5" t="s">
        <v>83</v>
      </c>
      <c r="I451" s="5" t="s">
        <v>341</v>
      </c>
      <c r="J451" s="15">
        <v>1260</v>
      </c>
      <c r="K451" s="7">
        <v>29.9</v>
      </c>
      <c r="L451" s="7">
        <f t="shared" si="127"/>
        <v>42.140468227424748</v>
      </c>
      <c r="M451" s="5" t="s">
        <v>10</v>
      </c>
      <c r="N451" s="5">
        <v>4</v>
      </c>
      <c r="O451" s="6">
        <f t="shared" si="128"/>
        <v>1.3984575116609432</v>
      </c>
      <c r="P451" s="6">
        <f t="shared" si="129"/>
        <v>0.14543958121273809</v>
      </c>
      <c r="Q451" s="10">
        <f t="shared" si="130"/>
        <v>3.029991275265377E-3</v>
      </c>
      <c r="R451" s="10">
        <f t="shared" si="131"/>
        <v>2.0447211129455776E-2</v>
      </c>
      <c r="S451" s="10">
        <f t="shared" si="132"/>
        <v>2.3477202404721152E-2</v>
      </c>
    </row>
    <row r="452" spans="1:19" x14ac:dyDescent="0.25">
      <c r="A452" s="5" t="s">
        <v>8</v>
      </c>
      <c r="B452" s="5" t="s">
        <v>339</v>
      </c>
      <c r="C452" s="5" t="s">
        <v>27</v>
      </c>
      <c r="D452" s="5" t="s">
        <v>385</v>
      </c>
      <c r="E452" s="5" t="s">
        <v>384</v>
      </c>
      <c r="F452" s="5" t="s">
        <v>45</v>
      </c>
      <c r="G452" s="5" t="s">
        <v>383</v>
      </c>
      <c r="H452" s="5" t="s">
        <v>83</v>
      </c>
      <c r="I452" s="5" t="s">
        <v>340</v>
      </c>
      <c r="J452" s="15">
        <v>1023</v>
      </c>
      <c r="K452" s="7">
        <v>26.4</v>
      </c>
      <c r="L452" s="7">
        <f t="shared" si="127"/>
        <v>38.75</v>
      </c>
      <c r="M452" s="5" t="s">
        <v>10</v>
      </c>
      <c r="N452" s="5">
        <v>4</v>
      </c>
      <c r="O452" s="6">
        <f t="shared" si="128"/>
        <v>0.96006152343749995</v>
      </c>
      <c r="P452" s="6">
        <f t="shared" si="129"/>
        <v>9.9846398437499997E-2</v>
      </c>
      <c r="Q452" s="10">
        <f t="shared" si="130"/>
        <v>2.0801333007812498E-3</v>
      </c>
      <c r="R452" s="10">
        <f t="shared" si="131"/>
        <v>1.5421315518521045E-2</v>
      </c>
      <c r="S452" s="10">
        <f t="shared" si="132"/>
        <v>1.7501448819302295E-2</v>
      </c>
    </row>
    <row r="453" spans="1:19" x14ac:dyDescent="0.25">
      <c r="A453" s="5" t="s">
        <v>8</v>
      </c>
      <c r="B453" s="5" t="s">
        <v>339</v>
      </c>
      <c r="C453" s="5" t="s">
        <v>27</v>
      </c>
      <c r="D453" s="5" t="s">
        <v>385</v>
      </c>
      <c r="E453" s="5" t="s">
        <v>384</v>
      </c>
      <c r="F453" s="5" t="s">
        <v>45</v>
      </c>
      <c r="G453" s="5" t="s">
        <v>383</v>
      </c>
      <c r="H453" s="5" t="s">
        <v>83</v>
      </c>
      <c r="I453" s="5" t="s">
        <v>340</v>
      </c>
      <c r="J453" s="15">
        <v>1009</v>
      </c>
      <c r="K453" s="7">
        <v>22.1</v>
      </c>
      <c r="L453" s="7">
        <f t="shared" si="127"/>
        <v>45.656108597285062</v>
      </c>
      <c r="M453" s="5" t="s">
        <v>10</v>
      </c>
      <c r="N453" s="5">
        <v>4</v>
      </c>
      <c r="O453" s="6">
        <f t="shared" si="128"/>
        <v>1.314525359073319</v>
      </c>
      <c r="P453" s="6">
        <f t="shared" si="129"/>
        <v>0.13671063734362518</v>
      </c>
      <c r="Q453" s="10">
        <f t="shared" si="130"/>
        <v>2.8481382779921914E-3</v>
      </c>
      <c r="R453" s="10">
        <f t="shared" si="131"/>
        <v>1.9519732008710461E-2</v>
      </c>
      <c r="S453" s="10">
        <f t="shared" si="132"/>
        <v>2.2367870286702653E-2</v>
      </c>
    </row>
    <row r="454" spans="1:19" x14ac:dyDescent="0.25">
      <c r="A454" s="5" t="s">
        <v>8</v>
      </c>
      <c r="B454" s="5" t="s">
        <v>369</v>
      </c>
      <c r="C454" s="5" t="s">
        <v>27</v>
      </c>
      <c r="D454" s="5" t="s">
        <v>385</v>
      </c>
      <c r="E454" s="5" t="s">
        <v>384</v>
      </c>
      <c r="F454" s="5" t="s">
        <v>45</v>
      </c>
      <c r="G454" s="5" t="s">
        <v>383</v>
      </c>
      <c r="H454" s="5" t="s">
        <v>83</v>
      </c>
      <c r="I454" s="5" t="s">
        <v>340</v>
      </c>
      <c r="J454" s="15">
        <v>1340</v>
      </c>
      <c r="K454" s="7">
        <v>36.5</v>
      </c>
      <c r="L454" s="7">
        <f t="shared" si="127"/>
        <v>36.712328767123289</v>
      </c>
      <c r="M454" s="5" t="s">
        <v>10</v>
      </c>
      <c r="N454" s="5">
        <v>4</v>
      </c>
      <c r="O454" s="6">
        <f t="shared" si="128"/>
        <v>1.1287783824357291</v>
      </c>
      <c r="P454" s="6">
        <f t="shared" si="129"/>
        <v>0.11739295177331582</v>
      </c>
      <c r="Q454" s="10">
        <f t="shared" si="130"/>
        <v>2.4456864952774131E-3</v>
      </c>
      <c r="R454" s="10">
        <f t="shared" si="131"/>
        <v>1.7412199601379269E-2</v>
      </c>
      <c r="S454" s="10">
        <f t="shared" si="132"/>
        <v>1.9857886096656681E-2</v>
      </c>
    </row>
    <row r="455" spans="1:19" x14ac:dyDescent="0.25">
      <c r="J455" s="16">
        <f>AVERAGE(J449:J454)</f>
        <v>1172.5</v>
      </c>
      <c r="K455" s="12">
        <f t="shared" ref="K455:S455" si="133">AVERAGE(K449:K454)</f>
        <v>28.400000000000002</v>
      </c>
      <c r="L455" s="12">
        <f t="shared" si="133"/>
        <v>41.632761321582571</v>
      </c>
      <c r="M455" s="11" t="e">
        <f t="shared" si="133"/>
        <v>#DIV/0!</v>
      </c>
      <c r="N455" s="11">
        <f t="shared" si="133"/>
        <v>4</v>
      </c>
      <c r="O455" s="13">
        <f t="shared" si="133"/>
        <v>1.2770470488926131</v>
      </c>
      <c r="P455" s="13">
        <f t="shared" si="133"/>
        <v>0.13281289308483177</v>
      </c>
      <c r="Q455" s="14">
        <f t="shared" si="133"/>
        <v>2.766935272600662E-3</v>
      </c>
      <c r="R455" s="14">
        <f t="shared" si="133"/>
        <v>1.9031784929771717E-2</v>
      </c>
      <c r="S455" s="14">
        <f t="shared" si="133"/>
        <v>2.1798720202372376E-2</v>
      </c>
    </row>
  </sheetData>
  <sortState ref="A2:S454">
    <sortCondition ref="D2:D454"/>
    <sortCondition ref="E2:E454"/>
    <sortCondition ref="F2:F454"/>
    <sortCondition ref="G2:G454"/>
    <sortCondition ref="H2:H454"/>
    <sortCondition ref="I2:I454"/>
  </sortState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opLeftCell="I1" workbookViewId="0">
      <pane ySplit="1" topLeftCell="A2" activePane="bottomLeft" state="frozen"/>
      <selection pane="bottomLeft" activeCell="U9" sqref="U9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5" customWidth="1"/>
    <col min="11" max="12" width="12.7109375" style="5" customWidth="1"/>
    <col min="13" max="14" width="13" style="5" customWidth="1"/>
    <col min="15" max="15" width="9.85546875" style="5" customWidth="1"/>
    <col min="16" max="16" width="10" style="5" customWidth="1"/>
    <col min="17" max="17" width="9.5703125" style="5" customWidth="1"/>
    <col min="18" max="18" width="10.140625" style="5" customWidth="1"/>
    <col min="19" max="19" width="12.140625" style="5" customWidth="1"/>
  </cols>
  <sheetData>
    <row r="1" spans="1:21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9" t="s">
        <v>404</v>
      </c>
      <c r="Q1" s="9" t="s">
        <v>405</v>
      </c>
      <c r="R1" s="9" t="s">
        <v>406</v>
      </c>
      <c r="S1" s="9" t="s">
        <v>402</v>
      </c>
    </row>
    <row r="2" spans="1:21" ht="15.75" x14ac:dyDescent="0.25">
      <c r="A2" s="5" t="s">
        <v>8</v>
      </c>
      <c r="B2" s="5" t="s">
        <v>277</v>
      </c>
      <c r="C2" s="5" t="s">
        <v>27</v>
      </c>
      <c r="D2" s="5" t="s">
        <v>385</v>
      </c>
      <c r="E2" s="5" t="s">
        <v>387</v>
      </c>
      <c r="F2" s="5" t="s">
        <v>52</v>
      </c>
      <c r="G2" s="5" t="s">
        <v>386</v>
      </c>
      <c r="H2" s="5" t="s">
        <v>58</v>
      </c>
      <c r="I2" s="5" t="s">
        <v>278</v>
      </c>
      <c r="J2" s="5">
        <v>860</v>
      </c>
      <c r="K2" s="5">
        <v>31.7</v>
      </c>
      <c r="L2" s="7">
        <f t="shared" ref="L2:L15" si="0">J2/K2</f>
        <v>27.129337539432179</v>
      </c>
      <c r="M2" s="5" t="s">
        <v>280</v>
      </c>
      <c r="N2" s="5">
        <v>4</v>
      </c>
      <c r="O2" s="6">
        <f t="shared" ref="O2:O15" si="1">(J2*L2^2)/(1.6*10^6)</f>
        <v>0.39560051348903863</v>
      </c>
      <c r="P2" s="6">
        <f t="shared" ref="P2:P15" si="2">(0.104*J2*L2^2)/(1.6*10^6)</f>
        <v>4.1142453402860019E-2</v>
      </c>
      <c r="Q2" s="10">
        <f t="shared" ref="Q2:Q15" si="3">(0.104*O2)/(12*N2)</f>
        <v>8.5713444589291705E-4</v>
      </c>
      <c r="R2" s="10">
        <f t="shared" ref="R2:R15" si="4">0.0159*O2^0.75</f>
        <v>7.9312156642675161E-3</v>
      </c>
      <c r="S2" s="10">
        <f t="shared" ref="S2:S15" si="5">Q2+R2</f>
        <v>8.7883501101604332E-3</v>
      </c>
      <c r="U2" s="18" t="s">
        <v>409</v>
      </c>
    </row>
    <row r="3" spans="1:21" x14ac:dyDescent="0.25">
      <c r="A3" s="5" t="s">
        <v>8</v>
      </c>
      <c r="B3" s="5" t="s">
        <v>277</v>
      </c>
      <c r="C3" s="5" t="s">
        <v>27</v>
      </c>
      <c r="D3" s="5" t="s">
        <v>385</v>
      </c>
      <c r="E3" s="5" t="s">
        <v>387</v>
      </c>
      <c r="F3" s="5" t="s">
        <v>52</v>
      </c>
      <c r="G3" s="5" t="s">
        <v>386</v>
      </c>
      <c r="H3" s="5" t="s">
        <v>58</v>
      </c>
      <c r="I3" s="5" t="s">
        <v>278</v>
      </c>
      <c r="J3" s="5">
        <v>1060</v>
      </c>
      <c r="K3" s="5">
        <v>31.3</v>
      </c>
      <c r="L3" s="7">
        <f t="shared" si="0"/>
        <v>33.865814696485621</v>
      </c>
      <c r="M3" s="5" t="s">
        <v>279</v>
      </c>
      <c r="N3" s="5">
        <v>4</v>
      </c>
      <c r="O3" s="6">
        <f t="shared" si="1"/>
        <v>0.75981688085006482</v>
      </c>
      <c r="P3" s="6">
        <f t="shared" si="2"/>
        <v>7.9020955608406732E-2</v>
      </c>
      <c r="Q3" s="10">
        <f t="shared" si="3"/>
        <v>1.6462699085084736E-3</v>
      </c>
      <c r="R3" s="10">
        <f t="shared" si="4"/>
        <v>1.2939837661155107E-2</v>
      </c>
      <c r="S3" s="10">
        <f t="shared" si="5"/>
        <v>1.4586107569663581E-2</v>
      </c>
    </row>
    <row r="4" spans="1:21" x14ac:dyDescent="0.25">
      <c r="A4" s="5" t="s">
        <v>8</v>
      </c>
      <c r="B4" s="5" t="s">
        <v>277</v>
      </c>
      <c r="C4" s="5" t="s">
        <v>27</v>
      </c>
      <c r="D4" s="5" t="s">
        <v>385</v>
      </c>
      <c r="E4" s="5" t="s">
        <v>387</v>
      </c>
      <c r="F4" s="5" t="s">
        <v>52</v>
      </c>
      <c r="G4" s="5" t="s">
        <v>386</v>
      </c>
      <c r="H4" s="5" t="s">
        <v>58</v>
      </c>
      <c r="I4" s="5" t="s">
        <v>278</v>
      </c>
      <c r="J4" s="5">
        <v>1480</v>
      </c>
      <c r="K4" s="5">
        <v>38.200000000000003</v>
      </c>
      <c r="L4" s="7">
        <f t="shared" si="0"/>
        <v>38.743455497382193</v>
      </c>
      <c r="M4" s="5" t="s">
        <v>235</v>
      </c>
      <c r="N4" s="5">
        <v>4</v>
      </c>
      <c r="O4" s="6">
        <f t="shared" si="1"/>
        <v>1.3884761930868117</v>
      </c>
      <c r="P4" s="6">
        <f t="shared" si="2"/>
        <v>0.14440152408102841</v>
      </c>
      <c r="Q4" s="10">
        <f t="shared" si="3"/>
        <v>3.0083650850214251E-3</v>
      </c>
      <c r="R4" s="10">
        <f t="shared" si="4"/>
        <v>2.03376585936756E-2</v>
      </c>
      <c r="S4" s="10">
        <f t="shared" si="5"/>
        <v>2.3346023678697026E-2</v>
      </c>
    </row>
    <row r="5" spans="1:21" ht="15.75" x14ac:dyDescent="0.25">
      <c r="A5" s="5" t="s">
        <v>8</v>
      </c>
      <c r="B5" s="5" t="s">
        <v>372</v>
      </c>
      <c r="C5" s="5" t="s">
        <v>27</v>
      </c>
      <c r="D5" s="5" t="s">
        <v>385</v>
      </c>
      <c r="E5" s="5" t="s">
        <v>387</v>
      </c>
      <c r="F5" s="5" t="s">
        <v>112</v>
      </c>
      <c r="G5" s="5" t="s">
        <v>391</v>
      </c>
      <c r="H5" s="5" t="s">
        <v>53</v>
      </c>
      <c r="I5" s="5" t="s">
        <v>374</v>
      </c>
      <c r="J5" s="5">
        <v>950</v>
      </c>
      <c r="K5" s="5">
        <v>31.7</v>
      </c>
      <c r="L5" s="7">
        <f t="shared" si="0"/>
        <v>29.968454258675081</v>
      </c>
      <c r="M5" s="5" t="s">
        <v>337</v>
      </c>
      <c r="N5" s="5">
        <v>4</v>
      </c>
      <c r="O5" s="6">
        <f t="shared" si="1"/>
        <v>0.53325177382599098</v>
      </c>
      <c r="P5" s="6">
        <f t="shared" si="2"/>
        <v>5.5458184477903058E-2</v>
      </c>
      <c r="Q5" s="10">
        <f t="shared" si="3"/>
        <v>1.155378843289647E-3</v>
      </c>
      <c r="R5" s="10">
        <f t="shared" si="4"/>
        <v>9.9219345046257408E-3</v>
      </c>
      <c r="S5" s="10">
        <f t="shared" si="5"/>
        <v>1.1077313347915388E-2</v>
      </c>
      <c r="U5" s="18" t="s">
        <v>410</v>
      </c>
    </row>
    <row r="6" spans="1:21" x14ac:dyDescent="0.25">
      <c r="A6" s="5" t="s">
        <v>8</v>
      </c>
      <c r="B6" s="5" t="s">
        <v>372</v>
      </c>
      <c r="C6" s="5" t="s">
        <v>27</v>
      </c>
      <c r="D6" s="5" t="s">
        <v>385</v>
      </c>
      <c r="E6" s="5" t="s">
        <v>387</v>
      </c>
      <c r="F6" s="5" t="s">
        <v>112</v>
      </c>
      <c r="G6" s="5" t="s">
        <v>391</v>
      </c>
      <c r="H6" s="5" t="s">
        <v>53</v>
      </c>
      <c r="I6" s="5" t="s">
        <v>374</v>
      </c>
      <c r="J6" s="5">
        <v>1291</v>
      </c>
      <c r="K6" s="5">
        <v>36.9</v>
      </c>
      <c r="L6" s="7">
        <f t="shared" si="0"/>
        <v>34.986449864498645</v>
      </c>
      <c r="M6" s="5" t="s">
        <v>280</v>
      </c>
      <c r="N6" s="5">
        <v>4</v>
      </c>
      <c r="O6" s="6">
        <f t="shared" si="1"/>
        <v>0.98765669455644411</v>
      </c>
      <c r="P6" s="6">
        <f t="shared" si="2"/>
        <v>0.10271629623387019</v>
      </c>
      <c r="Q6" s="10">
        <f t="shared" si="3"/>
        <v>2.1399228382056289E-3</v>
      </c>
      <c r="R6" s="10">
        <f t="shared" si="4"/>
        <v>1.5752577798951464E-2</v>
      </c>
      <c r="S6" s="10">
        <f t="shared" si="5"/>
        <v>1.7892500637157093E-2</v>
      </c>
    </row>
    <row r="7" spans="1:21" x14ac:dyDescent="0.25">
      <c r="A7" s="5" t="s">
        <v>8</v>
      </c>
      <c r="B7" s="5" t="s">
        <v>372</v>
      </c>
      <c r="C7" s="5" t="s">
        <v>27</v>
      </c>
      <c r="D7" s="5" t="s">
        <v>385</v>
      </c>
      <c r="E7" s="5" t="s">
        <v>387</v>
      </c>
      <c r="F7" s="5" t="s">
        <v>112</v>
      </c>
      <c r="G7" s="5" t="s">
        <v>391</v>
      </c>
      <c r="H7" s="5" t="s">
        <v>53</v>
      </c>
      <c r="I7" s="5" t="s">
        <v>374</v>
      </c>
      <c r="J7" s="5">
        <v>1826</v>
      </c>
      <c r="K7" s="5">
        <v>42.8</v>
      </c>
      <c r="L7" s="7">
        <f t="shared" si="0"/>
        <v>42.663551401869164</v>
      </c>
      <c r="M7" s="5" t="s">
        <v>279</v>
      </c>
      <c r="N7" s="5">
        <v>4</v>
      </c>
      <c r="O7" s="6">
        <f t="shared" si="1"/>
        <v>2.0772788480434978</v>
      </c>
      <c r="P7" s="6">
        <f t="shared" si="2"/>
        <v>0.21603700019652378</v>
      </c>
      <c r="Q7" s="10">
        <f t="shared" si="3"/>
        <v>4.500770837427579E-3</v>
      </c>
      <c r="R7" s="10">
        <f t="shared" si="4"/>
        <v>2.7511750450939836E-2</v>
      </c>
      <c r="S7" s="10">
        <f t="shared" si="5"/>
        <v>3.2012521288367415E-2</v>
      </c>
    </row>
    <row r="8" spans="1:21" x14ac:dyDescent="0.25">
      <c r="A8" s="5" t="s">
        <v>8</v>
      </c>
      <c r="B8" s="5" t="s">
        <v>372</v>
      </c>
      <c r="C8" s="5" t="s">
        <v>27</v>
      </c>
      <c r="D8" s="5" t="s">
        <v>385</v>
      </c>
      <c r="E8" s="5" t="s">
        <v>387</v>
      </c>
      <c r="F8" s="5" t="s">
        <v>112</v>
      </c>
      <c r="G8" s="5" t="s">
        <v>391</v>
      </c>
      <c r="H8" s="5" t="s">
        <v>53</v>
      </c>
      <c r="I8" s="5" t="s">
        <v>374</v>
      </c>
      <c r="J8" s="5">
        <v>2566</v>
      </c>
      <c r="K8" s="5">
        <v>44.9</v>
      </c>
      <c r="L8" s="7">
        <f t="shared" si="0"/>
        <v>57.149220489977729</v>
      </c>
      <c r="M8" s="5" t="s">
        <v>235</v>
      </c>
      <c r="N8" s="5">
        <v>4</v>
      </c>
      <c r="O8" s="6">
        <f t="shared" si="1"/>
        <v>5.2379010694391406</v>
      </c>
      <c r="P8" s="6">
        <f t="shared" si="2"/>
        <v>0.54474171122167048</v>
      </c>
      <c r="Q8" s="10">
        <f t="shared" si="3"/>
        <v>1.1348785650451471E-2</v>
      </c>
      <c r="R8" s="10">
        <f t="shared" si="4"/>
        <v>5.5050984862818765E-2</v>
      </c>
      <c r="S8" s="10">
        <f t="shared" si="5"/>
        <v>6.6399770513270229E-2</v>
      </c>
    </row>
    <row r="9" spans="1:21" ht="15.75" x14ac:dyDescent="0.25">
      <c r="A9" s="5" t="s">
        <v>8</v>
      </c>
      <c r="B9" s="5" t="s">
        <v>336</v>
      </c>
      <c r="C9" s="5" t="s">
        <v>27</v>
      </c>
      <c r="D9" s="5" t="s">
        <v>385</v>
      </c>
      <c r="E9" s="5" t="s">
        <v>384</v>
      </c>
      <c r="F9" s="5" t="s">
        <v>91</v>
      </c>
      <c r="G9" s="5" t="s">
        <v>393</v>
      </c>
      <c r="H9" s="5" t="s">
        <v>93</v>
      </c>
      <c r="I9" s="5" t="s">
        <v>94</v>
      </c>
      <c r="J9" s="5">
        <v>860</v>
      </c>
      <c r="K9" s="5">
        <v>24.1</v>
      </c>
      <c r="L9" s="7">
        <f t="shared" si="0"/>
        <v>35.684647302904565</v>
      </c>
      <c r="M9" s="5" t="s">
        <v>337</v>
      </c>
      <c r="N9" s="5">
        <v>4</v>
      </c>
      <c r="O9" s="6">
        <f t="shared" si="1"/>
        <v>0.68444930355882316</v>
      </c>
      <c r="P9" s="6">
        <f t="shared" si="2"/>
        <v>7.1182727570117607E-2</v>
      </c>
      <c r="Q9" s="10">
        <f t="shared" si="3"/>
        <v>1.4829734910441169E-3</v>
      </c>
      <c r="R9" s="10">
        <f t="shared" si="4"/>
        <v>1.1964735127988676E-2</v>
      </c>
      <c r="S9" s="10">
        <f t="shared" si="5"/>
        <v>1.3447708619032793E-2</v>
      </c>
      <c r="U9" s="18" t="s">
        <v>411</v>
      </c>
    </row>
    <row r="10" spans="1:21" x14ac:dyDescent="0.25">
      <c r="A10" s="5" t="s">
        <v>8</v>
      </c>
      <c r="B10" s="5" t="s">
        <v>336</v>
      </c>
      <c r="C10" s="5" t="s">
        <v>27</v>
      </c>
      <c r="D10" s="5" t="s">
        <v>385</v>
      </c>
      <c r="E10" s="5" t="s">
        <v>384</v>
      </c>
      <c r="F10" s="5" t="s">
        <v>91</v>
      </c>
      <c r="G10" s="5" t="s">
        <v>393</v>
      </c>
      <c r="H10" s="5" t="s">
        <v>93</v>
      </c>
      <c r="I10" s="5" t="s">
        <v>94</v>
      </c>
      <c r="J10" s="5">
        <v>1130</v>
      </c>
      <c r="K10" s="5">
        <v>26.8</v>
      </c>
      <c r="L10" s="7">
        <f t="shared" si="0"/>
        <v>42.164179104477611</v>
      </c>
      <c r="M10" s="5" t="s">
        <v>280</v>
      </c>
      <c r="N10" s="5">
        <v>4</v>
      </c>
      <c r="O10" s="6">
        <f t="shared" si="1"/>
        <v>1.255583962185342</v>
      </c>
      <c r="P10" s="6">
        <f t="shared" si="2"/>
        <v>0.13058073206727558</v>
      </c>
      <c r="Q10" s="10">
        <f t="shared" si="3"/>
        <v>2.7204319180682405E-3</v>
      </c>
      <c r="R10" s="10">
        <f t="shared" si="4"/>
        <v>1.8859555129484919E-2</v>
      </c>
      <c r="S10" s="10">
        <f t="shared" si="5"/>
        <v>2.1579987047553161E-2</v>
      </c>
    </row>
    <row r="11" spans="1:21" x14ac:dyDescent="0.25">
      <c r="A11" s="5" t="s">
        <v>8</v>
      </c>
      <c r="B11" s="5" t="s">
        <v>336</v>
      </c>
      <c r="C11" s="5" t="s">
        <v>27</v>
      </c>
      <c r="D11" s="5" t="s">
        <v>385</v>
      </c>
      <c r="E11" s="5" t="s">
        <v>384</v>
      </c>
      <c r="F11" s="5" t="s">
        <v>91</v>
      </c>
      <c r="G11" s="5" t="s">
        <v>393</v>
      </c>
      <c r="H11" s="5" t="s">
        <v>93</v>
      </c>
      <c r="I11" s="5" t="s">
        <v>94</v>
      </c>
      <c r="J11" s="5">
        <v>1630</v>
      </c>
      <c r="K11" s="5">
        <v>29.4</v>
      </c>
      <c r="L11" s="7">
        <f t="shared" si="0"/>
        <v>55.442176870748305</v>
      </c>
      <c r="M11" s="5" t="s">
        <v>279</v>
      </c>
      <c r="N11" s="5">
        <v>4</v>
      </c>
      <c r="O11" s="6">
        <f t="shared" si="1"/>
        <v>3.1314693819704762</v>
      </c>
      <c r="P11" s="6">
        <f t="shared" si="2"/>
        <v>0.32567281572492945</v>
      </c>
      <c r="Q11" s="10">
        <f t="shared" si="3"/>
        <v>6.7848503276026978E-3</v>
      </c>
      <c r="R11" s="10">
        <f t="shared" si="4"/>
        <v>3.7429002370439848E-2</v>
      </c>
      <c r="S11" s="10">
        <f t="shared" si="5"/>
        <v>4.4213852698042545E-2</v>
      </c>
    </row>
    <row r="12" spans="1:21" x14ac:dyDescent="0.25">
      <c r="A12" s="5" t="s">
        <v>8</v>
      </c>
      <c r="B12" s="5" t="s">
        <v>336</v>
      </c>
      <c r="C12" s="5" t="s">
        <v>27</v>
      </c>
      <c r="D12" s="5" t="s">
        <v>385</v>
      </c>
      <c r="E12" s="5" t="s">
        <v>384</v>
      </c>
      <c r="F12" s="5" t="s">
        <v>91</v>
      </c>
      <c r="G12" s="5" t="s">
        <v>393</v>
      </c>
      <c r="H12" s="5" t="s">
        <v>93</v>
      </c>
      <c r="I12" s="5" t="s">
        <v>94</v>
      </c>
      <c r="J12" s="5">
        <v>2120</v>
      </c>
      <c r="K12" s="5">
        <v>27.2</v>
      </c>
      <c r="L12" s="7">
        <f t="shared" si="0"/>
        <v>77.941176470588232</v>
      </c>
      <c r="M12" s="5" t="s">
        <v>235</v>
      </c>
      <c r="N12" s="5">
        <v>4</v>
      </c>
      <c r="O12" s="6">
        <f t="shared" si="1"/>
        <v>8.0491457612456738</v>
      </c>
      <c r="P12" s="6">
        <f t="shared" si="2"/>
        <v>0.83711115916955003</v>
      </c>
      <c r="Q12" s="10">
        <f t="shared" si="3"/>
        <v>1.7439815816032291E-2</v>
      </c>
      <c r="R12" s="10">
        <f t="shared" si="4"/>
        <v>7.5981780867075688E-2</v>
      </c>
      <c r="S12" s="10">
        <f t="shared" si="5"/>
        <v>9.3421596683107982E-2</v>
      </c>
    </row>
    <row r="13" spans="1:21" x14ac:dyDescent="0.25">
      <c r="A13" s="5" t="s">
        <v>8</v>
      </c>
      <c r="B13" s="5" t="s">
        <v>336</v>
      </c>
      <c r="C13" s="5" t="s">
        <v>27</v>
      </c>
      <c r="D13" s="5" t="s">
        <v>385</v>
      </c>
      <c r="E13" s="5" t="s">
        <v>384</v>
      </c>
      <c r="F13" s="5" t="s">
        <v>91</v>
      </c>
      <c r="G13" s="5" t="s">
        <v>393</v>
      </c>
      <c r="H13" s="5" t="s">
        <v>93</v>
      </c>
      <c r="I13" s="5" t="s">
        <v>338</v>
      </c>
      <c r="J13" s="5">
        <v>1080</v>
      </c>
      <c r="K13" s="5">
        <v>29</v>
      </c>
      <c r="L13" s="7">
        <f t="shared" si="0"/>
        <v>37.241379310344826</v>
      </c>
      <c r="M13" s="5" t="s">
        <v>279</v>
      </c>
      <c r="N13" s="5">
        <v>4</v>
      </c>
      <c r="O13" s="6">
        <f t="shared" si="1"/>
        <v>0.93617122473246117</v>
      </c>
      <c r="P13" s="6">
        <f t="shared" si="2"/>
        <v>9.7361807372175951E-2</v>
      </c>
      <c r="Q13" s="10">
        <f t="shared" si="3"/>
        <v>2.0283709869203322E-3</v>
      </c>
      <c r="R13" s="10">
        <f t="shared" si="4"/>
        <v>1.5132601317289645E-2</v>
      </c>
      <c r="S13" s="10">
        <f t="shared" si="5"/>
        <v>1.7160972304209977E-2</v>
      </c>
    </row>
    <row r="14" spans="1:21" x14ac:dyDescent="0.25">
      <c r="A14" s="5" t="s">
        <v>8</v>
      </c>
      <c r="B14" s="5" t="s">
        <v>336</v>
      </c>
      <c r="C14" s="5" t="s">
        <v>27</v>
      </c>
      <c r="D14" s="5" t="s">
        <v>385</v>
      </c>
      <c r="E14" s="5" t="s">
        <v>384</v>
      </c>
      <c r="F14" s="5" t="s">
        <v>91</v>
      </c>
      <c r="G14" s="5" t="s">
        <v>393</v>
      </c>
      <c r="H14" s="5" t="s">
        <v>93</v>
      </c>
      <c r="I14" s="5" t="s">
        <v>338</v>
      </c>
      <c r="J14" s="5">
        <v>1580</v>
      </c>
      <c r="K14" s="5">
        <v>30</v>
      </c>
      <c r="L14" s="7">
        <f t="shared" si="0"/>
        <v>52.666666666666664</v>
      </c>
      <c r="M14" s="5" t="s">
        <v>235</v>
      </c>
      <c r="N14" s="5">
        <v>4</v>
      </c>
      <c r="O14" s="6">
        <f t="shared" si="1"/>
        <v>2.7391055555555552</v>
      </c>
      <c r="P14" s="6">
        <f t="shared" si="2"/>
        <v>0.2848669777777777</v>
      </c>
      <c r="Q14" s="10">
        <f t="shared" si="3"/>
        <v>5.9347287037037032E-3</v>
      </c>
      <c r="R14" s="10">
        <f t="shared" si="4"/>
        <v>3.3853509767357876E-2</v>
      </c>
      <c r="S14" s="10">
        <f t="shared" si="5"/>
        <v>3.9788238471061582E-2</v>
      </c>
    </row>
    <row r="15" spans="1:21" x14ac:dyDescent="0.25">
      <c r="A15" s="5" t="s">
        <v>8</v>
      </c>
      <c r="B15" s="5" t="s">
        <v>233</v>
      </c>
      <c r="C15" s="5" t="s">
        <v>27</v>
      </c>
      <c r="D15" s="5" t="s">
        <v>385</v>
      </c>
      <c r="E15" s="5" t="s">
        <v>384</v>
      </c>
      <c r="F15" s="5" t="s">
        <v>45</v>
      </c>
      <c r="G15" s="5" t="s">
        <v>390</v>
      </c>
      <c r="H15" s="5" t="s">
        <v>46</v>
      </c>
      <c r="I15" s="5" t="s">
        <v>234</v>
      </c>
      <c r="J15" s="5">
        <v>1150</v>
      </c>
      <c r="K15" s="5">
        <v>38</v>
      </c>
      <c r="L15" s="7">
        <f t="shared" si="0"/>
        <v>30.263157894736842</v>
      </c>
      <c r="M15" s="5" t="s">
        <v>235</v>
      </c>
      <c r="N15" s="5">
        <v>4</v>
      </c>
      <c r="O15" s="6">
        <f t="shared" si="1"/>
        <v>0.65827345914127422</v>
      </c>
      <c r="P15" s="6">
        <f t="shared" si="2"/>
        <v>6.846043975069252E-2</v>
      </c>
      <c r="Q15" s="10">
        <f t="shared" si="3"/>
        <v>1.4262591614727608E-3</v>
      </c>
      <c r="R15" s="10">
        <f t="shared" si="4"/>
        <v>1.1619886425039538E-2</v>
      </c>
      <c r="S15" s="10">
        <f t="shared" si="5"/>
        <v>1.3046145586512299E-2</v>
      </c>
    </row>
  </sheetData>
  <sortState ref="A2:S15">
    <sortCondition ref="D2:D15"/>
    <sortCondition ref="E2:E15"/>
    <sortCondition ref="F2:F15"/>
    <sortCondition ref="G2:G15"/>
    <sortCondition ref="H2:H15"/>
    <sortCondition ref="I2:I15"/>
  </sortState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4"/>
  <sheetViews>
    <sheetView topLeftCell="G1" workbookViewId="0">
      <pane ySplit="1" topLeftCell="A275" activePane="bottomLeft" state="frozen"/>
      <selection pane="bottomLeft" activeCell="G283" sqref="A283:XFD283"/>
    </sheetView>
  </sheetViews>
  <sheetFormatPr defaultRowHeight="15" x14ac:dyDescent="0.25"/>
  <cols>
    <col min="1" max="1" width="20.28515625" style="5" customWidth="1"/>
    <col min="2" max="2" width="27.42578125" style="5" customWidth="1"/>
    <col min="3" max="7" width="17.7109375" style="5" customWidth="1"/>
    <col min="8" max="8" width="16.85546875" style="5" customWidth="1"/>
    <col min="9" max="9" width="21" style="5" customWidth="1"/>
    <col min="10" max="10" width="13.140625" style="5" customWidth="1"/>
    <col min="11" max="12" width="12.7109375" style="5" customWidth="1"/>
    <col min="13" max="14" width="13" style="5" customWidth="1"/>
    <col min="15" max="15" width="9.85546875" style="5" customWidth="1"/>
    <col min="16" max="16" width="10" style="5" customWidth="1"/>
    <col min="17" max="17" width="9.5703125" style="5" customWidth="1"/>
    <col min="18" max="18" width="10.140625" style="5" customWidth="1"/>
    <col min="19" max="19" width="12.140625" style="5" customWidth="1"/>
    <col min="22" max="22" width="25" customWidth="1"/>
  </cols>
  <sheetData>
    <row r="1" spans="1:22" x14ac:dyDescent="0.25">
      <c r="A1" s="1" t="s">
        <v>8</v>
      </c>
      <c r="B1" s="1" t="s">
        <v>0</v>
      </c>
      <c r="C1" s="1" t="s">
        <v>7</v>
      </c>
      <c r="D1" s="1" t="s">
        <v>380</v>
      </c>
      <c r="E1" s="1" t="s">
        <v>381</v>
      </c>
      <c r="F1" s="1" t="s">
        <v>1</v>
      </c>
      <c r="G1" s="1" t="s">
        <v>382</v>
      </c>
      <c r="H1" s="1" t="s">
        <v>2</v>
      </c>
      <c r="I1" s="1" t="s">
        <v>3</v>
      </c>
      <c r="J1" s="2" t="s">
        <v>4</v>
      </c>
      <c r="K1" s="3" t="s">
        <v>5</v>
      </c>
      <c r="L1" s="3" t="s">
        <v>403</v>
      </c>
      <c r="M1" s="4" t="s">
        <v>6</v>
      </c>
      <c r="N1" s="4" t="s">
        <v>400</v>
      </c>
      <c r="O1" s="8" t="s">
        <v>401</v>
      </c>
      <c r="P1" s="9" t="s">
        <v>404</v>
      </c>
      <c r="Q1" s="9" t="s">
        <v>405</v>
      </c>
      <c r="R1" s="9" t="s">
        <v>406</v>
      </c>
      <c r="S1" s="9" t="s">
        <v>402</v>
      </c>
    </row>
    <row r="2" spans="1:22" x14ac:dyDescent="0.25">
      <c r="A2" s="5" t="s">
        <v>22</v>
      </c>
      <c r="B2" s="5" t="s">
        <v>63</v>
      </c>
      <c r="C2" s="5" t="s">
        <v>27</v>
      </c>
      <c r="D2" s="5" t="s">
        <v>389</v>
      </c>
      <c r="E2" s="5" t="s">
        <v>388</v>
      </c>
      <c r="F2" s="5" t="s">
        <v>135</v>
      </c>
      <c r="G2" s="5" t="s">
        <v>408</v>
      </c>
      <c r="H2" s="5" t="s">
        <v>29</v>
      </c>
      <c r="I2" s="5" t="s">
        <v>23</v>
      </c>
      <c r="J2" s="5">
        <v>905</v>
      </c>
      <c r="K2" s="5">
        <v>17.5</v>
      </c>
      <c r="L2" s="7">
        <f>J2/K2</f>
        <v>51.714285714285715</v>
      </c>
      <c r="M2" s="5" t="s">
        <v>10</v>
      </c>
      <c r="N2" s="5">
        <v>4</v>
      </c>
      <c r="O2" s="6">
        <f>(J2*L2^2)/(1.6*10^6)</f>
        <v>1.5126890306122449</v>
      </c>
      <c r="P2" s="6">
        <f>(0.104*J2*L2^2)/(1.6*10^6)</f>
        <v>0.15731965918367344</v>
      </c>
      <c r="Q2" s="10">
        <f>(0.104*O2)/(12*N2)</f>
        <v>3.2774928996598639E-3</v>
      </c>
      <c r="R2" s="10">
        <f>0.0159*O2^0.75</f>
        <v>2.16874937766043E-2</v>
      </c>
      <c r="S2" s="10">
        <f>Q2+R2</f>
        <v>2.4964986676264164E-2</v>
      </c>
      <c r="V2" s="19" t="s">
        <v>413</v>
      </c>
    </row>
    <row r="3" spans="1:22" x14ac:dyDescent="0.25">
      <c r="A3" s="5" t="s">
        <v>22</v>
      </c>
      <c r="B3" s="5" t="s">
        <v>63</v>
      </c>
      <c r="C3" s="5" t="s">
        <v>27</v>
      </c>
      <c r="D3" s="5" t="s">
        <v>389</v>
      </c>
      <c r="E3" s="5" t="s">
        <v>388</v>
      </c>
      <c r="F3" s="5" t="s">
        <v>135</v>
      </c>
      <c r="G3" s="5" t="s">
        <v>408</v>
      </c>
      <c r="H3" s="5" t="s">
        <v>29</v>
      </c>
      <c r="I3" s="5" t="s">
        <v>23</v>
      </c>
      <c r="J3" s="5">
        <v>890</v>
      </c>
      <c r="K3" s="5">
        <v>19</v>
      </c>
      <c r="L3" s="7">
        <f t="shared" ref="L3:L66" si="0">J3/K3</f>
        <v>46.842105263157897</v>
      </c>
      <c r="M3" s="5" t="s">
        <v>9</v>
      </c>
      <c r="N3" s="5">
        <v>4</v>
      </c>
      <c r="O3" s="6">
        <f t="shared" ref="O3:O66" si="1">(J3*L3^2)/(1.6*10^6)</f>
        <v>1.2205141966759003</v>
      </c>
      <c r="P3" s="6">
        <f t="shared" ref="P3:P66" si="2">(0.104*J3*L3^2)/(1.6*10^6)</f>
        <v>0.12693347645429362</v>
      </c>
      <c r="Q3" s="10">
        <f t="shared" ref="Q3:Q66" si="3">(0.104*O3)/(12*N3)</f>
        <v>2.6444474261311172E-3</v>
      </c>
      <c r="R3" s="10">
        <f t="shared" ref="R3:R66" si="4">0.0159*O3^0.75</f>
        <v>1.8463084224508496E-2</v>
      </c>
      <c r="S3" s="10">
        <f t="shared" ref="S3:S66" si="5">Q3+R3</f>
        <v>2.1107531650639614E-2</v>
      </c>
    </row>
    <row r="4" spans="1:22" x14ac:dyDescent="0.25">
      <c r="A4" s="5" t="s">
        <v>22</v>
      </c>
      <c r="B4" s="5" t="s">
        <v>26</v>
      </c>
      <c r="C4" s="5" t="s">
        <v>27</v>
      </c>
      <c r="D4" s="5" t="s">
        <v>389</v>
      </c>
      <c r="E4" s="5" t="s">
        <v>388</v>
      </c>
      <c r="F4" s="5" t="s">
        <v>135</v>
      </c>
      <c r="G4" s="5" t="s">
        <v>408</v>
      </c>
      <c r="H4" s="5" t="s">
        <v>29</v>
      </c>
      <c r="I4" s="5" t="s">
        <v>13</v>
      </c>
      <c r="J4" s="5">
        <v>1000</v>
      </c>
      <c r="K4" s="5">
        <v>18</v>
      </c>
      <c r="L4" s="7">
        <f t="shared" si="0"/>
        <v>55.555555555555557</v>
      </c>
      <c r="M4" s="5" t="s">
        <v>10</v>
      </c>
      <c r="N4" s="5">
        <v>4</v>
      </c>
      <c r="O4" s="6">
        <f t="shared" si="1"/>
        <v>1.9290123456790123</v>
      </c>
      <c r="P4" s="6">
        <f t="shared" si="2"/>
        <v>0.20061728395061729</v>
      </c>
      <c r="Q4" s="10">
        <f t="shared" si="3"/>
        <v>4.1795267489711926E-3</v>
      </c>
      <c r="R4" s="10">
        <f t="shared" si="4"/>
        <v>2.602545791867154E-2</v>
      </c>
      <c r="S4" s="10">
        <f t="shared" si="5"/>
        <v>3.0204984667642733E-2</v>
      </c>
    </row>
    <row r="5" spans="1:22" x14ac:dyDescent="0.25">
      <c r="A5" s="5" t="s">
        <v>22</v>
      </c>
      <c r="B5" s="5" t="s">
        <v>26</v>
      </c>
      <c r="C5" s="5" t="s">
        <v>27</v>
      </c>
      <c r="D5" s="5" t="s">
        <v>389</v>
      </c>
      <c r="E5" s="5" t="s">
        <v>388</v>
      </c>
      <c r="F5" s="5" t="s">
        <v>135</v>
      </c>
      <c r="G5" s="5" t="s">
        <v>408</v>
      </c>
      <c r="H5" s="5" t="s">
        <v>29</v>
      </c>
      <c r="I5" s="5" t="s">
        <v>13</v>
      </c>
      <c r="J5" s="5">
        <v>850</v>
      </c>
      <c r="K5" s="5">
        <v>13</v>
      </c>
      <c r="L5" s="7">
        <f t="shared" si="0"/>
        <v>65.384615384615387</v>
      </c>
      <c r="M5" s="5" t="s">
        <v>9</v>
      </c>
      <c r="N5" s="5">
        <v>4</v>
      </c>
      <c r="O5" s="6">
        <f t="shared" si="1"/>
        <v>2.2711723372781067</v>
      </c>
      <c r="P5" s="6">
        <f t="shared" si="2"/>
        <v>0.23620192307692309</v>
      </c>
      <c r="Q5" s="10">
        <f t="shared" si="3"/>
        <v>4.9208733974358976E-3</v>
      </c>
      <c r="R5" s="10">
        <f t="shared" si="4"/>
        <v>2.9416072803725764E-2</v>
      </c>
      <c r="S5" s="10">
        <f t="shared" si="5"/>
        <v>3.4336946201161664E-2</v>
      </c>
    </row>
    <row r="6" spans="1:22" x14ac:dyDescent="0.25">
      <c r="A6" s="5" t="s">
        <v>8</v>
      </c>
      <c r="B6" s="5" t="s">
        <v>322</v>
      </c>
      <c r="C6" s="5" t="s">
        <v>27</v>
      </c>
      <c r="D6" s="5" t="s">
        <v>389</v>
      </c>
      <c r="E6" s="5" t="s">
        <v>388</v>
      </c>
      <c r="F6" s="5" t="s">
        <v>135</v>
      </c>
      <c r="G6" s="5" t="s">
        <v>408</v>
      </c>
      <c r="H6" s="5" t="s">
        <v>29</v>
      </c>
      <c r="I6" s="5" t="s">
        <v>13</v>
      </c>
      <c r="J6" s="5">
        <v>1100</v>
      </c>
      <c r="K6" s="5">
        <v>34</v>
      </c>
      <c r="L6" s="7">
        <f t="shared" si="0"/>
        <v>32.352941176470587</v>
      </c>
      <c r="M6" s="5" t="s">
        <v>10</v>
      </c>
      <c r="N6" s="5">
        <v>4</v>
      </c>
      <c r="O6" s="6">
        <f t="shared" si="1"/>
        <v>0.71961505190311426</v>
      </c>
      <c r="P6" s="6">
        <f t="shared" si="2"/>
        <v>7.4839965397923869E-2</v>
      </c>
      <c r="Q6" s="10">
        <f t="shared" si="3"/>
        <v>1.559165945790081E-3</v>
      </c>
      <c r="R6" s="10">
        <f t="shared" si="4"/>
        <v>1.2422880378669576E-2</v>
      </c>
      <c r="S6" s="10">
        <f t="shared" si="5"/>
        <v>1.3982046324459657E-2</v>
      </c>
    </row>
    <row r="7" spans="1:22" x14ac:dyDescent="0.25">
      <c r="A7" s="5" t="s">
        <v>22</v>
      </c>
      <c r="B7" s="5" t="s">
        <v>63</v>
      </c>
      <c r="C7" s="5" t="s">
        <v>27</v>
      </c>
      <c r="D7" s="5" t="s">
        <v>389</v>
      </c>
      <c r="E7" s="5" t="s">
        <v>388</v>
      </c>
      <c r="F7" s="5" t="s">
        <v>28</v>
      </c>
      <c r="G7" s="5" t="s">
        <v>398</v>
      </c>
      <c r="H7" s="5" t="s">
        <v>133</v>
      </c>
      <c r="I7" s="5" t="s">
        <v>134</v>
      </c>
      <c r="J7" s="5">
        <v>1075</v>
      </c>
      <c r="K7" s="5">
        <v>42</v>
      </c>
      <c r="L7" s="7">
        <f t="shared" si="0"/>
        <v>25.595238095238095</v>
      </c>
      <c r="M7" s="5" t="s">
        <v>10</v>
      </c>
      <c r="N7" s="5">
        <v>4</v>
      </c>
      <c r="O7" s="6">
        <f t="shared" si="1"/>
        <v>0.44015620571145125</v>
      </c>
      <c r="P7" s="6">
        <f t="shared" si="2"/>
        <v>4.577624539399093E-2</v>
      </c>
      <c r="Q7" s="10">
        <f t="shared" si="3"/>
        <v>9.5367177904147771E-4</v>
      </c>
      <c r="R7" s="10">
        <f t="shared" si="4"/>
        <v>8.5921578355539034E-3</v>
      </c>
      <c r="S7" s="10">
        <f t="shared" si="5"/>
        <v>9.5458296145953803E-3</v>
      </c>
    </row>
    <row r="8" spans="1:22" x14ac:dyDescent="0.25">
      <c r="A8" s="5" t="s">
        <v>22</v>
      </c>
      <c r="B8" s="5" t="s">
        <v>63</v>
      </c>
      <c r="C8" s="5" t="s">
        <v>27</v>
      </c>
      <c r="D8" s="5" t="s">
        <v>389</v>
      </c>
      <c r="E8" s="5" t="s">
        <v>388</v>
      </c>
      <c r="F8" s="5" t="s">
        <v>28</v>
      </c>
      <c r="G8" s="5" t="s">
        <v>398</v>
      </c>
      <c r="H8" s="5" t="s">
        <v>133</v>
      </c>
      <c r="I8" s="5" t="s">
        <v>25</v>
      </c>
      <c r="J8" s="5">
        <v>2100</v>
      </c>
      <c r="K8" s="5">
        <v>49</v>
      </c>
      <c r="L8" s="7">
        <f t="shared" si="0"/>
        <v>42.857142857142854</v>
      </c>
      <c r="M8" s="5" t="s">
        <v>10</v>
      </c>
      <c r="N8" s="5">
        <v>4</v>
      </c>
      <c r="O8" s="6">
        <f t="shared" si="1"/>
        <v>2.4107142857142856</v>
      </c>
      <c r="P8" s="6">
        <f t="shared" si="2"/>
        <v>0.25071428571428567</v>
      </c>
      <c r="Q8" s="10">
        <f t="shared" si="3"/>
        <v>5.223214285714285E-3</v>
      </c>
      <c r="R8" s="10">
        <f t="shared" si="4"/>
        <v>3.0761423617006903E-2</v>
      </c>
      <c r="S8" s="10">
        <f t="shared" si="5"/>
        <v>3.5984637902721189E-2</v>
      </c>
    </row>
    <row r="9" spans="1:22" x14ac:dyDescent="0.25">
      <c r="A9" s="5" t="s">
        <v>22</v>
      </c>
      <c r="B9" s="5" t="s">
        <v>63</v>
      </c>
      <c r="C9" s="5" t="s">
        <v>27</v>
      </c>
      <c r="D9" s="5" t="s">
        <v>389</v>
      </c>
      <c r="E9" s="5" t="s">
        <v>388</v>
      </c>
      <c r="F9" s="5" t="s">
        <v>28</v>
      </c>
      <c r="G9" s="5" t="s">
        <v>398</v>
      </c>
      <c r="H9" s="5" t="s">
        <v>133</v>
      </c>
      <c r="I9" s="5" t="s">
        <v>25</v>
      </c>
      <c r="J9" s="5">
        <v>1900</v>
      </c>
      <c r="K9" s="5">
        <v>50</v>
      </c>
      <c r="L9" s="7">
        <f t="shared" si="0"/>
        <v>38</v>
      </c>
      <c r="M9" s="5" t="s">
        <v>9</v>
      </c>
      <c r="N9" s="5">
        <v>4</v>
      </c>
      <c r="O9" s="6">
        <f t="shared" si="1"/>
        <v>1.71475</v>
      </c>
      <c r="P9" s="6">
        <f t="shared" si="2"/>
        <v>0.17833399999999996</v>
      </c>
      <c r="Q9" s="10">
        <f t="shared" si="3"/>
        <v>3.7152916666666667E-3</v>
      </c>
      <c r="R9" s="10">
        <f t="shared" si="4"/>
        <v>2.3825813226263679E-2</v>
      </c>
      <c r="S9" s="10">
        <f t="shared" si="5"/>
        <v>2.7541104892930345E-2</v>
      </c>
    </row>
    <row r="10" spans="1:22" x14ac:dyDescent="0.25">
      <c r="A10" s="5" t="s">
        <v>22</v>
      </c>
      <c r="B10" s="5" t="s">
        <v>63</v>
      </c>
      <c r="C10" s="5" t="s">
        <v>27</v>
      </c>
      <c r="D10" s="5" t="s">
        <v>389</v>
      </c>
      <c r="E10" s="5" t="s">
        <v>396</v>
      </c>
      <c r="F10" s="5" t="s">
        <v>136</v>
      </c>
      <c r="G10" s="5" t="s">
        <v>399</v>
      </c>
      <c r="H10" s="5" t="s">
        <v>137</v>
      </c>
      <c r="I10" s="5" t="s">
        <v>138</v>
      </c>
      <c r="J10" s="5">
        <v>1110</v>
      </c>
      <c r="K10" s="5">
        <v>29</v>
      </c>
      <c r="L10" s="7">
        <f t="shared" si="0"/>
        <v>38.275862068965516</v>
      </c>
      <c r="M10" s="5" t="s">
        <v>10</v>
      </c>
      <c r="N10" s="5">
        <v>4</v>
      </c>
      <c r="O10" s="6">
        <f t="shared" si="1"/>
        <v>1.0163726218787157</v>
      </c>
      <c r="P10" s="6">
        <f t="shared" si="2"/>
        <v>0.10570275267538644</v>
      </c>
      <c r="Q10" s="10">
        <f t="shared" si="3"/>
        <v>2.202140680737217E-3</v>
      </c>
      <c r="R10" s="10">
        <f t="shared" si="4"/>
        <v>1.609484663594286E-2</v>
      </c>
      <c r="S10" s="10">
        <f t="shared" si="5"/>
        <v>1.8296987316680079E-2</v>
      </c>
    </row>
    <row r="11" spans="1:22" x14ac:dyDescent="0.25">
      <c r="A11" s="5" t="s">
        <v>22</v>
      </c>
      <c r="B11" s="5" t="s">
        <v>63</v>
      </c>
      <c r="C11" s="5" t="s">
        <v>27</v>
      </c>
      <c r="D11" s="5" t="s">
        <v>389</v>
      </c>
      <c r="E11" s="5" t="s">
        <v>396</v>
      </c>
      <c r="F11" s="5" t="s">
        <v>136</v>
      </c>
      <c r="G11" s="5" t="s">
        <v>399</v>
      </c>
      <c r="H11" s="5" t="s">
        <v>139</v>
      </c>
      <c r="I11" s="5" t="s">
        <v>17</v>
      </c>
      <c r="J11" s="5">
        <v>935</v>
      </c>
      <c r="K11" s="5">
        <v>26</v>
      </c>
      <c r="L11" s="7">
        <f t="shared" si="0"/>
        <v>35.96153846153846</v>
      </c>
      <c r="M11" s="5" t="s">
        <v>10</v>
      </c>
      <c r="N11" s="5">
        <v>4</v>
      </c>
      <c r="O11" s="6">
        <f t="shared" si="1"/>
        <v>0.75573259522928993</v>
      </c>
      <c r="P11" s="6">
        <f t="shared" si="2"/>
        <v>7.8596189903846134E-2</v>
      </c>
      <c r="Q11" s="10">
        <f t="shared" si="3"/>
        <v>1.6374206229967947E-3</v>
      </c>
      <c r="R11" s="10">
        <f t="shared" si="4"/>
        <v>1.2887635362542798E-2</v>
      </c>
      <c r="S11" s="10">
        <f t="shared" si="5"/>
        <v>1.4525055985539593E-2</v>
      </c>
    </row>
    <row r="12" spans="1:22" x14ac:dyDescent="0.25">
      <c r="A12" s="5" t="s">
        <v>8</v>
      </c>
      <c r="B12" s="5" t="s">
        <v>224</v>
      </c>
      <c r="C12" s="5" t="s">
        <v>27</v>
      </c>
      <c r="D12" s="5" t="s">
        <v>389</v>
      </c>
      <c r="E12" s="5" t="s">
        <v>396</v>
      </c>
      <c r="F12" s="5" t="s">
        <v>136</v>
      </c>
      <c r="G12" s="5" t="s">
        <v>399</v>
      </c>
      <c r="H12" s="5" t="s">
        <v>139</v>
      </c>
      <c r="I12" s="5" t="s">
        <v>17</v>
      </c>
      <c r="J12" s="5">
        <v>800</v>
      </c>
      <c r="K12" s="5">
        <v>25.3</v>
      </c>
      <c r="L12" s="7">
        <f t="shared" si="0"/>
        <v>31.620553359683793</v>
      </c>
      <c r="M12" s="5" t="s">
        <v>10</v>
      </c>
      <c r="N12" s="5">
        <v>4</v>
      </c>
      <c r="O12" s="6">
        <f t="shared" si="1"/>
        <v>0.49992969738630499</v>
      </c>
      <c r="P12" s="6">
        <f t="shared" si="2"/>
        <v>5.1992688528175721E-2</v>
      </c>
      <c r="Q12" s="10">
        <f t="shared" si="3"/>
        <v>1.0831810110036608E-3</v>
      </c>
      <c r="R12" s="10">
        <f t="shared" si="4"/>
        <v>9.4531995646547125E-3</v>
      </c>
      <c r="S12" s="10">
        <f t="shared" si="5"/>
        <v>1.0536380575658373E-2</v>
      </c>
    </row>
    <row r="13" spans="1:22" x14ac:dyDescent="0.25">
      <c r="A13" s="5" t="s">
        <v>22</v>
      </c>
      <c r="B13" s="5" t="s">
        <v>63</v>
      </c>
      <c r="C13" s="5" t="s">
        <v>27</v>
      </c>
      <c r="D13" s="5" t="s">
        <v>389</v>
      </c>
      <c r="E13" s="5" t="s">
        <v>396</v>
      </c>
      <c r="F13" s="5" t="s">
        <v>136</v>
      </c>
      <c r="G13" s="5" t="s">
        <v>399</v>
      </c>
      <c r="H13" s="5" t="s">
        <v>139</v>
      </c>
      <c r="I13" s="5" t="s">
        <v>140</v>
      </c>
      <c r="J13" s="5">
        <v>940</v>
      </c>
      <c r="K13" s="5">
        <v>26.5</v>
      </c>
      <c r="L13" s="7">
        <f t="shared" si="0"/>
        <v>35.471698113207545</v>
      </c>
      <c r="M13" s="5" t="s">
        <v>10</v>
      </c>
      <c r="N13" s="5">
        <v>4</v>
      </c>
      <c r="O13" s="6">
        <f t="shared" si="1"/>
        <v>0.73921680313278748</v>
      </c>
      <c r="P13" s="6">
        <f t="shared" si="2"/>
        <v>7.6878547525809887E-2</v>
      </c>
      <c r="Q13" s="10">
        <f t="shared" si="3"/>
        <v>1.6016364067877062E-3</v>
      </c>
      <c r="R13" s="10">
        <f t="shared" si="4"/>
        <v>1.2675818060723713E-2</v>
      </c>
      <c r="S13" s="10">
        <f t="shared" si="5"/>
        <v>1.4277454467511419E-2</v>
      </c>
    </row>
    <row r="14" spans="1:22" x14ac:dyDescent="0.25">
      <c r="A14" s="5" t="s">
        <v>8</v>
      </c>
      <c r="B14" s="5" t="s">
        <v>224</v>
      </c>
      <c r="C14" s="5" t="s">
        <v>27</v>
      </c>
      <c r="D14" s="5" t="s">
        <v>389</v>
      </c>
      <c r="E14" s="5" t="s">
        <v>396</v>
      </c>
      <c r="F14" s="5" t="s">
        <v>136</v>
      </c>
      <c r="G14" s="5" t="s">
        <v>399</v>
      </c>
      <c r="H14" s="5" t="s">
        <v>139</v>
      </c>
      <c r="I14" s="5" t="s">
        <v>140</v>
      </c>
      <c r="J14" s="5">
        <v>970</v>
      </c>
      <c r="K14" s="5">
        <v>26.7</v>
      </c>
      <c r="L14" s="7">
        <f t="shared" si="0"/>
        <v>36.329588014981276</v>
      </c>
      <c r="M14" s="5" t="s">
        <v>10</v>
      </c>
      <c r="N14" s="5">
        <v>4</v>
      </c>
      <c r="O14" s="6">
        <f t="shared" si="1"/>
        <v>0.80015237273632689</v>
      </c>
      <c r="P14" s="6">
        <f t="shared" si="2"/>
        <v>8.3215846764577994E-2</v>
      </c>
      <c r="Q14" s="10">
        <f t="shared" si="3"/>
        <v>1.7336634742620416E-3</v>
      </c>
      <c r="R14" s="10">
        <f t="shared" si="4"/>
        <v>1.3451683716266281E-2</v>
      </c>
      <c r="S14" s="10">
        <f t="shared" si="5"/>
        <v>1.5185347190528322E-2</v>
      </c>
    </row>
    <row r="15" spans="1:22" x14ac:dyDescent="0.25">
      <c r="A15" s="5" t="s">
        <v>8</v>
      </c>
      <c r="B15" s="5" t="s">
        <v>224</v>
      </c>
      <c r="C15" s="5" t="s">
        <v>27</v>
      </c>
      <c r="D15" s="5" t="s">
        <v>389</v>
      </c>
      <c r="E15" s="5" t="s">
        <v>396</v>
      </c>
      <c r="F15" s="5" t="s">
        <v>136</v>
      </c>
      <c r="G15" s="5" t="s">
        <v>399</v>
      </c>
      <c r="H15" s="5" t="s">
        <v>139</v>
      </c>
      <c r="I15" s="5" t="s">
        <v>225</v>
      </c>
      <c r="J15" s="5">
        <v>820</v>
      </c>
      <c r="K15" s="5">
        <v>19.8</v>
      </c>
      <c r="L15" s="7">
        <f t="shared" si="0"/>
        <v>41.414141414141412</v>
      </c>
      <c r="M15" s="5" t="s">
        <v>10</v>
      </c>
      <c r="N15" s="5">
        <v>4</v>
      </c>
      <c r="O15" s="6">
        <f t="shared" si="1"/>
        <v>0.87900469339863263</v>
      </c>
      <c r="P15" s="6">
        <f t="shared" si="2"/>
        <v>9.1416488113457803E-2</v>
      </c>
      <c r="Q15" s="10">
        <f t="shared" si="3"/>
        <v>1.9045101690303705E-3</v>
      </c>
      <c r="R15" s="10">
        <f t="shared" si="4"/>
        <v>1.4434126921592894E-2</v>
      </c>
      <c r="S15" s="10">
        <f t="shared" si="5"/>
        <v>1.6338637090623265E-2</v>
      </c>
    </row>
    <row r="16" spans="1:22" x14ac:dyDescent="0.25">
      <c r="A16" s="5" t="s">
        <v>8</v>
      </c>
      <c r="B16" s="5" t="s">
        <v>277</v>
      </c>
      <c r="C16" s="5" t="s">
        <v>27</v>
      </c>
      <c r="D16" s="5" t="s">
        <v>385</v>
      </c>
      <c r="E16" s="5" t="s">
        <v>387</v>
      </c>
      <c r="F16" s="5" t="s">
        <v>52</v>
      </c>
      <c r="G16" s="5" t="s">
        <v>386</v>
      </c>
      <c r="H16" s="5" t="s">
        <v>58</v>
      </c>
      <c r="I16" s="5" t="s">
        <v>278</v>
      </c>
      <c r="J16" s="5">
        <v>1640</v>
      </c>
      <c r="K16" s="5">
        <v>30.3</v>
      </c>
      <c r="L16" s="7">
        <f t="shared" si="0"/>
        <v>54.125412541254121</v>
      </c>
      <c r="M16" s="5" t="s">
        <v>10</v>
      </c>
      <c r="N16" s="5">
        <v>4</v>
      </c>
      <c r="O16" s="6">
        <f t="shared" si="1"/>
        <v>3.0027992898299734</v>
      </c>
      <c r="P16" s="6">
        <f t="shared" si="2"/>
        <v>0.31229112614231719</v>
      </c>
      <c r="Q16" s="10">
        <f t="shared" si="3"/>
        <v>6.5060651279649417E-3</v>
      </c>
      <c r="R16" s="10">
        <f t="shared" si="4"/>
        <v>3.6269523726956437E-2</v>
      </c>
      <c r="S16" s="10">
        <f t="shared" si="5"/>
        <v>4.277558885492138E-2</v>
      </c>
    </row>
    <row r="17" spans="1:19" x14ac:dyDescent="0.25">
      <c r="A17" s="5" t="s">
        <v>8</v>
      </c>
      <c r="B17" s="5" t="s">
        <v>277</v>
      </c>
      <c r="C17" s="5" t="s">
        <v>27</v>
      </c>
      <c r="D17" s="5" t="s">
        <v>385</v>
      </c>
      <c r="E17" s="5" t="s">
        <v>387</v>
      </c>
      <c r="F17" s="5" t="s">
        <v>52</v>
      </c>
      <c r="G17" s="5" t="s">
        <v>386</v>
      </c>
      <c r="H17" s="5" t="s">
        <v>58</v>
      </c>
      <c r="I17" s="5" t="s">
        <v>278</v>
      </c>
      <c r="J17" s="5">
        <v>1640</v>
      </c>
      <c r="K17" s="5">
        <v>34.5</v>
      </c>
      <c r="L17" s="7">
        <f t="shared" si="0"/>
        <v>47.536231884057969</v>
      </c>
      <c r="M17" s="5" t="s">
        <v>9</v>
      </c>
      <c r="N17" s="5">
        <v>4</v>
      </c>
      <c r="O17" s="6">
        <f t="shared" si="1"/>
        <v>2.316185675278303</v>
      </c>
      <c r="P17" s="6">
        <f t="shared" si="2"/>
        <v>0.24088331022894349</v>
      </c>
      <c r="Q17" s="10">
        <f t="shared" si="3"/>
        <v>5.0184022964363225E-3</v>
      </c>
      <c r="R17" s="10">
        <f t="shared" si="4"/>
        <v>2.9852255693463999E-2</v>
      </c>
      <c r="S17" s="10">
        <f t="shared" si="5"/>
        <v>3.4870657989900321E-2</v>
      </c>
    </row>
    <row r="18" spans="1:19" x14ac:dyDescent="0.25">
      <c r="A18" s="5" t="s">
        <v>8</v>
      </c>
      <c r="B18" s="5" t="s">
        <v>277</v>
      </c>
      <c r="C18" s="5" t="s">
        <v>27</v>
      </c>
      <c r="D18" s="5" t="s">
        <v>385</v>
      </c>
      <c r="E18" s="5" t="s">
        <v>387</v>
      </c>
      <c r="F18" s="5" t="s">
        <v>52</v>
      </c>
      <c r="G18" s="5" t="s">
        <v>386</v>
      </c>
      <c r="H18" s="5" t="s">
        <v>58</v>
      </c>
      <c r="I18" s="5" t="s">
        <v>278</v>
      </c>
      <c r="J18" s="5">
        <v>1480</v>
      </c>
      <c r="K18" s="5">
        <v>38.200000000000003</v>
      </c>
      <c r="L18" s="7">
        <f t="shared" si="0"/>
        <v>38.743455497382193</v>
      </c>
      <c r="M18" s="5" t="s">
        <v>235</v>
      </c>
      <c r="N18" s="5">
        <v>4</v>
      </c>
      <c r="O18" s="6">
        <f t="shared" si="1"/>
        <v>1.3884761930868117</v>
      </c>
      <c r="P18" s="6">
        <f t="shared" si="2"/>
        <v>0.14440152408102841</v>
      </c>
      <c r="Q18" s="10">
        <f t="shared" si="3"/>
        <v>3.0083650850214251E-3</v>
      </c>
      <c r="R18" s="10">
        <f t="shared" si="4"/>
        <v>2.03376585936756E-2</v>
      </c>
      <c r="S18" s="10">
        <f t="shared" si="5"/>
        <v>2.3346023678697026E-2</v>
      </c>
    </row>
    <row r="19" spans="1:19" x14ac:dyDescent="0.25">
      <c r="A19" s="5" t="s">
        <v>8</v>
      </c>
      <c r="B19" s="5" t="s">
        <v>277</v>
      </c>
      <c r="C19" s="5" t="s">
        <v>27</v>
      </c>
      <c r="D19" s="5" t="s">
        <v>385</v>
      </c>
      <c r="E19" s="5" t="s">
        <v>387</v>
      </c>
      <c r="F19" s="5" t="s">
        <v>52</v>
      </c>
      <c r="G19" s="5" t="s">
        <v>386</v>
      </c>
      <c r="H19" s="5" t="s">
        <v>58</v>
      </c>
      <c r="I19" s="5" t="s">
        <v>278</v>
      </c>
      <c r="J19" s="5">
        <v>1060</v>
      </c>
      <c r="K19" s="5">
        <v>31.3</v>
      </c>
      <c r="L19" s="7">
        <f t="shared" si="0"/>
        <v>33.865814696485621</v>
      </c>
      <c r="M19" s="5" t="s">
        <v>279</v>
      </c>
      <c r="N19" s="5">
        <v>4</v>
      </c>
      <c r="O19" s="6">
        <f t="shared" si="1"/>
        <v>0.75981688085006482</v>
      </c>
      <c r="P19" s="6">
        <f t="shared" si="2"/>
        <v>7.9020955608406732E-2</v>
      </c>
      <c r="Q19" s="10">
        <f t="shared" si="3"/>
        <v>1.6462699085084736E-3</v>
      </c>
      <c r="R19" s="10">
        <f t="shared" si="4"/>
        <v>1.2939837661155107E-2</v>
      </c>
      <c r="S19" s="10">
        <f t="shared" si="5"/>
        <v>1.4586107569663581E-2</v>
      </c>
    </row>
    <row r="20" spans="1:19" x14ac:dyDescent="0.25">
      <c r="A20" s="5" t="s">
        <v>8</v>
      </c>
      <c r="B20" s="5" t="s">
        <v>277</v>
      </c>
      <c r="C20" s="5" t="s">
        <v>27</v>
      </c>
      <c r="D20" s="5" t="s">
        <v>385</v>
      </c>
      <c r="E20" s="5" t="s">
        <v>387</v>
      </c>
      <c r="F20" s="5" t="s">
        <v>52</v>
      </c>
      <c r="G20" s="5" t="s">
        <v>386</v>
      </c>
      <c r="H20" s="5" t="s">
        <v>58</v>
      </c>
      <c r="I20" s="5" t="s">
        <v>278</v>
      </c>
      <c r="J20" s="5">
        <v>860</v>
      </c>
      <c r="K20" s="5">
        <v>31.7</v>
      </c>
      <c r="L20" s="7">
        <f t="shared" si="0"/>
        <v>27.129337539432179</v>
      </c>
      <c r="M20" s="5" t="s">
        <v>280</v>
      </c>
      <c r="N20" s="5">
        <v>4</v>
      </c>
      <c r="O20" s="6">
        <f t="shared" si="1"/>
        <v>0.39560051348903863</v>
      </c>
      <c r="P20" s="6">
        <f t="shared" si="2"/>
        <v>4.1142453402860019E-2</v>
      </c>
      <c r="Q20" s="10">
        <f t="shared" si="3"/>
        <v>8.5713444589291705E-4</v>
      </c>
      <c r="R20" s="10">
        <f t="shared" si="4"/>
        <v>7.9312156642675161E-3</v>
      </c>
      <c r="S20" s="10">
        <f t="shared" si="5"/>
        <v>8.7883501101604332E-3</v>
      </c>
    </row>
    <row r="21" spans="1:19" x14ac:dyDescent="0.25">
      <c r="A21" s="5" t="s">
        <v>8</v>
      </c>
      <c r="B21" s="5" t="s">
        <v>291</v>
      </c>
      <c r="C21" s="5" t="s">
        <v>27</v>
      </c>
      <c r="D21" s="5" t="s">
        <v>385</v>
      </c>
      <c r="E21" s="5" t="s">
        <v>387</v>
      </c>
      <c r="F21" s="5" t="s">
        <v>52</v>
      </c>
      <c r="G21" s="5" t="s">
        <v>386</v>
      </c>
      <c r="H21" s="5" t="s">
        <v>58</v>
      </c>
      <c r="I21" s="5" t="s">
        <v>278</v>
      </c>
      <c r="J21" s="5">
        <v>1650</v>
      </c>
      <c r="K21" s="5">
        <v>31</v>
      </c>
      <c r="L21" s="7">
        <f t="shared" si="0"/>
        <v>53.225806451612904</v>
      </c>
      <c r="M21" s="5" t="s">
        <v>10</v>
      </c>
      <c r="N21" s="5">
        <v>4</v>
      </c>
      <c r="O21" s="6">
        <f t="shared" si="1"/>
        <v>2.9215172996878254</v>
      </c>
      <c r="P21" s="6">
        <f t="shared" si="2"/>
        <v>0.30383779916753384</v>
      </c>
      <c r="Q21" s="10">
        <f t="shared" si="3"/>
        <v>6.3299541493236217E-3</v>
      </c>
      <c r="R21" s="10">
        <f t="shared" si="4"/>
        <v>3.5530676056027069E-2</v>
      </c>
      <c r="S21" s="10">
        <f t="shared" si="5"/>
        <v>4.1860630205350691E-2</v>
      </c>
    </row>
    <row r="22" spans="1:19" x14ac:dyDescent="0.25">
      <c r="A22" s="5" t="s">
        <v>8</v>
      </c>
      <c r="B22" s="5" t="s">
        <v>291</v>
      </c>
      <c r="C22" s="5" t="s">
        <v>27</v>
      </c>
      <c r="D22" s="5" t="s">
        <v>385</v>
      </c>
      <c r="E22" s="5" t="s">
        <v>387</v>
      </c>
      <c r="F22" s="5" t="s">
        <v>52</v>
      </c>
      <c r="G22" s="5" t="s">
        <v>386</v>
      </c>
      <c r="H22" s="5" t="s">
        <v>58</v>
      </c>
      <c r="I22" s="5" t="s">
        <v>278</v>
      </c>
      <c r="J22" s="5">
        <v>1650</v>
      </c>
      <c r="K22" s="5">
        <v>36.5</v>
      </c>
      <c r="L22" s="7">
        <f t="shared" si="0"/>
        <v>45.205479452054796</v>
      </c>
      <c r="M22" s="5" t="s">
        <v>9</v>
      </c>
      <c r="N22" s="5">
        <v>4</v>
      </c>
      <c r="O22" s="6">
        <f t="shared" si="1"/>
        <v>2.1073958528804653</v>
      </c>
      <c r="P22" s="6">
        <f t="shared" si="2"/>
        <v>0.2191691686995684</v>
      </c>
      <c r="Q22" s="10">
        <f t="shared" si="3"/>
        <v>4.5660243479076741E-3</v>
      </c>
      <c r="R22" s="10">
        <f t="shared" si="4"/>
        <v>2.7810366682914086E-2</v>
      </c>
      <c r="S22" s="10">
        <f t="shared" si="5"/>
        <v>3.2376391030821759E-2</v>
      </c>
    </row>
    <row r="23" spans="1:19" x14ac:dyDescent="0.25">
      <c r="A23" s="5" t="s">
        <v>8</v>
      </c>
      <c r="B23" s="5" t="s">
        <v>291</v>
      </c>
      <c r="C23" s="5" t="s">
        <v>27</v>
      </c>
      <c r="D23" s="5" t="s">
        <v>385</v>
      </c>
      <c r="E23" s="5" t="s">
        <v>387</v>
      </c>
      <c r="F23" s="5" t="s">
        <v>52</v>
      </c>
      <c r="G23" s="5" t="s">
        <v>386</v>
      </c>
      <c r="H23" s="5" t="s">
        <v>58</v>
      </c>
      <c r="I23" s="5" t="s">
        <v>257</v>
      </c>
      <c r="J23" s="5">
        <v>3850</v>
      </c>
      <c r="K23" s="5">
        <v>49</v>
      </c>
      <c r="L23" s="7">
        <f t="shared" si="0"/>
        <v>78.571428571428569</v>
      </c>
      <c r="M23" s="5" t="s">
        <v>10</v>
      </c>
      <c r="N23" s="5">
        <v>4</v>
      </c>
      <c r="O23" s="6">
        <f t="shared" si="1"/>
        <v>14.854910714285714</v>
      </c>
      <c r="P23" s="6">
        <f t="shared" si="2"/>
        <v>1.5449107142857141</v>
      </c>
      <c r="Q23" s="10">
        <f t="shared" si="3"/>
        <v>3.2185639880952376E-2</v>
      </c>
      <c r="R23" s="10">
        <f t="shared" si="4"/>
        <v>0.12030942708411221</v>
      </c>
      <c r="S23" s="10">
        <f t="shared" si="5"/>
        <v>0.1524950669650646</v>
      </c>
    </row>
    <row r="24" spans="1:19" x14ac:dyDescent="0.25">
      <c r="A24" s="5" t="s">
        <v>8</v>
      </c>
      <c r="B24" s="5" t="s">
        <v>291</v>
      </c>
      <c r="C24" s="5" t="s">
        <v>27</v>
      </c>
      <c r="D24" s="5" t="s">
        <v>385</v>
      </c>
      <c r="E24" s="5" t="s">
        <v>387</v>
      </c>
      <c r="F24" s="5" t="s">
        <v>52</v>
      </c>
      <c r="G24" s="5" t="s">
        <v>386</v>
      </c>
      <c r="H24" s="5" t="s">
        <v>58</v>
      </c>
      <c r="I24" s="5" t="s">
        <v>257</v>
      </c>
      <c r="J24" s="5">
        <v>3200</v>
      </c>
      <c r="K24" s="5">
        <v>50</v>
      </c>
      <c r="L24" s="7">
        <f t="shared" si="0"/>
        <v>64</v>
      </c>
      <c r="M24" s="5" t="s">
        <v>9</v>
      </c>
      <c r="N24" s="5">
        <v>4</v>
      </c>
      <c r="O24" s="6">
        <f t="shared" si="1"/>
        <v>8.1920000000000002</v>
      </c>
      <c r="P24" s="6">
        <f t="shared" si="2"/>
        <v>0.85196800000000006</v>
      </c>
      <c r="Q24" s="10">
        <f t="shared" si="3"/>
        <v>1.7749333333333332E-2</v>
      </c>
      <c r="R24" s="10">
        <f t="shared" si="4"/>
        <v>7.6990932905730558E-2</v>
      </c>
      <c r="S24" s="10">
        <f t="shared" si="5"/>
        <v>9.4740266239063897E-2</v>
      </c>
    </row>
    <row r="25" spans="1:19" x14ac:dyDescent="0.25">
      <c r="A25" s="5" t="s">
        <v>8</v>
      </c>
      <c r="B25" s="5" t="s">
        <v>291</v>
      </c>
      <c r="C25" s="5" t="s">
        <v>27</v>
      </c>
      <c r="D25" s="5" t="s">
        <v>385</v>
      </c>
      <c r="E25" s="5" t="s">
        <v>387</v>
      </c>
      <c r="F25" s="5" t="s">
        <v>52</v>
      </c>
      <c r="G25" s="5" t="s">
        <v>386</v>
      </c>
      <c r="H25" s="5" t="s">
        <v>58</v>
      </c>
      <c r="I25" s="5" t="s">
        <v>292</v>
      </c>
      <c r="J25" s="5">
        <v>2300</v>
      </c>
      <c r="K25" s="5">
        <v>32.5</v>
      </c>
      <c r="L25" s="7">
        <f t="shared" si="0"/>
        <v>70.769230769230774</v>
      </c>
      <c r="M25" s="5" t="s">
        <v>10</v>
      </c>
      <c r="N25" s="5">
        <v>4</v>
      </c>
      <c r="O25" s="6">
        <f t="shared" si="1"/>
        <v>7.1994082840236695</v>
      </c>
      <c r="P25" s="6">
        <f t="shared" si="2"/>
        <v>0.74873846153846157</v>
      </c>
      <c r="Q25" s="10">
        <f t="shared" si="3"/>
        <v>1.5598717948717949E-2</v>
      </c>
      <c r="R25" s="10">
        <f t="shared" si="4"/>
        <v>6.9882708172427616E-2</v>
      </c>
      <c r="S25" s="10">
        <f t="shared" si="5"/>
        <v>8.5481426121145565E-2</v>
      </c>
    </row>
    <row r="26" spans="1:19" x14ac:dyDescent="0.25">
      <c r="A26" s="5" t="s">
        <v>8</v>
      </c>
      <c r="B26" s="5" t="s">
        <v>291</v>
      </c>
      <c r="C26" s="5" t="s">
        <v>27</v>
      </c>
      <c r="D26" s="5" t="s">
        <v>385</v>
      </c>
      <c r="E26" s="5" t="s">
        <v>387</v>
      </c>
      <c r="F26" s="5" t="s">
        <v>52</v>
      </c>
      <c r="G26" s="5" t="s">
        <v>386</v>
      </c>
      <c r="H26" s="5" t="s">
        <v>58</v>
      </c>
      <c r="I26" s="5" t="s">
        <v>292</v>
      </c>
      <c r="J26" s="5">
        <v>2200</v>
      </c>
      <c r="K26" s="5">
        <v>30.5</v>
      </c>
      <c r="L26" s="7">
        <f t="shared" si="0"/>
        <v>72.131147540983605</v>
      </c>
      <c r="M26" s="5" t="s">
        <v>9</v>
      </c>
      <c r="N26" s="5">
        <v>4</v>
      </c>
      <c r="O26" s="6">
        <f t="shared" si="1"/>
        <v>7.153990862671324</v>
      </c>
      <c r="P26" s="6">
        <f t="shared" si="2"/>
        <v>0.74401504971781773</v>
      </c>
      <c r="Q26" s="10">
        <f t="shared" si="3"/>
        <v>1.5500313535787867E-2</v>
      </c>
      <c r="R26" s="10">
        <f t="shared" si="4"/>
        <v>6.9551805788942461E-2</v>
      </c>
      <c r="S26" s="10">
        <f t="shared" si="5"/>
        <v>8.5052119324730335E-2</v>
      </c>
    </row>
    <row r="27" spans="1:19" x14ac:dyDescent="0.25">
      <c r="A27" s="5" t="s">
        <v>8</v>
      </c>
      <c r="B27" s="5" t="s">
        <v>319</v>
      </c>
      <c r="C27" s="5" t="s">
        <v>27</v>
      </c>
      <c r="D27" s="5" t="s">
        <v>385</v>
      </c>
      <c r="E27" s="5" t="s">
        <v>387</v>
      </c>
      <c r="F27" s="5" t="s">
        <v>52</v>
      </c>
      <c r="G27" s="5" t="s">
        <v>386</v>
      </c>
      <c r="H27" s="5" t="s">
        <v>58</v>
      </c>
      <c r="I27" s="5" t="s">
        <v>320</v>
      </c>
      <c r="J27" s="5">
        <v>2815</v>
      </c>
      <c r="K27" s="5">
        <v>31.3</v>
      </c>
      <c r="L27" s="7">
        <f t="shared" si="0"/>
        <v>89.936102236421718</v>
      </c>
      <c r="M27" s="5" t="s">
        <v>10</v>
      </c>
      <c r="N27" s="5">
        <v>4</v>
      </c>
      <c r="O27" s="6">
        <f t="shared" si="1"/>
        <v>14.23070906039155</v>
      </c>
      <c r="P27" s="6">
        <f t="shared" si="2"/>
        <v>1.4799937422807212</v>
      </c>
      <c r="Q27" s="10">
        <f t="shared" si="3"/>
        <v>3.0833202964181693E-2</v>
      </c>
      <c r="R27" s="10">
        <f t="shared" si="4"/>
        <v>0.11649761361336987</v>
      </c>
      <c r="S27" s="10">
        <f t="shared" si="5"/>
        <v>0.14733081657755157</v>
      </c>
    </row>
    <row r="28" spans="1:19" x14ac:dyDescent="0.25">
      <c r="A28" s="5" t="s">
        <v>22</v>
      </c>
      <c r="B28" s="5" t="s">
        <v>26</v>
      </c>
      <c r="C28" s="5" t="s">
        <v>27</v>
      </c>
      <c r="D28" s="5" t="s">
        <v>385</v>
      </c>
      <c r="E28" s="5" t="s">
        <v>387</v>
      </c>
      <c r="F28" s="5" t="s">
        <v>52</v>
      </c>
      <c r="G28" s="5" t="s">
        <v>386</v>
      </c>
      <c r="H28" s="5" t="s">
        <v>58</v>
      </c>
      <c r="I28" s="5" t="s">
        <v>59</v>
      </c>
      <c r="J28" s="5">
        <v>1800</v>
      </c>
      <c r="K28" s="5">
        <v>32</v>
      </c>
      <c r="L28" s="7">
        <f t="shared" si="0"/>
        <v>56.25</v>
      </c>
      <c r="M28" s="5" t="s">
        <v>10</v>
      </c>
      <c r="N28" s="5">
        <v>4</v>
      </c>
      <c r="O28" s="6">
        <f t="shared" si="1"/>
        <v>3.5595703125</v>
      </c>
      <c r="P28" s="6">
        <f t="shared" si="2"/>
        <v>0.37019531249999998</v>
      </c>
      <c r="Q28" s="10">
        <f t="shared" si="3"/>
        <v>7.71240234375E-3</v>
      </c>
      <c r="R28" s="10">
        <f t="shared" si="4"/>
        <v>4.1204562411128992E-2</v>
      </c>
      <c r="S28" s="10">
        <f t="shared" si="5"/>
        <v>4.8916964754878993E-2</v>
      </c>
    </row>
    <row r="29" spans="1:19" x14ac:dyDescent="0.25">
      <c r="A29" s="5" t="s">
        <v>22</v>
      </c>
      <c r="B29" s="5" t="s">
        <v>26</v>
      </c>
      <c r="C29" s="5" t="s">
        <v>27</v>
      </c>
      <c r="D29" s="5" t="s">
        <v>385</v>
      </c>
      <c r="E29" s="5" t="s">
        <v>387</v>
      </c>
      <c r="F29" s="5" t="s">
        <v>52</v>
      </c>
      <c r="G29" s="5" t="s">
        <v>386</v>
      </c>
      <c r="H29" s="5" t="s">
        <v>58</v>
      </c>
      <c r="I29" s="5" t="s">
        <v>59</v>
      </c>
      <c r="J29" s="5">
        <v>1650</v>
      </c>
      <c r="K29" s="5">
        <v>33</v>
      </c>
      <c r="L29" s="7">
        <f t="shared" si="0"/>
        <v>50</v>
      </c>
      <c r="M29" s="5" t="s">
        <v>9</v>
      </c>
      <c r="N29" s="5">
        <v>4</v>
      </c>
      <c r="O29" s="6">
        <f t="shared" si="1"/>
        <v>2.578125</v>
      </c>
      <c r="P29" s="6">
        <f t="shared" si="2"/>
        <v>0.268125</v>
      </c>
      <c r="Q29" s="10">
        <f t="shared" si="3"/>
        <v>5.5859374999999998E-3</v>
      </c>
      <c r="R29" s="10">
        <f t="shared" si="4"/>
        <v>3.2350060856390632E-2</v>
      </c>
      <c r="S29" s="10">
        <f t="shared" si="5"/>
        <v>3.7935998356390631E-2</v>
      </c>
    </row>
    <row r="30" spans="1:19" x14ac:dyDescent="0.25">
      <c r="A30" s="5" t="s">
        <v>8</v>
      </c>
      <c r="B30" s="5" t="s">
        <v>291</v>
      </c>
      <c r="C30" s="5" t="s">
        <v>27</v>
      </c>
      <c r="D30" s="5" t="s">
        <v>385</v>
      </c>
      <c r="E30" s="5" t="s">
        <v>387</v>
      </c>
      <c r="F30" s="5" t="s">
        <v>52</v>
      </c>
      <c r="G30" s="5" t="s">
        <v>386</v>
      </c>
      <c r="H30" s="5" t="s">
        <v>58</v>
      </c>
      <c r="I30" s="5" t="s">
        <v>59</v>
      </c>
      <c r="J30" s="5">
        <v>1800</v>
      </c>
      <c r="K30" s="5">
        <v>32</v>
      </c>
      <c r="L30" s="7">
        <f t="shared" si="0"/>
        <v>56.25</v>
      </c>
      <c r="M30" s="5" t="s">
        <v>10</v>
      </c>
      <c r="N30" s="5">
        <v>4</v>
      </c>
      <c r="O30" s="6">
        <f t="shared" si="1"/>
        <v>3.5595703125</v>
      </c>
      <c r="P30" s="6">
        <f t="shared" si="2"/>
        <v>0.37019531249999998</v>
      </c>
      <c r="Q30" s="10">
        <f t="shared" si="3"/>
        <v>7.71240234375E-3</v>
      </c>
      <c r="R30" s="10">
        <f t="shared" si="4"/>
        <v>4.1204562411128992E-2</v>
      </c>
      <c r="S30" s="10">
        <f t="shared" si="5"/>
        <v>4.8916964754878993E-2</v>
      </c>
    </row>
    <row r="31" spans="1:19" x14ac:dyDescent="0.25">
      <c r="A31" s="5" t="s">
        <v>8</v>
      </c>
      <c r="B31" s="5" t="s">
        <v>291</v>
      </c>
      <c r="C31" s="5" t="s">
        <v>27</v>
      </c>
      <c r="D31" s="5" t="s">
        <v>385</v>
      </c>
      <c r="E31" s="5" t="s">
        <v>387</v>
      </c>
      <c r="F31" s="5" t="s">
        <v>52</v>
      </c>
      <c r="G31" s="5" t="s">
        <v>386</v>
      </c>
      <c r="H31" s="5" t="s">
        <v>58</v>
      </c>
      <c r="I31" s="5" t="s">
        <v>59</v>
      </c>
      <c r="J31" s="5">
        <v>1650</v>
      </c>
      <c r="K31" s="5">
        <v>33</v>
      </c>
      <c r="L31" s="7">
        <f t="shared" si="0"/>
        <v>50</v>
      </c>
      <c r="M31" s="5" t="s">
        <v>9</v>
      </c>
      <c r="N31" s="5">
        <v>4</v>
      </c>
      <c r="O31" s="6">
        <f t="shared" si="1"/>
        <v>2.578125</v>
      </c>
      <c r="P31" s="6">
        <f t="shared" si="2"/>
        <v>0.268125</v>
      </c>
      <c r="Q31" s="10">
        <f t="shared" si="3"/>
        <v>5.5859374999999998E-3</v>
      </c>
      <c r="R31" s="10">
        <f t="shared" si="4"/>
        <v>3.2350060856390632E-2</v>
      </c>
      <c r="S31" s="10">
        <f t="shared" si="5"/>
        <v>3.7935998356390631E-2</v>
      </c>
    </row>
    <row r="32" spans="1:19" x14ac:dyDescent="0.25">
      <c r="A32" s="5" t="s">
        <v>8</v>
      </c>
      <c r="B32" s="5" t="s">
        <v>291</v>
      </c>
      <c r="C32" s="5" t="s">
        <v>27</v>
      </c>
      <c r="D32" s="5" t="s">
        <v>385</v>
      </c>
      <c r="E32" s="5" t="s">
        <v>387</v>
      </c>
      <c r="F32" s="5" t="s">
        <v>52</v>
      </c>
      <c r="G32" s="5" t="s">
        <v>386</v>
      </c>
      <c r="H32" s="5" t="s">
        <v>58</v>
      </c>
      <c r="I32" s="5" t="s">
        <v>59</v>
      </c>
      <c r="J32" s="5">
        <v>1700</v>
      </c>
      <c r="K32" s="5">
        <v>28</v>
      </c>
      <c r="L32" s="7">
        <f t="shared" si="0"/>
        <v>60.714285714285715</v>
      </c>
      <c r="M32" s="5" t="s">
        <v>10</v>
      </c>
      <c r="N32" s="5">
        <v>4</v>
      </c>
      <c r="O32" s="6">
        <f t="shared" si="1"/>
        <v>3.9166135204081631</v>
      </c>
      <c r="P32" s="6">
        <f t="shared" si="2"/>
        <v>0.40732780612244895</v>
      </c>
      <c r="Q32" s="10">
        <f t="shared" si="3"/>
        <v>8.4859959608843526E-3</v>
      </c>
      <c r="R32" s="10">
        <f t="shared" si="4"/>
        <v>4.4267007423098879E-2</v>
      </c>
      <c r="S32" s="10">
        <f t="shared" si="5"/>
        <v>5.2753003383983234E-2</v>
      </c>
    </row>
    <row r="33" spans="1:19" x14ac:dyDescent="0.25">
      <c r="A33" s="5" t="s">
        <v>8</v>
      </c>
      <c r="B33" s="5" t="s">
        <v>291</v>
      </c>
      <c r="C33" s="5" t="s">
        <v>27</v>
      </c>
      <c r="D33" s="5" t="s">
        <v>385</v>
      </c>
      <c r="E33" s="5" t="s">
        <v>387</v>
      </c>
      <c r="F33" s="5" t="s">
        <v>52</v>
      </c>
      <c r="G33" s="5" t="s">
        <v>386</v>
      </c>
      <c r="H33" s="5" t="s">
        <v>58</v>
      </c>
      <c r="I33" s="5" t="s">
        <v>59</v>
      </c>
      <c r="J33" s="5">
        <v>1650</v>
      </c>
      <c r="K33" s="5">
        <v>28</v>
      </c>
      <c r="L33" s="7">
        <f t="shared" si="0"/>
        <v>58.928571428571431</v>
      </c>
      <c r="M33" s="5" t="s">
        <v>9</v>
      </c>
      <c r="N33" s="5">
        <v>4</v>
      </c>
      <c r="O33" s="6">
        <f t="shared" si="1"/>
        <v>3.581094547193878</v>
      </c>
      <c r="P33" s="6">
        <f t="shared" si="2"/>
        <v>0.37243383290816329</v>
      </c>
      <c r="Q33" s="10">
        <f t="shared" si="3"/>
        <v>7.7590381855867354E-3</v>
      </c>
      <c r="R33" s="10">
        <f t="shared" si="4"/>
        <v>4.1391290283335047E-2</v>
      </c>
      <c r="S33" s="10">
        <f t="shared" si="5"/>
        <v>4.9150328468921783E-2</v>
      </c>
    </row>
    <row r="34" spans="1:19" x14ac:dyDescent="0.25">
      <c r="A34" s="5" t="s">
        <v>8</v>
      </c>
      <c r="B34" s="5" t="s">
        <v>291</v>
      </c>
      <c r="C34" s="5" t="s">
        <v>27</v>
      </c>
      <c r="D34" s="5" t="s">
        <v>385</v>
      </c>
      <c r="E34" s="5" t="s">
        <v>387</v>
      </c>
      <c r="F34" s="5" t="s">
        <v>52</v>
      </c>
      <c r="G34" s="5" t="s">
        <v>386</v>
      </c>
      <c r="H34" s="5" t="s">
        <v>58</v>
      </c>
      <c r="I34" s="5" t="s">
        <v>59</v>
      </c>
      <c r="J34" s="5">
        <v>1750</v>
      </c>
      <c r="K34" s="5">
        <v>22</v>
      </c>
      <c r="L34" s="7">
        <f t="shared" si="0"/>
        <v>79.545454545454547</v>
      </c>
      <c r="M34" s="5" t="s">
        <v>10</v>
      </c>
      <c r="N34" s="5">
        <v>4</v>
      </c>
      <c r="O34" s="6">
        <f t="shared" si="1"/>
        <v>6.9206805268595044</v>
      </c>
      <c r="P34" s="6">
        <f t="shared" si="2"/>
        <v>0.71975077479338845</v>
      </c>
      <c r="Q34" s="10">
        <f t="shared" si="3"/>
        <v>1.4994807808195593E-2</v>
      </c>
      <c r="R34" s="10">
        <f t="shared" si="4"/>
        <v>6.7843575117162297E-2</v>
      </c>
      <c r="S34" s="10">
        <f t="shared" si="5"/>
        <v>8.283838292535789E-2</v>
      </c>
    </row>
    <row r="35" spans="1:19" x14ac:dyDescent="0.25">
      <c r="A35" s="5" t="s">
        <v>8</v>
      </c>
      <c r="B35" s="5" t="s">
        <v>291</v>
      </c>
      <c r="C35" s="5" t="s">
        <v>27</v>
      </c>
      <c r="D35" s="5" t="s">
        <v>385</v>
      </c>
      <c r="E35" s="5" t="s">
        <v>387</v>
      </c>
      <c r="F35" s="5" t="s">
        <v>52</v>
      </c>
      <c r="G35" s="5" t="s">
        <v>386</v>
      </c>
      <c r="H35" s="5" t="s">
        <v>58</v>
      </c>
      <c r="I35" s="5" t="s">
        <v>59</v>
      </c>
      <c r="J35" s="5">
        <v>1650</v>
      </c>
      <c r="K35" s="5">
        <v>21</v>
      </c>
      <c r="L35" s="7">
        <f t="shared" si="0"/>
        <v>78.571428571428569</v>
      </c>
      <c r="M35" s="5" t="s">
        <v>9</v>
      </c>
      <c r="N35" s="5">
        <v>4</v>
      </c>
      <c r="O35" s="6">
        <f t="shared" si="1"/>
        <v>6.3663903061224483</v>
      </c>
      <c r="P35" s="6">
        <f t="shared" si="2"/>
        <v>0.66210459183673465</v>
      </c>
      <c r="Q35" s="10">
        <f t="shared" si="3"/>
        <v>1.3793845663265303E-2</v>
      </c>
      <c r="R35" s="10">
        <f t="shared" si="4"/>
        <v>6.3726060232505155E-2</v>
      </c>
      <c r="S35" s="10">
        <f t="shared" si="5"/>
        <v>7.7519905895770458E-2</v>
      </c>
    </row>
    <row r="36" spans="1:19" x14ac:dyDescent="0.25">
      <c r="A36" s="5" t="s">
        <v>8</v>
      </c>
      <c r="B36" s="5" t="s">
        <v>291</v>
      </c>
      <c r="C36" s="5" t="s">
        <v>27</v>
      </c>
      <c r="D36" s="5" t="s">
        <v>385</v>
      </c>
      <c r="E36" s="5" t="s">
        <v>387</v>
      </c>
      <c r="F36" s="5" t="s">
        <v>52</v>
      </c>
      <c r="G36" s="5" t="s">
        <v>386</v>
      </c>
      <c r="H36" s="5" t="s">
        <v>58</v>
      </c>
      <c r="I36" s="5" t="s">
        <v>59</v>
      </c>
      <c r="J36" s="5">
        <v>1850</v>
      </c>
      <c r="K36" s="5">
        <v>29.5</v>
      </c>
      <c r="L36" s="7">
        <f t="shared" si="0"/>
        <v>62.711864406779661</v>
      </c>
      <c r="M36" s="5" t="s">
        <v>10</v>
      </c>
      <c r="N36" s="5">
        <v>4</v>
      </c>
      <c r="O36" s="6">
        <f t="shared" si="1"/>
        <v>4.5472744900890554</v>
      </c>
      <c r="P36" s="6">
        <f t="shared" si="2"/>
        <v>0.47291654696926166</v>
      </c>
      <c r="Q36" s="10">
        <f t="shared" si="3"/>
        <v>9.8524280618596197E-3</v>
      </c>
      <c r="R36" s="10">
        <f t="shared" si="4"/>
        <v>4.9512003714677087E-2</v>
      </c>
      <c r="S36" s="10">
        <f t="shared" si="5"/>
        <v>5.9364431776536705E-2</v>
      </c>
    </row>
    <row r="37" spans="1:19" x14ac:dyDescent="0.25">
      <c r="A37" s="5" t="s">
        <v>8</v>
      </c>
      <c r="B37" s="5" t="s">
        <v>291</v>
      </c>
      <c r="C37" s="5" t="s">
        <v>27</v>
      </c>
      <c r="D37" s="5" t="s">
        <v>385</v>
      </c>
      <c r="E37" s="5" t="s">
        <v>387</v>
      </c>
      <c r="F37" s="5" t="s">
        <v>52</v>
      </c>
      <c r="G37" s="5" t="s">
        <v>386</v>
      </c>
      <c r="H37" s="5" t="s">
        <v>58</v>
      </c>
      <c r="I37" s="5" t="s">
        <v>59</v>
      </c>
      <c r="J37" s="5">
        <v>1800</v>
      </c>
      <c r="K37" s="5">
        <v>35.5</v>
      </c>
      <c r="L37" s="7">
        <f t="shared" si="0"/>
        <v>50.70422535211268</v>
      </c>
      <c r="M37" s="5" t="s">
        <v>9</v>
      </c>
      <c r="N37" s="5">
        <v>4</v>
      </c>
      <c r="O37" s="6">
        <f t="shared" si="1"/>
        <v>2.8922832771275542</v>
      </c>
      <c r="P37" s="6">
        <f t="shared" si="2"/>
        <v>0.30079746082126563</v>
      </c>
      <c r="Q37" s="10">
        <f t="shared" si="3"/>
        <v>6.2666137671097003E-3</v>
      </c>
      <c r="R37" s="10">
        <f t="shared" si="4"/>
        <v>3.526368912472827E-2</v>
      </c>
      <c r="S37" s="10">
        <f t="shared" si="5"/>
        <v>4.153030289183797E-2</v>
      </c>
    </row>
    <row r="38" spans="1:19" x14ac:dyDescent="0.25">
      <c r="A38" s="5" t="s">
        <v>8</v>
      </c>
      <c r="B38" s="5" t="s">
        <v>319</v>
      </c>
      <c r="C38" s="5" t="s">
        <v>27</v>
      </c>
      <c r="D38" s="5" t="s">
        <v>385</v>
      </c>
      <c r="E38" s="5" t="s">
        <v>387</v>
      </c>
      <c r="F38" s="5" t="s">
        <v>52</v>
      </c>
      <c r="G38" s="5" t="s">
        <v>386</v>
      </c>
      <c r="H38" s="5" t="s">
        <v>58</v>
      </c>
      <c r="I38" s="5" t="s">
        <v>59</v>
      </c>
      <c r="J38" s="5">
        <v>1870</v>
      </c>
      <c r="K38" s="5">
        <v>29.2</v>
      </c>
      <c r="L38" s="7">
        <f t="shared" si="0"/>
        <v>64.041095890410958</v>
      </c>
      <c r="M38" s="5" t="s">
        <v>10</v>
      </c>
      <c r="N38" s="5">
        <v>4</v>
      </c>
      <c r="O38" s="6">
        <f t="shared" si="1"/>
        <v>4.7933499190748732</v>
      </c>
      <c r="P38" s="6">
        <f t="shared" si="2"/>
        <v>0.49850839158378674</v>
      </c>
      <c r="Q38" s="10">
        <f t="shared" si="3"/>
        <v>1.0385591491328892E-2</v>
      </c>
      <c r="R38" s="10">
        <f t="shared" si="4"/>
        <v>5.1508212041113E-2</v>
      </c>
      <c r="S38" s="10">
        <f t="shared" si="5"/>
        <v>6.1893803532441893E-2</v>
      </c>
    </row>
    <row r="39" spans="1:19" x14ac:dyDescent="0.25">
      <c r="A39" s="5" t="s">
        <v>8</v>
      </c>
      <c r="B39" s="5" t="s">
        <v>319</v>
      </c>
      <c r="C39" s="5" t="s">
        <v>27</v>
      </c>
      <c r="D39" s="5" t="s">
        <v>385</v>
      </c>
      <c r="E39" s="5" t="s">
        <v>387</v>
      </c>
      <c r="F39" s="5" t="s">
        <v>52</v>
      </c>
      <c r="G39" s="5" t="s">
        <v>386</v>
      </c>
      <c r="H39" s="5" t="s">
        <v>58</v>
      </c>
      <c r="I39" s="5" t="s">
        <v>59</v>
      </c>
      <c r="J39" s="5">
        <v>1850</v>
      </c>
      <c r="K39" s="5">
        <v>35</v>
      </c>
      <c r="L39" s="7">
        <f t="shared" si="0"/>
        <v>52.857142857142854</v>
      </c>
      <c r="M39" s="5" t="s">
        <v>9</v>
      </c>
      <c r="N39" s="5">
        <v>4</v>
      </c>
      <c r="O39" s="6">
        <f t="shared" si="1"/>
        <v>3.2304209183673462</v>
      </c>
      <c r="P39" s="6">
        <f t="shared" si="2"/>
        <v>0.33596377551020401</v>
      </c>
      <c r="Q39" s="10">
        <f t="shared" si="3"/>
        <v>6.9992453231292502E-3</v>
      </c>
      <c r="R39" s="10">
        <f t="shared" si="4"/>
        <v>3.8312585381453851E-2</v>
      </c>
      <c r="S39" s="10">
        <f t="shared" si="5"/>
        <v>4.5311830704583098E-2</v>
      </c>
    </row>
    <row r="40" spans="1:19" x14ac:dyDescent="0.25">
      <c r="A40" s="5" t="s">
        <v>8</v>
      </c>
      <c r="B40" s="5" t="s">
        <v>291</v>
      </c>
      <c r="C40" s="5" t="s">
        <v>27</v>
      </c>
      <c r="D40" s="5" t="s">
        <v>385</v>
      </c>
      <c r="E40" s="5" t="s">
        <v>387</v>
      </c>
      <c r="F40" s="5" t="s">
        <v>52</v>
      </c>
      <c r="G40" s="5" t="s">
        <v>386</v>
      </c>
      <c r="H40" s="5" t="s">
        <v>58</v>
      </c>
      <c r="I40" s="5" t="s">
        <v>293</v>
      </c>
      <c r="J40" s="5">
        <v>2500</v>
      </c>
      <c r="K40" s="5">
        <v>32.5</v>
      </c>
      <c r="L40" s="7">
        <f t="shared" si="0"/>
        <v>76.92307692307692</v>
      </c>
      <c r="M40" s="5" t="s">
        <v>10</v>
      </c>
      <c r="N40" s="5">
        <v>4</v>
      </c>
      <c r="O40" s="6">
        <f t="shared" si="1"/>
        <v>9.2455621301775128</v>
      </c>
      <c r="P40" s="6">
        <f t="shared" si="2"/>
        <v>0.96153846153846145</v>
      </c>
      <c r="Q40" s="10">
        <f t="shared" si="3"/>
        <v>2.0032051282051277E-2</v>
      </c>
      <c r="R40" s="10">
        <f t="shared" si="4"/>
        <v>8.4303793099258367E-2</v>
      </c>
      <c r="S40" s="10">
        <f t="shared" si="5"/>
        <v>0.10433584438130965</v>
      </c>
    </row>
    <row r="41" spans="1:19" x14ac:dyDescent="0.25">
      <c r="A41" s="5" t="s">
        <v>8</v>
      </c>
      <c r="B41" s="5" t="s">
        <v>311</v>
      </c>
      <c r="C41" s="5" t="s">
        <v>27</v>
      </c>
      <c r="D41" s="5" t="s">
        <v>385</v>
      </c>
      <c r="E41" s="5" t="s">
        <v>387</v>
      </c>
      <c r="F41" s="5" t="s">
        <v>52</v>
      </c>
      <c r="G41" s="5" t="s">
        <v>386</v>
      </c>
      <c r="H41" s="5" t="s">
        <v>58</v>
      </c>
      <c r="I41" s="5" t="s">
        <v>293</v>
      </c>
      <c r="J41" s="5">
        <v>2700</v>
      </c>
      <c r="K41" s="5">
        <v>34</v>
      </c>
      <c r="L41" s="7">
        <f t="shared" si="0"/>
        <v>79.411764705882348</v>
      </c>
      <c r="M41" s="5" t="s">
        <v>10</v>
      </c>
      <c r="N41" s="5">
        <v>4</v>
      </c>
      <c r="O41" s="6">
        <f t="shared" si="1"/>
        <v>10.641760380622838</v>
      </c>
      <c r="P41" s="6">
        <f t="shared" si="2"/>
        <v>1.106743079584775</v>
      </c>
      <c r="Q41" s="10">
        <f t="shared" si="3"/>
        <v>2.3057147491349479E-2</v>
      </c>
      <c r="R41" s="10">
        <f t="shared" si="4"/>
        <v>9.3682232382394676E-2</v>
      </c>
      <c r="S41" s="10">
        <f t="shared" si="5"/>
        <v>0.11673937987374415</v>
      </c>
    </row>
    <row r="42" spans="1:19" x14ac:dyDescent="0.25">
      <c r="A42" s="5" t="s">
        <v>8</v>
      </c>
      <c r="B42" s="5" t="s">
        <v>291</v>
      </c>
      <c r="C42" s="5" t="s">
        <v>27</v>
      </c>
      <c r="D42" s="5" t="s">
        <v>385</v>
      </c>
      <c r="E42" s="5" t="s">
        <v>387</v>
      </c>
      <c r="F42" s="5" t="s">
        <v>52</v>
      </c>
      <c r="G42" s="5" t="s">
        <v>386</v>
      </c>
      <c r="H42" s="5" t="s">
        <v>58</v>
      </c>
      <c r="I42" s="5" t="s">
        <v>294</v>
      </c>
      <c r="J42" s="5">
        <v>1800</v>
      </c>
      <c r="K42" s="5">
        <v>30</v>
      </c>
      <c r="L42" s="7">
        <f t="shared" si="0"/>
        <v>60</v>
      </c>
      <c r="M42" s="5" t="s">
        <v>10</v>
      </c>
      <c r="N42" s="5">
        <v>4</v>
      </c>
      <c r="O42" s="6">
        <f t="shared" si="1"/>
        <v>4.05</v>
      </c>
      <c r="P42" s="6">
        <f t="shared" si="2"/>
        <v>0.42120000000000002</v>
      </c>
      <c r="Q42" s="10">
        <f t="shared" si="3"/>
        <v>8.7749999999999998E-3</v>
      </c>
      <c r="R42" s="10">
        <f t="shared" si="4"/>
        <v>4.5392948339503428E-2</v>
      </c>
      <c r="S42" s="10">
        <f t="shared" si="5"/>
        <v>5.4167948339503426E-2</v>
      </c>
    </row>
    <row r="43" spans="1:19" x14ac:dyDescent="0.25">
      <c r="A43" s="5" t="s">
        <v>8</v>
      </c>
      <c r="B43" s="5" t="s">
        <v>299</v>
      </c>
      <c r="C43" s="5" t="s">
        <v>27</v>
      </c>
      <c r="D43" s="5" t="s">
        <v>385</v>
      </c>
      <c r="E43" s="5" t="s">
        <v>387</v>
      </c>
      <c r="F43" s="5" t="s">
        <v>52</v>
      </c>
      <c r="G43" s="5" t="s">
        <v>386</v>
      </c>
      <c r="H43" s="5" t="s">
        <v>58</v>
      </c>
      <c r="I43" s="5" t="s">
        <v>294</v>
      </c>
      <c r="J43" s="5">
        <v>1973</v>
      </c>
      <c r="K43" s="5">
        <v>28.4</v>
      </c>
      <c r="L43" s="7">
        <f t="shared" si="0"/>
        <v>69.471830985915503</v>
      </c>
      <c r="M43" s="5" t="s">
        <v>10</v>
      </c>
      <c r="N43" s="5">
        <v>4</v>
      </c>
      <c r="O43" s="6">
        <f t="shared" si="1"/>
        <v>5.9514747174729736</v>
      </c>
      <c r="P43" s="6">
        <f t="shared" si="2"/>
        <v>0.61895337061718914</v>
      </c>
      <c r="Q43" s="10">
        <f t="shared" si="3"/>
        <v>1.2894861887858109E-2</v>
      </c>
      <c r="R43" s="10">
        <f t="shared" si="4"/>
        <v>6.0585063731535917E-2</v>
      </c>
      <c r="S43" s="10">
        <f t="shared" si="5"/>
        <v>7.3479925619394024E-2</v>
      </c>
    </row>
    <row r="44" spans="1:19" x14ac:dyDescent="0.25">
      <c r="A44" s="5" t="s">
        <v>8</v>
      </c>
      <c r="B44" s="5" t="s">
        <v>291</v>
      </c>
      <c r="C44" s="5" t="s">
        <v>27</v>
      </c>
      <c r="D44" s="5" t="s">
        <v>385</v>
      </c>
      <c r="E44" s="5" t="s">
        <v>387</v>
      </c>
      <c r="F44" s="5" t="s">
        <v>52</v>
      </c>
      <c r="G44" s="5" t="s">
        <v>386</v>
      </c>
      <c r="H44" s="5" t="s">
        <v>58</v>
      </c>
      <c r="I44" s="5" t="s">
        <v>295</v>
      </c>
      <c r="J44" s="5">
        <v>2000</v>
      </c>
      <c r="K44" s="5">
        <v>27</v>
      </c>
      <c r="L44" s="7">
        <f t="shared" si="0"/>
        <v>74.074074074074076</v>
      </c>
      <c r="M44" s="5" t="s">
        <v>10</v>
      </c>
      <c r="N44" s="5">
        <v>4</v>
      </c>
      <c r="O44" s="6">
        <f t="shared" si="1"/>
        <v>6.8587105624142675</v>
      </c>
      <c r="P44" s="6">
        <f t="shared" si="2"/>
        <v>0.71330589849108383</v>
      </c>
      <c r="Q44" s="10">
        <f t="shared" si="3"/>
        <v>1.486053955189758E-2</v>
      </c>
      <c r="R44" s="10">
        <f t="shared" si="4"/>
        <v>6.7387443596961277E-2</v>
      </c>
      <c r="S44" s="10">
        <f t="shared" si="5"/>
        <v>8.2247983148858853E-2</v>
      </c>
    </row>
    <row r="45" spans="1:19" x14ac:dyDescent="0.25">
      <c r="A45" s="5" t="s">
        <v>8</v>
      </c>
      <c r="B45" s="5" t="s">
        <v>291</v>
      </c>
      <c r="C45" s="5" t="s">
        <v>27</v>
      </c>
      <c r="D45" s="5" t="s">
        <v>385</v>
      </c>
      <c r="E45" s="5" t="s">
        <v>387</v>
      </c>
      <c r="F45" s="5" t="s">
        <v>52</v>
      </c>
      <c r="G45" s="5" t="s">
        <v>386</v>
      </c>
      <c r="H45" s="5" t="s">
        <v>58</v>
      </c>
      <c r="I45" s="5" t="s">
        <v>295</v>
      </c>
      <c r="J45" s="5">
        <v>2000</v>
      </c>
      <c r="K45" s="5">
        <v>35</v>
      </c>
      <c r="L45" s="7">
        <f t="shared" si="0"/>
        <v>57.142857142857146</v>
      </c>
      <c r="M45" s="5" t="s">
        <v>9</v>
      </c>
      <c r="N45" s="5">
        <v>4</v>
      </c>
      <c r="O45" s="6">
        <f t="shared" si="1"/>
        <v>4.0816326530612246</v>
      </c>
      <c r="P45" s="6">
        <f t="shared" si="2"/>
        <v>0.42448979591836739</v>
      </c>
      <c r="Q45" s="10">
        <f t="shared" si="3"/>
        <v>8.8435374149659855E-3</v>
      </c>
      <c r="R45" s="10">
        <f t="shared" si="4"/>
        <v>4.5658596864765109E-2</v>
      </c>
      <c r="S45" s="10">
        <f t="shared" si="5"/>
        <v>5.4502134279731093E-2</v>
      </c>
    </row>
    <row r="46" spans="1:19" x14ac:dyDescent="0.25">
      <c r="A46" s="5" t="s">
        <v>22</v>
      </c>
      <c r="B46" s="5" t="s">
        <v>26</v>
      </c>
      <c r="C46" s="5" t="s">
        <v>27</v>
      </c>
      <c r="D46" s="5" t="s">
        <v>385</v>
      </c>
      <c r="E46" s="5" t="s">
        <v>387</v>
      </c>
      <c r="F46" s="5" t="s">
        <v>52</v>
      </c>
      <c r="G46" s="5" t="s">
        <v>386</v>
      </c>
      <c r="H46" s="5" t="s">
        <v>58</v>
      </c>
      <c r="I46" s="5" t="s">
        <v>60</v>
      </c>
      <c r="J46" s="5">
        <v>2600</v>
      </c>
      <c r="K46" s="5">
        <v>34</v>
      </c>
      <c r="L46" s="7">
        <f t="shared" si="0"/>
        <v>76.470588235294116</v>
      </c>
      <c r="M46" s="5" t="s">
        <v>10</v>
      </c>
      <c r="N46" s="5">
        <v>4</v>
      </c>
      <c r="O46" s="6">
        <f t="shared" si="1"/>
        <v>9.5025951557093435</v>
      </c>
      <c r="P46" s="6">
        <f t="shared" si="2"/>
        <v>0.98826989619377159</v>
      </c>
      <c r="Q46" s="10">
        <f t="shared" si="3"/>
        <v>2.0588956170703578E-2</v>
      </c>
      <c r="R46" s="10">
        <f t="shared" si="4"/>
        <v>8.6055532182463049E-2</v>
      </c>
      <c r="S46" s="10">
        <f t="shared" si="5"/>
        <v>0.10664448835316663</v>
      </c>
    </row>
    <row r="47" spans="1:19" x14ac:dyDescent="0.25">
      <c r="A47" s="5" t="s">
        <v>22</v>
      </c>
      <c r="B47" s="5" t="s">
        <v>26</v>
      </c>
      <c r="C47" s="5" t="s">
        <v>27</v>
      </c>
      <c r="D47" s="5" t="s">
        <v>385</v>
      </c>
      <c r="E47" s="5" t="s">
        <v>387</v>
      </c>
      <c r="F47" s="5" t="s">
        <v>52</v>
      </c>
      <c r="G47" s="5" t="s">
        <v>386</v>
      </c>
      <c r="H47" s="5" t="s">
        <v>58</v>
      </c>
      <c r="I47" s="5" t="s">
        <v>60</v>
      </c>
      <c r="J47" s="5">
        <v>2050</v>
      </c>
      <c r="K47" s="5">
        <v>33.5</v>
      </c>
      <c r="L47" s="7">
        <f t="shared" si="0"/>
        <v>61.194029850746269</v>
      </c>
      <c r="M47" s="5" t="s">
        <v>9</v>
      </c>
      <c r="N47" s="5">
        <v>4</v>
      </c>
      <c r="O47" s="6">
        <f t="shared" si="1"/>
        <v>4.7979087770104698</v>
      </c>
      <c r="P47" s="6">
        <f t="shared" si="2"/>
        <v>0.4989825128090889</v>
      </c>
      <c r="Q47" s="10">
        <f t="shared" si="3"/>
        <v>1.0395469016856018E-2</v>
      </c>
      <c r="R47" s="10">
        <f t="shared" si="4"/>
        <v>5.1544948987063487E-2</v>
      </c>
      <c r="S47" s="10">
        <f t="shared" si="5"/>
        <v>6.1940418003919501E-2</v>
      </c>
    </row>
    <row r="48" spans="1:19" x14ac:dyDescent="0.25">
      <c r="A48" s="5" t="s">
        <v>8</v>
      </c>
      <c r="B48" s="5" t="s">
        <v>291</v>
      </c>
      <c r="C48" s="5" t="s">
        <v>27</v>
      </c>
      <c r="D48" s="5" t="s">
        <v>385</v>
      </c>
      <c r="E48" s="5" t="s">
        <v>387</v>
      </c>
      <c r="F48" s="5" t="s">
        <v>52</v>
      </c>
      <c r="G48" s="5" t="s">
        <v>386</v>
      </c>
      <c r="H48" s="5" t="s">
        <v>58</v>
      </c>
      <c r="I48" s="5" t="s">
        <v>60</v>
      </c>
      <c r="J48" s="5">
        <v>2050</v>
      </c>
      <c r="K48" s="5">
        <v>29</v>
      </c>
      <c r="L48" s="7">
        <f t="shared" si="0"/>
        <v>70.689655172413794</v>
      </c>
      <c r="M48" s="5" t="s">
        <v>10</v>
      </c>
      <c r="N48" s="5">
        <v>4</v>
      </c>
      <c r="O48" s="6">
        <f t="shared" si="1"/>
        <v>6.4024412901307972</v>
      </c>
      <c r="P48" s="6">
        <f t="shared" si="2"/>
        <v>0.66585389417360286</v>
      </c>
      <c r="Q48" s="10">
        <f t="shared" si="3"/>
        <v>1.3871956128616726E-2</v>
      </c>
      <c r="R48" s="10">
        <f t="shared" si="4"/>
        <v>6.3996515472610566E-2</v>
      </c>
      <c r="S48" s="10">
        <f t="shared" si="5"/>
        <v>7.7868471601227285E-2</v>
      </c>
    </row>
    <row r="49" spans="1:19" x14ac:dyDescent="0.25">
      <c r="A49" s="5" t="s">
        <v>8</v>
      </c>
      <c r="B49" s="5" t="s">
        <v>291</v>
      </c>
      <c r="C49" s="5" t="s">
        <v>27</v>
      </c>
      <c r="D49" s="5" t="s">
        <v>385</v>
      </c>
      <c r="E49" s="5" t="s">
        <v>387</v>
      </c>
      <c r="F49" s="5" t="s">
        <v>52</v>
      </c>
      <c r="G49" s="5" t="s">
        <v>386</v>
      </c>
      <c r="H49" s="5" t="s">
        <v>58</v>
      </c>
      <c r="I49" s="5" t="s">
        <v>60</v>
      </c>
      <c r="J49" s="5">
        <v>1900</v>
      </c>
      <c r="K49" s="5">
        <v>30</v>
      </c>
      <c r="L49" s="7">
        <f t="shared" si="0"/>
        <v>63.333333333333336</v>
      </c>
      <c r="M49" s="5" t="s">
        <v>9</v>
      </c>
      <c r="N49" s="5">
        <v>4</v>
      </c>
      <c r="O49" s="6">
        <f t="shared" si="1"/>
        <v>4.7631944444444452</v>
      </c>
      <c r="P49" s="6">
        <f t="shared" si="2"/>
        <v>0.49537222222222227</v>
      </c>
      <c r="Q49" s="10">
        <f t="shared" si="3"/>
        <v>1.0320254629629631E-2</v>
      </c>
      <c r="R49" s="10">
        <f t="shared" si="4"/>
        <v>5.1264987686204244E-2</v>
      </c>
      <c r="S49" s="10">
        <f t="shared" si="5"/>
        <v>6.1585242315833871E-2</v>
      </c>
    </row>
    <row r="50" spans="1:19" x14ac:dyDescent="0.25">
      <c r="A50" s="5" t="s">
        <v>8</v>
      </c>
      <c r="B50" s="5" t="s">
        <v>291</v>
      </c>
      <c r="C50" s="5" t="s">
        <v>27</v>
      </c>
      <c r="D50" s="5" t="s">
        <v>385</v>
      </c>
      <c r="E50" s="5" t="s">
        <v>387</v>
      </c>
      <c r="F50" s="5" t="s">
        <v>52</v>
      </c>
      <c r="G50" s="5" t="s">
        <v>386</v>
      </c>
      <c r="H50" s="5" t="s">
        <v>58</v>
      </c>
      <c r="I50" s="5" t="s">
        <v>60</v>
      </c>
      <c r="J50" s="5">
        <v>2600</v>
      </c>
      <c r="K50" s="5">
        <v>34</v>
      </c>
      <c r="L50" s="7">
        <f t="shared" si="0"/>
        <v>76.470588235294116</v>
      </c>
      <c r="M50" s="5" t="s">
        <v>10</v>
      </c>
      <c r="N50" s="5">
        <v>4</v>
      </c>
      <c r="O50" s="6">
        <f t="shared" si="1"/>
        <v>9.5025951557093435</v>
      </c>
      <c r="P50" s="6">
        <f t="shared" si="2"/>
        <v>0.98826989619377159</v>
      </c>
      <c r="Q50" s="10">
        <f t="shared" si="3"/>
        <v>2.0588956170703578E-2</v>
      </c>
      <c r="R50" s="10">
        <f t="shared" si="4"/>
        <v>8.6055532182463049E-2</v>
      </c>
      <c r="S50" s="10">
        <f t="shared" si="5"/>
        <v>0.10664448835316663</v>
      </c>
    </row>
    <row r="51" spans="1:19" x14ac:dyDescent="0.25">
      <c r="A51" s="5" t="s">
        <v>8</v>
      </c>
      <c r="B51" s="5" t="s">
        <v>291</v>
      </c>
      <c r="C51" s="5" t="s">
        <v>27</v>
      </c>
      <c r="D51" s="5" t="s">
        <v>385</v>
      </c>
      <c r="E51" s="5" t="s">
        <v>387</v>
      </c>
      <c r="F51" s="5" t="s">
        <v>52</v>
      </c>
      <c r="G51" s="5" t="s">
        <v>386</v>
      </c>
      <c r="H51" s="5" t="s">
        <v>58</v>
      </c>
      <c r="I51" s="5" t="s">
        <v>60</v>
      </c>
      <c r="J51" s="5">
        <v>2050</v>
      </c>
      <c r="K51" s="5">
        <v>33.5</v>
      </c>
      <c r="L51" s="7">
        <f t="shared" si="0"/>
        <v>61.194029850746269</v>
      </c>
      <c r="M51" s="5" t="s">
        <v>9</v>
      </c>
      <c r="N51" s="5">
        <v>4</v>
      </c>
      <c r="O51" s="6">
        <f t="shared" si="1"/>
        <v>4.7979087770104698</v>
      </c>
      <c r="P51" s="6">
        <f t="shared" si="2"/>
        <v>0.4989825128090889</v>
      </c>
      <c r="Q51" s="10">
        <f t="shared" si="3"/>
        <v>1.0395469016856018E-2</v>
      </c>
      <c r="R51" s="10">
        <f t="shared" si="4"/>
        <v>5.1544948987063487E-2</v>
      </c>
      <c r="S51" s="10">
        <f t="shared" si="5"/>
        <v>6.1940418003919501E-2</v>
      </c>
    </row>
    <row r="52" spans="1:19" x14ac:dyDescent="0.25">
      <c r="A52" s="5" t="s">
        <v>22</v>
      </c>
      <c r="B52" s="5" t="s">
        <v>26</v>
      </c>
      <c r="C52" s="5" t="s">
        <v>27</v>
      </c>
      <c r="D52" s="5" t="s">
        <v>385</v>
      </c>
      <c r="E52" s="5" t="s">
        <v>387</v>
      </c>
      <c r="F52" s="5" t="s">
        <v>52</v>
      </c>
      <c r="G52" s="5" t="s">
        <v>386</v>
      </c>
      <c r="H52" s="5" t="s">
        <v>58</v>
      </c>
      <c r="I52" s="5" t="s">
        <v>61</v>
      </c>
      <c r="J52" s="5">
        <v>3100</v>
      </c>
      <c r="K52" s="5">
        <v>32.5</v>
      </c>
      <c r="L52" s="7">
        <f t="shared" si="0"/>
        <v>95.384615384615387</v>
      </c>
      <c r="M52" s="5" t="s">
        <v>10</v>
      </c>
      <c r="N52" s="5">
        <v>4</v>
      </c>
      <c r="O52" s="6">
        <f t="shared" si="1"/>
        <v>17.627810650887572</v>
      </c>
      <c r="P52" s="6">
        <f t="shared" si="2"/>
        <v>1.8332923076923076</v>
      </c>
      <c r="Q52" s="10">
        <f t="shared" si="3"/>
        <v>3.8193589743589738E-2</v>
      </c>
      <c r="R52" s="10">
        <f t="shared" si="4"/>
        <v>0.13678734086635241</v>
      </c>
      <c r="S52" s="10">
        <f t="shared" si="5"/>
        <v>0.17498093060994216</v>
      </c>
    </row>
    <row r="53" spans="1:19" x14ac:dyDescent="0.25">
      <c r="A53" s="5" t="s">
        <v>22</v>
      </c>
      <c r="B53" s="5" t="s">
        <v>26</v>
      </c>
      <c r="C53" s="5" t="s">
        <v>27</v>
      </c>
      <c r="D53" s="5" t="s">
        <v>385</v>
      </c>
      <c r="E53" s="5" t="s">
        <v>387</v>
      </c>
      <c r="F53" s="5" t="s">
        <v>52</v>
      </c>
      <c r="G53" s="5" t="s">
        <v>386</v>
      </c>
      <c r="H53" s="5" t="s">
        <v>58</v>
      </c>
      <c r="I53" s="5" t="s">
        <v>61</v>
      </c>
      <c r="J53" s="5">
        <v>2550</v>
      </c>
      <c r="K53" s="5">
        <v>35</v>
      </c>
      <c r="L53" s="7">
        <f t="shared" si="0"/>
        <v>72.857142857142861</v>
      </c>
      <c r="M53" s="5" t="s">
        <v>9</v>
      </c>
      <c r="N53" s="5">
        <v>4</v>
      </c>
      <c r="O53" s="6">
        <f t="shared" si="1"/>
        <v>8.459885204081635</v>
      </c>
      <c r="P53" s="6">
        <f t="shared" si="2"/>
        <v>0.87982806122448998</v>
      </c>
      <c r="Q53" s="10">
        <f t="shared" si="3"/>
        <v>1.8329751275510207E-2</v>
      </c>
      <c r="R53" s="10">
        <f t="shared" si="4"/>
        <v>7.8871568346940854E-2</v>
      </c>
      <c r="S53" s="10">
        <f t="shared" si="5"/>
        <v>9.7201319622451057E-2</v>
      </c>
    </row>
    <row r="54" spans="1:19" x14ac:dyDescent="0.25">
      <c r="A54" s="5" t="s">
        <v>8</v>
      </c>
      <c r="B54" s="5" t="s">
        <v>291</v>
      </c>
      <c r="C54" s="5" t="s">
        <v>27</v>
      </c>
      <c r="D54" s="5" t="s">
        <v>385</v>
      </c>
      <c r="E54" s="5" t="s">
        <v>387</v>
      </c>
      <c r="F54" s="5" t="s">
        <v>52</v>
      </c>
      <c r="G54" s="5" t="s">
        <v>386</v>
      </c>
      <c r="H54" s="5" t="s">
        <v>58</v>
      </c>
      <c r="I54" s="5" t="s">
        <v>61</v>
      </c>
      <c r="J54" s="5">
        <v>2800</v>
      </c>
      <c r="K54" s="5">
        <v>40</v>
      </c>
      <c r="L54" s="7">
        <f t="shared" si="0"/>
        <v>70</v>
      </c>
      <c r="M54" s="5" t="s">
        <v>10</v>
      </c>
      <c r="N54" s="5">
        <v>4</v>
      </c>
      <c r="O54" s="6">
        <f t="shared" si="1"/>
        <v>8.5749999999999993</v>
      </c>
      <c r="P54" s="6">
        <f t="shared" si="2"/>
        <v>0.89180000000000004</v>
      </c>
      <c r="Q54" s="10">
        <f t="shared" si="3"/>
        <v>1.8579166666666664E-2</v>
      </c>
      <c r="R54" s="10">
        <f t="shared" si="4"/>
        <v>7.9675119011575646E-2</v>
      </c>
      <c r="S54" s="10">
        <f t="shared" si="5"/>
        <v>9.8254285678242306E-2</v>
      </c>
    </row>
    <row r="55" spans="1:19" x14ac:dyDescent="0.25">
      <c r="A55" s="5" t="s">
        <v>8</v>
      </c>
      <c r="B55" s="5" t="s">
        <v>291</v>
      </c>
      <c r="C55" s="5" t="s">
        <v>27</v>
      </c>
      <c r="D55" s="5" t="s">
        <v>385</v>
      </c>
      <c r="E55" s="5" t="s">
        <v>387</v>
      </c>
      <c r="F55" s="5" t="s">
        <v>52</v>
      </c>
      <c r="G55" s="5" t="s">
        <v>386</v>
      </c>
      <c r="H55" s="5" t="s">
        <v>58</v>
      </c>
      <c r="I55" s="5" t="s">
        <v>61</v>
      </c>
      <c r="J55" s="5">
        <v>2450</v>
      </c>
      <c r="K55" s="5">
        <v>29.1</v>
      </c>
      <c r="L55" s="7">
        <f t="shared" si="0"/>
        <v>84.192439862542955</v>
      </c>
      <c r="M55" s="5" t="s">
        <v>10</v>
      </c>
      <c r="N55" s="5">
        <v>4</v>
      </c>
      <c r="O55" s="6">
        <f t="shared" si="1"/>
        <v>10.854061861574614</v>
      </c>
      <c r="P55" s="6">
        <f t="shared" si="2"/>
        <v>1.1288224336037598</v>
      </c>
      <c r="Q55" s="10">
        <f t="shared" si="3"/>
        <v>2.3517134033411661E-2</v>
      </c>
      <c r="R55" s="10">
        <f t="shared" si="4"/>
        <v>9.508047521319099E-2</v>
      </c>
      <c r="S55" s="10">
        <f t="shared" si="5"/>
        <v>0.11859760924660265</v>
      </c>
    </row>
    <row r="56" spans="1:19" x14ac:dyDescent="0.25">
      <c r="A56" s="5" t="s">
        <v>8</v>
      </c>
      <c r="B56" s="5" t="s">
        <v>291</v>
      </c>
      <c r="C56" s="5" t="s">
        <v>27</v>
      </c>
      <c r="D56" s="5" t="s">
        <v>385</v>
      </c>
      <c r="E56" s="5" t="s">
        <v>387</v>
      </c>
      <c r="F56" s="5" t="s">
        <v>52</v>
      </c>
      <c r="G56" s="5" t="s">
        <v>386</v>
      </c>
      <c r="H56" s="5" t="s">
        <v>58</v>
      </c>
      <c r="I56" s="5" t="s">
        <v>61</v>
      </c>
      <c r="J56" s="5">
        <v>3200</v>
      </c>
      <c r="K56" s="5">
        <v>33.5</v>
      </c>
      <c r="L56" s="7">
        <f t="shared" si="0"/>
        <v>95.522388059701498</v>
      </c>
      <c r="M56" s="5" t="s">
        <v>10</v>
      </c>
      <c r="N56" s="5">
        <v>4</v>
      </c>
      <c r="O56" s="6">
        <f t="shared" si="1"/>
        <v>18.249053241256405</v>
      </c>
      <c r="P56" s="6">
        <f t="shared" si="2"/>
        <v>1.8979015370906662</v>
      </c>
      <c r="Q56" s="10">
        <f t="shared" si="3"/>
        <v>3.9539615356055539E-2</v>
      </c>
      <c r="R56" s="10">
        <f t="shared" si="4"/>
        <v>0.14038715662039813</v>
      </c>
      <c r="S56" s="10">
        <f t="shared" si="5"/>
        <v>0.17992677197645368</v>
      </c>
    </row>
    <row r="57" spans="1:19" x14ac:dyDescent="0.25">
      <c r="A57" s="5" t="s">
        <v>8</v>
      </c>
      <c r="B57" s="5" t="s">
        <v>291</v>
      </c>
      <c r="C57" s="5" t="s">
        <v>27</v>
      </c>
      <c r="D57" s="5" t="s">
        <v>385</v>
      </c>
      <c r="E57" s="5" t="s">
        <v>387</v>
      </c>
      <c r="F57" s="5" t="s">
        <v>52</v>
      </c>
      <c r="G57" s="5" t="s">
        <v>386</v>
      </c>
      <c r="H57" s="5" t="s">
        <v>58</v>
      </c>
      <c r="I57" s="5" t="s">
        <v>61</v>
      </c>
      <c r="J57" s="5">
        <v>2600</v>
      </c>
      <c r="K57" s="5">
        <v>35</v>
      </c>
      <c r="L57" s="7">
        <f t="shared" si="0"/>
        <v>74.285714285714292</v>
      </c>
      <c r="M57" s="5" t="s">
        <v>9</v>
      </c>
      <c r="N57" s="5">
        <v>4</v>
      </c>
      <c r="O57" s="6">
        <f t="shared" si="1"/>
        <v>8.9673469387755116</v>
      </c>
      <c r="P57" s="6">
        <f t="shared" si="2"/>
        <v>0.93260408163265329</v>
      </c>
      <c r="Q57" s="10">
        <f t="shared" si="3"/>
        <v>1.9429251700680276E-2</v>
      </c>
      <c r="R57" s="10">
        <f t="shared" si="4"/>
        <v>8.2393908285298398E-2</v>
      </c>
      <c r="S57" s="10">
        <f t="shared" si="5"/>
        <v>0.10182315998597867</v>
      </c>
    </row>
    <row r="58" spans="1:19" x14ac:dyDescent="0.25">
      <c r="A58" s="5" t="s">
        <v>8</v>
      </c>
      <c r="B58" s="5" t="s">
        <v>291</v>
      </c>
      <c r="C58" s="5" t="s">
        <v>27</v>
      </c>
      <c r="D58" s="5" t="s">
        <v>385</v>
      </c>
      <c r="E58" s="5" t="s">
        <v>387</v>
      </c>
      <c r="F58" s="5" t="s">
        <v>52</v>
      </c>
      <c r="G58" s="5" t="s">
        <v>386</v>
      </c>
      <c r="H58" s="5" t="s">
        <v>58</v>
      </c>
      <c r="I58" s="5" t="s">
        <v>61</v>
      </c>
      <c r="J58" s="5">
        <v>2550</v>
      </c>
      <c r="K58" s="5">
        <v>31</v>
      </c>
      <c r="L58" s="7">
        <f t="shared" si="0"/>
        <v>82.258064516129039</v>
      </c>
      <c r="M58" s="5" t="s">
        <v>10</v>
      </c>
      <c r="N58" s="5">
        <v>4</v>
      </c>
      <c r="O58" s="6">
        <f t="shared" si="1"/>
        <v>10.783932752341313</v>
      </c>
      <c r="P58" s="6">
        <f t="shared" si="2"/>
        <v>1.1215290062434964</v>
      </c>
      <c r="Q58" s="10">
        <f t="shared" si="3"/>
        <v>2.336518763007284E-2</v>
      </c>
      <c r="R58" s="10">
        <f t="shared" si="4"/>
        <v>9.4619359210078843E-2</v>
      </c>
      <c r="S58" s="10">
        <f t="shared" si="5"/>
        <v>0.11798454684015168</v>
      </c>
    </row>
    <row r="59" spans="1:19" x14ac:dyDescent="0.25">
      <c r="A59" s="5" t="s">
        <v>8</v>
      </c>
      <c r="B59" s="5" t="s">
        <v>291</v>
      </c>
      <c r="C59" s="5" t="s">
        <v>27</v>
      </c>
      <c r="D59" s="5" t="s">
        <v>385</v>
      </c>
      <c r="E59" s="5" t="s">
        <v>387</v>
      </c>
      <c r="F59" s="5" t="s">
        <v>52</v>
      </c>
      <c r="G59" s="5" t="s">
        <v>386</v>
      </c>
      <c r="H59" s="5" t="s">
        <v>58</v>
      </c>
      <c r="I59" s="5" t="s">
        <v>61</v>
      </c>
      <c r="J59" s="5">
        <v>2350</v>
      </c>
      <c r="K59" s="5">
        <v>30</v>
      </c>
      <c r="L59" s="7">
        <f t="shared" si="0"/>
        <v>78.333333333333329</v>
      </c>
      <c r="M59" s="5" t="s">
        <v>9</v>
      </c>
      <c r="N59" s="5">
        <v>4</v>
      </c>
      <c r="O59" s="6">
        <f t="shared" si="1"/>
        <v>9.0124131944444432</v>
      </c>
      <c r="P59" s="6">
        <f t="shared" si="2"/>
        <v>0.93729097222222202</v>
      </c>
      <c r="Q59" s="10">
        <f t="shared" si="3"/>
        <v>1.9526895254629625E-2</v>
      </c>
      <c r="R59" s="10">
        <f t="shared" si="4"/>
        <v>8.2704272421860542E-2</v>
      </c>
      <c r="S59" s="10">
        <f t="shared" si="5"/>
        <v>0.10223116767649017</v>
      </c>
    </row>
    <row r="60" spans="1:19" x14ac:dyDescent="0.25">
      <c r="A60" s="5" t="s">
        <v>8</v>
      </c>
      <c r="B60" s="5" t="s">
        <v>291</v>
      </c>
      <c r="C60" s="5" t="s">
        <v>27</v>
      </c>
      <c r="D60" s="5" t="s">
        <v>385</v>
      </c>
      <c r="E60" s="5" t="s">
        <v>387</v>
      </c>
      <c r="F60" s="5" t="s">
        <v>52</v>
      </c>
      <c r="G60" s="5" t="s">
        <v>386</v>
      </c>
      <c r="H60" s="5" t="s">
        <v>58</v>
      </c>
      <c r="I60" s="5" t="s">
        <v>61</v>
      </c>
      <c r="J60" s="5">
        <v>2700</v>
      </c>
      <c r="K60" s="5">
        <v>29</v>
      </c>
      <c r="L60" s="7">
        <f t="shared" si="0"/>
        <v>93.103448275862064</v>
      </c>
      <c r="M60" s="5" t="s">
        <v>10</v>
      </c>
      <c r="N60" s="5">
        <v>4</v>
      </c>
      <c r="O60" s="6">
        <f t="shared" si="1"/>
        <v>14.627675386444706</v>
      </c>
      <c r="P60" s="6">
        <f t="shared" si="2"/>
        <v>1.5212782401902496</v>
      </c>
      <c r="Q60" s="10">
        <f t="shared" si="3"/>
        <v>3.1693296670630193E-2</v>
      </c>
      <c r="R60" s="10">
        <f t="shared" si="4"/>
        <v>0.11892649234015015</v>
      </c>
      <c r="S60" s="10">
        <f t="shared" si="5"/>
        <v>0.15061978901078035</v>
      </c>
    </row>
    <row r="61" spans="1:19" x14ac:dyDescent="0.25">
      <c r="A61" s="5" t="s">
        <v>8</v>
      </c>
      <c r="B61" s="5" t="s">
        <v>291</v>
      </c>
      <c r="C61" s="5" t="s">
        <v>27</v>
      </c>
      <c r="D61" s="5" t="s">
        <v>385</v>
      </c>
      <c r="E61" s="5" t="s">
        <v>387</v>
      </c>
      <c r="F61" s="5" t="s">
        <v>52</v>
      </c>
      <c r="G61" s="5" t="s">
        <v>386</v>
      </c>
      <c r="H61" s="5" t="s">
        <v>58</v>
      </c>
      <c r="I61" s="5" t="s">
        <v>61</v>
      </c>
      <c r="J61" s="5">
        <v>2600</v>
      </c>
      <c r="K61" s="5">
        <v>30</v>
      </c>
      <c r="L61" s="7">
        <f t="shared" si="0"/>
        <v>86.666666666666671</v>
      </c>
      <c r="M61" s="5" t="s">
        <v>9</v>
      </c>
      <c r="N61" s="5">
        <v>4</v>
      </c>
      <c r="O61" s="6">
        <f t="shared" si="1"/>
        <v>12.205555555555557</v>
      </c>
      <c r="P61" s="6">
        <f t="shared" si="2"/>
        <v>1.2693777777777777</v>
      </c>
      <c r="Q61" s="10">
        <f t="shared" si="3"/>
        <v>2.6445370370370373E-2</v>
      </c>
      <c r="R61" s="10">
        <f t="shared" si="4"/>
        <v>0.10382819119660902</v>
      </c>
      <c r="S61" s="10">
        <f t="shared" si="5"/>
        <v>0.13027356156697939</v>
      </c>
    </row>
    <row r="62" spans="1:19" x14ac:dyDescent="0.25">
      <c r="A62" s="5" t="s">
        <v>8</v>
      </c>
      <c r="B62" s="5" t="s">
        <v>291</v>
      </c>
      <c r="C62" s="5" t="s">
        <v>27</v>
      </c>
      <c r="D62" s="5" t="s">
        <v>385</v>
      </c>
      <c r="E62" s="5" t="s">
        <v>387</v>
      </c>
      <c r="F62" s="5" t="s">
        <v>52</v>
      </c>
      <c r="G62" s="5" t="s">
        <v>386</v>
      </c>
      <c r="H62" s="5" t="s">
        <v>58</v>
      </c>
      <c r="I62" s="5" t="s">
        <v>61</v>
      </c>
      <c r="J62" s="5">
        <v>2900</v>
      </c>
      <c r="K62" s="5">
        <v>29.5</v>
      </c>
      <c r="L62" s="7">
        <f t="shared" si="0"/>
        <v>98.305084745762713</v>
      </c>
      <c r="M62" s="5" t="s">
        <v>10</v>
      </c>
      <c r="N62" s="5">
        <v>4</v>
      </c>
      <c r="O62" s="6">
        <f t="shared" si="1"/>
        <v>17.515800057454758</v>
      </c>
      <c r="P62" s="6">
        <f t="shared" si="2"/>
        <v>1.8216432059752945</v>
      </c>
      <c r="Q62" s="10">
        <f t="shared" si="3"/>
        <v>3.7950900124485307E-2</v>
      </c>
      <c r="R62" s="10">
        <f t="shared" si="4"/>
        <v>0.13613494136615276</v>
      </c>
      <c r="S62" s="10">
        <f t="shared" si="5"/>
        <v>0.17408584149063805</v>
      </c>
    </row>
    <row r="63" spans="1:19" x14ac:dyDescent="0.25">
      <c r="A63" s="5" t="s">
        <v>8</v>
      </c>
      <c r="B63" s="5" t="s">
        <v>291</v>
      </c>
      <c r="C63" s="5" t="s">
        <v>27</v>
      </c>
      <c r="D63" s="5" t="s">
        <v>385</v>
      </c>
      <c r="E63" s="5" t="s">
        <v>387</v>
      </c>
      <c r="F63" s="5" t="s">
        <v>52</v>
      </c>
      <c r="G63" s="5" t="s">
        <v>386</v>
      </c>
      <c r="H63" s="5" t="s">
        <v>58</v>
      </c>
      <c r="I63" s="5" t="s">
        <v>61</v>
      </c>
      <c r="J63" s="5">
        <v>3100</v>
      </c>
      <c r="K63" s="5">
        <v>32.5</v>
      </c>
      <c r="L63" s="7">
        <f t="shared" si="0"/>
        <v>95.384615384615387</v>
      </c>
      <c r="M63" s="5" t="s">
        <v>10</v>
      </c>
      <c r="N63" s="5">
        <v>4</v>
      </c>
      <c r="O63" s="6">
        <f t="shared" si="1"/>
        <v>17.627810650887572</v>
      </c>
      <c r="P63" s="6">
        <f t="shared" si="2"/>
        <v>1.8332923076923076</v>
      </c>
      <c r="Q63" s="10">
        <f t="shared" si="3"/>
        <v>3.8193589743589738E-2</v>
      </c>
      <c r="R63" s="10">
        <f t="shared" si="4"/>
        <v>0.13678734086635241</v>
      </c>
      <c r="S63" s="10">
        <f t="shared" si="5"/>
        <v>0.17498093060994216</v>
      </c>
    </row>
    <row r="64" spans="1:19" x14ac:dyDescent="0.25">
      <c r="A64" s="5" t="s">
        <v>8</v>
      </c>
      <c r="B64" s="5" t="s">
        <v>291</v>
      </c>
      <c r="C64" s="5" t="s">
        <v>27</v>
      </c>
      <c r="D64" s="5" t="s">
        <v>385</v>
      </c>
      <c r="E64" s="5" t="s">
        <v>387</v>
      </c>
      <c r="F64" s="5" t="s">
        <v>52</v>
      </c>
      <c r="G64" s="5" t="s">
        <v>386</v>
      </c>
      <c r="H64" s="5" t="s">
        <v>58</v>
      </c>
      <c r="I64" s="5" t="s">
        <v>61</v>
      </c>
      <c r="J64" s="5">
        <v>2550</v>
      </c>
      <c r="K64" s="5">
        <v>35</v>
      </c>
      <c r="L64" s="7">
        <f t="shared" si="0"/>
        <v>72.857142857142861</v>
      </c>
      <c r="M64" s="5" t="s">
        <v>9</v>
      </c>
      <c r="N64" s="5">
        <v>4</v>
      </c>
      <c r="O64" s="6">
        <f t="shared" si="1"/>
        <v>8.459885204081635</v>
      </c>
      <c r="P64" s="6">
        <f t="shared" si="2"/>
        <v>0.87982806122448998</v>
      </c>
      <c r="Q64" s="10">
        <f t="shared" si="3"/>
        <v>1.8329751275510207E-2</v>
      </c>
      <c r="R64" s="10">
        <f t="shared" si="4"/>
        <v>7.8871568346940854E-2</v>
      </c>
      <c r="S64" s="10">
        <f t="shared" si="5"/>
        <v>9.7201319622451057E-2</v>
      </c>
    </row>
    <row r="65" spans="1:19" x14ac:dyDescent="0.25">
      <c r="A65" s="5" t="s">
        <v>8</v>
      </c>
      <c r="B65" s="5" t="s">
        <v>291</v>
      </c>
      <c r="C65" s="5" t="s">
        <v>27</v>
      </c>
      <c r="D65" s="5" t="s">
        <v>385</v>
      </c>
      <c r="E65" s="5" t="s">
        <v>387</v>
      </c>
      <c r="F65" s="5" t="s">
        <v>52</v>
      </c>
      <c r="G65" s="5" t="s">
        <v>386</v>
      </c>
      <c r="H65" s="5" t="s">
        <v>58</v>
      </c>
      <c r="I65" s="5" t="s">
        <v>61</v>
      </c>
      <c r="J65" s="5">
        <v>2500</v>
      </c>
      <c r="K65" s="5">
        <v>34.5</v>
      </c>
      <c r="L65" s="7">
        <f t="shared" si="0"/>
        <v>72.463768115942031</v>
      </c>
      <c r="M65" s="5" t="s">
        <v>10</v>
      </c>
      <c r="N65" s="5">
        <v>4</v>
      </c>
      <c r="O65" s="6">
        <f t="shared" si="1"/>
        <v>8.2046838899390888</v>
      </c>
      <c r="P65" s="6">
        <f t="shared" si="2"/>
        <v>0.8532871245536654</v>
      </c>
      <c r="Q65" s="10">
        <f t="shared" si="3"/>
        <v>1.7776815094868025E-2</v>
      </c>
      <c r="R65" s="10">
        <f t="shared" si="4"/>
        <v>7.708032093428592E-2</v>
      </c>
      <c r="S65" s="10">
        <f t="shared" si="5"/>
        <v>9.4857136029153938E-2</v>
      </c>
    </row>
    <row r="66" spans="1:19" x14ac:dyDescent="0.25">
      <c r="A66" s="5" t="s">
        <v>8</v>
      </c>
      <c r="B66" s="5" t="s">
        <v>319</v>
      </c>
      <c r="C66" s="5" t="s">
        <v>27</v>
      </c>
      <c r="D66" s="5" t="s">
        <v>385</v>
      </c>
      <c r="E66" s="5" t="s">
        <v>387</v>
      </c>
      <c r="F66" s="5" t="s">
        <v>52</v>
      </c>
      <c r="G66" s="5" t="s">
        <v>386</v>
      </c>
      <c r="H66" s="5" t="s">
        <v>58</v>
      </c>
      <c r="I66" s="5" t="s">
        <v>61</v>
      </c>
      <c r="J66" s="5">
        <v>2626</v>
      </c>
      <c r="K66" s="5">
        <v>31.5</v>
      </c>
      <c r="L66" s="7">
        <f t="shared" si="0"/>
        <v>83.365079365079367</v>
      </c>
      <c r="M66" s="5" t="s">
        <v>10</v>
      </c>
      <c r="N66" s="5">
        <v>4</v>
      </c>
      <c r="O66" s="6">
        <f t="shared" si="1"/>
        <v>11.406254960947342</v>
      </c>
      <c r="P66" s="6">
        <f t="shared" si="2"/>
        <v>1.1862505159385235</v>
      </c>
      <c r="Q66" s="10">
        <f t="shared" si="3"/>
        <v>2.4713552415385906E-2</v>
      </c>
      <c r="R66" s="10">
        <f t="shared" si="4"/>
        <v>9.8685746486399897E-2</v>
      </c>
      <c r="S66" s="10">
        <f t="shared" si="5"/>
        <v>0.1233992989017858</v>
      </c>
    </row>
    <row r="67" spans="1:19" x14ac:dyDescent="0.25">
      <c r="A67" s="5" t="s">
        <v>8</v>
      </c>
      <c r="B67" s="5" t="s">
        <v>319</v>
      </c>
      <c r="C67" s="5" t="s">
        <v>27</v>
      </c>
      <c r="D67" s="5" t="s">
        <v>385</v>
      </c>
      <c r="E67" s="5" t="s">
        <v>387</v>
      </c>
      <c r="F67" s="5" t="s">
        <v>52</v>
      </c>
      <c r="G67" s="5" t="s">
        <v>386</v>
      </c>
      <c r="H67" s="5" t="s">
        <v>58</v>
      </c>
      <c r="I67" s="5" t="s">
        <v>61</v>
      </c>
      <c r="J67" s="5">
        <v>2400</v>
      </c>
      <c r="K67" s="5">
        <v>30</v>
      </c>
      <c r="L67" s="7">
        <f t="shared" ref="L67:L128" si="6">J67/K67</f>
        <v>80</v>
      </c>
      <c r="M67" s="5" t="s">
        <v>9</v>
      </c>
      <c r="N67" s="5">
        <v>4</v>
      </c>
      <c r="O67" s="6">
        <f t="shared" ref="O67:O128" si="7">(J67*L67^2)/(1.6*10^6)</f>
        <v>9.6</v>
      </c>
      <c r="P67" s="6">
        <f t="shared" ref="P67:P128" si="8">(0.104*J67*L67^2)/(1.6*10^6)</f>
        <v>0.99839999999999995</v>
      </c>
      <c r="Q67" s="10">
        <f t="shared" ref="Q67:Q128" si="9">(0.104*O67)/(12*N67)</f>
        <v>2.0799999999999999E-2</v>
      </c>
      <c r="R67" s="10">
        <f t="shared" ref="R67:R128" si="10">0.0159*O67^0.75</f>
        <v>8.671626204879955E-2</v>
      </c>
      <c r="S67" s="10">
        <f t="shared" ref="S67:S128" si="11">Q67+R67</f>
        <v>0.10751626204879955</v>
      </c>
    </row>
    <row r="68" spans="1:19" x14ac:dyDescent="0.25">
      <c r="A68" s="5" t="s">
        <v>22</v>
      </c>
      <c r="B68" s="5" t="s">
        <v>63</v>
      </c>
      <c r="C68" s="5" t="s">
        <v>27</v>
      </c>
      <c r="D68" s="5" t="s">
        <v>385</v>
      </c>
      <c r="E68" s="5" t="s">
        <v>387</v>
      </c>
      <c r="F68" s="5" t="s">
        <v>52</v>
      </c>
      <c r="G68" s="5" t="s">
        <v>386</v>
      </c>
      <c r="H68" s="5" t="s">
        <v>97</v>
      </c>
      <c r="I68" s="5" t="s">
        <v>61</v>
      </c>
      <c r="J68" s="5">
        <v>3200</v>
      </c>
      <c r="K68" s="5">
        <v>33.5</v>
      </c>
      <c r="L68" s="7">
        <f t="shared" si="6"/>
        <v>95.522388059701498</v>
      </c>
      <c r="M68" s="5" t="s">
        <v>10</v>
      </c>
      <c r="N68" s="5">
        <v>4</v>
      </c>
      <c r="O68" s="6">
        <f t="shared" si="7"/>
        <v>18.249053241256405</v>
      </c>
      <c r="P68" s="6">
        <f t="shared" si="8"/>
        <v>1.8979015370906662</v>
      </c>
      <c r="Q68" s="10">
        <f t="shared" si="9"/>
        <v>3.9539615356055539E-2</v>
      </c>
      <c r="R68" s="10">
        <f t="shared" si="10"/>
        <v>0.14038715662039813</v>
      </c>
      <c r="S68" s="10">
        <f t="shared" si="11"/>
        <v>0.17992677197645368</v>
      </c>
    </row>
    <row r="69" spans="1:19" x14ac:dyDescent="0.25">
      <c r="A69" s="5" t="s">
        <v>22</v>
      </c>
      <c r="B69" s="5" t="s">
        <v>63</v>
      </c>
      <c r="C69" s="5" t="s">
        <v>27</v>
      </c>
      <c r="D69" s="5" t="s">
        <v>385</v>
      </c>
      <c r="E69" s="5" t="s">
        <v>387</v>
      </c>
      <c r="F69" s="5" t="s">
        <v>52</v>
      </c>
      <c r="G69" s="5" t="s">
        <v>386</v>
      </c>
      <c r="H69" s="5" t="s">
        <v>97</v>
      </c>
      <c r="I69" s="5" t="s">
        <v>61</v>
      </c>
      <c r="J69" s="5">
        <v>2600</v>
      </c>
      <c r="K69" s="5">
        <v>35</v>
      </c>
      <c r="L69" s="7">
        <f t="shared" si="6"/>
        <v>74.285714285714292</v>
      </c>
      <c r="M69" s="5" t="s">
        <v>9</v>
      </c>
      <c r="N69" s="5">
        <v>4</v>
      </c>
      <c r="O69" s="6">
        <f t="shared" si="7"/>
        <v>8.9673469387755116</v>
      </c>
      <c r="P69" s="6">
        <f t="shared" si="8"/>
        <v>0.93260408163265329</v>
      </c>
      <c r="Q69" s="10">
        <f t="shared" si="9"/>
        <v>1.9429251700680276E-2</v>
      </c>
      <c r="R69" s="10">
        <f t="shared" si="10"/>
        <v>8.2393908285298398E-2</v>
      </c>
      <c r="S69" s="10">
        <f t="shared" si="11"/>
        <v>0.10182315998597867</v>
      </c>
    </row>
    <row r="70" spans="1:19" x14ac:dyDescent="0.25">
      <c r="A70" s="5" t="s">
        <v>8</v>
      </c>
      <c r="B70" s="5" t="s">
        <v>287</v>
      </c>
      <c r="C70" s="5" t="s">
        <v>27</v>
      </c>
      <c r="D70" s="5" t="s">
        <v>385</v>
      </c>
      <c r="E70" s="5" t="s">
        <v>387</v>
      </c>
      <c r="F70" s="5" t="s">
        <v>52</v>
      </c>
      <c r="G70" s="5" t="s">
        <v>386</v>
      </c>
      <c r="H70" s="5" t="s">
        <v>102</v>
      </c>
      <c r="I70" s="5" t="s">
        <v>218</v>
      </c>
      <c r="J70" s="5">
        <v>2600</v>
      </c>
      <c r="K70" s="5">
        <v>37.1</v>
      </c>
      <c r="L70" s="7">
        <f t="shared" si="6"/>
        <v>70.080862533692724</v>
      </c>
      <c r="M70" s="5" t="s">
        <v>10</v>
      </c>
      <c r="N70" s="5">
        <v>4</v>
      </c>
      <c r="O70" s="6">
        <f t="shared" si="7"/>
        <v>7.9809068518827972</v>
      </c>
      <c r="P70" s="6">
        <f t="shared" si="8"/>
        <v>0.83001431259581082</v>
      </c>
      <c r="Q70" s="10">
        <f t="shared" si="9"/>
        <v>1.729196484574606E-2</v>
      </c>
      <c r="R70" s="10">
        <f t="shared" si="10"/>
        <v>7.5498149303652243E-2</v>
      </c>
      <c r="S70" s="10">
        <f t="shared" si="11"/>
        <v>9.2790114149398306E-2</v>
      </c>
    </row>
    <row r="71" spans="1:19" x14ac:dyDescent="0.25">
      <c r="A71" s="5" t="s">
        <v>8</v>
      </c>
      <c r="B71" s="5" t="s">
        <v>287</v>
      </c>
      <c r="C71" s="5" t="s">
        <v>27</v>
      </c>
      <c r="D71" s="5" t="s">
        <v>385</v>
      </c>
      <c r="E71" s="5" t="s">
        <v>387</v>
      </c>
      <c r="F71" s="5" t="s">
        <v>52</v>
      </c>
      <c r="G71" s="5" t="s">
        <v>386</v>
      </c>
      <c r="H71" s="5" t="s">
        <v>102</v>
      </c>
      <c r="I71" s="5" t="s">
        <v>218</v>
      </c>
      <c r="J71" s="5">
        <v>2300</v>
      </c>
      <c r="K71" s="5">
        <v>35.700000000000003</v>
      </c>
      <c r="L71" s="7">
        <f t="shared" si="6"/>
        <v>64.425770308123248</v>
      </c>
      <c r="M71" s="5" t="s">
        <v>9</v>
      </c>
      <c r="N71" s="5">
        <v>4</v>
      </c>
      <c r="O71" s="6">
        <f t="shared" si="7"/>
        <v>5.9666023272053916</v>
      </c>
      <c r="P71" s="6">
        <f t="shared" si="8"/>
        <v>0.6205266420293607</v>
      </c>
      <c r="Q71" s="10">
        <f t="shared" si="9"/>
        <v>1.2927638375611681E-2</v>
      </c>
      <c r="R71" s="10">
        <f t="shared" si="10"/>
        <v>6.0700524564906364E-2</v>
      </c>
      <c r="S71" s="10">
        <f t="shared" si="11"/>
        <v>7.3628162940518049E-2</v>
      </c>
    </row>
    <row r="72" spans="1:19" x14ac:dyDescent="0.25">
      <c r="A72" s="5" t="s">
        <v>22</v>
      </c>
      <c r="B72" s="5" t="s">
        <v>63</v>
      </c>
      <c r="C72" s="5" t="s">
        <v>27</v>
      </c>
      <c r="D72" s="5" t="s">
        <v>385</v>
      </c>
      <c r="E72" s="5" t="s">
        <v>387</v>
      </c>
      <c r="F72" s="5" t="s">
        <v>52</v>
      </c>
      <c r="G72" s="5" t="s">
        <v>386</v>
      </c>
      <c r="H72" s="5" t="s">
        <v>102</v>
      </c>
      <c r="I72" s="5" t="s">
        <v>73</v>
      </c>
      <c r="J72" s="5">
        <v>2190</v>
      </c>
      <c r="K72" s="5">
        <v>26.5</v>
      </c>
      <c r="L72" s="7">
        <f t="shared" si="6"/>
        <v>82.64150943396227</v>
      </c>
      <c r="M72" s="5" t="s">
        <v>10</v>
      </c>
      <c r="N72" s="5">
        <v>4</v>
      </c>
      <c r="O72" s="6">
        <f t="shared" si="7"/>
        <v>9.34804111783553</v>
      </c>
      <c r="P72" s="6">
        <f t="shared" si="8"/>
        <v>0.97219627625489502</v>
      </c>
      <c r="Q72" s="10">
        <f t="shared" si="9"/>
        <v>2.0254089088643647E-2</v>
      </c>
      <c r="R72" s="10">
        <f t="shared" si="10"/>
        <v>8.5003652032378002E-2</v>
      </c>
      <c r="S72" s="10">
        <f t="shared" si="11"/>
        <v>0.10525774112102165</v>
      </c>
    </row>
    <row r="73" spans="1:19" x14ac:dyDescent="0.25">
      <c r="A73" s="5" t="s">
        <v>8</v>
      </c>
      <c r="B73" s="5" t="s">
        <v>287</v>
      </c>
      <c r="C73" s="5" t="s">
        <v>27</v>
      </c>
      <c r="D73" s="5" t="s">
        <v>385</v>
      </c>
      <c r="E73" s="5" t="s">
        <v>387</v>
      </c>
      <c r="F73" s="5" t="s">
        <v>52</v>
      </c>
      <c r="G73" s="5" t="s">
        <v>386</v>
      </c>
      <c r="H73" s="5" t="s">
        <v>102</v>
      </c>
      <c r="I73" s="5" t="s">
        <v>288</v>
      </c>
      <c r="J73" s="5">
        <v>2300</v>
      </c>
      <c r="K73" s="5">
        <v>33.700000000000003</v>
      </c>
      <c r="L73" s="7">
        <f t="shared" si="6"/>
        <v>68.249258160237389</v>
      </c>
      <c r="M73" s="5" t="s">
        <v>10</v>
      </c>
      <c r="N73" s="5">
        <v>4</v>
      </c>
      <c r="O73" s="6">
        <f t="shared" si="7"/>
        <v>6.6958192816701745</v>
      </c>
      <c r="P73" s="6">
        <f t="shared" si="8"/>
        <v>0.69636520529369805</v>
      </c>
      <c r="Q73" s="10">
        <f t="shared" si="9"/>
        <v>1.4507608443618711E-2</v>
      </c>
      <c r="R73" s="10">
        <f t="shared" si="10"/>
        <v>6.6183528454387561E-2</v>
      </c>
      <c r="S73" s="10">
        <f t="shared" si="11"/>
        <v>8.0691136898006277E-2</v>
      </c>
    </row>
    <row r="74" spans="1:19" x14ac:dyDescent="0.25">
      <c r="A74" s="5" t="s">
        <v>22</v>
      </c>
      <c r="B74" s="5" t="s">
        <v>63</v>
      </c>
      <c r="C74" s="5" t="s">
        <v>27</v>
      </c>
      <c r="D74" s="5" t="s">
        <v>385</v>
      </c>
      <c r="E74" s="5" t="s">
        <v>387</v>
      </c>
      <c r="F74" s="5" t="s">
        <v>52</v>
      </c>
      <c r="G74" s="5" t="s">
        <v>386</v>
      </c>
      <c r="H74" s="5" t="s">
        <v>98</v>
      </c>
      <c r="I74" s="5" t="s">
        <v>99</v>
      </c>
      <c r="J74" s="5">
        <v>2450</v>
      </c>
      <c r="K74" s="5">
        <v>31</v>
      </c>
      <c r="L74" s="7">
        <f t="shared" si="6"/>
        <v>79.032258064516128</v>
      </c>
      <c r="M74" s="5" t="s">
        <v>10</v>
      </c>
      <c r="N74" s="5">
        <v>4</v>
      </c>
      <c r="O74" s="6">
        <f t="shared" si="7"/>
        <v>9.5643372788761702</v>
      </c>
      <c r="P74" s="6">
        <f t="shared" si="8"/>
        <v>0.99469107700312165</v>
      </c>
      <c r="Q74" s="10">
        <f t="shared" si="9"/>
        <v>2.0722730770898368E-2</v>
      </c>
      <c r="R74" s="10">
        <f t="shared" si="10"/>
        <v>8.6474545162582434E-2</v>
      </c>
      <c r="S74" s="10">
        <f t="shared" si="11"/>
        <v>0.1071972759334808</v>
      </c>
    </row>
    <row r="75" spans="1:19" x14ac:dyDescent="0.25">
      <c r="A75" s="5" t="s">
        <v>22</v>
      </c>
      <c r="B75" s="5" t="s">
        <v>63</v>
      </c>
      <c r="C75" s="5" t="s">
        <v>27</v>
      </c>
      <c r="D75" s="5" t="s">
        <v>385</v>
      </c>
      <c r="E75" s="5" t="s">
        <v>387</v>
      </c>
      <c r="F75" s="5" t="s">
        <v>52</v>
      </c>
      <c r="G75" s="5" t="s">
        <v>386</v>
      </c>
      <c r="H75" s="5" t="s">
        <v>98</v>
      </c>
      <c r="I75" s="5" t="s">
        <v>99</v>
      </c>
      <c r="J75" s="5">
        <v>2950</v>
      </c>
      <c r="K75" s="5">
        <v>38</v>
      </c>
      <c r="L75" s="7">
        <f t="shared" si="6"/>
        <v>77.631578947368425</v>
      </c>
      <c r="M75" s="5" t="s">
        <v>9</v>
      </c>
      <c r="N75" s="5">
        <v>4</v>
      </c>
      <c r="O75" s="6">
        <f t="shared" si="7"/>
        <v>11.111658154432133</v>
      </c>
      <c r="P75" s="6">
        <f t="shared" si="8"/>
        <v>1.155612448060942</v>
      </c>
      <c r="Q75" s="10">
        <f t="shared" si="9"/>
        <v>2.4075259334602955E-2</v>
      </c>
      <c r="R75" s="10">
        <f t="shared" si="10"/>
        <v>9.6767891534095082E-2</v>
      </c>
      <c r="S75" s="10">
        <f t="shared" si="11"/>
        <v>0.12084315086869804</v>
      </c>
    </row>
    <row r="76" spans="1:19" x14ac:dyDescent="0.25">
      <c r="A76" s="5" t="s">
        <v>8</v>
      </c>
      <c r="B76" s="5" t="s">
        <v>319</v>
      </c>
      <c r="C76" s="5" t="s">
        <v>27</v>
      </c>
      <c r="D76" s="5" t="s">
        <v>385</v>
      </c>
      <c r="E76" s="5" t="s">
        <v>387</v>
      </c>
      <c r="F76" s="5" t="s">
        <v>52</v>
      </c>
      <c r="G76" s="5" t="s">
        <v>386</v>
      </c>
      <c r="H76" s="5" t="s">
        <v>98</v>
      </c>
      <c r="I76" s="5" t="s">
        <v>99</v>
      </c>
      <c r="J76" s="5">
        <v>2431</v>
      </c>
      <c r="K76" s="5">
        <v>31</v>
      </c>
      <c r="L76" s="7">
        <f t="shared" si="6"/>
        <v>78.41935483870968</v>
      </c>
      <c r="M76" s="5" t="s">
        <v>10</v>
      </c>
      <c r="N76" s="5">
        <v>4</v>
      </c>
      <c r="O76" s="6">
        <f t="shared" si="7"/>
        <v>9.3435412272372531</v>
      </c>
      <c r="P76" s="6">
        <f t="shared" si="8"/>
        <v>0.97172828763267438</v>
      </c>
      <c r="Q76" s="10">
        <f t="shared" si="9"/>
        <v>2.0244339325680715E-2</v>
      </c>
      <c r="R76" s="10">
        <f t="shared" si="10"/>
        <v>8.497296136544169E-2</v>
      </c>
      <c r="S76" s="10">
        <f t="shared" si="11"/>
        <v>0.10521730069112241</v>
      </c>
    </row>
    <row r="77" spans="1:19" x14ac:dyDescent="0.25">
      <c r="A77" s="5" t="s">
        <v>8</v>
      </c>
      <c r="B77" s="5" t="s">
        <v>319</v>
      </c>
      <c r="C77" s="5" t="s">
        <v>27</v>
      </c>
      <c r="D77" s="5" t="s">
        <v>385</v>
      </c>
      <c r="E77" s="5" t="s">
        <v>387</v>
      </c>
      <c r="F77" s="5" t="s">
        <v>52</v>
      </c>
      <c r="G77" s="5" t="s">
        <v>386</v>
      </c>
      <c r="H77" s="5" t="s">
        <v>98</v>
      </c>
      <c r="I77" s="5" t="s">
        <v>99</v>
      </c>
      <c r="J77" s="5">
        <v>2300</v>
      </c>
      <c r="K77" s="5">
        <v>27.5</v>
      </c>
      <c r="L77" s="7">
        <f t="shared" si="6"/>
        <v>83.63636363636364</v>
      </c>
      <c r="M77" s="5" t="s">
        <v>9</v>
      </c>
      <c r="N77" s="5">
        <v>4</v>
      </c>
      <c r="O77" s="6">
        <f t="shared" si="7"/>
        <v>10.055371900826447</v>
      </c>
      <c r="P77" s="6">
        <f t="shared" si="8"/>
        <v>1.0457586776859504</v>
      </c>
      <c r="Q77" s="10">
        <f t="shared" si="9"/>
        <v>2.17866391184573E-2</v>
      </c>
      <c r="R77" s="10">
        <f t="shared" si="10"/>
        <v>8.9783333841978313E-2</v>
      </c>
      <c r="S77" s="10">
        <f t="shared" si="11"/>
        <v>0.11156997296043561</v>
      </c>
    </row>
    <row r="78" spans="1:19" x14ac:dyDescent="0.25">
      <c r="A78" s="5" t="s">
        <v>8</v>
      </c>
      <c r="B78" s="5" t="s">
        <v>319</v>
      </c>
      <c r="C78" s="5" t="s">
        <v>27</v>
      </c>
      <c r="D78" s="5" t="s">
        <v>385</v>
      </c>
      <c r="E78" s="5" t="s">
        <v>387</v>
      </c>
      <c r="F78" s="5" t="s">
        <v>52</v>
      </c>
      <c r="G78" s="5" t="s">
        <v>386</v>
      </c>
      <c r="H78" s="5" t="s">
        <v>98</v>
      </c>
      <c r="I78" s="5" t="s">
        <v>321</v>
      </c>
      <c r="J78" s="5">
        <v>2650</v>
      </c>
      <c r="K78" s="5">
        <v>28</v>
      </c>
      <c r="L78" s="7">
        <f t="shared" si="6"/>
        <v>94.642857142857139</v>
      </c>
      <c r="M78" s="5" t="s">
        <v>10</v>
      </c>
      <c r="N78" s="5">
        <v>4</v>
      </c>
      <c r="O78" s="6">
        <f t="shared" si="7"/>
        <v>14.835479113520405</v>
      </c>
      <c r="P78" s="6">
        <f t="shared" si="8"/>
        <v>1.5428898278061218</v>
      </c>
      <c r="Q78" s="10">
        <f t="shared" si="9"/>
        <v>3.2143538079294209E-2</v>
      </c>
      <c r="R78" s="10">
        <f t="shared" si="10"/>
        <v>0.12019137585847466</v>
      </c>
      <c r="S78" s="10">
        <f t="shared" si="11"/>
        <v>0.15233491393776888</v>
      </c>
    </row>
    <row r="79" spans="1:19" x14ac:dyDescent="0.25">
      <c r="A79" s="5" t="s">
        <v>8</v>
      </c>
      <c r="B79" s="5" t="s">
        <v>319</v>
      </c>
      <c r="C79" s="5" t="s">
        <v>27</v>
      </c>
      <c r="D79" s="5" t="s">
        <v>385</v>
      </c>
      <c r="E79" s="5" t="s">
        <v>387</v>
      </c>
      <c r="F79" s="5" t="s">
        <v>52</v>
      </c>
      <c r="G79" s="5" t="s">
        <v>386</v>
      </c>
      <c r="H79" s="5" t="s">
        <v>98</v>
      </c>
      <c r="I79" s="5" t="s">
        <v>321</v>
      </c>
      <c r="J79" s="5">
        <v>2379</v>
      </c>
      <c r="K79" s="5">
        <v>28</v>
      </c>
      <c r="L79" s="7">
        <f t="shared" si="6"/>
        <v>84.964285714285708</v>
      </c>
      <c r="M79" s="5" t="s">
        <v>9</v>
      </c>
      <c r="N79" s="5">
        <v>4</v>
      </c>
      <c r="O79" s="6">
        <f t="shared" si="7"/>
        <v>10.733646316167091</v>
      </c>
      <c r="P79" s="6">
        <f t="shared" si="8"/>
        <v>1.1162992168813775</v>
      </c>
      <c r="Q79" s="10">
        <f t="shared" si="9"/>
        <v>2.3256233685028698E-2</v>
      </c>
      <c r="R79" s="10">
        <f t="shared" si="10"/>
        <v>9.4288252092691066E-2</v>
      </c>
      <c r="S79" s="10">
        <f t="shared" si="11"/>
        <v>0.11754448577771977</v>
      </c>
    </row>
    <row r="80" spans="1:19" x14ac:dyDescent="0.25">
      <c r="A80" s="5" t="s">
        <v>22</v>
      </c>
      <c r="B80" s="5" t="s">
        <v>63</v>
      </c>
      <c r="C80" s="5" t="s">
        <v>27</v>
      </c>
      <c r="D80" s="5" t="s">
        <v>385</v>
      </c>
      <c r="E80" s="5" t="s">
        <v>387</v>
      </c>
      <c r="F80" s="5" t="s">
        <v>52</v>
      </c>
      <c r="G80" s="5" t="s">
        <v>386</v>
      </c>
      <c r="H80" s="5" t="s">
        <v>100</v>
      </c>
      <c r="I80" s="5" t="s">
        <v>101</v>
      </c>
      <c r="J80" s="5">
        <v>2700</v>
      </c>
      <c r="K80" s="5">
        <v>41</v>
      </c>
      <c r="L80" s="7">
        <f t="shared" si="6"/>
        <v>65.853658536585371</v>
      </c>
      <c r="M80" s="5" t="s">
        <v>10</v>
      </c>
      <c r="N80" s="5">
        <v>4</v>
      </c>
      <c r="O80" s="6">
        <f t="shared" si="7"/>
        <v>7.3181885782272476</v>
      </c>
      <c r="P80" s="6">
        <f t="shared" si="8"/>
        <v>0.76109161213563381</v>
      </c>
      <c r="Q80" s="10">
        <f t="shared" si="9"/>
        <v>1.5856075252825702E-2</v>
      </c>
      <c r="R80" s="10">
        <f t="shared" si="10"/>
        <v>7.0745663102872419E-2</v>
      </c>
      <c r="S80" s="10">
        <f t="shared" si="11"/>
        <v>8.6601738355698121E-2</v>
      </c>
    </row>
    <row r="81" spans="1:19" x14ac:dyDescent="0.25">
      <c r="A81" s="5" t="s">
        <v>22</v>
      </c>
      <c r="B81" s="5" t="s">
        <v>63</v>
      </c>
      <c r="C81" s="5" t="s">
        <v>27</v>
      </c>
      <c r="D81" s="5" t="s">
        <v>385</v>
      </c>
      <c r="E81" s="5" t="s">
        <v>387</v>
      </c>
      <c r="F81" s="5" t="s">
        <v>52</v>
      </c>
      <c r="G81" s="5" t="s">
        <v>386</v>
      </c>
      <c r="H81" s="5" t="s">
        <v>100</v>
      </c>
      <c r="I81" s="5" t="s">
        <v>101</v>
      </c>
      <c r="J81" s="5">
        <v>2550</v>
      </c>
      <c r="K81" s="5">
        <v>41.5</v>
      </c>
      <c r="L81" s="7">
        <f t="shared" si="6"/>
        <v>61.445783132530117</v>
      </c>
      <c r="M81" s="5" t="s">
        <v>9</v>
      </c>
      <c r="N81" s="5">
        <v>4</v>
      </c>
      <c r="O81" s="6">
        <f t="shared" si="7"/>
        <v>6.0173374219770652</v>
      </c>
      <c r="P81" s="6">
        <f t="shared" si="8"/>
        <v>0.62580309188561467</v>
      </c>
      <c r="Q81" s="10">
        <f t="shared" si="9"/>
        <v>1.3037564414283642E-2</v>
      </c>
      <c r="R81" s="10">
        <f t="shared" si="10"/>
        <v>6.1087225180813873E-2</v>
      </c>
      <c r="S81" s="10">
        <f t="shared" si="11"/>
        <v>7.4124789595097509E-2</v>
      </c>
    </row>
    <row r="82" spans="1:19" x14ac:dyDescent="0.25">
      <c r="A82" s="5" t="s">
        <v>22</v>
      </c>
      <c r="B82" s="5" t="s">
        <v>63</v>
      </c>
      <c r="C82" s="5" t="s">
        <v>27</v>
      </c>
      <c r="D82" s="5" t="s">
        <v>385</v>
      </c>
      <c r="E82" s="5" t="s">
        <v>387</v>
      </c>
      <c r="F82" s="5" t="s">
        <v>52</v>
      </c>
      <c r="G82" s="5" t="s">
        <v>394</v>
      </c>
      <c r="H82" s="5" t="s">
        <v>104</v>
      </c>
      <c r="I82" s="5" t="s">
        <v>105</v>
      </c>
      <c r="J82" s="5">
        <v>1050</v>
      </c>
      <c r="K82" s="5">
        <v>35</v>
      </c>
      <c r="L82" s="7">
        <f t="shared" si="6"/>
        <v>30</v>
      </c>
      <c r="M82" s="5" t="s">
        <v>10</v>
      </c>
      <c r="N82" s="5">
        <v>4</v>
      </c>
      <c r="O82" s="6">
        <f t="shared" si="7"/>
        <v>0.59062499999999996</v>
      </c>
      <c r="P82" s="6">
        <f t="shared" si="8"/>
        <v>6.1424999999999993E-2</v>
      </c>
      <c r="Q82" s="10">
        <f t="shared" si="9"/>
        <v>1.2796874999999998E-3</v>
      </c>
      <c r="R82" s="10">
        <f t="shared" si="10"/>
        <v>1.0712257254840325E-2</v>
      </c>
      <c r="S82" s="10">
        <f t="shared" si="11"/>
        <v>1.1991944754840325E-2</v>
      </c>
    </row>
    <row r="83" spans="1:19" x14ac:dyDescent="0.25">
      <c r="A83" s="5" t="s">
        <v>22</v>
      </c>
      <c r="B83" s="5" t="s">
        <v>63</v>
      </c>
      <c r="C83" s="5" t="s">
        <v>27</v>
      </c>
      <c r="D83" s="5" t="s">
        <v>385</v>
      </c>
      <c r="E83" s="5" t="s">
        <v>387</v>
      </c>
      <c r="F83" s="5" t="s">
        <v>52</v>
      </c>
      <c r="G83" s="5" t="s">
        <v>394</v>
      </c>
      <c r="H83" s="5" t="s">
        <v>104</v>
      </c>
      <c r="I83" s="5" t="s">
        <v>105</v>
      </c>
      <c r="J83" s="5">
        <v>1150</v>
      </c>
      <c r="K83" s="5">
        <v>33.5</v>
      </c>
      <c r="L83" s="7">
        <f t="shared" si="6"/>
        <v>34.328358208955223</v>
      </c>
      <c r="M83" s="5" t="s">
        <v>9</v>
      </c>
      <c r="N83" s="5">
        <v>4</v>
      </c>
      <c r="O83" s="6">
        <f t="shared" si="7"/>
        <v>0.8470010024504343</v>
      </c>
      <c r="P83" s="6">
        <f t="shared" si="8"/>
        <v>8.8088104254845159E-2</v>
      </c>
      <c r="Q83" s="10">
        <f t="shared" si="9"/>
        <v>1.8351688386426075E-3</v>
      </c>
      <c r="R83" s="10">
        <f t="shared" si="10"/>
        <v>1.4038156107889724E-2</v>
      </c>
      <c r="S83" s="10">
        <f t="shared" si="11"/>
        <v>1.5873324946532333E-2</v>
      </c>
    </row>
    <row r="84" spans="1:19" x14ac:dyDescent="0.25">
      <c r="A84" s="5" t="s">
        <v>8</v>
      </c>
      <c r="B84" s="5" t="s">
        <v>161</v>
      </c>
      <c r="C84" s="5" t="s">
        <v>27</v>
      </c>
      <c r="D84" s="5" t="s">
        <v>385</v>
      </c>
      <c r="E84" s="5" t="s">
        <v>387</v>
      </c>
      <c r="F84" s="5" t="s">
        <v>52</v>
      </c>
      <c r="G84" s="5" t="s">
        <v>394</v>
      </c>
      <c r="H84" s="5" t="s">
        <v>104</v>
      </c>
      <c r="I84" s="5" t="s">
        <v>105</v>
      </c>
      <c r="J84" s="5">
        <v>920</v>
      </c>
      <c r="K84" s="5">
        <v>27</v>
      </c>
      <c r="L84" s="7">
        <f t="shared" si="6"/>
        <v>34.074074074074076</v>
      </c>
      <c r="M84" s="5" t="s">
        <v>10</v>
      </c>
      <c r="N84" s="5">
        <v>4</v>
      </c>
      <c r="O84" s="6">
        <f t="shared" si="7"/>
        <v>0.66759945130315512</v>
      </c>
      <c r="P84" s="6">
        <f t="shared" si="8"/>
        <v>6.9430342935528119E-2</v>
      </c>
      <c r="Q84" s="10">
        <f t="shared" si="9"/>
        <v>1.4464654778235028E-3</v>
      </c>
      <c r="R84" s="10">
        <f t="shared" si="10"/>
        <v>1.1743136325585789E-2</v>
      </c>
      <c r="S84" s="10">
        <f t="shared" si="11"/>
        <v>1.3189601803409291E-2</v>
      </c>
    </row>
    <row r="85" spans="1:19" x14ac:dyDescent="0.25">
      <c r="A85" s="5" t="s">
        <v>22</v>
      </c>
      <c r="B85" s="5" t="s">
        <v>63</v>
      </c>
      <c r="C85" s="5" t="s">
        <v>27</v>
      </c>
      <c r="D85" s="5" t="s">
        <v>385</v>
      </c>
      <c r="E85" s="5" t="s">
        <v>387</v>
      </c>
      <c r="F85" s="5" t="s">
        <v>52</v>
      </c>
      <c r="G85" s="5" t="s">
        <v>394</v>
      </c>
      <c r="H85" s="5" t="s">
        <v>110</v>
      </c>
      <c r="I85" s="5" t="s">
        <v>111</v>
      </c>
      <c r="J85" s="5">
        <v>3420</v>
      </c>
      <c r="K85" s="5">
        <v>39.5</v>
      </c>
      <c r="L85" s="7">
        <f t="shared" si="6"/>
        <v>86.582278481012665</v>
      </c>
      <c r="M85" s="5" t="s">
        <v>10</v>
      </c>
      <c r="N85" s="5">
        <v>4</v>
      </c>
      <c r="O85" s="6">
        <f t="shared" si="7"/>
        <v>16.023749399134758</v>
      </c>
      <c r="P85" s="6">
        <f t="shared" si="8"/>
        <v>1.6664699375100145</v>
      </c>
      <c r="Q85" s="10">
        <f t="shared" si="9"/>
        <v>3.4718123698125304E-2</v>
      </c>
      <c r="R85" s="10">
        <f t="shared" si="10"/>
        <v>0.1273415795347296</v>
      </c>
      <c r="S85" s="10">
        <f t="shared" si="11"/>
        <v>0.1620597032328549</v>
      </c>
    </row>
    <row r="86" spans="1:19" x14ac:dyDescent="0.25">
      <c r="A86" s="5" t="s">
        <v>22</v>
      </c>
      <c r="B86" s="5" t="s">
        <v>63</v>
      </c>
      <c r="C86" s="5" t="s">
        <v>27</v>
      </c>
      <c r="D86" s="5" t="s">
        <v>385</v>
      </c>
      <c r="E86" s="5" t="s">
        <v>387</v>
      </c>
      <c r="F86" s="5" t="s">
        <v>52</v>
      </c>
      <c r="G86" s="5" t="s">
        <v>394</v>
      </c>
      <c r="H86" s="5" t="s">
        <v>110</v>
      </c>
      <c r="I86" s="5" t="s">
        <v>111</v>
      </c>
      <c r="J86" s="5">
        <v>3075</v>
      </c>
      <c r="K86" s="5">
        <v>36</v>
      </c>
      <c r="L86" s="7">
        <f t="shared" si="6"/>
        <v>85.416666666666671</v>
      </c>
      <c r="M86" s="5" t="s">
        <v>9</v>
      </c>
      <c r="N86" s="5">
        <v>4</v>
      </c>
      <c r="O86" s="6">
        <f t="shared" si="7"/>
        <v>14.022013346354168</v>
      </c>
      <c r="P86" s="6">
        <f t="shared" si="8"/>
        <v>1.4582893880208334</v>
      </c>
      <c r="Q86" s="10">
        <f t="shared" si="9"/>
        <v>3.0381028917100695E-2</v>
      </c>
      <c r="R86" s="10">
        <f t="shared" si="10"/>
        <v>0.11521390760074078</v>
      </c>
      <c r="S86" s="10">
        <f t="shared" si="11"/>
        <v>0.14559493651784147</v>
      </c>
    </row>
    <row r="87" spans="1:19" x14ac:dyDescent="0.25">
      <c r="A87" s="5" t="s">
        <v>8</v>
      </c>
      <c r="B87" s="5" t="s">
        <v>161</v>
      </c>
      <c r="C87" s="5" t="s">
        <v>27</v>
      </c>
      <c r="D87" s="5" t="s">
        <v>385</v>
      </c>
      <c r="E87" s="5" t="s">
        <v>387</v>
      </c>
      <c r="F87" s="5" t="s">
        <v>52</v>
      </c>
      <c r="G87" s="5" t="s">
        <v>394</v>
      </c>
      <c r="H87" s="5" t="s">
        <v>110</v>
      </c>
      <c r="I87" s="5" t="s">
        <v>162</v>
      </c>
      <c r="J87" s="5">
        <v>2300</v>
      </c>
      <c r="K87" s="5">
        <v>44</v>
      </c>
      <c r="L87" s="7">
        <f t="shared" si="6"/>
        <v>52.272727272727273</v>
      </c>
      <c r="M87" s="5" t="s">
        <v>10</v>
      </c>
      <c r="N87" s="5">
        <v>4</v>
      </c>
      <c r="O87" s="6">
        <f t="shared" si="7"/>
        <v>3.9278796487603307</v>
      </c>
      <c r="P87" s="6">
        <f t="shared" si="8"/>
        <v>0.4084994834710744</v>
      </c>
      <c r="Q87" s="10">
        <f t="shared" si="9"/>
        <v>8.5104059056473839E-3</v>
      </c>
      <c r="R87" s="10">
        <f t="shared" si="10"/>
        <v>4.4362473572488702E-2</v>
      </c>
      <c r="S87" s="10">
        <f t="shared" si="11"/>
        <v>5.2872879478136084E-2</v>
      </c>
    </row>
    <row r="88" spans="1:19" x14ac:dyDescent="0.25">
      <c r="A88" s="5" t="s">
        <v>8</v>
      </c>
      <c r="B88" s="5" t="s">
        <v>161</v>
      </c>
      <c r="C88" s="5" t="s">
        <v>27</v>
      </c>
      <c r="D88" s="5" t="s">
        <v>385</v>
      </c>
      <c r="E88" s="5" t="s">
        <v>387</v>
      </c>
      <c r="F88" s="5" t="s">
        <v>52</v>
      </c>
      <c r="G88" s="5" t="s">
        <v>394</v>
      </c>
      <c r="H88" s="5" t="s">
        <v>110</v>
      </c>
      <c r="I88" s="5" t="s">
        <v>162</v>
      </c>
      <c r="J88" s="5">
        <v>2220</v>
      </c>
      <c r="K88" s="5">
        <v>45.5</v>
      </c>
      <c r="L88" s="7">
        <f t="shared" si="6"/>
        <v>48.791208791208788</v>
      </c>
      <c r="M88" s="5" t="s">
        <v>9</v>
      </c>
      <c r="N88" s="5">
        <v>4</v>
      </c>
      <c r="O88" s="6">
        <f t="shared" si="7"/>
        <v>3.3030576017389204</v>
      </c>
      <c r="P88" s="6">
        <f t="shared" si="8"/>
        <v>0.3435179905808477</v>
      </c>
      <c r="Q88" s="10">
        <f t="shared" si="9"/>
        <v>7.1566248037676604E-3</v>
      </c>
      <c r="R88" s="10">
        <f t="shared" si="10"/>
        <v>3.8956886034440183E-2</v>
      </c>
      <c r="S88" s="10">
        <f t="shared" si="11"/>
        <v>4.6113510838207847E-2</v>
      </c>
    </row>
    <row r="89" spans="1:19" x14ac:dyDescent="0.25">
      <c r="A89" s="5" t="s">
        <v>8</v>
      </c>
      <c r="B89" s="5" t="s">
        <v>161</v>
      </c>
      <c r="C89" s="5" t="s">
        <v>27</v>
      </c>
      <c r="D89" s="5" t="s">
        <v>385</v>
      </c>
      <c r="E89" s="5" t="s">
        <v>387</v>
      </c>
      <c r="F89" s="5" t="s">
        <v>52</v>
      </c>
      <c r="G89" s="5" t="s">
        <v>394</v>
      </c>
      <c r="H89" s="5" t="s">
        <v>110</v>
      </c>
      <c r="I89" s="5" t="s">
        <v>162</v>
      </c>
      <c r="J89" s="5">
        <v>2630</v>
      </c>
      <c r="K89" s="5">
        <v>45</v>
      </c>
      <c r="L89" s="7">
        <f t="shared" si="6"/>
        <v>58.444444444444443</v>
      </c>
      <c r="M89" s="5" t="s">
        <v>10</v>
      </c>
      <c r="N89" s="5">
        <v>4</v>
      </c>
      <c r="O89" s="6">
        <f t="shared" si="7"/>
        <v>5.6146441358024681</v>
      </c>
      <c r="P89" s="6">
        <f t="shared" si="8"/>
        <v>0.58392299012345672</v>
      </c>
      <c r="Q89" s="10">
        <f t="shared" si="9"/>
        <v>1.2165062294238679E-2</v>
      </c>
      <c r="R89" s="10">
        <f t="shared" si="10"/>
        <v>5.799476604086666E-2</v>
      </c>
      <c r="S89" s="10">
        <f t="shared" si="11"/>
        <v>7.015982833510534E-2</v>
      </c>
    </row>
    <row r="90" spans="1:19" x14ac:dyDescent="0.25">
      <c r="A90" s="5" t="s">
        <v>8</v>
      </c>
      <c r="B90" s="5" t="s">
        <v>161</v>
      </c>
      <c r="C90" s="5" t="s">
        <v>27</v>
      </c>
      <c r="D90" s="5" t="s">
        <v>385</v>
      </c>
      <c r="E90" s="5" t="s">
        <v>387</v>
      </c>
      <c r="F90" s="5" t="s">
        <v>52</v>
      </c>
      <c r="G90" s="5" t="s">
        <v>394</v>
      </c>
      <c r="H90" s="5" t="s">
        <v>110</v>
      </c>
      <c r="I90" s="5" t="s">
        <v>162</v>
      </c>
      <c r="J90" s="5">
        <v>2035</v>
      </c>
      <c r="K90" s="5">
        <v>39.5</v>
      </c>
      <c r="L90" s="7">
        <f t="shared" si="6"/>
        <v>51.518987341772153</v>
      </c>
      <c r="M90" s="5" t="s">
        <v>9</v>
      </c>
      <c r="N90" s="5">
        <v>4</v>
      </c>
      <c r="O90" s="6">
        <f t="shared" si="7"/>
        <v>3.3758183283928864</v>
      </c>
      <c r="P90" s="6">
        <f t="shared" si="8"/>
        <v>0.35108510615286009</v>
      </c>
      <c r="Q90" s="10">
        <f t="shared" si="9"/>
        <v>7.3142730448512534E-3</v>
      </c>
      <c r="R90" s="10">
        <f t="shared" si="10"/>
        <v>3.9598745211520084E-2</v>
      </c>
      <c r="S90" s="10">
        <f t="shared" si="11"/>
        <v>4.6913018256371335E-2</v>
      </c>
    </row>
    <row r="91" spans="1:19" x14ac:dyDescent="0.25">
      <c r="A91" s="5" t="s">
        <v>22</v>
      </c>
      <c r="B91" s="5" t="s">
        <v>63</v>
      </c>
      <c r="C91" s="5" t="s">
        <v>27</v>
      </c>
      <c r="D91" s="5" t="s">
        <v>385</v>
      </c>
      <c r="E91" s="5" t="s">
        <v>387</v>
      </c>
      <c r="F91" s="5" t="s">
        <v>52</v>
      </c>
      <c r="G91" s="5" t="s">
        <v>394</v>
      </c>
      <c r="H91" s="5" t="s">
        <v>56</v>
      </c>
      <c r="I91" s="5" t="s">
        <v>148</v>
      </c>
      <c r="J91" s="5">
        <v>2950</v>
      </c>
      <c r="K91" s="5">
        <v>29.5</v>
      </c>
      <c r="L91" s="7">
        <f t="shared" si="6"/>
        <v>100</v>
      </c>
      <c r="M91" s="5" t="s">
        <v>10</v>
      </c>
      <c r="N91" s="5">
        <v>4</v>
      </c>
      <c r="O91" s="6">
        <f t="shared" si="7"/>
        <v>18.4375</v>
      </c>
      <c r="P91" s="6">
        <f t="shared" si="8"/>
        <v>1.9175</v>
      </c>
      <c r="Q91" s="10">
        <f t="shared" si="9"/>
        <v>3.9947916666666666E-2</v>
      </c>
      <c r="R91" s="10">
        <f t="shared" si="10"/>
        <v>0.14147302810302484</v>
      </c>
      <c r="S91" s="10">
        <f t="shared" si="11"/>
        <v>0.18142094476969151</v>
      </c>
    </row>
    <row r="92" spans="1:19" x14ac:dyDescent="0.25">
      <c r="A92" s="5" t="s">
        <v>22</v>
      </c>
      <c r="B92" s="5" t="s">
        <v>63</v>
      </c>
      <c r="C92" s="5" t="s">
        <v>27</v>
      </c>
      <c r="D92" s="5" t="s">
        <v>385</v>
      </c>
      <c r="E92" s="5" t="s">
        <v>387</v>
      </c>
      <c r="F92" s="5" t="s">
        <v>52</v>
      </c>
      <c r="G92" s="5" t="s">
        <v>394</v>
      </c>
      <c r="H92" s="5" t="s">
        <v>56</v>
      </c>
      <c r="I92" s="5" t="s">
        <v>149</v>
      </c>
      <c r="J92" s="5">
        <v>2150</v>
      </c>
      <c r="K92" s="5">
        <v>39</v>
      </c>
      <c r="L92" s="7">
        <f t="shared" si="6"/>
        <v>55.128205128205131</v>
      </c>
      <c r="M92" s="5" t="s">
        <v>10</v>
      </c>
      <c r="N92" s="5">
        <v>4</v>
      </c>
      <c r="O92" s="6">
        <f t="shared" si="7"/>
        <v>4.083816157133465</v>
      </c>
      <c r="P92" s="6">
        <f t="shared" si="8"/>
        <v>0.42471688034188038</v>
      </c>
      <c r="Q92" s="10">
        <f t="shared" si="9"/>
        <v>8.84826834045584E-3</v>
      </c>
      <c r="R92" s="10">
        <f t="shared" si="10"/>
        <v>4.5676914730833268E-2</v>
      </c>
      <c r="S92" s="10">
        <f t="shared" si="11"/>
        <v>5.4525183071289104E-2</v>
      </c>
    </row>
    <row r="93" spans="1:19" x14ac:dyDescent="0.25">
      <c r="A93" s="5" t="s">
        <v>22</v>
      </c>
      <c r="B93" s="5" t="s">
        <v>63</v>
      </c>
      <c r="C93" s="5" t="s">
        <v>27</v>
      </c>
      <c r="D93" s="5" t="s">
        <v>385</v>
      </c>
      <c r="E93" s="5" t="s">
        <v>387</v>
      </c>
      <c r="F93" s="5" t="s">
        <v>52</v>
      </c>
      <c r="G93" s="5" t="s">
        <v>394</v>
      </c>
      <c r="H93" s="5" t="s">
        <v>56</v>
      </c>
      <c r="I93" s="5" t="s">
        <v>103</v>
      </c>
      <c r="J93" s="5">
        <v>1650</v>
      </c>
      <c r="K93" s="5">
        <v>30.5</v>
      </c>
      <c r="L93" s="7">
        <f t="shared" si="6"/>
        <v>54.098360655737707</v>
      </c>
      <c r="M93" s="5" t="s">
        <v>10</v>
      </c>
      <c r="N93" s="5">
        <v>4</v>
      </c>
      <c r="O93" s="6">
        <f t="shared" si="7"/>
        <v>3.0180898951894655</v>
      </c>
      <c r="P93" s="6">
        <f t="shared" si="8"/>
        <v>0.31388134909970439</v>
      </c>
      <c r="Q93" s="10">
        <f t="shared" si="9"/>
        <v>6.5391947729105081E-3</v>
      </c>
      <c r="R93" s="10">
        <f t="shared" si="10"/>
        <v>3.6407952239914915E-2</v>
      </c>
      <c r="S93" s="10">
        <f t="shared" si="11"/>
        <v>4.2947147012825426E-2</v>
      </c>
    </row>
    <row r="94" spans="1:19" x14ac:dyDescent="0.25">
      <c r="A94" s="5" t="s">
        <v>22</v>
      </c>
      <c r="B94" s="5" t="s">
        <v>63</v>
      </c>
      <c r="C94" s="5" t="s">
        <v>27</v>
      </c>
      <c r="D94" s="5" t="s">
        <v>385</v>
      </c>
      <c r="E94" s="5" t="s">
        <v>387</v>
      </c>
      <c r="F94" s="5" t="s">
        <v>52</v>
      </c>
      <c r="G94" s="5" t="s">
        <v>394</v>
      </c>
      <c r="H94" s="5" t="s">
        <v>56</v>
      </c>
      <c r="I94" s="5" t="s">
        <v>103</v>
      </c>
      <c r="J94" s="5">
        <v>1600</v>
      </c>
      <c r="K94" s="5">
        <v>36.5</v>
      </c>
      <c r="L94" s="7">
        <f t="shared" si="6"/>
        <v>43.835616438356162</v>
      </c>
      <c r="M94" s="5" t="s">
        <v>9</v>
      </c>
      <c r="N94" s="5">
        <v>4</v>
      </c>
      <c r="O94" s="6">
        <f t="shared" si="7"/>
        <v>1.9215612685306809</v>
      </c>
      <c r="P94" s="6">
        <f t="shared" si="8"/>
        <v>0.19984237192719084</v>
      </c>
      <c r="Q94" s="10">
        <f t="shared" si="9"/>
        <v>4.163382748483142E-3</v>
      </c>
      <c r="R94" s="10">
        <f t="shared" si="10"/>
        <v>2.5950026257178908E-2</v>
      </c>
      <c r="S94" s="10">
        <f t="shared" si="11"/>
        <v>3.0113409005662048E-2</v>
      </c>
    </row>
    <row r="95" spans="1:19" x14ac:dyDescent="0.25">
      <c r="A95" s="5" t="s">
        <v>8</v>
      </c>
      <c r="B95" s="5" t="s">
        <v>329</v>
      </c>
      <c r="C95" s="5" t="s">
        <v>27</v>
      </c>
      <c r="D95" s="5" t="s">
        <v>385</v>
      </c>
      <c r="E95" s="5" t="s">
        <v>387</v>
      </c>
      <c r="F95" s="5" t="s">
        <v>52</v>
      </c>
      <c r="G95" s="5" t="s">
        <v>394</v>
      </c>
      <c r="H95" s="5" t="s">
        <v>56</v>
      </c>
      <c r="I95" s="5" t="s">
        <v>103</v>
      </c>
      <c r="J95" s="5">
        <v>1260</v>
      </c>
      <c r="K95" s="5">
        <v>34</v>
      </c>
      <c r="L95" s="7">
        <f t="shared" si="6"/>
        <v>37.058823529411768</v>
      </c>
      <c r="M95" s="5" t="s">
        <v>10</v>
      </c>
      <c r="N95" s="5">
        <v>4</v>
      </c>
      <c r="O95" s="6">
        <f t="shared" si="7"/>
        <v>1.0815181660899655</v>
      </c>
      <c r="P95" s="6">
        <f t="shared" si="8"/>
        <v>0.11247788927335642</v>
      </c>
      <c r="Q95" s="10">
        <f t="shared" si="9"/>
        <v>2.3432893598615916E-3</v>
      </c>
      <c r="R95" s="10">
        <f t="shared" si="10"/>
        <v>1.6862520407650464E-2</v>
      </c>
      <c r="S95" s="10">
        <f t="shared" si="11"/>
        <v>1.9205809767512055E-2</v>
      </c>
    </row>
    <row r="96" spans="1:19" x14ac:dyDescent="0.25">
      <c r="A96" s="5" t="s">
        <v>8</v>
      </c>
      <c r="B96" s="5" t="s">
        <v>296</v>
      </c>
      <c r="C96" s="5" t="s">
        <v>27</v>
      </c>
      <c r="D96" s="5" t="s">
        <v>385</v>
      </c>
      <c r="E96" s="5" t="s">
        <v>387</v>
      </c>
      <c r="F96" s="5" t="s">
        <v>52</v>
      </c>
      <c r="G96" s="5" t="s">
        <v>394</v>
      </c>
      <c r="H96" s="5" t="s">
        <v>56</v>
      </c>
      <c r="I96" s="5" t="s">
        <v>298</v>
      </c>
      <c r="J96" s="5">
        <v>1540</v>
      </c>
      <c r="K96" s="5">
        <v>22</v>
      </c>
      <c r="L96" s="7">
        <f t="shared" si="6"/>
        <v>70</v>
      </c>
      <c r="M96" s="5" t="s">
        <v>10</v>
      </c>
      <c r="N96" s="5">
        <v>4</v>
      </c>
      <c r="O96" s="6">
        <f t="shared" si="7"/>
        <v>4.7162499999999996</v>
      </c>
      <c r="P96" s="6">
        <f t="shared" si="8"/>
        <v>0.49048999999999998</v>
      </c>
      <c r="Q96" s="10">
        <f t="shared" si="9"/>
        <v>1.0218541666666666E-2</v>
      </c>
      <c r="R96" s="10">
        <f t="shared" si="10"/>
        <v>5.0885581049188403E-2</v>
      </c>
      <c r="S96" s="10">
        <f t="shared" si="11"/>
        <v>6.1104122715855066E-2</v>
      </c>
    </row>
    <row r="97" spans="1:19" x14ac:dyDescent="0.25">
      <c r="A97" s="5" t="s">
        <v>8</v>
      </c>
      <c r="B97" s="5" t="s">
        <v>231</v>
      </c>
      <c r="C97" s="5" t="s">
        <v>27</v>
      </c>
      <c r="D97" s="5" t="s">
        <v>385</v>
      </c>
      <c r="E97" s="5" t="s">
        <v>387</v>
      </c>
      <c r="F97" s="5" t="s">
        <v>52</v>
      </c>
      <c r="G97" s="5" t="s">
        <v>394</v>
      </c>
      <c r="H97" s="5" t="s">
        <v>56</v>
      </c>
      <c r="I97" s="5" t="s">
        <v>218</v>
      </c>
      <c r="J97" s="5">
        <v>1510</v>
      </c>
      <c r="K97" s="5">
        <v>26</v>
      </c>
      <c r="L97" s="7">
        <f t="shared" si="6"/>
        <v>58.07692307692308</v>
      </c>
      <c r="M97" s="5" t="s">
        <v>10</v>
      </c>
      <c r="N97" s="5">
        <v>4</v>
      </c>
      <c r="O97" s="6">
        <f t="shared" si="7"/>
        <v>3.183201738165681</v>
      </c>
      <c r="P97" s="6">
        <f t="shared" si="8"/>
        <v>0.33105298076923079</v>
      </c>
      <c r="Q97" s="10">
        <f t="shared" si="9"/>
        <v>6.8969370993589747E-3</v>
      </c>
      <c r="R97" s="10">
        <f t="shared" si="10"/>
        <v>3.7891800910019258E-2</v>
      </c>
      <c r="S97" s="10">
        <f t="shared" si="11"/>
        <v>4.4788738009378229E-2</v>
      </c>
    </row>
    <row r="98" spans="1:19" x14ac:dyDescent="0.25">
      <c r="A98" s="5" t="s">
        <v>8</v>
      </c>
      <c r="B98" s="5" t="s">
        <v>165</v>
      </c>
      <c r="C98" s="5" t="s">
        <v>27</v>
      </c>
      <c r="D98" s="5" t="s">
        <v>385</v>
      </c>
      <c r="E98" s="5" t="s">
        <v>387</v>
      </c>
      <c r="F98" s="5" t="s">
        <v>52</v>
      </c>
      <c r="G98" s="5" t="s">
        <v>394</v>
      </c>
      <c r="H98" s="5" t="s">
        <v>56</v>
      </c>
      <c r="I98" s="5" t="s">
        <v>169</v>
      </c>
      <c r="J98" s="5">
        <v>2160</v>
      </c>
      <c r="K98" s="5">
        <v>31</v>
      </c>
      <c r="L98" s="7">
        <f t="shared" si="6"/>
        <v>69.677419354838705</v>
      </c>
      <c r="M98" s="5" t="s">
        <v>10</v>
      </c>
      <c r="N98" s="5">
        <v>4</v>
      </c>
      <c r="O98" s="6">
        <f t="shared" si="7"/>
        <v>6.5541727367325695</v>
      </c>
      <c r="P98" s="6">
        <f t="shared" si="8"/>
        <v>0.68163396462018722</v>
      </c>
      <c r="Q98" s="10">
        <f t="shared" si="9"/>
        <v>1.42007075962539E-2</v>
      </c>
      <c r="R98" s="10">
        <f t="shared" si="10"/>
        <v>6.5130668631830216E-2</v>
      </c>
      <c r="S98" s="10">
        <f t="shared" si="11"/>
        <v>7.9331376228084116E-2</v>
      </c>
    </row>
    <row r="99" spans="1:19" x14ac:dyDescent="0.25">
      <c r="A99" s="5" t="s">
        <v>8</v>
      </c>
      <c r="B99" s="5" t="s">
        <v>165</v>
      </c>
      <c r="C99" s="5" t="s">
        <v>27</v>
      </c>
      <c r="D99" s="5" t="s">
        <v>385</v>
      </c>
      <c r="E99" s="5" t="s">
        <v>387</v>
      </c>
      <c r="F99" s="5" t="s">
        <v>52</v>
      </c>
      <c r="G99" s="5" t="s">
        <v>394</v>
      </c>
      <c r="H99" s="5" t="s">
        <v>56</v>
      </c>
      <c r="I99" s="5" t="s">
        <v>169</v>
      </c>
      <c r="J99" s="5">
        <v>1980</v>
      </c>
      <c r="K99" s="5">
        <v>32</v>
      </c>
      <c r="L99" s="7">
        <f t="shared" si="6"/>
        <v>61.875</v>
      </c>
      <c r="M99" s="5" t="s">
        <v>9</v>
      </c>
      <c r="N99" s="5">
        <v>4</v>
      </c>
      <c r="O99" s="6">
        <f t="shared" si="7"/>
        <v>4.7377880859374999</v>
      </c>
      <c r="P99" s="6">
        <f t="shared" si="8"/>
        <v>0.49272996093749999</v>
      </c>
      <c r="Q99" s="10">
        <f t="shared" si="9"/>
        <v>1.026520751953125E-2</v>
      </c>
      <c r="R99" s="10">
        <f t="shared" si="10"/>
        <v>5.1059769265745597E-2</v>
      </c>
      <c r="S99" s="10">
        <f t="shared" si="11"/>
        <v>6.1324976785276847E-2</v>
      </c>
    </row>
    <row r="100" spans="1:19" x14ac:dyDescent="0.25">
      <c r="A100" s="5" t="s">
        <v>8</v>
      </c>
      <c r="B100" s="5" t="s">
        <v>161</v>
      </c>
      <c r="C100" s="5" t="s">
        <v>27</v>
      </c>
      <c r="D100" s="5" t="s">
        <v>385</v>
      </c>
      <c r="E100" s="5" t="s">
        <v>387</v>
      </c>
      <c r="F100" s="5" t="s">
        <v>52</v>
      </c>
      <c r="G100" s="5" t="s">
        <v>394</v>
      </c>
      <c r="H100" s="5" t="s">
        <v>56</v>
      </c>
      <c r="I100" s="5" t="s">
        <v>164</v>
      </c>
      <c r="J100" s="5">
        <v>2010</v>
      </c>
      <c r="K100" s="5">
        <v>25</v>
      </c>
      <c r="L100" s="7">
        <f t="shared" si="6"/>
        <v>80.400000000000006</v>
      </c>
      <c r="M100" s="5" t="s">
        <v>10</v>
      </c>
      <c r="N100" s="5">
        <v>4</v>
      </c>
      <c r="O100" s="6">
        <f t="shared" si="7"/>
        <v>8.1206010000000006</v>
      </c>
      <c r="P100" s="6">
        <f t="shared" si="8"/>
        <v>0.84454250400000008</v>
      </c>
      <c r="Q100" s="10">
        <f t="shared" si="9"/>
        <v>1.7594635500000001E-2</v>
      </c>
      <c r="R100" s="10">
        <f t="shared" si="10"/>
        <v>7.6487110304618008E-2</v>
      </c>
      <c r="S100" s="10">
        <f t="shared" si="11"/>
        <v>9.4081745804618006E-2</v>
      </c>
    </row>
    <row r="101" spans="1:19" x14ac:dyDescent="0.25">
      <c r="A101" s="5" t="s">
        <v>22</v>
      </c>
      <c r="B101" s="5" t="s">
        <v>63</v>
      </c>
      <c r="C101" s="5" t="s">
        <v>27</v>
      </c>
      <c r="D101" s="5" t="s">
        <v>385</v>
      </c>
      <c r="E101" s="5" t="s">
        <v>387</v>
      </c>
      <c r="F101" s="5" t="s">
        <v>52</v>
      </c>
      <c r="G101" s="5" t="s">
        <v>394</v>
      </c>
      <c r="H101" s="5" t="s">
        <v>56</v>
      </c>
      <c r="I101" s="5" t="s">
        <v>150</v>
      </c>
      <c r="J101" s="5">
        <v>1795</v>
      </c>
      <c r="K101" s="5">
        <v>26</v>
      </c>
      <c r="L101" s="7">
        <f t="shared" si="6"/>
        <v>69.038461538461533</v>
      </c>
      <c r="M101" s="5" t="s">
        <v>10</v>
      </c>
      <c r="N101" s="5">
        <v>4</v>
      </c>
      <c r="O101" s="6">
        <f t="shared" si="7"/>
        <v>5.3472031018860937</v>
      </c>
      <c r="P101" s="6">
        <f t="shared" si="8"/>
        <v>0.55610912259615364</v>
      </c>
      <c r="Q101" s="10">
        <f t="shared" si="9"/>
        <v>1.1585606720753204E-2</v>
      </c>
      <c r="R101" s="10">
        <f t="shared" si="10"/>
        <v>5.5910340147592871E-2</v>
      </c>
      <c r="S101" s="10">
        <f t="shared" si="11"/>
        <v>6.7495946868346077E-2</v>
      </c>
    </row>
    <row r="102" spans="1:19" x14ac:dyDescent="0.25">
      <c r="A102" s="5" t="s">
        <v>22</v>
      </c>
      <c r="B102" s="5" t="s">
        <v>26</v>
      </c>
      <c r="C102" s="5" t="s">
        <v>27</v>
      </c>
      <c r="D102" s="5" t="s">
        <v>385</v>
      </c>
      <c r="E102" s="5" t="s">
        <v>387</v>
      </c>
      <c r="F102" s="5" t="s">
        <v>52</v>
      </c>
      <c r="G102" s="5" t="s">
        <v>394</v>
      </c>
      <c r="H102" s="5" t="s">
        <v>56</v>
      </c>
      <c r="I102" s="5" t="s">
        <v>57</v>
      </c>
      <c r="J102" s="5">
        <v>1800</v>
      </c>
      <c r="K102" s="5">
        <v>31</v>
      </c>
      <c r="L102" s="7">
        <f t="shared" si="6"/>
        <v>58.064516129032256</v>
      </c>
      <c r="M102" s="5" t="s">
        <v>10</v>
      </c>
      <c r="N102" s="5">
        <v>4</v>
      </c>
      <c r="O102" s="6">
        <f t="shared" si="7"/>
        <v>3.7929240374609781</v>
      </c>
      <c r="P102" s="6">
        <f t="shared" si="8"/>
        <v>0.39446409989594167</v>
      </c>
      <c r="Q102" s="10">
        <f t="shared" si="9"/>
        <v>8.2180020811654531E-3</v>
      </c>
      <c r="R102" s="10">
        <f t="shared" si="10"/>
        <v>4.3214324927592522E-2</v>
      </c>
      <c r="S102" s="10">
        <f t="shared" si="11"/>
        <v>5.1432327008757973E-2</v>
      </c>
    </row>
    <row r="103" spans="1:19" x14ac:dyDescent="0.25">
      <c r="A103" s="5" t="s">
        <v>22</v>
      </c>
      <c r="B103" s="5" t="s">
        <v>26</v>
      </c>
      <c r="C103" s="5" t="s">
        <v>27</v>
      </c>
      <c r="D103" s="5" t="s">
        <v>385</v>
      </c>
      <c r="E103" s="5" t="s">
        <v>387</v>
      </c>
      <c r="F103" s="5" t="s">
        <v>52</v>
      </c>
      <c r="G103" s="5" t="s">
        <v>394</v>
      </c>
      <c r="H103" s="5" t="s">
        <v>56</v>
      </c>
      <c r="I103" s="5" t="s">
        <v>57</v>
      </c>
      <c r="J103" s="5">
        <v>1750</v>
      </c>
      <c r="K103" s="5">
        <v>28.5</v>
      </c>
      <c r="L103" s="7">
        <f t="shared" si="6"/>
        <v>61.403508771929822</v>
      </c>
      <c r="M103" s="5" t="s">
        <v>9</v>
      </c>
      <c r="N103" s="5">
        <v>4</v>
      </c>
      <c r="O103" s="6">
        <f t="shared" si="7"/>
        <v>4.1238650353955055</v>
      </c>
      <c r="P103" s="6">
        <f t="shared" si="8"/>
        <v>0.42888196368113263</v>
      </c>
      <c r="Q103" s="10">
        <f t="shared" si="9"/>
        <v>8.9350409100235947E-3</v>
      </c>
      <c r="R103" s="10">
        <f t="shared" si="10"/>
        <v>4.6012460418506596E-2</v>
      </c>
      <c r="S103" s="10">
        <f t="shared" si="11"/>
        <v>5.4947501328530192E-2</v>
      </c>
    </row>
    <row r="104" spans="1:19" x14ac:dyDescent="0.25">
      <c r="A104" s="5" t="s">
        <v>8</v>
      </c>
      <c r="B104" s="5" t="s">
        <v>187</v>
      </c>
      <c r="C104" s="5" t="s">
        <v>27</v>
      </c>
      <c r="D104" s="5" t="s">
        <v>385</v>
      </c>
      <c r="E104" s="5" t="s">
        <v>387</v>
      </c>
      <c r="F104" s="5" t="s">
        <v>52</v>
      </c>
      <c r="G104" s="5" t="s">
        <v>394</v>
      </c>
      <c r="H104" s="5" t="s">
        <v>56</v>
      </c>
      <c r="I104" s="5" t="s">
        <v>57</v>
      </c>
      <c r="J104" s="5">
        <v>2110</v>
      </c>
      <c r="K104" s="5">
        <v>31.7</v>
      </c>
      <c r="L104" s="7">
        <f t="shared" si="6"/>
        <v>66.561514195583598</v>
      </c>
      <c r="M104" s="5" t="s">
        <v>10</v>
      </c>
      <c r="N104" s="5">
        <v>4</v>
      </c>
      <c r="O104" s="6">
        <f t="shared" si="7"/>
        <v>5.842636383086707</v>
      </c>
      <c r="P104" s="6">
        <f t="shared" si="8"/>
        <v>0.60763418384101753</v>
      </c>
      <c r="Q104" s="10">
        <f t="shared" si="9"/>
        <v>1.2659045496687865E-2</v>
      </c>
      <c r="R104" s="10">
        <f t="shared" si="10"/>
        <v>5.9752181885174414E-2</v>
      </c>
      <c r="S104" s="10">
        <f t="shared" si="11"/>
        <v>7.2411227381862286E-2</v>
      </c>
    </row>
    <row r="105" spans="1:19" x14ac:dyDescent="0.25">
      <c r="A105" s="5" t="s">
        <v>8</v>
      </c>
      <c r="B105" s="5" t="s">
        <v>187</v>
      </c>
      <c r="C105" s="5" t="s">
        <v>27</v>
      </c>
      <c r="D105" s="5" t="s">
        <v>385</v>
      </c>
      <c r="E105" s="5" t="s">
        <v>387</v>
      </c>
      <c r="F105" s="5" t="s">
        <v>52</v>
      </c>
      <c r="G105" s="5" t="s">
        <v>394</v>
      </c>
      <c r="H105" s="5" t="s">
        <v>56</v>
      </c>
      <c r="I105" s="5" t="s">
        <v>57</v>
      </c>
      <c r="J105" s="5">
        <v>2120</v>
      </c>
      <c r="K105" s="5">
        <v>32.200000000000003</v>
      </c>
      <c r="L105" s="7">
        <f t="shared" si="6"/>
        <v>65.838509316770185</v>
      </c>
      <c r="M105" s="5" t="s">
        <v>9</v>
      </c>
      <c r="N105" s="5">
        <v>4</v>
      </c>
      <c r="O105" s="6">
        <f t="shared" si="7"/>
        <v>5.7434898344971259</v>
      </c>
      <c r="P105" s="6">
        <f t="shared" si="8"/>
        <v>0.59732294278770115</v>
      </c>
      <c r="Q105" s="10">
        <f t="shared" si="9"/>
        <v>1.2444227974743772E-2</v>
      </c>
      <c r="R105" s="10">
        <f t="shared" si="10"/>
        <v>5.89900843101481E-2</v>
      </c>
      <c r="S105" s="10">
        <f t="shared" si="11"/>
        <v>7.1434312284891874E-2</v>
      </c>
    </row>
    <row r="106" spans="1:19" x14ac:dyDescent="0.25">
      <c r="A106" s="5" t="s">
        <v>8</v>
      </c>
      <c r="B106" s="5" t="s">
        <v>187</v>
      </c>
      <c r="C106" s="5" t="s">
        <v>27</v>
      </c>
      <c r="D106" s="5" t="s">
        <v>385</v>
      </c>
      <c r="E106" s="5" t="s">
        <v>387</v>
      </c>
      <c r="F106" s="5" t="s">
        <v>52</v>
      </c>
      <c r="G106" s="5" t="s">
        <v>394</v>
      </c>
      <c r="H106" s="5" t="s">
        <v>56</v>
      </c>
      <c r="I106" s="5" t="s">
        <v>57</v>
      </c>
      <c r="J106" s="5">
        <v>2090</v>
      </c>
      <c r="K106" s="5">
        <v>30</v>
      </c>
      <c r="L106" s="7">
        <f t="shared" si="6"/>
        <v>69.666666666666671</v>
      </c>
      <c r="M106" s="5" t="s">
        <v>10</v>
      </c>
      <c r="N106" s="5">
        <v>4</v>
      </c>
      <c r="O106" s="6">
        <f t="shared" si="7"/>
        <v>6.3398118055555566</v>
      </c>
      <c r="P106" s="6">
        <f t="shared" si="8"/>
        <v>0.65934042777777779</v>
      </c>
      <c r="Q106" s="10">
        <f t="shared" si="9"/>
        <v>1.3736258912037039E-2</v>
      </c>
      <c r="R106" s="10">
        <f t="shared" si="10"/>
        <v>6.3526422548826608E-2</v>
      </c>
      <c r="S106" s="10">
        <f t="shared" si="11"/>
        <v>7.7262681460863653E-2</v>
      </c>
    </row>
    <row r="107" spans="1:19" x14ac:dyDescent="0.25">
      <c r="A107" s="5" t="s">
        <v>8</v>
      </c>
      <c r="B107" s="5" t="s">
        <v>187</v>
      </c>
      <c r="C107" s="5" t="s">
        <v>27</v>
      </c>
      <c r="D107" s="5" t="s">
        <v>385</v>
      </c>
      <c r="E107" s="5" t="s">
        <v>387</v>
      </c>
      <c r="F107" s="5" t="s">
        <v>52</v>
      </c>
      <c r="G107" s="5" t="s">
        <v>394</v>
      </c>
      <c r="H107" s="5" t="s">
        <v>56</v>
      </c>
      <c r="I107" s="5" t="s">
        <v>57</v>
      </c>
      <c r="J107" s="5">
        <v>2070</v>
      </c>
      <c r="K107" s="5">
        <v>31.4</v>
      </c>
      <c r="L107" s="7">
        <f t="shared" si="6"/>
        <v>65.923566878980893</v>
      </c>
      <c r="M107" s="5" t="s">
        <v>9</v>
      </c>
      <c r="N107" s="5">
        <v>4</v>
      </c>
      <c r="O107" s="6">
        <f t="shared" si="7"/>
        <v>5.6225296918739085</v>
      </c>
      <c r="P107" s="6">
        <f t="shared" si="8"/>
        <v>0.58474308795488661</v>
      </c>
      <c r="Q107" s="10">
        <f t="shared" si="9"/>
        <v>1.2182147665726803E-2</v>
      </c>
      <c r="R107" s="10">
        <f t="shared" si="10"/>
        <v>5.8055843919859323E-2</v>
      </c>
      <c r="S107" s="10">
        <f t="shared" si="11"/>
        <v>7.0237991585586121E-2</v>
      </c>
    </row>
    <row r="108" spans="1:19" x14ac:dyDescent="0.25">
      <c r="A108" s="5" t="s">
        <v>8</v>
      </c>
      <c r="B108" s="5" t="s">
        <v>187</v>
      </c>
      <c r="C108" s="5" t="s">
        <v>27</v>
      </c>
      <c r="D108" s="5" t="s">
        <v>385</v>
      </c>
      <c r="E108" s="5" t="s">
        <v>387</v>
      </c>
      <c r="F108" s="5" t="s">
        <v>52</v>
      </c>
      <c r="G108" s="5" t="s">
        <v>394</v>
      </c>
      <c r="H108" s="5" t="s">
        <v>56</v>
      </c>
      <c r="I108" s="5" t="s">
        <v>57</v>
      </c>
      <c r="J108" s="5">
        <v>1980</v>
      </c>
      <c r="K108" s="5">
        <v>30.4</v>
      </c>
      <c r="L108" s="7">
        <f t="shared" si="6"/>
        <v>65.131578947368425</v>
      </c>
      <c r="M108" s="5" t="s">
        <v>10</v>
      </c>
      <c r="N108" s="5">
        <v>4</v>
      </c>
      <c r="O108" s="6">
        <f t="shared" si="7"/>
        <v>5.2496266880193909</v>
      </c>
      <c r="P108" s="6">
        <f t="shared" si="8"/>
        <v>0.54596117555401669</v>
      </c>
      <c r="Q108" s="10">
        <f t="shared" si="9"/>
        <v>1.1374191157375346E-2</v>
      </c>
      <c r="R108" s="10">
        <f t="shared" si="10"/>
        <v>5.5143387293808285E-2</v>
      </c>
      <c r="S108" s="10">
        <f t="shared" si="11"/>
        <v>6.6517578451183626E-2</v>
      </c>
    </row>
    <row r="109" spans="1:19" x14ac:dyDescent="0.25">
      <c r="A109" s="5" t="s">
        <v>8</v>
      </c>
      <c r="B109" s="5" t="s">
        <v>187</v>
      </c>
      <c r="C109" s="5" t="s">
        <v>27</v>
      </c>
      <c r="D109" s="5" t="s">
        <v>385</v>
      </c>
      <c r="E109" s="5" t="s">
        <v>387</v>
      </c>
      <c r="F109" s="5" t="s">
        <v>52</v>
      </c>
      <c r="G109" s="5" t="s">
        <v>394</v>
      </c>
      <c r="H109" s="5" t="s">
        <v>56</v>
      </c>
      <c r="I109" s="5" t="s">
        <v>57</v>
      </c>
      <c r="J109" s="5">
        <v>2010</v>
      </c>
      <c r="K109" s="5">
        <v>31.4</v>
      </c>
      <c r="L109" s="7">
        <f t="shared" si="6"/>
        <v>64.012738853503194</v>
      </c>
      <c r="M109" s="5" t="s">
        <v>9</v>
      </c>
      <c r="N109" s="5">
        <v>4</v>
      </c>
      <c r="O109" s="6">
        <f t="shared" si="7"/>
        <v>5.1476486115055389</v>
      </c>
      <c r="P109" s="6">
        <f t="shared" si="8"/>
        <v>0.53535545559657605</v>
      </c>
      <c r="Q109" s="10">
        <f t="shared" si="9"/>
        <v>1.1153238658262002E-2</v>
      </c>
      <c r="R109" s="10">
        <f t="shared" si="10"/>
        <v>5.4338018137809183E-2</v>
      </c>
      <c r="S109" s="10">
        <f t="shared" si="11"/>
        <v>6.5491256796071179E-2</v>
      </c>
    </row>
    <row r="110" spans="1:19" x14ac:dyDescent="0.25">
      <c r="A110" s="5" t="s">
        <v>8</v>
      </c>
      <c r="B110" s="5" t="s">
        <v>187</v>
      </c>
      <c r="C110" s="5" t="s">
        <v>27</v>
      </c>
      <c r="D110" s="5" t="s">
        <v>385</v>
      </c>
      <c r="E110" s="5" t="s">
        <v>387</v>
      </c>
      <c r="F110" s="5" t="s">
        <v>52</v>
      </c>
      <c r="G110" s="5" t="s">
        <v>394</v>
      </c>
      <c r="H110" s="5" t="s">
        <v>56</v>
      </c>
      <c r="I110" s="5" t="s">
        <v>57</v>
      </c>
      <c r="J110" s="5">
        <v>1980</v>
      </c>
      <c r="K110" s="5">
        <v>31.2</v>
      </c>
      <c r="L110" s="7">
        <f t="shared" si="6"/>
        <v>63.46153846153846</v>
      </c>
      <c r="M110" s="5" t="s">
        <v>10</v>
      </c>
      <c r="N110" s="5">
        <v>4</v>
      </c>
      <c r="O110" s="6">
        <f t="shared" si="7"/>
        <v>4.9838664940828403</v>
      </c>
      <c r="P110" s="6">
        <f t="shared" si="8"/>
        <v>0.51832211538461537</v>
      </c>
      <c r="Q110" s="10">
        <f t="shared" si="9"/>
        <v>1.0798377403846154E-2</v>
      </c>
      <c r="R110" s="10">
        <f t="shared" si="10"/>
        <v>5.3036141958594116E-2</v>
      </c>
      <c r="S110" s="10">
        <f t="shared" si="11"/>
        <v>6.3834519362440265E-2</v>
      </c>
    </row>
    <row r="111" spans="1:19" x14ac:dyDescent="0.25">
      <c r="A111" s="5" t="s">
        <v>8</v>
      </c>
      <c r="B111" s="5" t="s">
        <v>187</v>
      </c>
      <c r="C111" s="5" t="s">
        <v>27</v>
      </c>
      <c r="D111" s="5" t="s">
        <v>385</v>
      </c>
      <c r="E111" s="5" t="s">
        <v>387</v>
      </c>
      <c r="F111" s="5" t="s">
        <v>52</v>
      </c>
      <c r="G111" s="5" t="s">
        <v>394</v>
      </c>
      <c r="H111" s="5" t="s">
        <v>56</v>
      </c>
      <c r="I111" s="5" t="s">
        <v>57</v>
      </c>
      <c r="J111" s="5">
        <v>2200</v>
      </c>
      <c r="K111" s="5">
        <v>29</v>
      </c>
      <c r="L111" s="7">
        <f t="shared" si="6"/>
        <v>75.862068965517238</v>
      </c>
      <c r="M111" s="5" t="s">
        <v>10</v>
      </c>
      <c r="N111" s="5">
        <v>4</v>
      </c>
      <c r="O111" s="6">
        <f t="shared" si="7"/>
        <v>7.9131985731272296</v>
      </c>
      <c r="P111" s="6">
        <f t="shared" si="8"/>
        <v>0.82297265160523181</v>
      </c>
      <c r="Q111" s="10">
        <f t="shared" si="9"/>
        <v>1.7145263575108996E-2</v>
      </c>
      <c r="R111" s="10">
        <f t="shared" si="10"/>
        <v>7.501725564715013E-2</v>
      </c>
      <c r="S111" s="10">
        <f t="shared" si="11"/>
        <v>9.2162519222259126E-2</v>
      </c>
    </row>
    <row r="112" spans="1:19" x14ac:dyDescent="0.25">
      <c r="A112" s="5" t="s">
        <v>8</v>
      </c>
      <c r="B112" s="5" t="s">
        <v>187</v>
      </c>
      <c r="C112" s="5" t="s">
        <v>27</v>
      </c>
      <c r="D112" s="5" t="s">
        <v>385</v>
      </c>
      <c r="E112" s="5" t="s">
        <v>387</v>
      </c>
      <c r="F112" s="5" t="s">
        <v>52</v>
      </c>
      <c r="G112" s="5" t="s">
        <v>394</v>
      </c>
      <c r="H112" s="5" t="s">
        <v>56</v>
      </c>
      <c r="I112" s="5" t="s">
        <v>57</v>
      </c>
      <c r="J112" s="5">
        <v>1990</v>
      </c>
      <c r="K112" s="5">
        <v>29.5</v>
      </c>
      <c r="L112" s="7">
        <f t="shared" si="6"/>
        <v>67.457627118644069</v>
      </c>
      <c r="M112" s="5" t="s">
        <v>9</v>
      </c>
      <c r="N112" s="5">
        <v>4</v>
      </c>
      <c r="O112" s="6">
        <f t="shared" si="7"/>
        <v>5.6597234989945413</v>
      </c>
      <c r="P112" s="6">
        <f t="shared" si="8"/>
        <v>0.58861124389543229</v>
      </c>
      <c r="Q112" s="10">
        <f t="shared" si="9"/>
        <v>1.2262734247821505E-2</v>
      </c>
      <c r="R112" s="10">
        <f t="shared" si="10"/>
        <v>5.8343641943083634E-2</v>
      </c>
      <c r="S112" s="10">
        <f t="shared" si="11"/>
        <v>7.0606376190905137E-2</v>
      </c>
    </row>
    <row r="113" spans="1:19" x14ac:dyDescent="0.25">
      <c r="A113" s="5" t="s">
        <v>8</v>
      </c>
      <c r="B113" s="5" t="s">
        <v>187</v>
      </c>
      <c r="C113" s="5" t="s">
        <v>27</v>
      </c>
      <c r="D113" s="5" t="s">
        <v>385</v>
      </c>
      <c r="E113" s="5" t="s">
        <v>387</v>
      </c>
      <c r="F113" s="5" t="s">
        <v>52</v>
      </c>
      <c r="G113" s="5" t="s">
        <v>394</v>
      </c>
      <c r="H113" s="5" t="s">
        <v>56</v>
      </c>
      <c r="I113" s="5" t="s">
        <v>57</v>
      </c>
      <c r="J113" s="5">
        <v>2175</v>
      </c>
      <c r="K113" s="5">
        <v>31.3</v>
      </c>
      <c r="L113" s="7">
        <f t="shared" si="6"/>
        <v>69.488817891373799</v>
      </c>
      <c r="M113" s="5" t="s">
        <v>10</v>
      </c>
      <c r="N113" s="5">
        <v>4</v>
      </c>
      <c r="O113" s="6">
        <f t="shared" si="7"/>
        <v>6.5640083693566336</v>
      </c>
      <c r="P113" s="6">
        <f t="shared" si="8"/>
        <v>0.68265687041308976</v>
      </c>
      <c r="Q113" s="10">
        <f t="shared" si="9"/>
        <v>1.4222018133606039E-2</v>
      </c>
      <c r="R113" s="10">
        <f t="shared" si="10"/>
        <v>6.5203959487576693E-2</v>
      </c>
      <c r="S113" s="10">
        <f t="shared" si="11"/>
        <v>7.9425977621182725E-2</v>
      </c>
    </row>
    <row r="114" spans="1:19" x14ac:dyDescent="0.25">
      <c r="A114" s="5" t="s">
        <v>8</v>
      </c>
      <c r="B114" s="5" t="s">
        <v>291</v>
      </c>
      <c r="C114" s="5" t="s">
        <v>27</v>
      </c>
      <c r="D114" s="5" t="s">
        <v>385</v>
      </c>
      <c r="E114" s="5" t="s">
        <v>387</v>
      </c>
      <c r="F114" s="5" t="s">
        <v>52</v>
      </c>
      <c r="G114" s="5" t="s">
        <v>394</v>
      </c>
      <c r="H114" s="5" t="s">
        <v>56</v>
      </c>
      <c r="I114" s="5" t="s">
        <v>57</v>
      </c>
      <c r="J114" s="5">
        <v>1742</v>
      </c>
      <c r="K114" s="5">
        <v>24.9</v>
      </c>
      <c r="L114" s="7">
        <f t="shared" si="6"/>
        <v>69.959839357429729</v>
      </c>
      <c r="M114" s="5" t="s">
        <v>10</v>
      </c>
      <c r="N114" s="5">
        <v>4</v>
      </c>
      <c r="O114" s="6">
        <f t="shared" si="7"/>
        <v>5.3287552700762904</v>
      </c>
      <c r="P114" s="6">
        <f t="shared" si="8"/>
        <v>0.55419054808793411</v>
      </c>
      <c r="Q114" s="10">
        <f t="shared" si="9"/>
        <v>1.154563641849863E-2</v>
      </c>
      <c r="R114" s="10">
        <f t="shared" si="10"/>
        <v>5.5765609812803228E-2</v>
      </c>
      <c r="S114" s="10">
        <f t="shared" si="11"/>
        <v>6.7311246231301858E-2</v>
      </c>
    </row>
    <row r="115" spans="1:19" x14ac:dyDescent="0.25">
      <c r="A115" s="5" t="s">
        <v>8</v>
      </c>
      <c r="B115" s="5" t="s">
        <v>329</v>
      </c>
      <c r="C115" s="5" t="s">
        <v>27</v>
      </c>
      <c r="D115" s="5" t="s">
        <v>385</v>
      </c>
      <c r="E115" s="5" t="s">
        <v>387</v>
      </c>
      <c r="F115" s="5" t="s">
        <v>52</v>
      </c>
      <c r="G115" s="5" t="s">
        <v>394</v>
      </c>
      <c r="H115" s="5" t="s">
        <v>56</v>
      </c>
      <c r="I115" s="5" t="s">
        <v>94</v>
      </c>
      <c r="J115" s="5">
        <v>3680</v>
      </c>
      <c r="K115" s="5">
        <v>35.5</v>
      </c>
      <c r="L115" s="7">
        <f t="shared" si="6"/>
        <v>103.66197183098592</v>
      </c>
      <c r="M115" s="5" t="s">
        <v>10</v>
      </c>
      <c r="N115" s="5">
        <v>4</v>
      </c>
      <c r="O115" s="6">
        <f t="shared" si="7"/>
        <v>24.715350128942671</v>
      </c>
      <c r="P115" s="6">
        <f t="shared" si="8"/>
        <v>2.5703964134100374</v>
      </c>
      <c r="Q115" s="10">
        <f t="shared" si="9"/>
        <v>5.3549925279375778E-2</v>
      </c>
      <c r="R115" s="10">
        <f t="shared" si="10"/>
        <v>0.17624718927922817</v>
      </c>
      <c r="S115" s="10">
        <f t="shared" si="11"/>
        <v>0.22979711455860394</v>
      </c>
    </row>
    <row r="116" spans="1:19" x14ac:dyDescent="0.25">
      <c r="A116" s="5" t="s">
        <v>22</v>
      </c>
      <c r="B116" s="5" t="s">
        <v>63</v>
      </c>
      <c r="C116" s="5" t="s">
        <v>27</v>
      </c>
      <c r="D116" s="5" t="s">
        <v>385</v>
      </c>
      <c r="E116" s="5" t="s">
        <v>387</v>
      </c>
      <c r="F116" s="5" t="s">
        <v>52</v>
      </c>
      <c r="G116" s="5" t="s">
        <v>394</v>
      </c>
      <c r="H116" s="5" t="s">
        <v>56</v>
      </c>
      <c r="I116" s="5" t="s">
        <v>151</v>
      </c>
      <c r="J116" s="5">
        <v>3150</v>
      </c>
      <c r="K116" s="5">
        <v>32.5</v>
      </c>
      <c r="L116" s="7">
        <f t="shared" si="6"/>
        <v>96.92307692307692</v>
      </c>
      <c r="M116" s="5" t="s">
        <v>10</v>
      </c>
      <c r="N116" s="5">
        <v>4</v>
      </c>
      <c r="O116" s="6">
        <f t="shared" si="7"/>
        <v>18.494600591715976</v>
      </c>
      <c r="P116" s="6">
        <f t="shared" si="8"/>
        <v>1.9234384615384612</v>
      </c>
      <c r="Q116" s="10">
        <f t="shared" si="9"/>
        <v>4.0071634615384613E-2</v>
      </c>
      <c r="R116" s="10">
        <f t="shared" si="10"/>
        <v>0.14180150554274765</v>
      </c>
      <c r="S116" s="10">
        <f t="shared" si="11"/>
        <v>0.18187314015813227</v>
      </c>
    </row>
    <row r="117" spans="1:19" x14ac:dyDescent="0.25">
      <c r="A117" s="5" t="s">
        <v>22</v>
      </c>
      <c r="B117" s="5" t="s">
        <v>63</v>
      </c>
      <c r="C117" s="5" t="s">
        <v>27</v>
      </c>
      <c r="D117" s="5" t="s">
        <v>385</v>
      </c>
      <c r="E117" s="5" t="s">
        <v>387</v>
      </c>
      <c r="F117" s="5" t="s">
        <v>52</v>
      </c>
      <c r="G117" s="5" t="s">
        <v>394</v>
      </c>
      <c r="H117" s="5" t="s">
        <v>56</v>
      </c>
      <c r="I117" s="5" t="s">
        <v>151</v>
      </c>
      <c r="J117" s="5">
        <v>3550</v>
      </c>
      <c r="K117" s="5">
        <v>33.5</v>
      </c>
      <c r="L117" s="7">
        <f t="shared" si="6"/>
        <v>105.97014925373135</v>
      </c>
      <c r="M117" s="5" t="s">
        <v>9</v>
      </c>
      <c r="N117" s="5">
        <v>4</v>
      </c>
      <c r="O117" s="6">
        <f t="shared" si="7"/>
        <v>24.91583593227891</v>
      </c>
      <c r="P117" s="6">
        <f t="shared" si="8"/>
        <v>2.5912469369570066</v>
      </c>
      <c r="Q117" s="10">
        <f t="shared" si="9"/>
        <v>5.3984311186604302E-2</v>
      </c>
      <c r="R117" s="10">
        <f t="shared" si="10"/>
        <v>0.1773183662256573</v>
      </c>
      <c r="S117" s="10">
        <f t="shared" si="11"/>
        <v>0.2313026774122616</v>
      </c>
    </row>
    <row r="118" spans="1:19" x14ac:dyDescent="0.25">
      <c r="A118" s="5" t="s">
        <v>8</v>
      </c>
      <c r="B118" s="5" t="s">
        <v>217</v>
      </c>
      <c r="C118" s="5" t="s">
        <v>27</v>
      </c>
      <c r="D118" s="5" t="s">
        <v>385</v>
      </c>
      <c r="E118" s="5" t="s">
        <v>387</v>
      </c>
      <c r="F118" s="5" t="s">
        <v>52</v>
      </c>
      <c r="G118" s="5" t="s">
        <v>394</v>
      </c>
      <c r="H118" s="5" t="s">
        <v>56</v>
      </c>
      <c r="I118" s="5" t="s">
        <v>151</v>
      </c>
      <c r="J118" s="5">
        <v>3100</v>
      </c>
      <c r="K118" s="5">
        <v>34.1</v>
      </c>
      <c r="L118" s="7">
        <f t="shared" si="6"/>
        <v>90.909090909090907</v>
      </c>
      <c r="M118" s="5" t="s">
        <v>10</v>
      </c>
      <c r="N118" s="5">
        <v>4</v>
      </c>
      <c r="O118" s="6">
        <f t="shared" si="7"/>
        <v>16.012396694214875</v>
      </c>
      <c r="P118" s="6">
        <f t="shared" si="8"/>
        <v>1.6652892561983468</v>
      </c>
      <c r="Q118" s="10">
        <f t="shared" si="9"/>
        <v>3.4693526170798898E-2</v>
      </c>
      <c r="R118" s="10">
        <f t="shared" si="10"/>
        <v>0.12727390813293155</v>
      </c>
      <c r="S118" s="10">
        <f t="shared" si="11"/>
        <v>0.16196743430373045</v>
      </c>
    </row>
    <row r="119" spans="1:19" x14ac:dyDescent="0.25">
      <c r="A119" s="5" t="s">
        <v>8</v>
      </c>
      <c r="B119" s="5" t="s">
        <v>217</v>
      </c>
      <c r="C119" s="5" t="s">
        <v>27</v>
      </c>
      <c r="D119" s="5" t="s">
        <v>385</v>
      </c>
      <c r="E119" s="5" t="s">
        <v>387</v>
      </c>
      <c r="F119" s="5" t="s">
        <v>52</v>
      </c>
      <c r="G119" s="5" t="s">
        <v>394</v>
      </c>
      <c r="H119" s="5" t="s">
        <v>56</v>
      </c>
      <c r="I119" s="5" t="s">
        <v>151</v>
      </c>
      <c r="J119" s="5">
        <v>3550</v>
      </c>
      <c r="K119" s="5">
        <v>33.5</v>
      </c>
      <c r="L119" s="7">
        <f t="shared" si="6"/>
        <v>105.97014925373135</v>
      </c>
      <c r="M119" s="5" t="s">
        <v>9</v>
      </c>
      <c r="N119" s="5">
        <v>4</v>
      </c>
      <c r="O119" s="6">
        <f t="shared" si="7"/>
        <v>24.91583593227891</v>
      </c>
      <c r="P119" s="6">
        <f t="shared" si="8"/>
        <v>2.5912469369570066</v>
      </c>
      <c r="Q119" s="10">
        <f t="shared" si="9"/>
        <v>5.3984311186604302E-2</v>
      </c>
      <c r="R119" s="10">
        <f t="shared" si="10"/>
        <v>0.1773183662256573</v>
      </c>
      <c r="S119" s="10">
        <f t="shared" si="11"/>
        <v>0.2313026774122616</v>
      </c>
    </row>
    <row r="120" spans="1:19" x14ac:dyDescent="0.25">
      <c r="A120" s="5" t="s">
        <v>22</v>
      </c>
      <c r="B120" s="5" t="s">
        <v>63</v>
      </c>
      <c r="C120" s="5" t="s">
        <v>27</v>
      </c>
      <c r="D120" s="5" t="s">
        <v>385</v>
      </c>
      <c r="E120" s="5" t="s">
        <v>387</v>
      </c>
      <c r="F120" s="5" t="s">
        <v>52</v>
      </c>
      <c r="G120" s="5" t="s">
        <v>394</v>
      </c>
      <c r="H120" s="5" t="s">
        <v>106</v>
      </c>
      <c r="I120" s="5" t="s">
        <v>107</v>
      </c>
      <c r="J120" s="5">
        <v>1025</v>
      </c>
      <c r="K120" s="5">
        <v>23.5</v>
      </c>
      <c r="L120" s="7">
        <f t="shared" si="6"/>
        <v>43.617021276595743</v>
      </c>
      <c r="M120" s="5" t="s">
        <v>10</v>
      </c>
      <c r="N120" s="5">
        <v>4</v>
      </c>
      <c r="O120" s="6">
        <f t="shared" si="7"/>
        <v>1.2187535366681754</v>
      </c>
      <c r="P120" s="6">
        <f t="shared" si="8"/>
        <v>0.12675036781349025</v>
      </c>
      <c r="Q120" s="10">
        <f t="shared" si="9"/>
        <v>2.640632662781047E-3</v>
      </c>
      <c r="R120" s="10">
        <f t="shared" si="10"/>
        <v>1.8443105096462079E-2</v>
      </c>
      <c r="S120" s="10">
        <f t="shared" si="11"/>
        <v>2.1083737759243125E-2</v>
      </c>
    </row>
    <row r="121" spans="1:19" x14ac:dyDescent="0.25">
      <c r="A121" s="5" t="s">
        <v>22</v>
      </c>
      <c r="B121" s="5" t="s">
        <v>63</v>
      </c>
      <c r="C121" s="5" t="s">
        <v>27</v>
      </c>
      <c r="D121" s="5" t="s">
        <v>385</v>
      </c>
      <c r="E121" s="5" t="s">
        <v>387</v>
      </c>
      <c r="F121" s="5" t="s">
        <v>52</v>
      </c>
      <c r="G121" s="5" t="s">
        <v>394</v>
      </c>
      <c r="H121" s="5" t="s">
        <v>108</v>
      </c>
      <c r="I121" s="5" t="s">
        <v>109</v>
      </c>
      <c r="J121" s="5">
        <v>1600</v>
      </c>
      <c r="K121" s="5">
        <v>36</v>
      </c>
      <c r="L121" s="7">
        <f t="shared" si="6"/>
        <v>44.444444444444443</v>
      </c>
      <c r="M121" s="5" t="s">
        <v>9</v>
      </c>
      <c r="N121" s="5">
        <v>4</v>
      </c>
      <c r="O121" s="6">
        <f t="shared" si="7"/>
        <v>1.9753086419753083</v>
      </c>
      <c r="P121" s="6">
        <f t="shared" si="8"/>
        <v>0.20543209876543209</v>
      </c>
      <c r="Q121" s="10">
        <f t="shared" si="9"/>
        <v>4.2798353909465009E-3</v>
      </c>
      <c r="R121" s="10">
        <f t="shared" si="10"/>
        <v>2.6492524653412002E-2</v>
      </c>
      <c r="S121" s="10">
        <f t="shared" si="11"/>
        <v>3.0772360044358502E-2</v>
      </c>
    </row>
    <row r="122" spans="1:19" x14ac:dyDescent="0.25">
      <c r="A122" s="5" t="s">
        <v>8</v>
      </c>
      <c r="B122" s="5" t="s">
        <v>154</v>
      </c>
      <c r="C122" s="5" t="s">
        <v>27</v>
      </c>
      <c r="D122" s="5" t="s">
        <v>385</v>
      </c>
      <c r="E122" s="5" t="s">
        <v>387</v>
      </c>
      <c r="F122" s="5" t="s">
        <v>52</v>
      </c>
      <c r="G122" s="5" t="s">
        <v>394</v>
      </c>
      <c r="H122" s="5" t="s">
        <v>108</v>
      </c>
      <c r="I122" s="5" t="s">
        <v>155</v>
      </c>
      <c r="J122" s="5">
        <v>1570</v>
      </c>
      <c r="K122" s="5">
        <v>32.5</v>
      </c>
      <c r="L122" s="7">
        <f t="shared" si="6"/>
        <v>48.307692307692307</v>
      </c>
      <c r="M122" s="5" t="s">
        <v>10</v>
      </c>
      <c r="N122" s="5">
        <v>4</v>
      </c>
      <c r="O122" s="6">
        <f t="shared" si="7"/>
        <v>2.2898775147928991</v>
      </c>
      <c r="P122" s="6">
        <f t="shared" si="8"/>
        <v>0.2381472615384615</v>
      </c>
      <c r="Q122" s="10">
        <f t="shared" si="9"/>
        <v>4.9614012820512815E-3</v>
      </c>
      <c r="R122" s="10">
        <f t="shared" si="10"/>
        <v>2.9597587543075777E-2</v>
      </c>
      <c r="S122" s="10">
        <f t="shared" si="11"/>
        <v>3.4558988825127056E-2</v>
      </c>
    </row>
    <row r="123" spans="1:19" x14ac:dyDescent="0.25">
      <c r="A123" s="5" t="s">
        <v>22</v>
      </c>
      <c r="B123" s="5" t="s">
        <v>63</v>
      </c>
      <c r="C123" s="5" t="s">
        <v>27</v>
      </c>
      <c r="D123" s="5" t="s">
        <v>385</v>
      </c>
      <c r="E123" s="5" t="s">
        <v>387</v>
      </c>
      <c r="F123" s="5" t="s">
        <v>112</v>
      </c>
      <c r="G123" s="5" t="s">
        <v>395</v>
      </c>
      <c r="H123" s="5" t="s">
        <v>131</v>
      </c>
      <c r="I123" s="5" t="s">
        <v>132</v>
      </c>
      <c r="J123" s="5">
        <v>1175</v>
      </c>
      <c r="K123" s="5">
        <v>40</v>
      </c>
      <c r="L123" s="7">
        <f t="shared" si="6"/>
        <v>29.375</v>
      </c>
      <c r="M123" s="5" t="s">
        <v>10</v>
      </c>
      <c r="N123" s="5">
        <v>4</v>
      </c>
      <c r="O123" s="6">
        <f t="shared" si="7"/>
        <v>0.63368530273437496</v>
      </c>
      <c r="P123" s="6">
        <f t="shared" si="8"/>
        <v>6.5903271484374998E-2</v>
      </c>
      <c r="Q123" s="10">
        <f t="shared" si="9"/>
        <v>1.3729848225911459E-3</v>
      </c>
      <c r="R123" s="10">
        <f t="shared" si="10"/>
        <v>1.1292818553521496E-2</v>
      </c>
      <c r="S123" s="10">
        <f t="shared" si="11"/>
        <v>1.2665803376112641E-2</v>
      </c>
    </row>
    <row r="124" spans="1:19" x14ac:dyDescent="0.25">
      <c r="A124" s="5" t="s">
        <v>22</v>
      </c>
      <c r="B124" s="5" t="s">
        <v>63</v>
      </c>
      <c r="C124" s="5" t="s">
        <v>27</v>
      </c>
      <c r="D124" s="5" t="s">
        <v>385</v>
      </c>
      <c r="E124" s="5" t="s">
        <v>387</v>
      </c>
      <c r="F124" s="5" t="s">
        <v>112</v>
      </c>
      <c r="G124" s="5" t="s">
        <v>395</v>
      </c>
      <c r="H124" s="5" t="s">
        <v>129</v>
      </c>
      <c r="I124" s="5" t="s">
        <v>130</v>
      </c>
      <c r="J124" s="5">
        <v>2750</v>
      </c>
      <c r="K124" s="5">
        <v>41.5</v>
      </c>
      <c r="L124" s="7">
        <f t="shared" si="6"/>
        <v>66.265060240963862</v>
      </c>
      <c r="M124" s="5" t="s">
        <v>10</v>
      </c>
      <c r="N124" s="5">
        <v>4</v>
      </c>
      <c r="O124" s="6">
        <f t="shared" si="7"/>
        <v>7.5471312962694164</v>
      </c>
      <c r="P124" s="6">
        <f t="shared" si="8"/>
        <v>0.78490165481201923</v>
      </c>
      <c r="Q124" s="10">
        <f t="shared" si="9"/>
        <v>1.6352117808583734E-2</v>
      </c>
      <c r="R124" s="10">
        <f t="shared" si="10"/>
        <v>7.2399164332052277E-2</v>
      </c>
      <c r="S124" s="10">
        <f t="shared" si="11"/>
        <v>8.8751282140636018E-2</v>
      </c>
    </row>
    <row r="125" spans="1:19" x14ac:dyDescent="0.25">
      <c r="A125" s="5" t="s">
        <v>22</v>
      </c>
      <c r="B125" s="5" t="s">
        <v>63</v>
      </c>
      <c r="C125" s="5" t="s">
        <v>27</v>
      </c>
      <c r="D125" s="5" t="s">
        <v>385</v>
      </c>
      <c r="E125" s="5" t="s">
        <v>387</v>
      </c>
      <c r="F125" s="5" t="s">
        <v>112</v>
      </c>
      <c r="G125" s="5" t="s">
        <v>395</v>
      </c>
      <c r="H125" s="5" t="s">
        <v>129</v>
      </c>
      <c r="I125" s="5" t="s">
        <v>130</v>
      </c>
      <c r="J125" s="5">
        <v>2560</v>
      </c>
      <c r="K125" s="5">
        <v>44</v>
      </c>
      <c r="L125" s="7">
        <f t="shared" si="6"/>
        <v>58.18181818181818</v>
      </c>
      <c r="M125" s="5" t="s">
        <v>9</v>
      </c>
      <c r="N125" s="5">
        <v>4</v>
      </c>
      <c r="O125" s="6">
        <f t="shared" si="7"/>
        <v>5.4161983471074375</v>
      </c>
      <c r="P125" s="6">
        <f t="shared" si="8"/>
        <v>0.56328462809917346</v>
      </c>
      <c r="Q125" s="10">
        <f t="shared" si="9"/>
        <v>1.173509641873278E-2</v>
      </c>
      <c r="R125" s="10">
        <f t="shared" si="10"/>
        <v>5.6450532702040132E-2</v>
      </c>
      <c r="S125" s="10">
        <f t="shared" si="11"/>
        <v>6.8185629120772917E-2</v>
      </c>
    </row>
    <row r="126" spans="1:19" x14ac:dyDescent="0.25">
      <c r="A126" s="5" t="s">
        <v>22</v>
      </c>
      <c r="B126" s="5" t="s">
        <v>63</v>
      </c>
      <c r="C126" s="5" t="s">
        <v>27</v>
      </c>
      <c r="D126" s="5" t="s">
        <v>385</v>
      </c>
      <c r="E126" s="5" t="s">
        <v>387</v>
      </c>
      <c r="F126" s="5" t="s">
        <v>112</v>
      </c>
      <c r="G126" s="5" t="s">
        <v>395</v>
      </c>
      <c r="H126" s="5" t="s">
        <v>123</v>
      </c>
      <c r="I126" s="5" t="s">
        <v>124</v>
      </c>
      <c r="J126" s="5">
        <v>1900</v>
      </c>
      <c r="K126" s="5">
        <v>31</v>
      </c>
      <c r="L126" s="7">
        <f t="shared" si="6"/>
        <v>61.29032258064516</v>
      </c>
      <c r="M126" s="5" t="s">
        <v>10</v>
      </c>
      <c r="N126" s="5">
        <v>4</v>
      </c>
      <c r="O126" s="6">
        <f t="shared" si="7"/>
        <v>4.4608480749219561</v>
      </c>
      <c r="P126" s="6">
        <f t="shared" si="8"/>
        <v>0.46392819979188343</v>
      </c>
      <c r="Q126" s="10">
        <f t="shared" si="9"/>
        <v>9.6651708289975709E-3</v>
      </c>
      <c r="R126" s="10">
        <f t="shared" si="10"/>
        <v>4.8804537187392021E-2</v>
      </c>
      <c r="S126" s="10">
        <f t="shared" si="11"/>
        <v>5.8469708016389593E-2</v>
      </c>
    </row>
    <row r="127" spans="1:19" x14ac:dyDescent="0.25">
      <c r="A127" s="5" t="s">
        <v>22</v>
      </c>
      <c r="B127" s="5" t="s">
        <v>63</v>
      </c>
      <c r="C127" s="5" t="s">
        <v>27</v>
      </c>
      <c r="D127" s="5" t="s">
        <v>385</v>
      </c>
      <c r="E127" s="5" t="s">
        <v>387</v>
      </c>
      <c r="F127" s="5" t="s">
        <v>112</v>
      </c>
      <c r="G127" s="5" t="s">
        <v>395</v>
      </c>
      <c r="H127" s="5" t="s">
        <v>123</v>
      </c>
      <c r="I127" s="5" t="s">
        <v>124</v>
      </c>
      <c r="J127" s="5">
        <v>1700</v>
      </c>
      <c r="K127" s="5">
        <v>36.5</v>
      </c>
      <c r="L127" s="7">
        <f t="shared" si="6"/>
        <v>46.575342465753423</v>
      </c>
      <c r="M127" s="5" t="s">
        <v>9</v>
      </c>
      <c r="N127" s="5">
        <v>4</v>
      </c>
      <c r="O127" s="6">
        <f t="shared" si="7"/>
        <v>2.3048414336648522</v>
      </c>
      <c r="P127" s="6">
        <f t="shared" si="8"/>
        <v>0.23970350910114463</v>
      </c>
      <c r="Q127" s="10">
        <f t="shared" si="9"/>
        <v>4.9938231062738462E-3</v>
      </c>
      <c r="R127" s="10">
        <f t="shared" si="10"/>
        <v>2.974253037207969E-2</v>
      </c>
      <c r="S127" s="10">
        <f t="shared" si="11"/>
        <v>3.4736353478353535E-2</v>
      </c>
    </row>
    <row r="128" spans="1:19" x14ac:dyDescent="0.25">
      <c r="A128" s="5" t="s">
        <v>22</v>
      </c>
      <c r="B128" s="5" t="s">
        <v>63</v>
      </c>
      <c r="C128" s="5" t="s">
        <v>27</v>
      </c>
      <c r="D128" s="5" t="s">
        <v>385</v>
      </c>
      <c r="E128" s="5" t="s">
        <v>387</v>
      </c>
      <c r="F128" s="5" t="s">
        <v>112</v>
      </c>
      <c r="G128" s="5" t="s">
        <v>395</v>
      </c>
      <c r="H128" s="5" t="s">
        <v>127</v>
      </c>
      <c r="I128" s="5" t="s">
        <v>128</v>
      </c>
      <c r="J128" s="5">
        <v>2730</v>
      </c>
      <c r="K128" s="5">
        <v>35.5</v>
      </c>
      <c r="L128" s="7">
        <f t="shared" si="6"/>
        <v>76.901408450704224</v>
      </c>
      <c r="M128" s="5" t="s">
        <v>10</v>
      </c>
      <c r="N128" s="5">
        <v>4</v>
      </c>
      <c r="O128" s="6">
        <f t="shared" si="7"/>
        <v>10.09046667327911</v>
      </c>
      <c r="P128" s="6">
        <f t="shared" si="8"/>
        <v>1.0494085340210273</v>
      </c>
      <c r="Q128" s="10">
        <f t="shared" si="9"/>
        <v>2.1862677792104736E-2</v>
      </c>
      <c r="R128" s="10">
        <f t="shared" si="10"/>
        <v>9.0018249545225748E-2</v>
      </c>
      <c r="S128" s="10">
        <f t="shared" si="11"/>
        <v>0.11188092733733049</v>
      </c>
    </row>
    <row r="129" spans="1:19" x14ac:dyDescent="0.25">
      <c r="A129" s="5" t="s">
        <v>22</v>
      </c>
      <c r="B129" s="5" t="s">
        <v>63</v>
      </c>
      <c r="C129" s="5" t="s">
        <v>27</v>
      </c>
      <c r="D129" s="5" t="s">
        <v>385</v>
      </c>
      <c r="E129" s="5" t="s">
        <v>387</v>
      </c>
      <c r="F129" s="5" t="s">
        <v>112</v>
      </c>
      <c r="G129" s="5" t="s">
        <v>395</v>
      </c>
      <c r="H129" s="5" t="s">
        <v>127</v>
      </c>
      <c r="I129" s="5" t="s">
        <v>128</v>
      </c>
      <c r="J129" s="5">
        <v>2495</v>
      </c>
      <c r="K129" s="5">
        <v>37</v>
      </c>
      <c r="L129" s="7">
        <f t="shared" ref="L129:L192" si="12">J129/K129</f>
        <v>67.432432432432435</v>
      </c>
      <c r="M129" s="5" t="s">
        <v>9</v>
      </c>
      <c r="N129" s="5">
        <v>4</v>
      </c>
      <c r="O129" s="6">
        <f t="shared" ref="O129:O192" si="13">(J129*L129^2)/(1.6*10^6)</f>
        <v>7.090685434167276</v>
      </c>
      <c r="P129" s="6">
        <f t="shared" ref="P129:P192" si="14">(0.104*J129*L129^2)/(1.6*10^6)</f>
        <v>0.73743128515339662</v>
      </c>
      <c r="Q129" s="10">
        <f t="shared" ref="Q129:Q192" si="15">(0.104*O129)/(12*N129)</f>
        <v>1.5363151774029096E-2</v>
      </c>
      <c r="R129" s="10">
        <f t="shared" ref="R129:R192" si="16">0.0159*O129^0.75</f>
        <v>6.9089697094163655E-2</v>
      </c>
      <c r="S129" s="10">
        <f t="shared" ref="S129:S192" si="17">Q129+R129</f>
        <v>8.4452848868192751E-2</v>
      </c>
    </row>
    <row r="130" spans="1:19" x14ac:dyDescent="0.25">
      <c r="A130" s="5" t="s">
        <v>8</v>
      </c>
      <c r="B130" s="5" t="s">
        <v>333</v>
      </c>
      <c r="C130" s="5" t="s">
        <v>27</v>
      </c>
      <c r="D130" s="5" t="s">
        <v>385</v>
      </c>
      <c r="E130" s="5" t="s">
        <v>387</v>
      </c>
      <c r="F130" s="5" t="s">
        <v>112</v>
      </c>
      <c r="G130" s="5" t="s">
        <v>395</v>
      </c>
      <c r="H130" s="5" t="s">
        <v>127</v>
      </c>
      <c r="I130" s="5" t="s">
        <v>335</v>
      </c>
      <c r="J130" s="5">
        <v>2210</v>
      </c>
      <c r="K130" s="5">
        <v>28.6</v>
      </c>
      <c r="L130" s="7">
        <f t="shared" si="12"/>
        <v>77.272727272727266</v>
      </c>
      <c r="M130" s="5" t="s">
        <v>10</v>
      </c>
      <c r="N130" s="5">
        <v>4</v>
      </c>
      <c r="O130" s="6">
        <f t="shared" si="13"/>
        <v>8.2475464876033033</v>
      </c>
      <c r="P130" s="6">
        <f t="shared" si="14"/>
        <v>0.85774483471074359</v>
      </c>
      <c r="Q130" s="10">
        <f t="shared" si="15"/>
        <v>1.7869684056473822E-2</v>
      </c>
      <c r="R130" s="10">
        <f t="shared" si="16"/>
        <v>7.7382134205359915E-2</v>
      </c>
      <c r="S130" s="10">
        <f t="shared" si="17"/>
        <v>9.5251818261833737E-2</v>
      </c>
    </row>
    <row r="131" spans="1:19" x14ac:dyDescent="0.25">
      <c r="A131" s="5" t="s">
        <v>8</v>
      </c>
      <c r="B131" s="5" t="s">
        <v>239</v>
      </c>
      <c r="C131" s="5" t="s">
        <v>27</v>
      </c>
      <c r="D131" s="5" t="s">
        <v>385</v>
      </c>
      <c r="E131" s="5" t="s">
        <v>387</v>
      </c>
      <c r="F131" s="5" t="s">
        <v>112</v>
      </c>
      <c r="G131" s="5" t="s">
        <v>395</v>
      </c>
      <c r="H131" s="5" t="s">
        <v>127</v>
      </c>
      <c r="I131" s="5" t="s">
        <v>240</v>
      </c>
      <c r="J131" s="5">
        <v>2800</v>
      </c>
      <c r="K131" s="5">
        <v>34.299999999999997</v>
      </c>
      <c r="L131" s="7">
        <f t="shared" si="12"/>
        <v>81.632653061224502</v>
      </c>
      <c r="M131" s="5" t="s">
        <v>10</v>
      </c>
      <c r="N131" s="5">
        <v>4</v>
      </c>
      <c r="O131" s="6">
        <f t="shared" si="13"/>
        <v>11.661807580174932</v>
      </c>
      <c r="P131" s="6">
        <f t="shared" si="14"/>
        <v>1.2128279883381927</v>
      </c>
      <c r="Q131" s="10">
        <f t="shared" si="15"/>
        <v>2.5267249757045685E-2</v>
      </c>
      <c r="R131" s="10">
        <f t="shared" si="16"/>
        <v>0.10033940647782641</v>
      </c>
      <c r="S131" s="10">
        <f t="shared" si="17"/>
        <v>0.1256066562348721</v>
      </c>
    </row>
    <row r="132" spans="1:19" x14ac:dyDescent="0.25">
      <c r="A132" s="5" t="s">
        <v>8</v>
      </c>
      <c r="B132" s="5" t="s">
        <v>239</v>
      </c>
      <c r="C132" s="5" t="s">
        <v>27</v>
      </c>
      <c r="D132" s="5" t="s">
        <v>385</v>
      </c>
      <c r="E132" s="5" t="s">
        <v>387</v>
      </c>
      <c r="F132" s="5" t="s">
        <v>112</v>
      </c>
      <c r="G132" s="5" t="s">
        <v>395</v>
      </c>
      <c r="H132" s="5" t="s">
        <v>127</v>
      </c>
      <c r="I132" s="5" t="s">
        <v>240</v>
      </c>
      <c r="J132" s="5">
        <v>3180</v>
      </c>
      <c r="K132" s="5">
        <v>49.3</v>
      </c>
      <c r="L132" s="7">
        <f t="shared" si="12"/>
        <v>64.503042596348891</v>
      </c>
      <c r="M132" s="5" t="s">
        <v>9</v>
      </c>
      <c r="N132" s="5">
        <v>4</v>
      </c>
      <c r="O132" s="6">
        <f t="shared" si="13"/>
        <v>8.2692769770704686</v>
      </c>
      <c r="P132" s="6">
        <f t="shared" si="14"/>
        <v>0.86000480561532866</v>
      </c>
      <c r="Q132" s="10">
        <f t="shared" si="15"/>
        <v>1.7916766783652682E-2</v>
      </c>
      <c r="R132" s="10">
        <f t="shared" si="16"/>
        <v>7.7534997706638811E-2</v>
      </c>
      <c r="S132" s="10">
        <f t="shared" si="17"/>
        <v>9.5451764490291496E-2</v>
      </c>
    </row>
    <row r="133" spans="1:19" x14ac:dyDescent="0.25">
      <c r="A133" s="5" t="s">
        <v>8</v>
      </c>
      <c r="B133" s="5" t="s">
        <v>333</v>
      </c>
      <c r="C133" s="5" t="s">
        <v>27</v>
      </c>
      <c r="D133" s="5" t="s">
        <v>385</v>
      </c>
      <c r="E133" s="5" t="s">
        <v>387</v>
      </c>
      <c r="F133" s="5" t="s">
        <v>112</v>
      </c>
      <c r="G133" s="5" t="s">
        <v>395</v>
      </c>
      <c r="H133" s="5" t="s">
        <v>127</v>
      </c>
      <c r="I133" s="5" t="s">
        <v>240</v>
      </c>
      <c r="J133" s="5">
        <v>2630</v>
      </c>
      <c r="K133" s="5">
        <v>31.3</v>
      </c>
      <c r="L133" s="7">
        <f t="shared" si="12"/>
        <v>84.025559105431313</v>
      </c>
      <c r="M133" s="5" t="s">
        <v>10</v>
      </c>
      <c r="N133" s="5">
        <v>4</v>
      </c>
      <c r="O133" s="6">
        <f t="shared" si="13"/>
        <v>11.60535922077392</v>
      </c>
      <c r="P133" s="6">
        <f t="shared" si="14"/>
        <v>1.2069573589604874</v>
      </c>
      <c r="Q133" s="10">
        <f t="shared" si="15"/>
        <v>2.5144944978343492E-2</v>
      </c>
      <c r="R133" s="10">
        <f t="shared" si="16"/>
        <v>9.9974919960367822E-2</v>
      </c>
      <c r="S133" s="10">
        <f t="shared" si="17"/>
        <v>0.1251198649387113</v>
      </c>
    </row>
    <row r="134" spans="1:19" x14ac:dyDescent="0.25">
      <c r="A134" s="5" t="s">
        <v>8</v>
      </c>
      <c r="B134" s="5" t="s">
        <v>333</v>
      </c>
      <c r="C134" s="5" t="s">
        <v>27</v>
      </c>
      <c r="D134" s="5" t="s">
        <v>385</v>
      </c>
      <c r="E134" s="5" t="s">
        <v>387</v>
      </c>
      <c r="F134" s="5" t="s">
        <v>112</v>
      </c>
      <c r="G134" s="5" t="s">
        <v>395</v>
      </c>
      <c r="H134" s="5" t="s">
        <v>127</v>
      </c>
      <c r="I134" s="5" t="s">
        <v>240</v>
      </c>
      <c r="J134" s="5">
        <v>2290</v>
      </c>
      <c r="K134" s="5">
        <v>25.4</v>
      </c>
      <c r="L134" s="7">
        <f t="shared" si="12"/>
        <v>90.157480314960637</v>
      </c>
      <c r="M134" s="5" t="s">
        <v>9</v>
      </c>
      <c r="N134" s="5">
        <v>4</v>
      </c>
      <c r="O134" s="6">
        <f t="shared" si="13"/>
        <v>11.633731361212723</v>
      </c>
      <c r="P134" s="6">
        <f t="shared" si="14"/>
        <v>1.2099080615661233</v>
      </c>
      <c r="Q134" s="10">
        <f t="shared" si="15"/>
        <v>2.5206417949294232E-2</v>
      </c>
      <c r="R134" s="10">
        <f t="shared" si="16"/>
        <v>0.10015817386585321</v>
      </c>
      <c r="S134" s="10">
        <f t="shared" si="17"/>
        <v>0.12536459181514745</v>
      </c>
    </row>
    <row r="135" spans="1:19" x14ac:dyDescent="0.25">
      <c r="A135" s="5" t="s">
        <v>8</v>
      </c>
      <c r="B135" s="5" t="s">
        <v>281</v>
      </c>
      <c r="C135" s="5" t="s">
        <v>27</v>
      </c>
      <c r="D135" s="5" t="s">
        <v>385</v>
      </c>
      <c r="E135" s="5" t="s">
        <v>387</v>
      </c>
      <c r="F135" s="5" t="s">
        <v>112</v>
      </c>
      <c r="G135" s="5" t="s">
        <v>395</v>
      </c>
      <c r="H135" s="5" t="s">
        <v>127</v>
      </c>
      <c r="I135" s="5" t="s">
        <v>283</v>
      </c>
      <c r="J135" s="5">
        <v>2700</v>
      </c>
      <c r="K135" s="5">
        <v>35.5</v>
      </c>
      <c r="L135" s="7">
        <f t="shared" si="12"/>
        <v>76.056338028169009</v>
      </c>
      <c r="M135" s="5" t="s">
        <v>10</v>
      </c>
      <c r="N135" s="5">
        <v>4</v>
      </c>
      <c r="O135" s="6">
        <f t="shared" si="13"/>
        <v>9.761456060305493</v>
      </c>
      <c r="P135" s="6">
        <f t="shared" si="14"/>
        <v>1.0151914302717713</v>
      </c>
      <c r="Q135" s="10">
        <f t="shared" si="15"/>
        <v>2.1149821463995234E-2</v>
      </c>
      <c r="R135" s="10">
        <f t="shared" si="16"/>
        <v>8.7807796146606665E-2</v>
      </c>
      <c r="S135" s="10">
        <f t="shared" si="17"/>
        <v>0.1089576176106019</v>
      </c>
    </row>
    <row r="136" spans="1:19" x14ac:dyDescent="0.25">
      <c r="A136" s="5" t="s">
        <v>8</v>
      </c>
      <c r="B136" s="5" t="s">
        <v>333</v>
      </c>
      <c r="C136" s="5" t="s">
        <v>27</v>
      </c>
      <c r="D136" s="5" t="s">
        <v>385</v>
      </c>
      <c r="E136" s="5" t="s">
        <v>387</v>
      </c>
      <c r="F136" s="5" t="s">
        <v>112</v>
      </c>
      <c r="G136" s="5" t="s">
        <v>395</v>
      </c>
      <c r="H136" s="5" t="s">
        <v>127</v>
      </c>
      <c r="I136" s="5" t="s">
        <v>334</v>
      </c>
      <c r="J136" s="5">
        <v>2470</v>
      </c>
      <c r="K136" s="5">
        <v>32.4</v>
      </c>
      <c r="L136" s="7">
        <f t="shared" si="12"/>
        <v>76.23456790123457</v>
      </c>
      <c r="M136" s="5" t="s">
        <v>10</v>
      </c>
      <c r="N136" s="5">
        <v>4</v>
      </c>
      <c r="O136" s="6">
        <f t="shared" si="13"/>
        <v>8.9718262983920134</v>
      </c>
      <c r="P136" s="6">
        <f t="shared" si="14"/>
        <v>0.93306993503276947</v>
      </c>
      <c r="Q136" s="10">
        <f t="shared" si="15"/>
        <v>1.9438956979849362E-2</v>
      </c>
      <c r="R136" s="10">
        <f t="shared" si="16"/>
        <v>8.2424774346458729E-2</v>
      </c>
      <c r="S136" s="10">
        <f t="shared" si="17"/>
        <v>0.10186373132630809</v>
      </c>
    </row>
    <row r="137" spans="1:19" x14ac:dyDescent="0.25">
      <c r="A137" s="5" t="s">
        <v>8</v>
      </c>
      <c r="B137" s="5" t="s">
        <v>333</v>
      </c>
      <c r="C137" s="5" t="s">
        <v>27</v>
      </c>
      <c r="D137" s="5" t="s">
        <v>385</v>
      </c>
      <c r="E137" s="5" t="s">
        <v>387</v>
      </c>
      <c r="F137" s="5" t="s">
        <v>112</v>
      </c>
      <c r="G137" s="5" t="s">
        <v>395</v>
      </c>
      <c r="H137" s="5" t="s">
        <v>127</v>
      </c>
      <c r="I137" s="5" t="s">
        <v>334</v>
      </c>
      <c r="J137" s="5">
        <v>1900</v>
      </c>
      <c r="K137" s="5">
        <v>34.200000000000003</v>
      </c>
      <c r="L137" s="7">
        <f t="shared" si="12"/>
        <v>55.55555555555555</v>
      </c>
      <c r="M137" s="5" t="s">
        <v>9</v>
      </c>
      <c r="N137" s="5">
        <v>4</v>
      </c>
      <c r="O137" s="6">
        <f t="shared" si="13"/>
        <v>3.6651234567901225</v>
      </c>
      <c r="P137" s="6">
        <f t="shared" si="14"/>
        <v>0.38117283950617276</v>
      </c>
      <c r="Q137" s="10">
        <f t="shared" si="15"/>
        <v>7.9411008230452652E-3</v>
      </c>
      <c r="R137" s="10">
        <f t="shared" si="16"/>
        <v>4.2117596577025559E-2</v>
      </c>
      <c r="S137" s="10">
        <f t="shared" si="17"/>
        <v>5.0058697400070823E-2</v>
      </c>
    </row>
    <row r="138" spans="1:19" x14ac:dyDescent="0.25">
      <c r="A138" s="5" t="s">
        <v>8</v>
      </c>
      <c r="B138" s="5" t="s">
        <v>156</v>
      </c>
      <c r="C138" s="5" t="s">
        <v>27</v>
      </c>
      <c r="D138" s="5" t="s">
        <v>385</v>
      </c>
      <c r="E138" s="5" t="s">
        <v>387</v>
      </c>
      <c r="F138" s="5" t="s">
        <v>112</v>
      </c>
      <c r="G138" s="5" t="s">
        <v>395</v>
      </c>
      <c r="H138" s="5" t="s">
        <v>127</v>
      </c>
      <c r="I138" s="5" t="s">
        <v>160</v>
      </c>
      <c r="J138" s="5">
        <v>2119</v>
      </c>
      <c r="K138" s="5">
        <v>36</v>
      </c>
      <c r="L138" s="7">
        <f t="shared" si="12"/>
        <v>58.861111111111114</v>
      </c>
      <c r="M138" s="5" t="s">
        <v>10</v>
      </c>
      <c r="N138" s="5">
        <v>4</v>
      </c>
      <c r="O138" s="6">
        <f t="shared" si="13"/>
        <v>4.5884698876350312</v>
      </c>
      <c r="P138" s="6">
        <f t="shared" si="14"/>
        <v>0.47720086831404318</v>
      </c>
      <c r="Q138" s="10">
        <f t="shared" si="15"/>
        <v>9.9416847565425674E-3</v>
      </c>
      <c r="R138" s="10">
        <f t="shared" si="16"/>
        <v>4.9848034494641785E-2</v>
      </c>
      <c r="S138" s="10">
        <f t="shared" si="17"/>
        <v>5.9789719251184356E-2</v>
      </c>
    </row>
    <row r="139" spans="1:19" x14ac:dyDescent="0.25">
      <c r="A139" s="5" t="s">
        <v>22</v>
      </c>
      <c r="B139" s="5" t="s">
        <v>63</v>
      </c>
      <c r="C139" s="5" t="s">
        <v>27</v>
      </c>
      <c r="D139" s="5" t="s">
        <v>385</v>
      </c>
      <c r="E139" s="5" t="s">
        <v>387</v>
      </c>
      <c r="F139" s="5" t="s">
        <v>112</v>
      </c>
      <c r="G139" s="5" t="s">
        <v>395</v>
      </c>
      <c r="H139" s="5" t="s">
        <v>125</v>
      </c>
      <c r="I139" s="5" t="s">
        <v>126</v>
      </c>
      <c r="J139" s="5">
        <v>1150</v>
      </c>
      <c r="K139" s="5">
        <v>22.5</v>
      </c>
      <c r="L139" s="7">
        <f t="shared" si="12"/>
        <v>51.111111111111114</v>
      </c>
      <c r="M139" s="5" t="s">
        <v>10</v>
      </c>
      <c r="N139" s="5">
        <v>4</v>
      </c>
      <c r="O139" s="6">
        <f t="shared" si="13"/>
        <v>1.8776234567901235</v>
      </c>
      <c r="P139" s="6">
        <f t="shared" si="14"/>
        <v>0.19527283950617286</v>
      </c>
      <c r="Q139" s="10">
        <f t="shared" si="15"/>
        <v>4.0681841563786009E-3</v>
      </c>
      <c r="R139" s="10">
        <f t="shared" si="16"/>
        <v>2.5503718193814025E-2</v>
      </c>
      <c r="S139" s="10">
        <f t="shared" si="17"/>
        <v>2.9571902350192626E-2</v>
      </c>
    </row>
    <row r="140" spans="1:19" x14ac:dyDescent="0.25">
      <c r="A140" s="5" t="s">
        <v>22</v>
      </c>
      <c r="B140" s="5" t="s">
        <v>63</v>
      </c>
      <c r="C140" s="5" t="s">
        <v>27</v>
      </c>
      <c r="D140" s="5" t="s">
        <v>385</v>
      </c>
      <c r="E140" s="5" t="s">
        <v>387</v>
      </c>
      <c r="F140" s="5" t="s">
        <v>112</v>
      </c>
      <c r="G140" s="5" t="s">
        <v>391</v>
      </c>
      <c r="H140" s="5" t="s">
        <v>117</v>
      </c>
      <c r="I140" s="5" t="s">
        <v>118</v>
      </c>
      <c r="J140" s="5">
        <v>570</v>
      </c>
      <c r="K140" s="5">
        <v>20</v>
      </c>
      <c r="L140" s="7">
        <f t="shared" si="12"/>
        <v>28.5</v>
      </c>
      <c r="M140" s="5" t="s">
        <v>10</v>
      </c>
      <c r="N140" s="5">
        <v>4</v>
      </c>
      <c r="O140" s="6">
        <f t="shared" si="13"/>
        <v>0.28936406250000002</v>
      </c>
      <c r="P140" s="6">
        <f t="shared" si="14"/>
        <v>3.0093862499999995E-2</v>
      </c>
      <c r="Q140" s="10">
        <f t="shared" si="15"/>
        <v>6.2695546875000008E-4</v>
      </c>
      <c r="R140" s="10">
        <f t="shared" si="16"/>
        <v>6.2730762879062542E-3</v>
      </c>
      <c r="S140" s="10">
        <f t="shared" si="17"/>
        <v>6.9000317566562542E-3</v>
      </c>
    </row>
    <row r="141" spans="1:19" x14ac:dyDescent="0.25">
      <c r="A141" s="5" t="s">
        <v>22</v>
      </c>
      <c r="B141" s="5" t="s">
        <v>63</v>
      </c>
      <c r="C141" s="5" t="s">
        <v>27</v>
      </c>
      <c r="D141" s="5" t="s">
        <v>385</v>
      </c>
      <c r="E141" s="5" t="s">
        <v>387</v>
      </c>
      <c r="F141" s="5" t="s">
        <v>112</v>
      </c>
      <c r="G141" s="5" t="s">
        <v>391</v>
      </c>
      <c r="H141" s="5" t="s">
        <v>122</v>
      </c>
      <c r="I141" s="5" t="s">
        <v>19</v>
      </c>
      <c r="J141" s="5">
        <v>1200</v>
      </c>
      <c r="K141" s="5">
        <v>42</v>
      </c>
      <c r="L141" s="7">
        <f t="shared" si="12"/>
        <v>28.571428571428573</v>
      </c>
      <c r="M141" s="5" t="s">
        <v>10</v>
      </c>
      <c r="N141" s="5">
        <v>4</v>
      </c>
      <c r="O141" s="6">
        <f t="shared" si="13"/>
        <v>0.61224489795918369</v>
      </c>
      <c r="P141" s="6">
        <f t="shared" si="14"/>
        <v>6.3673469387755102E-2</v>
      </c>
      <c r="Q141" s="10">
        <f t="shared" si="15"/>
        <v>1.326530612244898E-3</v>
      </c>
      <c r="R141" s="10">
        <f t="shared" si="16"/>
        <v>1.1005024287086839E-2</v>
      </c>
      <c r="S141" s="10">
        <f t="shared" si="17"/>
        <v>1.2331554899331737E-2</v>
      </c>
    </row>
    <row r="142" spans="1:19" x14ac:dyDescent="0.25">
      <c r="A142" s="5" t="s">
        <v>22</v>
      </c>
      <c r="B142" s="5" t="s">
        <v>63</v>
      </c>
      <c r="C142" s="5" t="s">
        <v>27</v>
      </c>
      <c r="D142" s="5" t="s">
        <v>385</v>
      </c>
      <c r="E142" s="5" t="s">
        <v>387</v>
      </c>
      <c r="F142" s="5" t="s">
        <v>112</v>
      </c>
      <c r="G142" s="5" t="s">
        <v>391</v>
      </c>
      <c r="H142" s="5" t="s">
        <v>53</v>
      </c>
      <c r="I142" s="5" t="s">
        <v>143</v>
      </c>
      <c r="J142" s="5">
        <v>2360</v>
      </c>
      <c r="K142" s="5">
        <v>39.5</v>
      </c>
      <c r="L142" s="7">
        <f t="shared" si="12"/>
        <v>59.746835443037973</v>
      </c>
      <c r="M142" s="5" t="s">
        <v>10</v>
      </c>
      <c r="N142" s="5">
        <v>4</v>
      </c>
      <c r="O142" s="6">
        <f t="shared" si="13"/>
        <v>5.2652844095497517</v>
      </c>
      <c r="P142" s="6">
        <f t="shared" si="14"/>
        <v>0.54758957859317414</v>
      </c>
      <c r="Q142" s="10">
        <f t="shared" si="15"/>
        <v>1.1408116220691128E-2</v>
      </c>
      <c r="R142" s="10">
        <f t="shared" si="16"/>
        <v>5.5266695818139089E-2</v>
      </c>
      <c r="S142" s="10">
        <f t="shared" si="17"/>
        <v>6.6674812038830217E-2</v>
      </c>
    </row>
    <row r="143" spans="1:19" x14ac:dyDescent="0.25">
      <c r="A143" s="5" t="s">
        <v>8</v>
      </c>
      <c r="B143" s="5" t="s">
        <v>363</v>
      </c>
      <c r="C143" s="5" t="s">
        <v>27</v>
      </c>
      <c r="D143" s="5" t="s">
        <v>385</v>
      </c>
      <c r="E143" s="5" t="s">
        <v>387</v>
      </c>
      <c r="F143" s="5" t="s">
        <v>112</v>
      </c>
      <c r="G143" s="5" t="s">
        <v>391</v>
      </c>
      <c r="H143" s="5" t="s">
        <v>53</v>
      </c>
      <c r="I143" s="5" t="s">
        <v>167</v>
      </c>
      <c r="J143" s="5">
        <v>2300</v>
      </c>
      <c r="K143" s="5">
        <v>26.3</v>
      </c>
      <c r="L143" s="7">
        <f t="shared" si="12"/>
        <v>87.452471482889734</v>
      </c>
      <c r="M143" s="5" t="s">
        <v>10</v>
      </c>
      <c r="N143" s="5">
        <v>4</v>
      </c>
      <c r="O143" s="6">
        <f t="shared" si="13"/>
        <v>10.993906229669362</v>
      </c>
      <c r="P143" s="6">
        <f t="shared" si="14"/>
        <v>1.1433662478856135</v>
      </c>
      <c r="Q143" s="10">
        <f t="shared" si="15"/>
        <v>2.3820130164283613E-2</v>
      </c>
      <c r="R143" s="10">
        <f t="shared" si="16"/>
        <v>9.5997770223245141E-2</v>
      </c>
      <c r="S143" s="10">
        <f t="shared" si="17"/>
        <v>0.11981790038752875</v>
      </c>
    </row>
    <row r="144" spans="1:19" x14ac:dyDescent="0.25">
      <c r="A144" s="5" t="s">
        <v>8</v>
      </c>
      <c r="B144" s="5" t="s">
        <v>347</v>
      </c>
      <c r="C144" s="5" t="s">
        <v>27</v>
      </c>
      <c r="D144" s="5" t="s">
        <v>385</v>
      </c>
      <c r="E144" s="5" t="s">
        <v>387</v>
      </c>
      <c r="F144" s="5" t="s">
        <v>112</v>
      </c>
      <c r="G144" s="5" t="s">
        <v>391</v>
      </c>
      <c r="H144" s="5" t="s">
        <v>53</v>
      </c>
      <c r="I144" s="5" t="s">
        <v>348</v>
      </c>
      <c r="J144" s="5">
        <v>1750</v>
      </c>
      <c r="K144" s="5">
        <v>38</v>
      </c>
      <c r="L144" s="7">
        <f t="shared" si="12"/>
        <v>46.05263157894737</v>
      </c>
      <c r="M144" s="5" t="s">
        <v>10</v>
      </c>
      <c r="N144" s="5">
        <v>4</v>
      </c>
      <c r="O144" s="6">
        <f t="shared" si="13"/>
        <v>2.3196740824099722</v>
      </c>
      <c r="P144" s="6">
        <f t="shared" si="14"/>
        <v>0.24124610457063711</v>
      </c>
      <c r="Q144" s="10">
        <f t="shared" si="15"/>
        <v>5.0259605118882734E-3</v>
      </c>
      <c r="R144" s="10">
        <f t="shared" si="16"/>
        <v>2.988596970978951E-2</v>
      </c>
      <c r="S144" s="10">
        <f t="shared" si="17"/>
        <v>3.4911930221677781E-2</v>
      </c>
    </row>
    <row r="145" spans="1:19" x14ac:dyDescent="0.25">
      <c r="A145" s="5" t="s">
        <v>8</v>
      </c>
      <c r="B145" s="5" t="s">
        <v>347</v>
      </c>
      <c r="C145" s="5" t="s">
        <v>27</v>
      </c>
      <c r="D145" s="5" t="s">
        <v>385</v>
      </c>
      <c r="E145" s="5" t="s">
        <v>387</v>
      </c>
      <c r="F145" s="5" t="s">
        <v>112</v>
      </c>
      <c r="G145" s="5" t="s">
        <v>391</v>
      </c>
      <c r="H145" s="5" t="s">
        <v>53</v>
      </c>
      <c r="I145" s="5" t="s">
        <v>348</v>
      </c>
      <c r="J145" s="5">
        <v>1450</v>
      </c>
      <c r="K145" s="5">
        <v>30</v>
      </c>
      <c r="L145" s="7">
        <f t="shared" si="12"/>
        <v>48.333333333333336</v>
      </c>
      <c r="M145" s="5" t="s">
        <v>10</v>
      </c>
      <c r="N145" s="5">
        <v>4</v>
      </c>
      <c r="O145" s="6">
        <f t="shared" si="13"/>
        <v>2.1171006944444448</v>
      </c>
      <c r="P145" s="6">
        <f t="shared" si="14"/>
        <v>0.22017847222222223</v>
      </c>
      <c r="Q145" s="10">
        <f t="shared" si="15"/>
        <v>4.5870515046296306E-3</v>
      </c>
      <c r="R145" s="10">
        <f t="shared" si="16"/>
        <v>2.7906364358137148E-2</v>
      </c>
      <c r="S145" s="10">
        <f t="shared" si="17"/>
        <v>3.2493415862766779E-2</v>
      </c>
    </row>
    <row r="146" spans="1:19" x14ac:dyDescent="0.25">
      <c r="A146" s="5" t="s">
        <v>8</v>
      </c>
      <c r="B146" s="5" t="s">
        <v>350</v>
      </c>
      <c r="C146" s="5" t="s">
        <v>27</v>
      </c>
      <c r="D146" s="5" t="s">
        <v>385</v>
      </c>
      <c r="E146" s="5" t="s">
        <v>387</v>
      </c>
      <c r="F146" s="5" t="s">
        <v>112</v>
      </c>
      <c r="G146" s="5" t="s">
        <v>391</v>
      </c>
      <c r="H146" s="5" t="s">
        <v>53</v>
      </c>
      <c r="I146" s="5" t="s">
        <v>349</v>
      </c>
      <c r="J146" s="5">
        <v>2650</v>
      </c>
      <c r="K146" s="5">
        <v>40</v>
      </c>
      <c r="L146" s="7">
        <f t="shared" si="12"/>
        <v>66.25</v>
      </c>
      <c r="M146" s="5" t="s">
        <v>10</v>
      </c>
      <c r="N146" s="5">
        <v>4</v>
      </c>
      <c r="O146" s="6">
        <f t="shared" si="13"/>
        <v>7.2693847656250004</v>
      </c>
      <c r="P146" s="6">
        <f t="shared" si="14"/>
        <v>0.75601601562499987</v>
      </c>
      <c r="Q146" s="10">
        <f t="shared" si="15"/>
        <v>1.5750333658854167E-2</v>
      </c>
      <c r="R146" s="10">
        <f t="shared" si="16"/>
        <v>7.0391523800442932E-2</v>
      </c>
      <c r="S146" s="10">
        <f t="shared" si="17"/>
        <v>8.6141857459297103E-2</v>
      </c>
    </row>
    <row r="147" spans="1:19" x14ac:dyDescent="0.25">
      <c r="A147" s="5" t="s">
        <v>8</v>
      </c>
      <c r="B147" s="5" t="s">
        <v>350</v>
      </c>
      <c r="C147" s="5" t="s">
        <v>27</v>
      </c>
      <c r="D147" s="5" t="s">
        <v>385</v>
      </c>
      <c r="E147" s="5" t="s">
        <v>387</v>
      </c>
      <c r="F147" s="5" t="s">
        <v>112</v>
      </c>
      <c r="G147" s="5" t="s">
        <v>391</v>
      </c>
      <c r="H147" s="5" t="s">
        <v>53</v>
      </c>
      <c r="I147" s="5" t="s">
        <v>349</v>
      </c>
      <c r="J147" s="5">
        <v>2700</v>
      </c>
      <c r="K147" s="5">
        <v>40.5</v>
      </c>
      <c r="L147" s="7">
        <f t="shared" si="12"/>
        <v>66.666666666666671</v>
      </c>
      <c r="M147" s="5" t="s">
        <v>9</v>
      </c>
      <c r="N147" s="5">
        <v>4</v>
      </c>
      <c r="O147" s="6">
        <f t="shared" si="13"/>
        <v>7.5000000000000009</v>
      </c>
      <c r="P147" s="6">
        <f t="shared" si="14"/>
        <v>0.78000000000000014</v>
      </c>
      <c r="Q147" s="10">
        <f t="shared" si="15"/>
        <v>1.6250000000000001E-2</v>
      </c>
      <c r="R147" s="10">
        <f t="shared" si="16"/>
        <v>7.2059803226958916E-2</v>
      </c>
      <c r="S147" s="10">
        <f t="shared" si="17"/>
        <v>8.8309803226958916E-2</v>
      </c>
    </row>
    <row r="148" spans="1:19" x14ac:dyDescent="0.25">
      <c r="A148" s="5" t="s">
        <v>8</v>
      </c>
      <c r="B148" s="5" t="s">
        <v>347</v>
      </c>
      <c r="C148" s="5" t="s">
        <v>27</v>
      </c>
      <c r="D148" s="5" t="s">
        <v>385</v>
      </c>
      <c r="E148" s="5" t="s">
        <v>387</v>
      </c>
      <c r="F148" s="5" t="s">
        <v>112</v>
      </c>
      <c r="G148" s="5" t="s">
        <v>391</v>
      </c>
      <c r="H148" s="5" t="s">
        <v>53</v>
      </c>
      <c r="I148" s="5" t="s">
        <v>349</v>
      </c>
      <c r="J148" s="5">
        <v>2500</v>
      </c>
      <c r="K148" s="5">
        <v>33.700000000000003</v>
      </c>
      <c r="L148" s="7">
        <f t="shared" si="12"/>
        <v>74.183976261127597</v>
      </c>
      <c r="M148" s="5" t="s">
        <v>10</v>
      </c>
      <c r="N148" s="5">
        <v>4</v>
      </c>
      <c r="O148" s="6">
        <f t="shared" si="13"/>
        <v>8.5988473967367849</v>
      </c>
      <c r="P148" s="6">
        <f t="shared" si="14"/>
        <v>0.89428012926062572</v>
      </c>
      <c r="Q148" s="10">
        <f t="shared" si="15"/>
        <v>1.8630836026263035E-2</v>
      </c>
      <c r="R148" s="10">
        <f t="shared" si="16"/>
        <v>7.9841245929260979E-2</v>
      </c>
      <c r="S148" s="10">
        <f t="shared" si="17"/>
        <v>9.847208195552401E-2</v>
      </c>
    </row>
    <row r="149" spans="1:19" x14ac:dyDescent="0.25">
      <c r="A149" s="5" t="s">
        <v>8</v>
      </c>
      <c r="B149" s="5" t="s">
        <v>347</v>
      </c>
      <c r="C149" s="5" t="s">
        <v>27</v>
      </c>
      <c r="D149" s="5" t="s">
        <v>385</v>
      </c>
      <c r="E149" s="5" t="s">
        <v>387</v>
      </c>
      <c r="F149" s="5" t="s">
        <v>112</v>
      </c>
      <c r="G149" s="5" t="s">
        <v>391</v>
      </c>
      <c r="H149" s="5" t="s">
        <v>53</v>
      </c>
      <c r="I149" s="5" t="s">
        <v>349</v>
      </c>
      <c r="J149" s="5">
        <v>2500</v>
      </c>
      <c r="K149" s="5">
        <v>31</v>
      </c>
      <c r="L149" s="7">
        <f t="shared" si="12"/>
        <v>80.645161290322577</v>
      </c>
      <c r="M149" s="5" t="s">
        <v>9</v>
      </c>
      <c r="N149" s="5">
        <v>4</v>
      </c>
      <c r="O149" s="6">
        <f t="shared" si="13"/>
        <v>10.161940686784598</v>
      </c>
      <c r="P149" s="6">
        <f t="shared" si="14"/>
        <v>1.0568418314255983</v>
      </c>
      <c r="Q149" s="10">
        <f t="shared" si="15"/>
        <v>2.2017538154699964E-2</v>
      </c>
      <c r="R149" s="10">
        <f t="shared" si="16"/>
        <v>9.0496048477232735E-2</v>
      </c>
      <c r="S149" s="10">
        <f t="shared" si="17"/>
        <v>0.1125135866319327</v>
      </c>
    </row>
    <row r="150" spans="1:19" x14ac:dyDescent="0.25">
      <c r="A150" s="5" t="s">
        <v>22</v>
      </c>
      <c r="B150" s="5" t="s">
        <v>63</v>
      </c>
      <c r="C150" s="5" t="s">
        <v>27</v>
      </c>
      <c r="D150" s="5" t="s">
        <v>385</v>
      </c>
      <c r="E150" s="5" t="s">
        <v>387</v>
      </c>
      <c r="F150" s="5" t="s">
        <v>112</v>
      </c>
      <c r="G150" s="5" t="s">
        <v>391</v>
      </c>
      <c r="H150" s="5" t="s">
        <v>53</v>
      </c>
      <c r="I150" s="5" t="s">
        <v>144</v>
      </c>
      <c r="J150" s="5">
        <v>3050</v>
      </c>
      <c r="K150" s="5">
        <v>41</v>
      </c>
      <c r="L150" s="7">
        <f t="shared" si="12"/>
        <v>74.390243902439025</v>
      </c>
      <c r="M150" s="5" t="s">
        <v>10</v>
      </c>
      <c r="N150" s="5">
        <v>4</v>
      </c>
      <c r="O150" s="6">
        <f t="shared" si="13"/>
        <v>10.549012864366448</v>
      </c>
      <c r="P150" s="6">
        <f t="shared" si="14"/>
        <v>1.0970973378941107</v>
      </c>
      <c r="Q150" s="10">
        <f t="shared" si="15"/>
        <v>2.2856194539460636E-2</v>
      </c>
      <c r="R150" s="10">
        <f t="shared" si="16"/>
        <v>9.3069202129934317E-2</v>
      </c>
      <c r="S150" s="10">
        <f t="shared" si="17"/>
        <v>0.11592539666939496</v>
      </c>
    </row>
    <row r="151" spans="1:19" x14ac:dyDescent="0.25">
      <c r="A151" s="5" t="s">
        <v>8</v>
      </c>
      <c r="B151" s="5" t="s">
        <v>378</v>
      </c>
      <c r="C151" s="5" t="s">
        <v>27</v>
      </c>
      <c r="D151" s="5" t="s">
        <v>385</v>
      </c>
      <c r="E151" s="5" t="s">
        <v>387</v>
      </c>
      <c r="F151" s="5" t="s">
        <v>112</v>
      </c>
      <c r="G151" s="5" t="s">
        <v>391</v>
      </c>
      <c r="H151" s="5" t="s">
        <v>53</v>
      </c>
      <c r="I151" s="5" t="s">
        <v>144</v>
      </c>
      <c r="J151" s="5">
        <v>3100</v>
      </c>
      <c r="K151" s="5">
        <v>41</v>
      </c>
      <c r="L151" s="7">
        <f t="shared" si="12"/>
        <v>75.609756097560975</v>
      </c>
      <c r="M151" s="5" t="s">
        <v>10</v>
      </c>
      <c r="N151" s="5">
        <v>4</v>
      </c>
      <c r="O151" s="6">
        <f t="shared" si="13"/>
        <v>11.076368233194525</v>
      </c>
      <c r="P151" s="6">
        <f t="shared" si="14"/>
        <v>1.1519422962522305</v>
      </c>
      <c r="Q151" s="10">
        <f t="shared" si="15"/>
        <v>2.3998797838588135E-2</v>
      </c>
      <c r="R151" s="10">
        <f t="shared" si="16"/>
        <v>9.6537303394980123E-2</v>
      </c>
      <c r="S151" s="10">
        <f t="shared" si="17"/>
        <v>0.12053610123356825</v>
      </c>
    </row>
    <row r="152" spans="1:19" x14ac:dyDescent="0.25">
      <c r="A152" s="5" t="s">
        <v>8</v>
      </c>
      <c r="B152" s="5" t="s">
        <v>156</v>
      </c>
      <c r="C152" s="5" t="s">
        <v>27</v>
      </c>
      <c r="D152" s="5" t="s">
        <v>385</v>
      </c>
      <c r="E152" s="5" t="s">
        <v>387</v>
      </c>
      <c r="F152" s="5" t="s">
        <v>112</v>
      </c>
      <c r="G152" s="5" t="s">
        <v>391</v>
      </c>
      <c r="H152" s="5" t="s">
        <v>53</v>
      </c>
      <c r="I152" s="5" t="s">
        <v>157</v>
      </c>
      <c r="J152" s="5">
        <v>1152</v>
      </c>
      <c r="K152" s="5">
        <v>33</v>
      </c>
      <c r="L152" s="7">
        <f t="shared" si="12"/>
        <v>34.909090909090907</v>
      </c>
      <c r="M152" s="5" t="s">
        <v>10</v>
      </c>
      <c r="N152" s="5">
        <v>4</v>
      </c>
      <c r="O152" s="6">
        <f t="shared" si="13"/>
        <v>0.87742413223140481</v>
      </c>
      <c r="P152" s="6">
        <f t="shared" si="14"/>
        <v>9.1252109752066102E-2</v>
      </c>
      <c r="Q152" s="10">
        <f t="shared" si="15"/>
        <v>1.9010856198347105E-3</v>
      </c>
      <c r="R152" s="10">
        <f t="shared" si="16"/>
        <v>1.4414656759212731E-2</v>
      </c>
      <c r="S152" s="10">
        <f t="shared" si="17"/>
        <v>1.631574237904744E-2</v>
      </c>
    </row>
    <row r="153" spans="1:19" x14ac:dyDescent="0.25">
      <c r="A153" s="5" t="s">
        <v>22</v>
      </c>
      <c r="B153" s="5" t="s">
        <v>63</v>
      </c>
      <c r="C153" s="5" t="s">
        <v>27</v>
      </c>
      <c r="D153" s="5" t="s">
        <v>385</v>
      </c>
      <c r="E153" s="5" t="s">
        <v>387</v>
      </c>
      <c r="F153" s="5" t="s">
        <v>112</v>
      </c>
      <c r="G153" s="5" t="s">
        <v>391</v>
      </c>
      <c r="H153" s="5" t="s">
        <v>53</v>
      </c>
      <c r="I153" s="5" t="s">
        <v>146</v>
      </c>
      <c r="J153" s="5">
        <v>1550</v>
      </c>
      <c r="K153" s="5">
        <v>29</v>
      </c>
      <c r="L153" s="7">
        <f t="shared" si="12"/>
        <v>53.448275862068968</v>
      </c>
      <c r="M153" s="5" t="s">
        <v>10</v>
      </c>
      <c r="N153" s="5">
        <v>4</v>
      </c>
      <c r="O153" s="6">
        <f t="shared" si="13"/>
        <v>2.7674457491082052</v>
      </c>
      <c r="P153" s="6">
        <f t="shared" si="14"/>
        <v>0.28781435790725329</v>
      </c>
      <c r="Q153" s="10">
        <f t="shared" si="15"/>
        <v>5.9961324564011117E-3</v>
      </c>
      <c r="R153" s="10">
        <f t="shared" si="16"/>
        <v>3.4115870826390664E-2</v>
      </c>
      <c r="S153" s="10">
        <f t="shared" si="17"/>
        <v>4.0112003282791776E-2</v>
      </c>
    </row>
    <row r="154" spans="1:19" x14ac:dyDescent="0.25">
      <c r="A154" s="5" t="s">
        <v>22</v>
      </c>
      <c r="B154" s="5" t="s">
        <v>63</v>
      </c>
      <c r="C154" s="5" t="s">
        <v>27</v>
      </c>
      <c r="D154" s="5" t="s">
        <v>385</v>
      </c>
      <c r="E154" s="5" t="s">
        <v>387</v>
      </c>
      <c r="F154" s="5" t="s">
        <v>112</v>
      </c>
      <c r="G154" s="5" t="s">
        <v>391</v>
      </c>
      <c r="H154" s="5" t="s">
        <v>53</v>
      </c>
      <c r="I154" s="5" t="s">
        <v>113</v>
      </c>
      <c r="J154" s="5">
        <v>2900</v>
      </c>
      <c r="K154" s="5">
        <v>40</v>
      </c>
      <c r="L154" s="7">
        <f t="shared" si="12"/>
        <v>72.5</v>
      </c>
      <c r="M154" s="5" t="s">
        <v>10</v>
      </c>
      <c r="N154" s="5">
        <v>4</v>
      </c>
      <c r="O154" s="6">
        <f t="shared" si="13"/>
        <v>9.5269531250000004</v>
      </c>
      <c r="P154" s="6">
        <f t="shared" si="14"/>
        <v>0.9908031249999999</v>
      </c>
      <c r="Q154" s="10">
        <f t="shared" si="15"/>
        <v>2.0641731770833335E-2</v>
      </c>
      <c r="R154" s="10">
        <f t="shared" si="16"/>
        <v>8.6220918616187289E-2</v>
      </c>
      <c r="S154" s="10">
        <f t="shared" si="17"/>
        <v>0.10686265038702063</v>
      </c>
    </row>
    <row r="155" spans="1:19" x14ac:dyDescent="0.25">
      <c r="A155" s="5" t="s">
        <v>22</v>
      </c>
      <c r="B155" s="5" t="s">
        <v>63</v>
      </c>
      <c r="C155" s="5" t="s">
        <v>27</v>
      </c>
      <c r="D155" s="5" t="s">
        <v>385</v>
      </c>
      <c r="E155" s="5" t="s">
        <v>387</v>
      </c>
      <c r="F155" s="5" t="s">
        <v>112</v>
      </c>
      <c r="G155" s="5" t="s">
        <v>391</v>
      </c>
      <c r="H155" s="5" t="s">
        <v>53</v>
      </c>
      <c r="I155" s="5" t="s">
        <v>145</v>
      </c>
      <c r="J155" s="5">
        <v>2100</v>
      </c>
      <c r="K155" s="5">
        <v>38.5</v>
      </c>
      <c r="L155" s="7">
        <f t="shared" si="12"/>
        <v>54.545454545454547</v>
      </c>
      <c r="M155" s="5" t="s">
        <v>10</v>
      </c>
      <c r="N155" s="5">
        <v>4</v>
      </c>
      <c r="O155" s="6">
        <f t="shared" si="13"/>
        <v>3.9049586776859506</v>
      </c>
      <c r="P155" s="6">
        <f t="shared" si="14"/>
        <v>0.40611570247933887</v>
      </c>
      <c r="Q155" s="10">
        <f t="shared" si="15"/>
        <v>8.4607438016528931E-3</v>
      </c>
      <c r="R155" s="10">
        <f t="shared" si="16"/>
        <v>4.4168175137387092E-2</v>
      </c>
      <c r="S155" s="10">
        <f t="shared" si="17"/>
        <v>5.2628918939039981E-2</v>
      </c>
    </row>
    <row r="156" spans="1:19" x14ac:dyDescent="0.25">
      <c r="A156" s="5" t="s">
        <v>22</v>
      </c>
      <c r="B156" s="5" t="s">
        <v>63</v>
      </c>
      <c r="C156" s="5" t="s">
        <v>27</v>
      </c>
      <c r="D156" s="5" t="s">
        <v>385</v>
      </c>
      <c r="E156" s="5" t="s">
        <v>387</v>
      </c>
      <c r="F156" s="5" t="s">
        <v>112</v>
      </c>
      <c r="G156" s="5" t="s">
        <v>391</v>
      </c>
      <c r="H156" s="5" t="s">
        <v>53</v>
      </c>
      <c r="I156" s="5" t="s">
        <v>145</v>
      </c>
      <c r="J156" s="5">
        <v>2200</v>
      </c>
      <c r="K156" s="5">
        <v>42.5</v>
      </c>
      <c r="L156" s="7">
        <f t="shared" si="12"/>
        <v>51.764705882352942</v>
      </c>
      <c r="M156" s="5" t="s">
        <v>9</v>
      </c>
      <c r="N156" s="5">
        <v>4</v>
      </c>
      <c r="O156" s="6">
        <f t="shared" si="13"/>
        <v>3.6844290657439451</v>
      </c>
      <c r="P156" s="6">
        <f t="shared" si="14"/>
        <v>0.38318062283737025</v>
      </c>
      <c r="Q156" s="10">
        <f t="shared" si="15"/>
        <v>7.9829296424452131E-3</v>
      </c>
      <c r="R156" s="10">
        <f t="shared" si="16"/>
        <v>4.2283874397514749E-2</v>
      </c>
      <c r="S156" s="10">
        <f t="shared" si="17"/>
        <v>5.0266804039959964E-2</v>
      </c>
    </row>
    <row r="157" spans="1:19" x14ac:dyDescent="0.25">
      <c r="A157" s="5" t="s">
        <v>8</v>
      </c>
      <c r="B157" s="5" t="s">
        <v>281</v>
      </c>
      <c r="C157" s="5" t="s">
        <v>27</v>
      </c>
      <c r="D157" s="5" t="s">
        <v>385</v>
      </c>
      <c r="E157" s="5" t="s">
        <v>387</v>
      </c>
      <c r="F157" s="5" t="s">
        <v>112</v>
      </c>
      <c r="G157" s="5" t="s">
        <v>391</v>
      </c>
      <c r="H157" s="5" t="s">
        <v>53</v>
      </c>
      <c r="I157" s="5" t="s">
        <v>282</v>
      </c>
      <c r="J157" s="5">
        <v>1700</v>
      </c>
      <c r="K157" s="5">
        <v>37</v>
      </c>
      <c r="L157" s="7">
        <f t="shared" si="12"/>
        <v>45.945945945945944</v>
      </c>
      <c r="M157" s="5" t="s">
        <v>10</v>
      </c>
      <c r="N157" s="5">
        <v>4</v>
      </c>
      <c r="O157" s="6">
        <f t="shared" si="13"/>
        <v>2.2429693206720231</v>
      </c>
      <c r="P157" s="6">
        <f t="shared" si="14"/>
        <v>0.23326880934989039</v>
      </c>
      <c r="Q157" s="10">
        <f t="shared" si="15"/>
        <v>4.8597668614560495E-3</v>
      </c>
      <c r="R157" s="10">
        <f t="shared" si="16"/>
        <v>2.9141682641278973E-2</v>
      </c>
      <c r="S157" s="10">
        <f t="shared" si="17"/>
        <v>3.4001449502735023E-2</v>
      </c>
    </row>
    <row r="158" spans="1:19" x14ac:dyDescent="0.25">
      <c r="A158" s="5" t="s">
        <v>8</v>
      </c>
      <c r="B158" s="5" t="s">
        <v>322</v>
      </c>
      <c r="C158" s="5" t="s">
        <v>27</v>
      </c>
      <c r="D158" s="5" t="s">
        <v>385</v>
      </c>
      <c r="E158" s="5" t="s">
        <v>387</v>
      </c>
      <c r="F158" s="5" t="s">
        <v>112</v>
      </c>
      <c r="G158" s="5" t="s">
        <v>391</v>
      </c>
      <c r="H158" s="5" t="s">
        <v>53</v>
      </c>
      <c r="I158" s="5" t="s">
        <v>282</v>
      </c>
      <c r="J158" s="5">
        <v>2100</v>
      </c>
      <c r="K158" s="5">
        <v>29</v>
      </c>
      <c r="L158" s="7">
        <f t="shared" si="12"/>
        <v>72.41379310344827</v>
      </c>
      <c r="M158" s="5" t="s">
        <v>10</v>
      </c>
      <c r="N158" s="5">
        <v>4</v>
      </c>
      <c r="O158" s="6">
        <f t="shared" si="13"/>
        <v>6.8824316290130785</v>
      </c>
      <c r="P158" s="6">
        <f t="shared" si="14"/>
        <v>0.71577288941736017</v>
      </c>
      <c r="Q158" s="10">
        <f t="shared" si="15"/>
        <v>1.4911935196195004E-2</v>
      </c>
      <c r="R158" s="10">
        <f t="shared" si="16"/>
        <v>6.7562164336175956E-2</v>
      </c>
      <c r="S158" s="10">
        <f t="shared" si="17"/>
        <v>8.2474099532370962E-2</v>
      </c>
    </row>
    <row r="159" spans="1:19" x14ac:dyDescent="0.25">
      <c r="A159" s="5" t="s">
        <v>8</v>
      </c>
      <c r="B159" s="5" t="s">
        <v>303</v>
      </c>
      <c r="C159" s="5" t="s">
        <v>27</v>
      </c>
      <c r="D159" s="5" t="s">
        <v>385</v>
      </c>
      <c r="E159" s="5" t="s">
        <v>387</v>
      </c>
      <c r="F159" s="5" t="s">
        <v>112</v>
      </c>
      <c r="G159" s="5" t="s">
        <v>391</v>
      </c>
      <c r="H159" s="5" t="s">
        <v>53</v>
      </c>
      <c r="I159" s="5" t="s">
        <v>306</v>
      </c>
      <c r="J159" s="5">
        <v>925</v>
      </c>
      <c r="K159" s="5">
        <v>25</v>
      </c>
      <c r="L159" s="7">
        <f t="shared" si="12"/>
        <v>37</v>
      </c>
      <c r="M159" s="5" t="s">
        <v>10</v>
      </c>
      <c r="N159" s="5">
        <v>4</v>
      </c>
      <c r="O159" s="6">
        <f t="shared" si="13"/>
        <v>0.79145312499999998</v>
      </c>
      <c r="P159" s="6">
        <f t="shared" si="14"/>
        <v>8.2311124999999999E-2</v>
      </c>
      <c r="Q159" s="10">
        <f t="shared" si="15"/>
        <v>1.7148151041666666E-3</v>
      </c>
      <c r="R159" s="10">
        <f t="shared" si="16"/>
        <v>1.3341849057898118E-2</v>
      </c>
      <c r="S159" s="10">
        <f t="shared" si="17"/>
        <v>1.5056664162064784E-2</v>
      </c>
    </row>
    <row r="160" spans="1:19" x14ac:dyDescent="0.25">
      <c r="A160" s="5" t="s">
        <v>8</v>
      </c>
      <c r="B160" s="5" t="s">
        <v>303</v>
      </c>
      <c r="C160" s="5" t="s">
        <v>27</v>
      </c>
      <c r="D160" s="5" t="s">
        <v>385</v>
      </c>
      <c r="E160" s="5" t="s">
        <v>387</v>
      </c>
      <c r="F160" s="5" t="s">
        <v>112</v>
      </c>
      <c r="G160" s="5" t="s">
        <v>391</v>
      </c>
      <c r="H160" s="5" t="s">
        <v>53</v>
      </c>
      <c r="I160" s="5" t="s">
        <v>305</v>
      </c>
      <c r="J160" s="5">
        <v>3250</v>
      </c>
      <c r="K160" s="5">
        <v>35.5</v>
      </c>
      <c r="L160" s="7">
        <f t="shared" si="12"/>
        <v>91.549295774647888</v>
      </c>
      <c r="M160" s="5" t="s">
        <v>10</v>
      </c>
      <c r="N160" s="5">
        <v>4</v>
      </c>
      <c r="O160" s="6">
        <f t="shared" si="13"/>
        <v>17.024461912318984</v>
      </c>
      <c r="P160" s="6">
        <f t="shared" si="14"/>
        <v>1.7705440388811744</v>
      </c>
      <c r="Q160" s="10">
        <f t="shared" si="15"/>
        <v>3.6886334143357798E-2</v>
      </c>
      <c r="R160" s="10">
        <f t="shared" si="16"/>
        <v>0.13326072446206286</v>
      </c>
      <c r="S160" s="10">
        <f t="shared" si="17"/>
        <v>0.17014705860542065</v>
      </c>
    </row>
    <row r="161" spans="1:19" x14ac:dyDescent="0.25">
      <c r="A161" s="5" t="s">
        <v>8</v>
      </c>
      <c r="B161" s="5" t="s">
        <v>303</v>
      </c>
      <c r="C161" s="5" t="s">
        <v>27</v>
      </c>
      <c r="D161" s="5" t="s">
        <v>385</v>
      </c>
      <c r="E161" s="5" t="s">
        <v>387</v>
      </c>
      <c r="F161" s="5" t="s">
        <v>112</v>
      </c>
      <c r="G161" s="5" t="s">
        <v>391</v>
      </c>
      <c r="H161" s="5" t="s">
        <v>53</v>
      </c>
      <c r="I161" s="5" t="s">
        <v>305</v>
      </c>
      <c r="J161" s="5">
        <v>2710</v>
      </c>
      <c r="K161" s="5">
        <v>38</v>
      </c>
      <c r="L161" s="7">
        <f t="shared" si="12"/>
        <v>71.315789473684205</v>
      </c>
      <c r="M161" s="5" t="s">
        <v>9</v>
      </c>
      <c r="N161" s="5">
        <v>4</v>
      </c>
      <c r="O161" s="6">
        <f t="shared" si="13"/>
        <v>8.6143139716066468</v>
      </c>
      <c r="P161" s="6">
        <f t="shared" si="14"/>
        <v>0.8958886530470912</v>
      </c>
      <c r="Q161" s="10">
        <f t="shared" si="15"/>
        <v>1.8664346938481065E-2</v>
      </c>
      <c r="R161" s="10">
        <f t="shared" si="16"/>
        <v>7.9948928370579042E-2</v>
      </c>
      <c r="S161" s="10">
        <f t="shared" si="17"/>
        <v>9.8613275309060111E-2</v>
      </c>
    </row>
    <row r="162" spans="1:19" x14ac:dyDescent="0.25">
      <c r="A162" s="5" t="s">
        <v>8</v>
      </c>
      <c r="B162" s="5" t="s">
        <v>303</v>
      </c>
      <c r="C162" s="5" t="s">
        <v>27</v>
      </c>
      <c r="D162" s="5" t="s">
        <v>385</v>
      </c>
      <c r="E162" s="5" t="s">
        <v>387</v>
      </c>
      <c r="F162" s="5" t="s">
        <v>112</v>
      </c>
      <c r="G162" s="5" t="s">
        <v>391</v>
      </c>
      <c r="H162" s="5" t="s">
        <v>53</v>
      </c>
      <c r="I162" s="5" t="s">
        <v>305</v>
      </c>
      <c r="J162" s="5">
        <v>2660</v>
      </c>
      <c r="K162" s="5">
        <v>33.5</v>
      </c>
      <c r="L162" s="7">
        <f t="shared" si="12"/>
        <v>79.402985074626869</v>
      </c>
      <c r="M162" s="5" t="s">
        <v>10</v>
      </c>
      <c r="N162" s="5">
        <v>4</v>
      </c>
      <c r="O162" s="6">
        <f t="shared" si="13"/>
        <v>10.481786589440857</v>
      </c>
      <c r="P162" s="6">
        <f t="shared" si="14"/>
        <v>1.0901058053018491</v>
      </c>
      <c r="Q162" s="10">
        <f t="shared" si="15"/>
        <v>2.2710537610455189E-2</v>
      </c>
      <c r="R162" s="10">
        <f t="shared" si="16"/>
        <v>9.2624016415838617E-2</v>
      </c>
      <c r="S162" s="10">
        <f t="shared" si="17"/>
        <v>0.11533455402629381</v>
      </c>
    </row>
    <row r="163" spans="1:19" x14ac:dyDescent="0.25">
      <c r="A163" s="5" t="s">
        <v>8</v>
      </c>
      <c r="B163" s="5" t="s">
        <v>303</v>
      </c>
      <c r="C163" s="5" t="s">
        <v>27</v>
      </c>
      <c r="D163" s="5" t="s">
        <v>385</v>
      </c>
      <c r="E163" s="5" t="s">
        <v>387</v>
      </c>
      <c r="F163" s="5" t="s">
        <v>112</v>
      </c>
      <c r="G163" s="5" t="s">
        <v>391</v>
      </c>
      <c r="H163" s="5" t="s">
        <v>53</v>
      </c>
      <c r="I163" s="5" t="s">
        <v>305</v>
      </c>
      <c r="J163" s="5">
        <v>2500</v>
      </c>
      <c r="K163" s="5">
        <v>35</v>
      </c>
      <c r="L163" s="7">
        <f t="shared" si="12"/>
        <v>71.428571428571431</v>
      </c>
      <c r="M163" s="5" t="s">
        <v>9</v>
      </c>
      <c r="N163" s="5">
        <v>4</v>
      </c>
      <c r="O163" s="6">
        <f t="shared" si="13"/>
        <v>7.9719387755102051</v>
      </c>
      <c r="P163" s="6">
        <f t="shared" si="14"/>
        <v>0.82908163265306123</v>
      </c>
      <c r="Q163" s="10">
        <f t="shared" si="15"/>
        <v>1.7272534013605446E-2</v>
      </c>
      <c r="R163" s="10">
        <f t="shared" si="16"/>
        <v>7.5434512896593864E-2</v>
      </c>
      <c r="S163" s="10">
        <f t="shared" si="17"/>
        <v>9.2707046910199306E-2</v>
      </c>
    </row>
    <row r="164" spans="1:19" x14ac:dyDescent="0.25">
      <c r="A164" s="5" t="s">
        <v>8</v>
      </c>
      <c r="B164" s="5" t="s">
        <v>330</v>
      </c>
      <c r="C164" s="5" t="s">
        <v>27</v>
      </c>
      <c r="D164" s="5" t="s">
        <v>385</v>
      </c>
      <c r="E164" s="5" t="s">
        <v>387</v>
      </c>
      <c r="F164" s="5" t="s">
        <v>112</v>
      </c>
      <c r="G164" s="5" t="s">
        <v>391</v>
      </c>
      <c r="H164" s="5" t="s">
        <v>53</v>
      </c>
      <c r="I164" s="5" t="s">
        <v>331</v>
      </c>
      <c r="J164" s="5">
        <v>3000</v>
      </c>
      <c r="K164" s="5">
        <v>44</v>
      </c>
      <c r="L164" s="7">
        <f t="shared" si="12"/>
        <v>68.181818181818187</v>
      </c>
      <c r="M164" s="5" t="s">
        <v>10</v>
      </c>
      <c r="N164" s="5">
        <v>4</v>
      </c>
      <c r="O164" s="6">
        <f t="shared" si="13"/>
        <v>8.7164256198347125</v>
      </c>
      <c r="P164" s="6">
        <f t="shared" si="14"/>
        <v>0.90650826446281008</v>
      </c>
      <c r="Q164" s="10">
        <f t="shared" si="15"/>
        <v>1.8885588842975209E-2</v>
      </c>
      <c r="R164" s="10">
        <f t="shared" si="16"/>
        <v>8.0658649416804964E-2</v>
      </c>
      <c r="S164" s="10">
        <f t="shared" si="17"/>
        <v>9.9544238259780177E-2</v>
      </c>
    </row>
    <row r="165" spans="1:19" x14ac:dyDescent="0.25">
      <c r="A165" s="5" t="s">
        <v>8</v>
      </c>
      <c r="B165" s="5" t="s">
        <v>330</v>
      </c>
      <c r="C165" s="5" t="s">
        <v>27</v>
      </c>
      <c r="D165" s="5" t="s">
        <v>385</v>
      </c>
      <c r="E165" s="5" t="s">
        <v>387</v>
      </c>
      <c r="F165" s="5" t="s">
        <v>112</v>
      </c>
      <c r="G165" s="5" t="s">
        <v>391</v>
      </c>
      <c r="H165" s="5" t="s">
        <v>53</v>
      </c>
      <c r="I165" s="5" t="s">
        <v>331</v>
      </c>
      <c r="J165" s="5">
        <v>2950</v>
      </c>
      <c r="K165" s="5">
        <v>38</v>
      </c>
      <c r="L165" s="7">
        <f t="shared" si="12"/>
        <v>77.631578947368425</v>
      </c>
      <c r="M165" s="5" t="s">
        <v>10</v>
      </c>
      <c r="N165" s="5">
        <v>4</v>
      </c>
      <c r="O165" s="6">
        <f t="shared" si="13"/>
        <v>11.111658154432133</v>
      </c>
      <c r="P165" s="6">
        <f t="shared" si="14"/>
        <v>1.155612448060942</v>
      </c>
      <c r="Q165" s="10">
        <f t="shared" si="15"/>
        <v>2.4075259334602955E-2</v>
      </c>
      <c r="R165" s="10">
        <f t="shared" si="16"/>
        <v>9.6767891534095082E-2</v>
      </c>
      <c r="S165" s="10">
        <f t="shared" si="17"/>
        <v>0.12084315086869804</v>
      </c>
    </row>
    <row r="166" spans="1:19" x14ac:dyDescent="0.25">
      <c r="A166" s="5" t="s">
        <v>8</v>
      </c>
      <c r="B166" s="5" t="s">
        <v>228</v>
      </c>
      <c r="C166" s="5" t="s">
        <v>27</v>
      </c>
      <c r="D166" s="5" t="s">
        <v>385</v>
      </c>
      <c r="E166" s="5" t="s">
        <v>387</v>
      </c>
      <c r="F166" s="5" t="s">
        <v>112</v>
      </c>
      <c r="G166" s="5" t="s">
        <v>391</v>
      </c>
      <c r="H166" s="5" t="s">
        <v>53</v>
      </c>
      <c r="I166" s="5" t="s">
        <v>230</v>
      </c>
      <c r="J166" s="5">
        <v>2500</v>
      </c>
      <c r="K166" s="5">
        <v>37</v>
      </c>
      <c r="L166" s="7">
        <f t="shared" si="12"/>
        <v>67.567567567567565</v>
      </c>
      <c r="M166" s="5" t="s">
        <v>10</v>
      </c>
      <c r="N166" s="5">
        <v>4</v>
      </c>
      <c r="O166" s="6">
        <f t="shared" si="13"/>
        <v>7.1334002921840742</v>
      </c>
      <c r="P166" s="6">
        <f t="shared" si="14"/>
        <v>0.74187363038714382</v>
      </c>
      <c r="Q166" s="10">
        <f t="shared" si="15"/>
        <v>1.5455700633065493E-2</v>
      </c>
      <c r="R166" s="10">
        <f t="shared" si="16"/>
        <v>6.9401614038345646E-2</v>
      </c>
      <c r="S166" s="10">
        <f t="shared" si="17"/>
        <v>8.4857314671411138E-2</v>
      </c>
    </row>
    <row r="167" spans="1:19" x14ac:dyDescent="0.25">
      <c r="A167" s="5" t="s">
        <v>8</v>
      </c>
      <c r="B167" s="5" t="s">
        <v>228</v>
      </c>
      <c r="C167" s="5" t="s">
        <v>27</v>
      </c>
      <c r="D167" s="5" t="s">
        <v>385</v>
      </c>
      <c r="E167" s="5" t="s">
        <v>387</v>
      </c>
      <c r="F167" s="5" t="s">
        <v>112</v>
      </c>
      <c r="G167" s="5" t="s">
        <v>391</v>
      </c>
      <c r="H167" s="5" t="s">
        <v>53</v>
      </c>
      <c r="I167" s="5" t="s">
        <v>230</v>
      </c>
      <c r="J167" s="5">
        <v>2600</v>
      </c>
      <c r="K167" s="5">
        <v>39.5</v>
      </c>
      <c r="L167" s="7">
        <f t="shared" si="12"/>
        <v>65.822784810126578</v>
      </c>
      <c r="M167" s="5" t="s">
        <v>9</v>
      </c>
      <c r="N167" s="5">
        <v>4</v>
      </c>
      <c r="O167" s="6">
        <f t="shared" si="13"/>
        <v>7.0405383752603745</v>
      </c>
      <c r="P167" s="6">
        <f t="shared" si="14"/>
        <v>0.73221599102707891</v>
      </c>
      <c r="Q167" s="10">
        <f t="shared" si="15"/>
        <v>1.5254499813064143E-2</v>
      </c>
      <c r="R167" s="10">
        <f t="shared" si="16"/>
        <v>6.8722907763020355E-2</v>
      </c>
      <c r="S167" s="10">
        <f t="shared" si="17"/>
        <v>8.3977407576084503E-2</v>
      </c>
    </row>
    <row r="168" spans="1:19" x14ac:dyDescent="0.25">
      <c r="A168" s="5" t="s">
        <v>8</v>
      </c>
      <c r="B168" s="5" t="s">
        <v>322</v>
      </c>
      <c r="C168" s="5" t="s">
        <v>27</v>
      </c>
      <c r="D168" s="5" t="s">
        <v>385</v>
      </c>
      <c r="E168" s="5" t="s">
        <v>387</v>
      </c>
      <c r="F168" s="5" t="s">
        <v>112</v>
      </c>
      <c r="G168" s="5" t="s">
        <v>391</v>
      </c>
      <c r="H168" s="5" t="s">
        <v>53</v>
      </c>
      <c r="I168" s="5" t="s">
        <v>19</v>
      </c>
      <c r="J168" s="5">
        <v>1300</v>
      </c>
      <c r="K168" s="5">
        <v>37</v>
      </c>
      <c r="L168" s="7">
        <f t="shared" si="12"/>
        <v>35.135135135135137</v>
      </c>
      <c r="M168" s="5" t="s">
        <v>10</v>
      </c>
      <c r="N168" s="5">
        <v>4</v>
      </c>
      <c r="O168" s="6">
        <f t="shared" si="13"/>
        <v>1.0030131482834186</v>
      </c>
      <c r="P168" s="6">
        <f t="shared" si="14"/>
        <v>0.10431336742147553</v>
      </c>
      <c r="Q168" s="10">
        <f t="shared" si="15"/>
        <v>2.1731951546140734E-3</v>
      </c>
      <c r="R168" s="10">
        <f t="shared" si="16"/>
        <v>1.5935918276764362E-2</v>
      </c>
      <c r="S168" s="10">
        <f t="shared" si="17"/>
        <v>1.8109113431378436E-2</v>
      </c>
    </row>
    <row r="169" spans="1:19" x14ac:dyDescent="0.25">
      <c r="A169" s="5" t="s">
        <v>22</v>
      </c>
      <c r="B169" s="5" t="s">
        <v>26</v>
      </c>
      <c r="C169" s="5" t="s">
        <v>27</v>
      </c>
      <c r="D169" s="5" t="s">
        <v>385</v>
      </c>
      <c r="E169" s="5" t="s">
        <v>387</v>
      </c>
      <c r="F169" s="5" t="s">
        <v>112</v>
      </c>
      <c r="G169" s="5" t="s">
        <v>391</v>
      </c>
      <c r="H169" s="5" t="s">
        <v>53</v>
      </c>
      <c r="I169" s="5" t="s">
        <v>54</v>
      </c>
      <c r="J169" s="5">
        <v>4200</v>
      </c>
      <c r="K169" s="5">
        <v>38</v>
      </c>
      <c r="L169" s="7">
        <f t="shared" si="12"/>
        <v>110.52631578947368</v>
      </c>
      <c r="M169" s="5" t="s">
        <v>10</v>
      </c>
      <c r="N169" s="5">
        <v>4</v>
      </c>
      <c r="O169" s="6">
        <f t="shared" si="13"/>
        <v>32.067174515235457</v>
      </c>
      <c r="P169" s="6">
        <f t="shared" si="14"/>
        <v>3.3349861495844868</v>
      </c>
      <c r="Q169" s="10">
        <f t="shared" si="15"/>
        <v>6.9478878116343484E-2</v>
      </c>
      <c r="R169" s="10">
        <f t="shared" si="16"/>
        <v>0.21426076233960867</v>
      </c>
      <c r="S169" s="10">
        <f t="shared" si="17"/>
        <v>0.28373964045595212</v>
      </c>
    </row>
    <row r="170" spans="1:19" x14ac:dyDescent="0.25">
      <c r="A170" s="5" t="s">
        <v>8</v>
      </c>
      <c r="B170" s="5" t="s">
        <v>284</v>
      </c>
      <c r="C170" s="5" t="s">
        <v>27</v>
      </c>
      <c r="D170" s="5" t="s">
        <v>385</v>
      </c>
      <c r="E170" s="5" t="s">
        <v>387</v>
      </c>
      <c r="F170" s="5" t="s">
        <v>112</v>
      </c>
      <c r="G170" s="5" t="s">
        <v>391</v>
      </c>
      <c r="H170" s="5" t="s">
        <v>53</v>
      </c>
      <c r="I170" s="5" t="s">
        <v>285</v>
      </c>
      <c r="J170" s="5">
        <v>3400</v>
      </c>
      <c r="K170" s="5">
        <v>46.8</v>
      </c>
      <c r="L170" s="7">
        <f t="shared" si="12"/>
        <v>72.649572649572647</v>
      </c>
      <c r="M170" s="5" t="s">
        <v>10</v>
      </c>
      <c r="N170" s="5">
        <v>4</v>
      </c>
      <c r="O170" s="6">
        <f t="shared" si="13"/>
        <v>11.21566586310176</v>
      </c>
      <c r="P170" s="6">
        <f t="shared" si="14"/>
        <v>1.1664292497625828</v>
      </c>
      <c r="Q170" s="10">
        <f t="shared" si="15"/>
        <v>2.4300609370053811E-2</v>
      </c>
      <c r="R170" s="10">
        <f t="shared" si="16"/>
        <v>9.7446427289205384E-2</v>
      </c>
      <c r="S170" s="10">
        <f t="shared" si="17"/>
        <v>0.12174703665925919</v>
      </c>
    </row>
    <row r="171" spans="1:19" x14ac:dyDescent="0.25">
      <c r="A171" s="5" t="s">
        <v>8</v>
      </c>
      <c r="B171" s="5" t="s">
        <v>284</v>
      </c>
      <c r="C171" s="5" t="s">
        <v>27</v>
      </c>
      <c r="D171" s="5" t="s">
        <v>385</v>
      </c>
      <c r="E171" s="5" t="s">
        <v>387</v>
      </c>
      <c r="F171" s="5" t="s">
        <v>112</v>
      </c>
      <c r="G171" s="5" t="s">
        <v>391</v>
      </c>
      <c r="H171" s="5" t="s">
        <v>53</v>
      </c>
      <c r="I171" s="5" t="s">
        <v>285</v>
      </c>
      <c r="J171" s="5">
        <v>3000</v>
      </c>
      <c r="K171" s="5">
        <v>46.3</v>
      </c>
      <c r="L171" s="7">
        <f t="shared" si="12"/>
        <v>64.794816414686835</v>
      </c>
      <c r="M171" s="5" t="s">
        <v>9</v>
      </c>
      <c r="N171" s="5">
        <v>4</v>
      </c>
      <c r="O171" s="6">
        <f t="shared" si="13"/>
        <v>7.8719404391493191</v>
      </c>
      <c r="P171" s="6">
        <f t="shared" si="14"/>
        <v>0.81868180567152926</v>
      </c>
      <c r="Q171" s="10">
        <f t="shared" si="15"/>
        <v>1.7055870951490189E-2</v>
      </c>
      <c r="R171" s="10">
        <f t="shared" si="16"/>
        <v>7.4723718195041214E-2</v>
      </c>
      <c r="S171" s="10">
        <f t="shared" si="17"/>
        <v>9.1779589146531407E-2</v>
      </c>
    </row>
    <row r="172" spans="1:19" x14ac:dyDescent="0.25">
      <c r="A172" s="5" t="s">
        <v>8</v>
      </c>
      <c r="B172" s="5" t="s">
        <v>303</v>
      </c>
      <c r="C172" s="5" t="s">
        <v>27</v>
      </c>
      <c r="D172" s="5" t="s">
        <v>385</v>
      </c>
      <c r="E172" s="5" t="s">
        <v>387</v>
      </c>
      <c r="F172" s="5" t="s">
        <v>112</v>
      </c>
      <c r="G172" s="5" t="s">
        <v>391</v>
      </c>
      <c r="H172" s="5" t="s">
        <v>53</v>
      </c>
      <c r="I172" s="5" t="s">
        <v>304</v>
      </c>
      <c r="J172" s="5">
        <v>2510</v>
      </c>
      <c r="K172" s="5">
        <v>32.5</v>
      </c>
      <c r="L172" s="7">
        <f t="shared" si="12"/>
        <v>77.230769230769226</v>
      </c>
      <c r="M172" s="5" t="s">
        <v>10</v>
      </c>
      <c r="N172" s="5">
        <v>4</v>
      </c>
      <c r="O172" s="6">
        <f t="shared" si="13"/>
        <v>9.3569532544378688</v>
      </c>
      <c r="P172" s="6">
        <f t="shared" si="14"/>
        <v>0.9731231384615382</v>
      </c>
      <c r="Q172" s="10">
        <f t="shared" si="15"/>
        <v>2.0273398717948716E-2</v>
      </c>
      <c r="R172" s="10">
        <f t="shared" si="16"/>
        <v>8.5064424704301325E-2</v>
      </c>
      <c r="S172" s="10">
        <f t="shared" si="17"/>
        <v>0.10533782342225004</v>
      </c>
    </row>
    <row r="173" spans="1:19" x14ac:dyDescent="0.25">
      <c r="A173" s="5" t="s">
        <v>8</v>
      </c>
      <c r="B173" s="5" t="s">
        <v>303</v>
      </c>
      <c r="C173" s="5" t="s">
        <v>27</v>
      </c>
      <c r="D173" s="5" t="s">
        <v>385</v>
      </c>
      <c r="E173" s="5" t="s">
        <v>387</v>
      </c>
      <c r="F173" s="5" t="s">
        <v>112</v>
      </c>
      <c r="G173" s="5" t="s">
        <v>391</v>
      </c>
      <c r="H173" s="5" t="s">
        <v>53</v>
      </c>
      <c r="I173" s="5" t="s">
        <v>304</v>
      </c>
      <c r="J173" s="5">
        <v>2330</v>
      </c>
      <c r="K173" s="5">
        <v>32</v>
      </c>
      <c r="L173" s="7">
        <f t="shared" si="12"/>
        <v>72.8125</v>
      </c>
      <c r="M173" s="5" t="s">
        <v>9</v>
      </c>
      <c r="N173" s="5">
        <v>4</v>
      </c>
      <c r="O173" s="6">
        <f t="shared" si="13"/>
        <v>7.7205426025390622</v>
      </c>
      <c r="P173" s="6">
        <f t="shared" si="14"/>
        <v>0.80293643066406251</v>
      </c>
      <c r="Q173" s="10">
        <f t="shared" si="15"/>
        <v>1.6727842305501301E-2</v>
      </c>
      <c r="R173" s="10">
        <f t="shared" si="16"/>
        <v>7.3643257759382366E-2</v>
      </c>
      <c r="S173" s="10">
        <f t="shared" si="17"/>
        <v>9.0371100064883664E-2</v>
      </c>
    </row>
    <row r="174" spans="1:19" x14ac:dyDescent="0.25">
      <c r="A174" s="5" t="s">
        <v>8</v>
      </c>
      <c r="B174" s="5" t="s">
        <v>165</v>
      </c>
      <c r="C174" s="5" t="s">
        <v>27</v>
      </c>
      <c r="D174" s="5" t="s">
        <v>385</v>
      </c>
      <c r="E174" s="5" t="s">
        <v>387</v>
      </c>
      <c r="F174" s="5" t="s">
        <v>112</v>
      </c>
      <c r="G174" s="5" t="s">
        <v>391</v>
      </c>
      <c r="H174" s="5" t="s">
        <v>53</v>
      </c>
      <c r="I174" s="5" t="s">
        <v>168</v>
      </c>
      <c r="J174" s="5">
        <v>1120</v>
      </c>
      <c r="K174" s="5">
        <v>23.5</v>
      </c>
      <c r="L174" s="7">
        <f t="shared" si="12"/>
        <v>47.659574468085104</v>
      </c>
      <c r="M174" s="5" t="s">
        <v>10</v>
      </c>
      <c r="N174" s="5">
        <v>4</v>
      </c>
      <c r="O174" s="6">
        <f t="shared" si="13"/>
        <v>1.5900045269352645</v>
      </c>
      <c r="P174" s="6">
        <f t="shared" si="14"/>
        <v>0.16536047080126751</v>
      </c>
      <c r="Q174" s="10">
        <f t="shared" si="15"/>
        <v>3.4450098083597396E-3</v>
      </c>
      <c r="R174" s="10">
        <f t="shared" si="16"/>
        <v>2.2513649207854137E-2</v>
      </c>
      <c r="S174" s="10">
        <f t="shared" si="17"/>
        <v>2.5958659016213876E-2</v>
      </c>
    </row>
    <row r="175" spans="1:19" x14ac:dyDescent="0.25">
      <c r="A175" s="5" t="s">
        <v>8</v>
      </c>
      <c r="B175" s="5" t="s">
        <v>217</v>
      </c>
      <c r="C175" s="5" t="s">
        <v>27</v>
      </c>
      <c r="D175" s="5" t="s">
        <v>385</v>
      </c>
      <c r="E175" s="5" t="s">
        <v>387</v>
      </c>
      <c r="F175" s="5" t="s">
        <v>112</v>
      </c>
      <c r="G175" s="5" t="s">
        <v>391</v>
      </c>
      <c r="H175" s="5" t="s">
        <v>53</v>
      </c>
      <c r="I175" s="5" t="s">
        <v>17</v>
      </c>
      <c r="J175" s="5">
        <v>2800</v>
      </c>
      <c r="K175" s="5">
        <v>33</v>
      </c>
      <c r="L175" s="7">
        <f t="shared" si="12"/>
        <v>84.848484848484844</v>
      </c>
      <c r="M175" s="5" t="s">
        <v>10</v>
      </c>
      <c r="N175" s="5">
        <v>4</v>
      </c>
      <c r="O175" s="6">
        <f t="shared" si="13"/>
        <v>12.598714416896232</v>
      </c>
      <c r="P175" s="6">
        <f t="shared" si="14"/>
        <v>1.3102662993572083</v>
      </c>
      <c r="Q175" s="10">
        <f t="shared" si="15"/>
        <v>2.7297214569941834E-2</v>
      </c>
      <c r="R175" s="10">
        <f t="shared" si="16"/>
        <v>0.10632656850166688</v>
      </c>
      <c r="S175" s="10">
        <f t="shared" si="17"/>
        <v>0.13362378307160871</v>
      </c>
    </row>
    <row r="176" spans="1:19" x14ac:dyDescent="0.25">
      <c r="A176" s="5" t="s">
        <v>22</v>
      </c>
      <c r="B176" s="5" t="s">
        <v>63</v>
      </c>
      <c r="C176" s="5" t="s">
        <v>27</v>
      </c>
      <c r="D176" s="5" t="s">
        <v>385</v>
      </c>
      <c r="E176" s="5" t="s">
        <v>387</v>
      </c>
      <c r="F176" s="5" t="s">
        <v>112</v>
      </c>
      <c r="G176" s="5" t="s">
        <v>391</v>
      </c>
      <c r="H176" s="5" t="s">
        <v>53</v>
      </c>
      <c r="I176" s="5" t="s">
        <v>147</v>
      </c>
      <c r="J176" s="5">
        <v>2150</v>
      </c>
      <c r="K176" s="5">
        <v>34.5</v>
      </c>
      <c r="L176" s="7">
        <f t="shared" si="12"/>
        <v>62.318840579710148</v>
      </c>
      <c r="M176" s="5" t="s">
        <v>10</v>
      </c>
      <c r="N176" s="5">
        <v>4</v>
      </c>
      <c r="O176" s="6">
        <f t="shared" si="13"/>
        <v>5.2186384162990977</v>
      </c>
      <c r="P176" s="6">
        <f t="shared" si="14"/>
        <v>0.54273839529510615</v>
      </c>
      <c r="Q176" s="10">
        <f t="shared" si="15"/>
        <v>1.1307049901981378E-2</v>
      </c>
      <c r="R176" s="10">
        <f t="shared" si="16"/>
        <v>5.489907531451893E-2</v>
      </c>
      <c r="S176" s="10">
        <f t="shared" si="17"/>
        <v>6.6206125216500308E-2</v>
      </c>
    </row>
    <row r="177" spans="1:19" x14ac:dyDescent="0.25">
      <c r="A177" s="5" t="s">
        <v>22</v>
      </c>
      <c r="B177" s="5" t="s">
        <v>63</v>
      </c>
      <c r="C177" s="5" t="s">
        <v>27</v>
      </c>
      <c r="D177" s="5" t="s">
        <v>385</v>
      </c>
      <c r="E177" s="5" t="s">
        <v>387</v>
      </c>
      <c r="F177" s="5" t="s">
        <v>112</v>
      </c>
      <c r="G177" s="5" t="s">
        <v>391</v>
      </c>
      <c r="H177" s="5" t="s">
        <v>53</v>
      </c>
      <c r="I177" s="5" t="s">
        <v>147</v>
      </c>
      <c r="J177" s="5">
        <v>2200</v>
      </c>
      <c r="K177" s="5">
        <v>33</v>
      </c>
      <c r="L177" s="7">
        <f t="shared" si="12"/>
        <v>66.666666666666671</v>
      </c>
      <c r="M177" s="5" t="s">
        <v>9</v>
      </c>
      <c r="N177" s="5">
        <v>4</v>
      </c>
      <c r="O177" s="6">
        <f t="shared" si="13"/>
        <v>6.1111111111111125</v>
      </c>
      <c r="P177" s="6">
        <f t="shared" si="14"/>
        <v>0.63555555555555565</v>
      </c>
      <c r="Q177" s="10">
        <f t="shared" si="15"/>
        <v>1.3240740740740742E-2</v>
      </c>
      <c r="R177" s="10">
        <f t="shared" si="16"/>
        <v>6.1799827002558427E-2</v>
      </c>
      <c r="S177" s="10">
        <f t="shared" si="17"/>
        <v>7.5040567743299175E-2</v>
      </c>
    </row>
    <row r="178" spans="1:19" x14ac:dyDescent="0.25">
      <c r="A178" s="5" t="s">
        <v>8</v>
      </c>
      <c r="B178" s="5" t="s">
        <v>228</v>
      </c>
      <c r="C178" s="5" t="s">
        <v>27</v>
      </c>
      <c r="D178" s="5" t="s">
        <v>385</v>
      </c>
      <c r="E178" s="5" t="s">
        <v>387</v>
      </c>
      <c r="F178" s="5" t="s">
        <v>112</v>
      </c>
      <c r="G178" s="5" t="s">
        <v>391</v>
      </c>
      <c r="H178" s="5" t="s">
        <v>53</v>
      </c>
      <c r="I178" s="5" t="s">
        <v>229</v>
      </c>
      <c r="J178" s="5">
        <v>2500</v>
      </c>
      <c r="K178" s="5">
        <v>35</v>
      </c>
      <c r="L178" s="7">
        <f t="shared" si="12"/>
        <v>71.428571428571431</v>
      </c>
      <c r="M178" s="5" t="s">
        <v>10</v>
      </c>
      <c r="N178" s="5">
        <v>4</v>
      </c>
      <c r="O178" s="6">
        <f t="shared" si="13"/>
        <v>7.9719387755102051</v>
      </c>
      <c r="P178" s="6">
        <f t="shared" si="14"/>
        <v>0.82908163265306123</v>
      </c>
      <c r="Q178" s="10">
        <f t="shared" si="15"/>
        <v>1.7272534013605446E-2</v>
      </c>
      <c r="R178" s="10">
        <f t="shared" si="16"/>
        <v>7.5434512896593864E-2</v>
      </c>
      <c r="S178" s="10">
        <f t="shared" si="17"/>
        <v>9.2707046910199306E-2</v>
      </c>
    </row>
    <row r="179" spans="1:19" x14ac:dyDescent="0.25">
      <c r="A179" s="5" t="s">
        <v>8</v>
      </c>
      <c r="B179" s="5" t="s">
        <v>228</v>
      </c>
      <c r="C179" s="5" t="s">
        <v>27</v>
      </c>
      <c r="D179" s="5" t="s">
        <v>385</v>
      </c>
      <c r="E179" s="5" t="s">
        <v>387</v>
      </c>
      <c r="F179" s="5" t="s">
        <v>112</v>
      </c>
      <c r="G179" s="5" t="s">
        <v>391</v>
      </c>
      <c r="H179" s="5" t="s">
        <v>53</v>
      </c>
      <c r="I179" s="5" t="s">
        <v>229</v>
      </c>
      <c r="J179" s="5">
        <v>2100</v>
      </c>
      <c r="K179" s="5">
        <v>34</v>
      </c>
      <c r="L179" s="7">
        <f t="shared" si="12"/>
        <v>61.764705882352942</v>
      </c>
      <c r="M179" s="5" t="s">
        <v>9</v>
      </c>
      <c r="N179" s="5">
        <v>4</v>
      </c>
      <c r="O179" s="6">
        <f t="shared" si="13"/>
        <v>5.0070285467128031</v>
      </c>
      <c r="P179" s="6">
        <f t="shared" si="14"/>
        <v>0.52073096885813142</v>
      </c>
      <c r="Q179" s="10">
        <f t="shared" si="15"/>
        <v>1.0848561851211073E-2</v>
      </c>
      <c r="R179" s="10">
        <f t="shared" si="16"/>
        <v>5.3220895151738591E-2</v>
      </c>
      <c r="S179" s="10">
        <f t="shared" si="17"/>
        <v>6.4069457002949665E-2</v>
      </c>
    </row>
    <row r="180" spans="1:19" x14ac:dyDescent="0.25">
      <c r="A180" s="5" t="s">
        <v>8</v>
      </c>
      <c r="B180" s="5" t="s">
        <v>322</v>
      </c>
      <c r="C180" s="5" t="s">
        <v>27</v>
      </c>
      <c r="D180" s="5" t="s">
        <v>385</v>
      </c>
      <c r="E180" s="5" t="s">
        <v>387</v>
      </c>
      <c r="F180" s="5" t="s">
        <v>112</v>
      </c>
      <c r="G180" s="5" t="s">
        <v>391</v>
      </c>
      <c r="H180" s="5" t="s">
        <v>53</v>
      </c>
      <c r="I180" s="5" t="s">
        <v>325</v>
      </c>
      <c r="J180" s="5">
        <v>1600</v>
      </c>
      <c r="K180" s="5">
        <v>40</v>
      </c>
      <c r="L180" s="7">
        <f t="shared" si="12"/>
        <v>40</v>
      </c>
      <c r="M180" s="5" t="s">
        <v>10</v>
      </c>
      <c r="N180" s="5">
        <v>4</v>
      </c>
      <c r="O180" s="6">
        <f t="shared" si="13"/>
        <v>1.6</v>
      </c>
      <c r="P180" s="6">
        <f t="shared" si="14"/>
        <v>0.16639999999999999</v>
      </c>
      <c r="Q180" s="10">
        <f t="shared" si="15"/>
        <v>3.4666666666666665E-3</v>
      </c>
      <c r="R180" s="10">
        <f t="shared" si="16"/>
        <v>2.26197140956951E-2</v>
      </c>
      <c r="S180" s="10">
        <f t="shared" si="17"/>
        <v>2.6086380762361767E-2</v>
      </c>
    </row>
    <row r="181" spans="1:19" x14ac:dyDescent="0.25">
      <c r="A181" s="5" t="s">
        <v>8</v>
      </c>
      <c r="B181" s="5" t="s">
        <v>347</v>
      </c>
      <c r="C181" s="5" t="s">
        <v>27</v>
      </c>
      <c r="D181" s="5" t="s">
        <v>385</v>
      </c>
      <c r="E181" s="5" t="s">
        <v>387</v>
      </c>
      <c r="F181" s="5" t="s">
        <v>112</v>
      </c>
      <c r="G181" s="5" t="s">
        <v>391</v>
      </c>
      <c r="H181" s="5" t="s">
        <v>53</v>
      </c>
      <c r="I181" s="5" t="s">
        <v>351</v>
      </c>
      <c r="J181" s="5">
        <v>1820</v>
      </c>
      <c r="K181" s="5">
        <v>20</v>
      </c>
      <c r="L181" s="7">
        <f t="shared" si="12"/>
        <v>91</v>
      </c>
      <c r="M181" s="5" t="s">
        <v>10</v>
      </c>
      <c r="N181" s="5">
        <v>4</v>
      </c>
      <c r="O181" s="6">
        <f t="shared" si="13"/>
        <v>9.4196375000000003</v>
      </c>
      <c r="P181" s="6">
        <f t="shared" si="14"/>
        <v>0.97964229999999997</v>
      </c>
      <c r="Q181" s="10">
        <f t="shared" si="15"/>
        <v>2.0409214583333331E-2</v>
      </c>
      <c r="R181" s="10">
        <f t="shared" si="16"/>
        <v>8.549146647460612E-2</v>
      </c>
      <c r="S181" s="10">
        <f t="shared" si="17"/>
        <v>0.10590068105793946</v>
      </c>
    </row>
    <row r="182" spans="1:19" x14ac:dyDescent="0.25">
      <c r="A182" s="5" t="s">
        <v>8</v>
      </c>
      <c r="B182" s="5" t="s">
        <v>347</v>
      </c>
      <c r="C182" s="5" t="s">
        <v>27</v>
      </c>
      <c r="D182" s="5" t="s">
        <v>385</v>
      </c>
      <c r="E182" s="5" t="s">
        <v>387</v>
      </c>
      <c r="F182" s="5" t="s">
        <v>112</v>
      </c>
      <c r="G182" s="5" t="s">
        <v>391</v>
      </c>
      <c r="H182" s="5" t="s">
        <v>53</v>
      </c>
      <c r="I182" s="5" t="s">
        <v>352</v>
      </c>
      <c r="J182" s="5">
        <v>825</v>
      </c>
      <c r="K182" s="5">
        <v>27.5</v>
      </c>
      <c r="L182" s="7">
        <f t="shared" si="12"/>
        <v>30</v>
      </c>
      <c r="M182" s="5" t="s">
        <v>10</v>
      </c>
      <c r="N182" s="5">
        <v>4</v>
      </c>
      <c r="O182" s="6">
        <f t="shared" si="13"/>
        <v>0.46406249999999999</v>
      </c>
      <c r="P182" s="6">
        <f t="shared" si="14"/>
        <v>4.82625E-2</v>
      </c>
      <c r="Q182" s="10">
        <f t="shared" si="15"/>
        <v>1.0054687500000001E-3</v>
      </c>
      <c r="R182" s="10">
        <f t="shared" si="16"/>
        <v>8.9398345389160392E-3</v>
      </c>
      <c r="S182" s="10">
        <f t="shared" si="17"/>
        <v>9.9453032889160395E-3</v>
      </c>
    </row>
    <row r="183" spans="1:19" x14ac:dyDescent="0.25">
      <c r="A183" s="5" t="s">
        <v>8</v>
      </c>
      <c r="B183" s="5" t="s">
        <v>353</v>
      </c>
      <c r="C183" s="5" t="s">
        <v>27</v>
      </c>
      <c r="D183" s="5" t="s">
        <v>385</v>
      </c>
      <c r="E183" s="5" t="s">
        <v>387</v>
      </c>
      <c r="F183" s="5" t="s">
        <v>112</v>
      </c>
      <c r="G183" s="5" t="s">
        <v>391</v>
      </c>
      <c r="H183" s="5" t="s">
        <v>53</v>
      </c>
      <c r="I183" s="5" t="s">
        <v>352</v>
      </c>
      <c r="J183" s="5">
        <v>765</v>
      </c>
      <c r="K183" s="5">
        <v>26</v>
      </c>
      <c r="L183" s="7">
        <f t="shared" si="12"/>
        <v>29.423076923076923</v>
      </c>
      <c r="M183" s="5" t="s">
        <v>10</v>
      </c>
      <c r="N183" s="5">
        <v>4</v>
      </c>
      <c r="O183" s="6">
        <f t="shared" si="13"/>
        <v>0.41392115846893496</v>
      </c>
      <c r="P183" s="6">
        <f t="shared" si="14"/>
        <v>4.3047800480769241E-2</v>
      </c>
      <c r="Q183" s="10">
        <f t="shared" si="15"/>
        <v>8.9682917668269238E-4</v>
      </c>
      <c r="R183" s="10">
        <f t="shared" si="16"/>
        <v>8.2051276983141543E-3</v>
      </c>
      <c r="S183" s="10">
        <f t="shared" si="17"/>
        <v>9.1019568749968471E-3</v>
      </c>
    </row>
    <row r="184" spans="1:19" x14ac:dyDescent="0.25">
      <c r="A184" s="5" t="s">
        <v>8</v>
      </c>
      <c r="B184" s="5" t="s">
        <v>353</v>
      </c>
      <c r="C184" s="5" t="s">
        <v>27</v>
      </c>
      <c r="D184" s="5" t="s">
        <v>385</v>
      </c>
      <c r="E184" s="5" t="s">
        <v>387</v>
      </c>
      <c r="F184" s="5" t="s">
        <v>112</v>
      </c>
      <c r="G184" s="5" t="s">
        <v>391</v>
      </c>
      <c r="H184" s="5" t="s">
        <v>53</v>
      </c>
      <c r="I184" s="5" t="s">
        <v>352</v>
      </c>
      <c r="J184" s="5">
        <v>930</v>
      </c>
      <c r="K184" s="5">
        <v>29.5</v>
      </c>
      <c r="L184" s="7">
        <f t="shared" si="12"/>
        <v>31.525423728813561</v>
      </c>
      <c r="M184" s="5" t="s">
        <v>10</v>
      </c>
      <c r="N184" s="5">
        <v>4</v>
      </c>
      <c r="O184" s="6">
        <f t="shared" si="13"/>
        <v>0.57767667336972139</v>
      </c>
      <c r="P184" s="6">
        <f t="shared" si="14"/>
        <v>6.0078374030451021E-2</v>
      </c>
      <c r="Q184" s="10">
        <f t="shared" si="15"/>
        <v>1.251632792301063E-3</v>
      </c>
      <c r="R184" s="10">
        <f t="shared" si="16"/>
        <v>1.0535635757711046E-2</v>
      </c>
      <c r="S184" s="10">
        <f t="shared" si="17"/>
        <v>1.1787268550012109E-2</v>
      </c>
    </row>
    <row r="185" spans="1:19" x14ac:dyDescent="0.25">
      <c r="A185" s="5" t="s">
        <v>8</v>
      </c>
      <c r="B185" s="5" t="s">
        <v>330</v>
      </c>
      <c r="C185" s="5" t="s">
        <v>27</v>
      </c>
      <c r="D185" s="5" t="s">
        <v>385</v>
      </c>
      <c r="E185" s="5" t="s">
        <v>387</v>
      </c>
      <c r="F185" s="5" t="s">
        <v>112</v>
      </c>
      <c r="G185" s="5" t="s">
        <v>391</v>
      </c>
      <c r="H185" s="5" t="s">
        <v>53</v>
      </c>
      <c r="I185" s="5" t="s">
        <v>332</v>
      </c>
      <c r="J185" s="5">
        <v>2000</v>
      </c>
      <c r="K185" s="5">
        <v>47</v>
      </c>
      <c r="L185" s="7">
        <f t="shared" si="12"/>
        <v>42.553191489361701</v>
      </c>
      <c r="M185" s="5" t="s">
        <v>10</v>
      </c>
      <c r="N185" s="5">
        <v>4</v>
      </c>
      <c r="O185" s="6">
        <f t="shared" si="13"/>
        <v>2.2634676324128562</v>
      </c>
      <c r="P185" s="6">
        <f t="shared" si="14"/>
        <v>0.23540063377093706</v>
      </c>
      <c r="Q185" s="10">
        <f t="shared" si="15"/>
        <v>4.9041798702278549E-3</v>
      </c>
      <c r="R185" s="10">
        <f t="shared" si="16"/>
        <v>2.9341197903551185E-2</v>
      </c>
      <c r="S185" s="10">
        <f t="shared" si="17"/>
        <v>3.4245377773779041E-2</v>
      </c>
    </row>
    <row r="186" spans="1:19" x14ac:dyDescent="0.25">
      <c r="A186" s="5" t="s">
        <v>22</v>
      </c>
      <c r="B186" s="5" t="s">
        <v>26</v>
      </c>
      <c r="C186" s="5" t="s">
        <v>27</v>
      </c>
      <c r="D186" s="5" t="s">
        <v>385</v>
      </c>
      <c r="E186" s="5" t="s">
        <v>387</v>
      </c>
      <c r="F186" s="5" t="s">
        <v>112</v>
      </c>
      <c r="G186" s="5" t="s">
        <v>391</v>
      </c>
      <c r="H186" s="5" t="s">
        <v>53</v>
      </c>
      <c r="I186" s="5" t="s">
        <v>55</v>
      </c>
      <c r="J186" s="5">
        <v>3650</v>
      </c>
      <c r="K186" s="5">
        <v>34</v>
      </c>
      <c r="L186" s="7">
        <f t="shared" si="12"/>
        <v>107.35294117647059</v>
      </c>
      <c r="M186" s="5" t="s">
        <v>10</v>
      </c>
      <c r="N186" s="5">
        <v>4</v>
      </c>
      <c r="O186" s="6">
        <f t="shared" si="13"/>
        <v>26.290616890138409</v>
      </c>
      <c r="P186" s="6">
        <f t="shared" si="14"/>
        <v>2.7342241565743945</v>
      </c>
      <c r="Q186" s="10">
        <f t="shared" si="15"/>
        <v>5.6963003261966551E-2</v>
      </c>
      <c r="R186" s="10">
        <f t="shared" si="16"/>
        <v>0.18460680533482346</v>
      </c>
      <c r="S186" s="10">
        <f t="shared" si="17"/>
        <v>0.24156980859679</v>
      </c>
    </row>
    <row r="187" spans="1:19" x14ac:dyDescent="0.25">
      <c r="A187" s="5" t="s">
        <v>22</v>
      </c>
      <c r="B187" s="5" t="s">
        <v>26</v>
      </c>
      <c r="C187" s="5" t="s">
        <v>27</v>
      </c>
      <c r="D187" s="5" t="s">
        <v>385</v>
      </c>
      <c r="E187" s="5" t="s">
        <v>387</v>
      </c>
      <c r="F187" s="5" t="s">
        <v>112</v>
      </c>
      <c r="G187" s="5" t="s">
        <v>391</v>
      </c>
      <c r="H187" s="5" t="s">
        <v>53</v>
      </c>
      <c r="I187" s="5" t="s">
        <v>55</v>
      </c>
      <c r="J187" s="5">
        <v>3400</v>
      </c>
      <c r="K187" s="5">
        <v>37.5</v>
      </c>
      <c r="L187" s="7">
        <f t="shared" si="12"/>
        <v>90.666666666666671</v>
      </c>
      <c r="M187" s="5" t="s">
        <v>9</v>
      </c>
      <c r="N187" s="5">
        <v>4</v>
      </c>
      <c r="O187" s="6">
        <f t="shared" si="13"/>
        <v>17.468444444444447</v>
      </c>
      <c r="P187" s="6">
        <f t="shared" si="14"/>
        <v>1.8167182222222222</v>
      </c>
      <c r="Q187" s="10">
        <f t="shared" si="15"/>
        <v>3.7848296296296303E-2</v>
      </c>
      <c r="R187" s="10">
        <f t="shared" si="16"/>
        <v>0.13585880775908216</v>
      </c>
      <c r="S187" s="10">
        <f t="shared" si="17"/>
        <v>0.17370710405537845</v>
      </c>
    </row>
    <row r="188" spans="1:19" x14ac:dyDescent="0.25">
      <c r="A188" s="5" t="s">
        <v>8</v>
      </c>
      <c r="B188" s="5" t="s">
        <v>156</v>
      </c>
      <c r="C188" s="5" t="s">
        <v>27</v>
      </c>
      <c r="D188" s="5" t="s">
        <v>385</v>
      </c>
      <c r="E188" s="5" t="s">
        <v>387</v>
      </c>
      <c r="F188" s="5" t="s">
        <v>112</v>
      </c>
      <c r="G188" s="5" t="s">
        <v>391</v>
      </c>
      <c r="H188" s="5" t="s">
        <v>53</v>
      </c>
      <c r="I188" s="5" t="s">
        <v>158</v>
      </c>
      <c r="J188" s="5">
        <v>1125</v>
      </c>
      <c r="K188" s="5">
        <v>29</v>
      </c>
      <c r="L188" s="7">
        <f t="shared" si="12"/>
        <v>38.793103448275865</v>
      </c>
      <c r="M188" s="5" t="s">
        <v>10</v>
      </c>
      <c r="N188" s="5">
        <v>4</v>
      </c>
      <c r="O188" s="6">
        <f t="shared" si="13"/>
        <v>1.0581362403388823</v>
      </c>
      <c r="P188" s="6">
        <f t="shared" si="14"/>
        <v>0.11004616899524378</v>
      </c>
      <c r="Q188" s="10">
        <f t="shared" si="15"/>
        <v>2.2926285207342449E-3</v>
      </c>
      <c r="R188" s="10">
        <f t="shared" si="16"/>
        <v>1.6588354811020851E-2</v>
      </c>
      <c r="S188" s="10">
        <f t="shared" si="17"/>
        <v>1.8880983331755096E-2</v>
      </c>
    </row>
    <row r="189" spans="1:19" x14ac:dyDescent="0.25">
      <c r="A189" s="5" t="s">
        <v>8</v>
      </c>
      <c r="B189" s="5" t="s">
        <v>156</v>
      </c>
      <c r="C189" s="5" t="s">
        <v>27</v>
      </c>
      <c r="D189" s="5" t="s">
        <v>385</v>
      </c>
      <c r="E189" s="5" t="s">
        <v>387</v>
      </c>
      <c r="F189" s="5" t="s">
        <v>112</v>
      </c>
      <c r="G189" s="5" t="s">
        <v>391</v>
      </c>
      <c r="H189" s="5" t="s">
        <v>53</v>
      </c>
      <c r="I189" s="5" t="s">
        <v>158</v>
      </c>
      <c r="J189" s="5">
        <v>1140</v>
      </c>
      <c r="K189" s="5">
        <v>28.5</v>
      </c>
      <c r="L189" s="7">
        <f t="shared" si="12"/>
        <v>40</v>
      </c>
      <c r="M189" s="5" t="s">
        <v>10</v>
      </c>
      <c r="N189" s="5">
        <v>4</v>
      </c>
      <c r="O189" s="6">
        <f t="shared" si="13"/>
        <v>1.1399999999999999</v>
      </c>
      <c r="P189" s="6">
        <f t="shared" si="14"/>
        <v>0.11855999999999998</v>
      </c>
      <c r="Q189" s="10">
        <f t="shared" si="15"/>
        <v>2.4699999999999995E-3</v>
      </c>
      <c r="R189" s="10">
        <f t="shared" si="16"/>
        <v>1.7541864935922521E-2</v>
      </c>
      <c r="S189" s="10">
        <f t="shared" si="17"/>
        <v>2.0011864935922521E-2</v>
      </c>
    </row>
    <row r="190" spans="1:19" x14ac:dyDescent="0.25">
      <c r="A190" s="5" t="s">
        <v>8</v>
      </c>
      <c r="B190" s="5" t="s">
        <v>347</v>
      </c>
      <c r="C190" s="5" t="s">
        <v>27</v>
      </c>
      <c r="D190" s="5" t="s">
        <v>385</v>
      </c>
      <c r="E190" s="5" t="s">
        <v>387</v>
      </c>
      <c r="F190" s="5" t="s">
        <v>112</v>
      </c>
      <c r="G190" s="5" t="s">
        <v>391</v>
      </c>
      <c r="H190" s="5" t="s">
        <v>53</v>
      </c>
      <c r="I190" s="5" t="s">
        <v>158</v>
      </c>
      <c r="J190" s="5">
        <v>1250</v>
      </c>
      <c r="K190" s="5">
        <v>26.5</v>
      </c>
      <c r="L190" s="7">
        <f t="shared" si="12"/>
        <v>47.169811320754718</v>
      </c>
      <c r="M190" s="5" t="s">
        <v>10</v>
      </c>
      <c r="N190" s="5">
        <v>4</v>
      </c>
      <c r="O190" s="6">
        <f t="shared" si="13"/>
        <v>1.7382742969028124</v>
      </c>
      <c r="P190" s="6">
        <f t="shared" si="14"/>
        <v>0.18078052687789251</v>
      </c>
      <c r="Q190" s="10">
        <f t="shared" si="15"/>
        <v>3.7662609766227601E-3</v>
      </c>
      <c r="R190" s="10">
        <f t="shared" si="16"/>
        <v>2.4070541236937307E-2</v>
      </c>
      <c r="S190" s="10">
        <f t="shared" si="17"/>
        <v>2.7836802213560066E-2</v>
      </c>
    </row>
    <row r="191" spans="1:19" x14ac:dyDescent="0.25">
      <c r="A191" s="5" t="s">
        <v>8</v>
      </c>
      <c r="B191" s="5" t="s">
        <v>372</v>
      </c>
      <c r="C191" s="5" t="s">
        <v>27</v>
      </c>
      <c r="D191" s="5" t="s">
        <v>385</v>
      </c>
      <c r="E191" s="5" t="s">
        <v>387</v>
      </c>
      <c r="F191" s="5" t="s">
        <v>112</v>
      </c>
      <c r="G191" s="5" t="s">
        <v>391</v>
      </c>
      <c r="H191" s="5" t="s">
        <v>53</v>
      </c>
      <c r="I191" s="5" t="s">
        <v>374</v>
      </c>
      <c r="J191" s="5">
        <v>3590</v>
      </c>
      <c r="K191" s="5">
        <v>44</v>
      </c>
      <c r="L191" s="7">
        <f t="shared" si="12"/>
        <v>81.590909090909093</v>
      </c>
      <c r="M191" s="5" t="s">
        <v>10</v>
      </c>
      <c r="N191" s="5">
        <v>4</v>
      </c>
      <c r="O191" s="6">
        <f t="shared" si="13"/>
        <v>14.936815276342974</v>
      </c>
      <c r="P191" s="6">
        <f t="shared" si="14"/>
        <v>1.5534287887396692</v>
      </c>
      <c r="Q191" s="10">
        <f t="shared" si="15"/>
        <v>3.2363099765409777E-2</v>
      </c>
      <c r="R191" s="10">
        <f t="shared" si="16"/>
        <v>0.12080659172555661</v>
      </c>
      <c r="S191" s="10">
        <f t="shared" si="17"/>
        <v>0.15316969149096638</v>
      </c>
    </row>
    <row r="192" spans="1:19" x14ac:dyDescent="0.25">
      <c r="A192" s="5" t="s">
        <v>8</v>
      </c>
      <c r="B192" s="5" t="s">
        <v>372</v>
      </c>
      <c r="C192" s="5" t="s">
        <v>27</v>
      </c>
      <c r="D192" s="5" t="s">
        <v>385</v>
      </c>
      <c r="E192" s="5" t="s">
        <v>387</v>
      </c>
      <c r="F192" s="5" t="s">
        <v>112</v>
      </c>
      <c r="G192" s="5" t="s">
        <v>391</v>
      </c>
      <c r="H192" s="5" t="s">
        <v>53</v>
      </c>
      <c r="I192" s="5" t="s">
        <v>374</v>
      </c>
      <c r="J192" s="5">
        <v>3460</v>
      </c>
      <c r="K192" s="5">
        <v>50.7</v>
      </c>
      <c r="L192" s="7">
        <f t="shared" si="12"/>
        <v>68.244575936883621</v>
      </c>
      <c r="M192" s="5" t="s">
        <v>9</v>
      </c>
      <c r="N192" s="5">
        <v>4</v>
      </c>
      <c r="O192" s="6">
        <f t="shared" si="13"/>
        <v>10.071459138140973</v>
      </c>
      <c r="P192" s="6">
        <f t="shared" si="14"/>
        <v>1.0474317503666613</v>
      </c>
      <c r="Q192" s="10">
        <f t="shared" si="15"/>
        <v>2.1821494799305442E-2</v>
      </c>
      <c r="R192" s="10">
        <f t="shared" si="16"/>
        <v>8.9891043220326733E-2</v>
      </c>
      <c r="S192" s="10">
        <f t="shared" si="17"/>
        <v>0.11171253801963217</v>
      </c>
    </row>
    <row r="193" spans="1:19" x14ac:dyDescent="0.25">
      <c r="A193" s="5" t="s">
        <v>8</v>
      </c>
      <c r="B193" s="5" t="s">
        <v>372</v>
      </c>
      <c r="C193" s="5" t="s">
        <v>27</v>
      </c>
      <c r="D193" s="5" t="s">
        <v>385</v>
      </c>
      <c r="E193" s="5" t="s">
        <v>387</v>
      </c>
      <c r="F193" s="5" t="s">
        <v>112</v>
      </c>
      <c r="G193" s="5" t="s">
        <v>391</v>
      </c>
      <c r="H193" s="5" t="s">
        <v>53</v>
      </c>
      <c r="I193" s="5" t="s">
        <v>374</v>
      </c>
      <c r="J193" s="5">
        <v>950</v>
      </c>
      <c r="K193" s="5">
        <v>31.7</v>
      </c>
      <c r="L193" s="7">
        <f t="shared" ref="L193:L256" si="18">J193/K193</f>
        <v>29.968454258675081</v>
      </c>
      <c r="M193" s="5" t="s">
        <v>337</v>
      </c>
      <c r="N193" s="5">
        <v>4</v>
      </c>
      <c r="O193" s="6">
        <f t="shared" ref="O193:O256" si="19">(J193*L193^2)/(1.6*10^6)</f>
        <v>0.53325177382599098</v>
      </c>
      <c r="P193" s="6">
        <f t="shared" ref="P193:P256" si="20">(0.104*J193*L193^2)/(1.6*10^6)</f>
        <v>5.5458184477903058E-2</v>
      </c>
      <c r="Q193" s="10">
        <f t="shared" ref="Q193:Q256" si="21">(0.104*O193)/(12*N193)</f>
        <v>1.155378843289647E-3</v>
      </c>
      <c r="R193" s="10">
        <f t="shared" ref="R193:R256" si="22">0.0159*O193^0.75</f>
        <v>9.9219345046257408E-3</v>
      </c>
      <c r="S193" s="10">
        <f t="shared" ref="S193:S256" si="23">Q193+R193</f>
        <v>1.1077313347915388E-2</v>
      </c>
    </row>
    <row r="194" spans="1:19" x14ac:dyDescent="0.25">
      <c r="A194" s="5" t="s">
        <v>8</v>
      </c>
      <c r="B194" s="5" t="s">
        <v>372</v>
      </c>
      <c r="C194" s="5" t="s">
        <v>27</v>
      </c>
      <c r="D194" s="5" t="s">
        <v>385</v>
      </c>
      <c r="E194" s="5" t="s">
        <v>387</v>
      </c>
      <c r="F194" s="5" t="s">
        <v>112</v>
      </c>
      <c r="G194" s="5" t="s">
        <v>391</v>
      </c>
      <c r="H194" s="5" t="s">
        <v>53</v>
      </c>
      <c r="I194" s="5" t="s">
        <v>374</v>
      </c>
      <c r="J194" s="5">
        <v>1291</v>
      </c>
      <c r="K194" s="5">
        <v>36.9</v>
      </c>
      <c r="L194" s="7">
        <f t="shared" si="18"/>
        <v>34.986449864498645</v>
      </c>
      <c r="M194" s="5" t="s">
        <v>280</v>
      </c>
      <c r="N194" s="5">
        <v>4</v>
      </c>
      <c r="O194" s="6">
        <f t="shared" si="19"/>
        <v>0.98765669455644411</v>
      </c>
      <c r="P194" s="6">
        <f t="shared" si="20"/>
        <v>0.10271629623387019</v>
      </c>
      <c r="Q194" s="10">
        <f t="shared" si="21"/>
        <v>2.1399228382056289E-3</v>
      </c>
      <c r="R194" s="10">
        <f t="shared" si="22"/>
        <v>1.5752577798951464E-2</v>
      </c>
      <c r="S194" s="10">
        <f t="shared" si="23"/>
        <v>1.7892500637157093E-2</v>
      </c>
    </row>
    <row r="195" spans="1:19" x14ac:dyDescent="0.25">
      <c r="A195" s="5" t="s">
        <v>8</v>
      </c>
      <c r="B195" s="5" t="s">
        <v>372</v>
      </c>
      <c r="C195" s="5" t="s">
        <v>27</v>
      </c>
      <c r="D195" s="5" t="s">
        <v>385</v>
      </c>
      <c r="E195" s="5" t="s">
        <v>387</v>
      </c>
      <c r="F195" s="5" t="s">
        <v>112</v>
      </c>
      <c r="G195" s="5" t="s">
        <v>391</v>
      </c>
      <c r="H195" s="5" t="s">
        <v>53</v>
      </c>
      <c r="I195" s="5" t="s">
        <v>374</v>
      </c>
      <c r="J195" s="5">
        <v>1826</v>
      </c>
      <c r="K195" s="5">
        <v>42.8</v>
      </c>
      <c r="L195" s="7">
        <f t="shared" si="18"/>
        <v>42.663551401869164</v>
      </c>
      <c r="M195" s="5" t="s">
        <v>279</v>
      </c>
      <c r="N195" s="5">
        <v>4</v>
      </c>
      <c r="O195" s="6">
        <f t="shared" si="19"/>
        <v>2.0772788480434978</v>
      </c>
      <c r="P195" s="6">
        <f t="shared" si="20"/>
        <v>0.21603700019652378</v>
      </c>
      <c r="Q195" s="10">
        <f t="shared" si="21"/>
        <v>4.500770837427579E-3</v>
      </c>
      <c r="R195" s="10">
        <f t="shared" si="22"/>
        <v>2.7511750450939836E-2</v>
      </c>
      <c r="S195" s="10">
        <f t="shared" si="23"/>
        <v>3.2012521288367415E-2</v>
      </c>
    </row>
    <row r="196" spans="1:19" x14ac:dyDescent="0.25">
      <c r="A196" s="5" t="s">
        <v>8</v>
      </c>
      <c r="B196" s="5" t="s">
        <v>372</v>
      </c>
      <c r="C196" s="5" t="s">
        <v>27</v>
      </c>
      <c r="D196" s="5" t="s">
        <v>385</v>
      </c>
      <c r="E196" s="5" t="s">
        <v>387</v>
      </c>
      <c r="F196" s="5" t="s">
        <v>112</v>
      </c>
      <c r="G196" s="5" t="s">
        <v>391</v>
      </c>
      <c r="H196" s="5" t="s">
        <v>53</v>
      </c>
      <c r="I196" s="5" t="s">
        <v>374</v>
      </c>
      <c r="J196" s="5">
        <v>2566</v>
      </c>
      <c r="K196" s="5">
        <v>44.9</v>
      </c>
      <c r="L196" s="7">
        <f t="shared" si="18"/>
        <v>57.149220489977729</v>
      </c>
      <c r="M196" s="5" t="s">
        <v>235</v>
      </c>
      <c r="N196" s="5">
        <v>4</v>
      </c>
      <c r="O196" s="6">
        <f t="shared" si="19"/>
        <v>5.2379010694391406</v>
      </c>
      <c r="P196" s="6">
        <f t="shared" si="20"/>
        <v>0.54474171122167048</v>
      </c>
      <c r="Q196" s="10">
        <f t="shared" si="21"/>
        <v>1.1348785650451471E-2</v>
      </c>
      <c r="R196" s="10">
        <f t="shared" si="22"/>
        <v>5.5050984862818765E-2</v>
      </c>
      <c r="S196" s="10">
        <f t="shared" si="23"/>
        <v>6.6399770513270229E-2</v>
      </c>
    </row>
    <row r="197" spans="1:19" x14ac:dyDescent="0.25">
      <c r="A197" s="5" t="s">
        <v>22</v>
      </c>
      <c r="B197" s="5" t="s">
        <v>63</v>
      </c>
      <c r="C197" s="5" t="s">
        <v>27</v>
      </c>
      <c r="D197" s="5" t="s">
        <v>385</v>
      </c>
      <c r="E197" s="5" t="s">
        <v>387</v>
      </c>
      <c r="F197" s="5" t="s">
        <v>112</v>
      </c>
      <c r="G197" s="5" t="s">
        <v>391</v>
      </c>
      <c r="H197" s="5" t="s">
        <v>53</v>
      </c>
      <c r="I197" s="5" t="s">
        <v>114</v>
      </c>
      <c r="J197" s="5">
        <v>1700</v>
      </c>
      <c r="K197" s="5">
        <v>37</v>
      </c>
      <c r="L197" s="7">
        <f t="shared" si="18"/>
        <v>45.945945945945944</v>
      </c>
      <c r="M197" s="5" t="s">
        <v>10</v>
      </c>
      <c r="N197" s="5">
        <v>4</v>
      </c>
      <c r="O197" s="6">
        <f t="shared" si="19"/>
        <v>2.2429693206720231</v>
      </c>
      <c r="P197" s="6">
        <f t="shared" si="20"/>
        <v>0.23326880934989039</v>
      </c>
      <c r="Q197" s="10">
        <f t="shared" si="21"/>
        <v>4.8597668614560495E-3</v>
      </c>
      <c r="R197" s="10">
        <f t="shared" si="22"/>
        <v>2.9141682641278973E-2</v>
      </c>
      <c r="S197" s="10">
        <f t="shared" si="23"/>
        <v>3.4001449502735023E-2</v>
      </c>
    </row>
    <row r="198" spans="1:19" x14ac:dyDescent="0.25">
      <c r="A198" s="5" t="s">
        <v>22</v>
      </c>
      <c r="B198" s="5" t="s">
        <v>63</v>
      </c>
      <c r="C198" s="5" t="s">
        <v>27</v>
      </c>
      <c r="D198" s="5" t="s">
        <v>385</v>
      </c>
      <c r="E198" s="5" t="s">
        <v>387</v>
      </c>
      <c r="F198" s="5" t="s">
        <v>112</v>
      </c>
      <c r="G198" s="5" t="s">
        <v>391</v>
      </c>
      <c r="H198" s="5" t="s">
        <v>53</v>
      </c>
      <c r="I198" s="5" t="s">
        <v>114</v>
      </c>
      <c r="J198" s="5">
        <v>1700</v>
      </c>
      <c r="K198" s="5">
        <v>28</v>
      </c>
      <c r="L198" s="7">
        <f t="shared" si="18"/>
        <v>60.714285714285715</v>
      </c>
      <c r="M198" s="5" t="s">
        <v>9</v>
      </c>
      <c r="N198" s="5">
        <v>4</v>
      </c>
      <c r="O198" s="6">
        <f t="shared" si="19"/>
        <v>3.9166135204081631</v>
      </c>
      <c r="P198" s="6">
        <f t="shared" si="20"/>
        <v>0.40732780612244895</v>
      </c>
      <c r="Q198" s="10">
        <f t="shared" si="21"/>
        <v>8.4859959608843526E-3</v>
      </c>
      <c r="R198" s="10">
        <f t="shared" si="22"/>
        <v>4.4267007423098879E-2</v>
      </c>
      <c r="S198" s="10">
        <f t="shared" si="23"/>
        <v>5.2753003383983234E-2</v>
      </c>
    </row>
    <row r="199" spans="1:19" x14ac:dyDescent="0.25">
      <c r="A199" s="5" t="s">
        <v>8</v>
      </c>
      <c r="B199" s="5" t="s">
        <v>322</v>
      </c>
      <c r="C199" s="5" t="s">
        <v>27</v>
      </c>
      <c r="D199" s="5" t="s">
        <v>385</v>
      </c>
      <c r="E199" s="5" t="s">
        <v>387</v>
      </c>
      <c r="F199" s="5" t="s">
        <v>112</v>
      </c>
      <c r="G199" s="5" t="s">
        <v>391</v>
      </c>
      <c r="H199" s="5" t="s">
        <v>53</v>
      </c>
      <c r="I199" s="5" t="s">
        <v>114</v>
      </c>
      <c r="J199" s="5">
        <v>1600</v>
      </c>
      <c r="K199" s="5">
        <v>39</v>
      </c>
      <c r="L199" s="7">
        <f t="shared" si="18"/>
        <v>41.025641025641029</v>
      </c>
      <c r="M199" s="5" t="s">
        <v>10</v>
      </c>
      <c r="N199" s="5">
        <v>4</v>
      </c>
      <c r="O199" s="6">
        <f t="shared" si="19"/>
        <v>1.6831032215647603</v>
      </c>
      <c r="P199" s="6">
        <f t="shared" si="20"/>
        <v>0.17504273504273507</v>
      </c>
      <c r="Q199" s="10">
        <f t="shared" si="21"/>
        <v>3.6467236467236474E-3</v>
      </c>
      <c r="R199" s="10">
        <f t="shared" si="22"/>
        <v>2.3495256345525899E-2</v>
      </c>
      <c r="S199" s="10">
        <f t="shared" si="23"/>
        <v>2.7141979992249547E-2</v>
      </c>
    </row>
    <row r="200" spans="1:19" x14ac:dyDescent="0.25">
      <c r="A200" s="5" t="s">
        <v>22</v>
      </c>
      <c r="B200" s="5" t="s">
        <v>63</v>
      </c>
      <c r="C200" s="5" t="s">
        <v>27</v>
      </c>
      <c r="D200" s="5" t="s">
        <v>385</v>
      </c>
      <c r="E200" s="5" t="s">
        <v>387</v>
      </c>
      <c r="F200" s="5" t="s">
        <v>112</v>
      </c>
      <c r="G200" s="5" t="s">
        <v>391</v>
      </c>
      <c r="H200" s="5" t="s">
        <v>115</v>
      </c>
      <c r="I200" s="5" t="s">
        <v>116</v>
      </c>
      <c r="J200" s="5">
        <v>665</v>
      </c>
      <c r="K200" s="5">
        <v>23</v>
      </c>
      <c r="L200" s="7">
        <f t="shared" si="18"/>
        <v>28.913043478260871</v>
      </c>
      <c r="M200" s="5" t="s">
        <v>10</v>
      </c>
      <c r="N200" s="5">
        <v>4</v>
      </c>
      <c r="O200" s="6">
        <f t="shared" si="19"/>
        <v>0.34744757206994337</v>
      </c>
      <c r="P200" s="6">
        <f t="shared" si="20"/>
        <v>3.6134547495274102E-2</v>
      </c>
      <c r="Q200" s="10">
        <f t="shared" si="21"/>
        <v>7.5280307281821058E-4</v>
      </c>
      <c r="R200" s="10">
        <f t="shared" si="22"/>
        <v>7.1955514895454976E-3</v>
      </c>
      <c r="S200" s="10">
        <f t="shared" si="23"/>
        <v>7.9483545623637089E-3</v>
      </c>
    </row>
    <row r="201" spans="1:19" x14ac:dyDescent="0.25">
      <c r="A201" s="5" t="s">
        <v>22</v>
      </c>
      <c r="B201" s="5" t="s">
        <v>63</v>
      </c>
      <c r="C201" s="5" t="s">
        <v>27</v>
      </c>
      <c r="D201" s="5" t="s">
        <v>385</v>
      </c>
      <c r="E201" s="5" t="s">
        <v>387</v>
      </c>
      <c r="F201" s="5" t="s">
        <v>112</v>
      </c>
      <c r="G201" s="5" t="s">
        <v>391</v>
      </c>
      <c r="H201" s="5" t="s">
        <v>115</v>
      </c>
      <c r="I201" s="5" t="s">
        <v>116</v>
      </c>
      <c r="J201" s="5">
        <v>750</v>
      </c>
      <c r="K201" s="5">
        <v>23</v>
      </c>
      <c r="L201" s="7">
        <f t="shared" si="18"/>
        <v>32.608695652173914</v>
      </c>
      <c r="M201" s="5" t="s">
        <v>9</v>
      </c>
      <c r="N201" s="5">
        <v>4</v>
      </c>
      <c r="O201" s="6">
        <f t="shared" si="19"/>
        <v>0.49843454631379974</v>
      </c>
      <c r="P201" s="6">
        <f t="shared" si="20"/>
        <v>5.1837192816635173E-2</v>
      </c>
      <c r="Q201" s="10">
        <f t="shared" si="21"/>
        <v>1.0799415170132329E-3</v>
      </c>
      <c r="R201" s="10">
        <f t="shared" si="22"/>
        <v>9.431987704294223E-3</v>
      </c>
      <c r="S201" s="10">
        <f t="shared" si="23"/>
        <v>1.0511929221307456E-2</v>
      </c>
    </row>
    <row r="202" spans="1:19" x14ac:dyDescent="0.25">
      <c r="A202" s="5" t="s">
        <v>22</v>
      </c>
      <c r="B202" s="5" t="s">
        <v>63</v>
      </c>
      <c r="C202" s="5" t="s">
        <v>27</v>
      </c>
      <c r="D202" s="5" t="s">
        <v>385</v>
      </c>
      <c r="E202" s="5" t="s">
        <v>387</v>
      </c>
      <c r="F202" s="5" t="s">
        <v>112</v>
      </c>
      <c r="G202" s="5" t="s">
        <v>391</v>
      </c>
      <c r="H202" s="5" t="s">
        <v>119</v>
      </c>
      <c r="I202" s="5" t="s">
        <v>120</v>
      </c>
      <c r="J202" s="5">
        <v>1200</v>
      </c>
      <c r="K202" s="5">
        <v>26.5</v>
      </c>
      <c r="L202" s="7">
        <f t="shared" si="18"/>
        <v>45.283018867924525</v>
      </c>
      <c r="M202" s="5" t="s">
        <v>10</v>
      </c>
      <c r="N202" s="5">
        <v>4</v>
      </c>
      <c r="O202" s="6">
        <f t="shared" si="19"/>
        <v>1.5379138483446062</v>
      </c>
      <c r="P202" s="6">
        <f t="shared" si="20"/>
        <v>0.15994304022783903</v>
      </c>
      <c r="Q202" s="10">
        <f t="shared" si="21"/>
        <v>3.3321466714133132E-3</v>
      </c>
      <c r="R202" s="10">
        <f t="shared" si="22"/>
        <v>2.1958169341058133E-2</v>
      </c>
      <c r="S202" s="10">
        <f t="shared" si="23"/>
        <v>2.5290316012471448E-2</v>
      </c>
    </row>
    <row r="203" spans="1:19" x14ac:dyDescent="0.25">
      <c r="A203" s="5" t="s">
        <v>22</v>
      </c>
      <c r="B203" s="5" t="s">
        <v>63</v>
      </c>
      <c r="C203" s="5" t="s">
        <v>27</v>
      </c>
      <c r="D203" s="5" t="s">
        <v>385</v>
      </c>
      <c r="E203" s="5" t="s">
        <v>387</v>
      </c>
      <c r="F203" s="5" t="s">
        <v>112</v>
      </c>
      <c r="G203" s="5" t="s">
        <v>391</v>
      </c>
      <c r="H203" s="5" t="s">
        <v>237</v>
      </c>
      <c r="I203" s="5" t="s">
        <v>121</v>
      </c>
      <c r="J203" s="5">
        <v>1250</v>
      </c>
      <c r="K203" s="5">
        <v>25.5</v>
      </c>
      <c r="L203" s="7">
        <f t="shared" si="18"/>
        <v>49.019607843137258</v>
      </c>
      <c r="M203" s="5" t="s">
        <v>10</v>
      </c>
      <c r="N203" s="5">
        <v>4</v>
      </c>
      <c r="O203" s="6">
        <f t="shared" si="19"/>
        <v>1.8772827758554407</v>
      </c>
      <c r="P203" s="6">
        <f t="shared" si="20"/>
        <v>0.19523740868896583</v>
      </c>
      <c r="Q203" s="10">
        <f t="shared" si="21"/>
        <v>4.0674460143534548E-3</v>
      </c>
      <c r="R203" s="10">
        <f t="shared" si="22"/>
        <v>2.5500247518851233E-2</v>
      </c>
      <c r="S203" s="10">
        <f t="shared" si="23"/>
        <v>2.9567693533204688E-2</v>
      </c>
    </row>
    <row r="204" spans="1:19" x14ac:dyDescent="0.25">
      <c r="A204" s="5" t="s">
        <v>8</v>
      </c>
      <c r="B204" s="5" t="s">
        <v>236</v>
      </c>
      <c r="C204" s="5" t="s">
        <v>27</v>
      </c>
      <c r="D204" s="5" t="s">
        <v>385</v>
      </c>
      <c r="E204" s="5" t="s">
        <v>387</v>
      </c>
      <c r="F204" s="5" t="s">
        <v>112</v>
      </c>
      <c r="G204" s="5" t="s">
        <v>391</v>
      </c>
      <c r="H204" s="5" t="s">
        <v>237</v>
      </c>
      <c r="I204" s="5" t="s">
        <v>238</v>
      </c>
      <c r="J204" s="5">
        <v>2800</v>
      </c>
      <c r="K204" s="5">
        <v>33.6</v>
      </c>
      <c r="L204" s="7">
        <f t="shared" si="18"/>
        <v>83.333333333333329</v>
      </c>
      <c r="M204" s="5" t="s">
        <v>10</v>
      </c>
      <c r="N204" s="5">
        <v>4</v>
      </c>
      <c r="O204" s="6">
        <f t="shared" si="19"/>
        <v>12.152777777777775</v>
      </c>
      <c r="P204" s="6">
        <f t="shared" si="20"/>
        <v>1.2638888888888886</v>
      </c>
      <c r="Q204" s="10">
        <f t="shared" si="21"/>
        <v>2.6331018518518514E-2</v>
      </c>
      <c r="R204" s="10">
        <f t="shared" si="22"/>
        <v>0.10349128794647404</v>
      </c>
      <c r="S204" s="10">
        <f t="shared" si="23"/>
        <v>0.12982230646499254</v>
      </c>
    </row>
    <row r="205" spans="1:19" x14ac:dyDescent="0.25">
      <c r="A205" s="5" t="s">
        <v>8</v>
      </c>
      <c r="B205" s="5" t="s">
        <v>165</v>
      </c>
      <c r="C205" s="5" t="s">
        <v>27</v>
      </c>
      <c r="D205" s="5" t="s">
        <v>385</v>
      </c>
      <c r="E205" s="5" t="s">
        <v>384</v>
      </c>
      <c r="F205" s="5" t="s">
        <v>91</v>
      </c>
      <c r="G205" s="5" t="s">
        <v>393</v>
      </c>
      <c r="H205" s="5" t="s">
        <v>92</v>
      </c>
      <c r="I205" s="5" t="s">
        <v>167</v>
      </c>
      <c r="J205" s="5">
        <v>1770</v>
      </c>
      <c r="K205" s="5">
        <v>30</v>
      </c>
      <c r="L205" s="7">
        <f t="shared" si="18"/>
        <v>59</v>
      </c>
      <c r="M205" s="5" t="s">
        <v>10</v>
      </c>
      <c r="N205" s="5">
        <v>4</v>
      </c>
      <c r="O205" s="6">
        <f t="shared" si="19"/>
        <v>3.8508562500000001</v>
      </c>
      <c r="P205" s="6">
        <f t="shared" si="20"/>
        <v>0.40048905000000001</v>
      </c>
      <c r="Q205" s="10">
        <f t="shared" si="21"/>
        <v>8.3435218750000009E-3</v>
      </c>
      <c r="R205" s="10">
        <f t="shared" si="22"/>
        <v>4.3708419692553992E-2</v>
      </c>
      <c r="S205" s="10">
        <f t="shared" si="23"/>
        <v>5.2051941567553994E-2</v>
      </c>
    </row>
    <row r="206" spans="1:19" x14ac:dyDescent="0.25">
      <c r="A206" s="5" t="s">
        <v>8</v>
      </c>
      <c r="B206" s="5" t="s">
        <v>372</v>
      </c>
      <c r="C206" s="5" t="s">
        <v>27</v>
      </c>
      <c r="D206" s="5" t="s">
        <v>385</v>
      </c>
      <c r="E206" s="5" t="s">
        <v>384</v>
      </c>
      <c r="F206" s="5" t="s">
        <v>91</v>
      </c>
      <c r="G206" s="5" t="s">
        <v>393</v>
      </c>
      <c r="H206" s="5" t="s">
        <v>92</v>
      </c>
      <c r="I206" s="5" t="s">
        <v>373</v>
      </c>
      <c r="J206" s="5">
        <v>2600</v>
      </c>
      <c r="K206" s="5">
        <v>40.200000000000003</v>
      </c>
      <c r="L206" s="7">
        <f t="shared" si="18"/>
        <v>64.676616915422883</v>
      </c>
      <c r="M206" s="5" t="s">
        <v>10</v>
      </c>
      <c r="N206" s="5">
        <v>4</v>
      </c>
      <c r="O206" s="6">
        <f t="shared" si="19"/>
        <v>6.7974802603895936</v>
      </c>
      <c r="P206" s="6">
        <f t="shared" si="20"/>
        <v>0.7069379470805176</v>
      </c>
      <c r="Q206" s="10">
        <f t="shared" si="21"/>
        <v>1.4727873897510785E-2</v>
      </c>
      <c r="R206" s="10">
        <f t="shared" si="22"/>
        <v>6.6935743328339611E-2</v>
      </c>
      <c r="S206" s="10">
        <f t="shared" si="23"/>
        <v>8.1663617225850402E-2</v>
      </c>
    </row>
    <row r="207" spans="1:19" x14ac:dyDescent="0.25">
      <c r="A207" s="5" t="s">
        <v>8</v>
      </c>
      <c r="B207" s="5" t="s">
        <v>372</v>
      </c>
      <c r="C207" s="5" t="s">
        <v>27</v>
      </c>
      <c r="D207" s="5" t="s">
        <v>385</v>
      </c>
      <c r="E207" s="5" t="s">
        <v>384</v>
      </c>
      <c r="F207" s="5" t="s">
        <v>91</v>
      </c>
      <c r="G207" s="5" t="s">
        <v>393</v>
      </c>
      <c r="H207" s="5" t="s">
        <v>92</v>
      </c>
      <c r="I207" s="5" t="s">
        <v>373</v>
      </c>
      <c r="J207" s="5">
        <v>2510</v>
      </c>
      <c r="K207" s="5">
        <v>41.4</v>
      </c>
      <c r="L207" s="7">
        <f t="shared" si="18"/>
        <v>60.628019323671502</v>
      </c>
      <c r="M207" s="5" t="s">
        <v>9</v>
      </c>
      <c r="N207" s="5">
        <v>4</v>
      </c>
      <c r="O207" s="6">
        <f t="shared" si="19"/>
        <v>5.7663433656561418</v>
      </c>
      <c r="P207" s="6">
        <f t="shared" si="20"/>
        <v>0.59969971002823874</v>
      </c>
      <c r="Q207" s="10">
        <f t="shared" si="21"/>
        <v>1.249374395892164E-2</v>
      </c>
      <c r="R207" s="10">
        <f t="shared" si="22"/>
        <v>5.9166039480103155E-2</v>
      </c>
      <c r="S207" s="10">
        <f t="shared" si="23"/>
        <v>7.1659783439024793E-2</v>
      </c>
    </row>
    <row r="208" spans="1:19" x14ac:dyDescent="0.25">
      <c r="A208" s="5" t="s">
        <v>22</v>
      </c>
      <c r="B208" s="5" t="s">
        <v>63</v>
      </c>
      <c r="C208" s="5" t="s">
        <v>27</v>
      </c>
      <c r="D208" s="5" t="s">
        <v>385</v>
      </c>
      <c r="E208" s="5" t="s">
        <v>384</v>
      </c>
      <c r="F208" s="5" t="s">
        <v>91</v>
      </c>
      <c r="G208" s="5" t="s">
        <v>393</v>
      </c>
      <c r="H208" s="5" t="s">
        <v>92</v>
      </c>
      <c r="I208" s="5" t="s">
        <v>19</v>
      </c>
      <c r="J208" s="5">
        <v>1530</v>
      </c>
      <c r="K208" s="5">
        <v>63</v>
      </c>
      <c r="L208" s="7">
        <f t="shared" si="18"/>
        <v>24.285714285714285</v>
      </c>
      <c r="M208" s="5" t="s">
        <v>10</v>
      </c>
      <c r="N208" s="5">
        <v>4</v>
      </c>
      <c r="O208" s="6">
        <f t="shared" si="19"/>
        <v>0.56399234693877542</v>
      </c>
      <c r="P208" s="6">
        <f t="shared" si="20"/>
        <v>5.8655204081632648E-2</v>
      </c>
      <c r="Q208" s="10">
        <f t="shared" si="21"/>
        <v>1.2219834183673467E-3</v>
      </c>
      <c r="R208" s="10">
        <f t="shared" si="22"/>
        <v>1.0347895457552336E-2</v>
      </c>
      <c r="S208" s="10">
        <f t="shared" si="23"/>
        <v>1.1569878875919683E-2</v>
      </c>
    </row>
    <row r="209" spans="1:19" x14ac:dyDescent="0.25">
      <c r="A209" s="5" t="s">
        <v>22</v>
      </c>
      <c r="B209" s="5" t="s">
        <v>63</v>
      </c>
      <c r="C209" s="5" t="s">
        <v>27</v>
      </c>
      <c r="D209" s="5" t="s">
        <v>385</v>
      </c>
      <c r="E209" s="5" t="s">
        <v>384</v>
      </c>
      <c r="F209" s="5" t="s">
        <v>91</v>
      </c>
      <c r="G209" s="5" t="s">
        <v>393</v>
      </c>
      <c r="H209" s="5" t="s">
        <v>92</v>
      </c>
      <c r="I209" s="5" t="s">
        <v>19</v>
      </c>
      <c r="J209" s="5">
        <v>1585</v>
      </c>
      <c r="K209" s="5">
        <v>66</v>
      </c>
      <c r="L209" s="7">
        <f t="shared" si="18"/>
        <v>24.015151515151516</v>
      </c>
      <c r="M209" s="5" t="s">
        <v>9</v>
      </c>
      <c r="N209" s="5">
        <v>4</v>
      </c>
      <c r="O209" s="6">
        <f t="shared" si="19"/>
        <v>0.57132068196166208</v>
      </c>
      <c r="P209" s="6">
        <f t="shared" si="20"/>
        <v>5.941735092401286E-2</v>
      </c>
      <c r="Q209" s="10">
        <f t="shared" si="21"/>
        <v>1.2378614775836012E-3</v>
      </c>
      <c r="R209" s="10">
        <f t="shared" si="22"/>
        <v>1.0448575464998765E-2</v>
      </c>
      <c r="S209" s="10">
        <f t="shared" si="23"/>
        <v>1.1686436942582366E-2</v>
      </c>
    </row>
    <row r="210" spans="1:19" x14ac:dyDescent="0.25">
      <c r="A210" s="5" t="s">
        <v>8</v>
      </c>
      <c r="B210" s="5" t="s">
        <v>313</v>
      </c>
      <c r="C210" s="5" t="s">
        <v>27</v>
      </c>
      <c r="D210" s="5" t="s">
        <v>385</v>
      </c>
      <c r="E210" s="5" t="s">
        <v>384</v>
      </c>
      <c r="F210" s="5" t="s">
        <v>91</v>
      </c>
      <c r="G210" s="5" t="s">
        <v>393</v>
      </c>
      <c r="H210" s="5" t="s">
        <v>92</v>
      </c>
      <c r="I210" s="5" t="s">
        <v>315</v>
      </c>
      <c r="J210" s="5">
        <v>1300</v>
      </c>
      <c r="K210" s="5">
        <v>27</v>
      </c>
      <c r="L210" s="7">
        <f t="shared" si="18"/>
        <v>48.148148148148145</v>
      </c>
      <c r="M210" s="5" t="s">
        <v>10</v>
      </c>
      <c r="N210" s="5">
        <v>4</v>
      </c>
      <c r="O210" s="6">
        <f t="shared" si="19"/>
        <v>1.8835733882030175</v>
      </c>
      <c r="P210" s="6">
        <f t="shared" si="20"/>
        <v>0.19589163237311383</v>
      </c>
      <c r="Q210" s="10">
        <f t="shared" si="21"/>
        <v>4.0810756744398711E-3</v>
      </c>
      <c r="R210" s="10">
        <f t="shared" si="22"/>
        <v>2.5564307556858588E-2</v>
      </c>
      <c r="S210" s="10">
        <f t="shared" si="23"/>
        <v>2.964538323129846E-2</v>
      </c>
    </row>
    <row r="211" spans="1:19" x14ac:dyDescent="0.25">
      <c r="A211" s="5" t="s">
        <v>22</v>
      </c>
      <c r="B211" s="5" t="s">
        <v>63</v>
      </c>
      <c r="C211" s="5" t="s">
        <v>27</v>
      </c>
      <c r="D211" s="5" t="s">
        <v>385</v>
      </c>
      <c r="E211" s="5" t="s">
        <v>384</v>
      </c>
      <c r="F211" s="5" t="s">
        <v>91</v>
      </c>
      <c r="G211" s="5" t="s">
        <v>393</v>
      </c>
      <c r="H211" s="5" t="s">
        <v>92</v>
      </c>
      <c r="I211" s="5" t="s">
        <v>20</v>
      </c>
      <c r="J211" s="5">
        <v>1400</v>
      </c>
      <c r="K211" s="5">
        <v>37</v>
      </c>
      <c r="L211" s="7">
        <f t="shared" si="18"/>
        <v>37.837837837837839</v>
      </c>
      <c r="M211" s="5" t="s">
        <v>10</v>
      </c>
      <c r="N211" s="5">
        <v>4</v>
      </c>
      <c r="O211" s="6">
        <f t="shared" si="19"/>
        <v>1.2527392257121988</v>
      </c>
      <c r="P211" s="6">
        <f t="shared" si="20"/>
        <v>0.13028487947406867</v>
      </c>
      <c r="Q211" s="10">
        <f t="shared" si="21"/>
        <v>2.7142683223764304E-3</v>
      </c>
      <c r="R211" s="10">
        <f t="shared" si="22"/>
        <v>1.8827498926201992E-2</v>
      </c>
      <c r="S211" s="10">
        <f t="shared" si="23"/>
        <v>2.1541767248578422E-2</v>
      </c>
    </row>
    <row r="212" spans="1:19" x14ac:dyDescent="0.25">
      <c r="A212" s="5" t="s">
        <v>8</v>
      </c>
      <c r="B212" s="5" t="s">
        <v>308</v>
      </c>
      <c r="C212" s="5" t="s">
        <v>27</v>
      </c>
      <c r="D212" s="5" t="s">
        <v>385</v>
      </c>
      <c r="E212" s="5" t="s">
        <v>384</v>
      </c>
      <c r="F212" s="5" t="s">
        <v>91</v>
      </c>
      <c r="G212" s="5" t="s">
        <v>393</v>
      </c>
      <c r="H212" s="5" t="s">
        <v>92</v>
      </c>
      <c r="I212" s="5" t="s">
        <v>309</v>
      </c>
      <c r="J212" s="5">
        <v>1055</v>
      </c>
      <c r="K212" s="5">
        <v>35.5</v>
      </c>
      <c r="L212" s="7">
        <f t="shared" si="18"/>
        <v>29.718309859154928</v>
      </c>
      <c r="M212" s="5" t="s">
        <v>10</v>
      </c>
      <c r="N212" s="5">
        <v>4</v>
      </c>
      <c r="O212" s="6">
        <f t="shared" si="19"/>
        <v>0.58234545477087873</v>
      </c>
      <c r="P212" s="6">
        <f t="shared" si="20"/>
        <v>6.056392729617139E-2</v>
      </c>
      <c r="Q212" s="10">
        <f t="shared" si="21"/>
        <v>1.2617484853369037E-3</v>
      </c>
      <c r="R212" s="10">
        <f t="shared" si="22"/>
        <v>1.0599433193685417E-2</v>
      </c>
      <c r="S212" s="10">
        <f t="shared" si="23"/>
        <v>1.1861181679022321E-2</v>
      </c>
    </row>
    <row r="213" spans="1:19" x14ac:dyDescent="0.25">
      <c r="A213" s="5" t="s">
        <v>8</v>
      </c>
      <c r="B213" s="5" t="s">
        <v>308</v>
      </c>
      <c r="C213" s="5" t="s">
        <v>27</v>
      </c>
      <c r="D213" s="5" t="s">
        <v>385</v>
      </c>
      <c r="E213" s="5" t="s">
        <v>384</v>
      </c>
      <c r="F213" s="5" t="s">
        <v>91</v>
      </c>
      <c r="G213" s="5" t="s">
        <v>393</v>
      </c>
      <c r="H213" s="5" t="s">
        <v>92</v>
      </c>
      <c r="I213" s="5" t="s">
        <v>309</v>
      </c>
      <c r="J213" s="5">
        <v>1215</v>
      </c>
      <c r="K213" s="5">
        <v>41</v>
      </c>
      <c r="L213" s="7">
        <f t="shared" si="18"/>
        <v>29.634146341463413</v>
      </c>
      <c r="M213" s="5" t="s">
        <v>9</v>
      </c>
      <c r="N213" s="5">
        <v>4</v>
      </c>
      <c r="O213" s="6">
        <f t="shared" si="19"/>
        <v>0.66686993419095775</v>
      </c>
      <c r="P213" s="6">
        <f t="shared" si="20"/>
        <v>6.9354473155859603E-2</v>
      </c>
      <c r="Q213" s="10">
        <f t="shared" si="21"/>
        <v>1.4448848574137418E-3</v>
      </c>
      <c r="R213" s="10">
        <f t="shared" si="22"/>
        <v>1.1733510805087846E-2</v>
      </c>
      <c r="S213" s="10">
        <f t="shared" si="23"/>
        <v>1.3178395662501587E-2</v>
      </c>
    </row>
    <row r="214" spans="1:19" x14ac:dyDescent="0.25">
      <c r="A214" s="5" t="s">
        <v>22</v>
      </c>
      <c r="B214" s="5" t="s">
        <v>63</v>
      </c>
      <c r="C214" s="5" t="s">
        <v>27</v>
      </c>
      <c r="D214" s="5" t="s">
        <v>385</v>
      </c>
      <c r="E214" s="5" t="s">
        <v>384</v>
      </c>
      <c r="F214" s="5" t="s">
        <v>91</v>
      </c>
      <c r="G214" s="5" t="s">
        <v>393</v>
      </c>
      <c r="H214" s="5" t="s">
        <v>93</v>
      </c>
      <c r="I214" s="5" t="s">
        <v>94</v>
      </c>
      <c r="J214" s="5">
        <v>3450</v>
      </c>
      <c r="K214" s="5">
        <v>33.5</v>
      </c>
      <c r="L214" s="7">
        <f t="shared" si="18"/>
        <v>102.98507462686567</v>
      </c>
      <c r="M214" s="5" t="s">
        <v>10</v>
      </c>
      <c r="N214" s="5">
        <v>4</v>
      </c>
      <c r="O214" s="6">
        <f t="shared" si="19"/>
        <v>22.869027066161731</v>
      </c>
      <c r="P214" s="6">
        <f t="shared" si="20"/>
        <v>2.3783788148808198</v>
      </c>
      <c r="Q214" s="10">
        <f t="shared" si="21"/>
        <v>4.9549558643350415E-2</v>
      </c>
      <c r="R214" s="10">
        <f t="shared" si="22"/>
        <v>0.16627727199027578</v>
      </c>
      <c r="S214" s="10">
        <f t="shared" si="23"/>
        <v>0.2158268306336262</v>
      </c>
    </row>
    <row r="215" spans="1:19" x14ac:dyDescent="0.25">
      <c r="A215" s="5" t="s">
        <v>22</v>
      </c>
      <c r="B215" s="5" t="s">
        <v>63</v>
      </c>
      <c r="C215" s="5" t="s">
        <v>27</v>
      </c>
      <c r="D215" s="5" t="s">
        <v>385</v>
      </c>
      <c r="E215" s="5" t="s">
        <v>384</v>
      </c>
      <c r="F215" s="5" t="s">
        <v>91</v>
      </c>
      <c r="G215" s="5" t="s">
        <v>393</v>
      </c>
      <c r="H215" s="5" t="s">
        <v>93</v>
      </c>
      <c r="I215" s="5" t="s">
        <v>94</v>
      </c>
      <c r="J215" s="5">
        <v>2400</v>
      </c>
      <c r="K215" s="5">
        <v>30</v>
      </c>
      <c r="L215" s="7">
        <f t="shared" si="18"/>
        <v>80</v>
      </c>
      <c r="M215" s="5" t="s">
        <v>9</v>
      </c>
      <c r="N215" s="5">
        <v>4</v>
      </c>
      <c r="O215" s="6">
        <f t="shared" si="19"/>
        <v>9.6</v>
      </c>
      <c r="P215" s="6">
        <f t="shared" si="20"/>
        <v>0.99839999999999995</v>
      </c>
      <c r="Q215" s="10">
        <f t="shared" si="21"/>
        <v>2.0799999999999999E-2</v>
      </c>
      <c r="R215" s="10">
        <f t="shared" si="22"/>
        <v>8.671626204879955E-2</v>
      </c>
      <c r="S215" s="10">
        <f t="shared" si="23"/>
        <v>0.10751626204879955</v>
      </c>
    </row>
    <row r="216" spans="1:19" x14ac:dyDescent="0.25">
      <c r="A216" s="5" t="s">
        <v>8</v>
      </c>
      <c r="B216" s="5" t="s">
        <v>336</v>
      </c>
      <c r="C216" s="5" t="s">
        <v>27</v>
      </c>
      <c r="D216" s="5" t="s">
        <v>385</v>
      </c>
      <c r="E216" s="5" t="s">
        <v>384</v>
      </c>
      <c r="F216" s="5" t="s">
        <v>91</v>
      </c>
      <c r="G216" s="5" t="s">
        <v>393</v>
      </c>
      <c r="H216" s="5" t="s">
        <v>93</v>
      </c>
      <c r="I216" s="5" t="s">
        <v>94</v>
      </c>
      <c r="J216" s="5">
        <v>3150</v>
      </c>
      <c r="K216" s="5">
        <v>31</v>
      </c>
      <c r="L216" s="7">
        <f t="shared" si="18"/>
        <v>101.61290322580645</v>
      </c>
      <c r="M216" s="5" t="s">
        <v>10</v>
      </c>
      <c r="N216" s="5">
        <v>4</v>
      </c>
      <c r="O216" s="6">
        <f t="shared" si="19"/>
        <v>20.32770226326743</v>
      </c>
      <c r="P216" s="6">
        <f t="shared" si="20"/>
        <v>2.1140810353798125</v>
      </c>
      <c r="Q216" s="10">
        <f t="shared" si="21"/>
        <v>4.4043354903746092E-2</v>
      </c>
      <c r="R216" s="10">
        <f t="shared" si="22"/>
        <v>0.15221706459438031</v>
      </c>
      <c r="S216" s="10">
        <f t="shared" si="23"/>
        <v>0.19626041949812639</v>
      </c>
    </row>
    <row r="217" spans="1:19" x14ac:dyDescent="0.25">
      <c r="A217" s="5" t="s">
        <v>8</v>
      </c>
      <c r="B217" s="5" t="s">
        <v>336</v>
      </c>
      <c r="C217" s="5" t="s">
        <v>27</v>
      </c>
      <c r="D217" s="5" t="s">
        <v>385</v>
      </c>
      <c r="E217" s="5" t="s">
        <v>384</v>
      </c>
      <c r="F217" s="5" t="s">
        <v>91</v>
      </c>
      <c r="G217" s="5" t="s">
        <v>393</v>
      </c>
      <c r="H217" s="5" t="s">
        <v>93</v>
      </c>
      <c r="I217" s="5" t="s">
        <v>94</v>
      </c>
      <c r="J217" s="5">
        <v>2840</v>
      </c>
      <c r="K217" s="5">
        <v>30</v>
      </c>
      <c r="L217" s="7">
        <f t="shared" si="18"/>
        <v>94.666666666666671</v>
      </c>
      <c r="M217" s="5" t="s">
        <v>9</v>
      </c>
      <c r="N217" s="5">
        <v>4</v>
      </c>
      <c r="O217" s="6">
        <f t="shared" si="19"/>
        <v>15.907155555555557</v>
      </c>
      <c r="P217" s="6">
        <f t="shared" si="20"/>
        <v>1.6543441777777783</v>
      </c>
      <c r="Q217" s="10">
        <f t="shared" si="21"/>
        <v>3.4465503703703708E-2</v>
      </c>
      <c r="R217" s="10">
        <f t="shared" si="22"/>
        <v>0.12664601248462076</v>
      </c>
      <c r="S217" s="10">
        <f t="shared" si="23"/>
        <v>0.16111151618832448</v>
      </c>
    </row>
    <row r="218" spans="1:19" x14ac:dyDescent="0.25">
      <c r="A218" s="5" t="s">
        <v>8</v>
      </c>
      <c r="B218" s="5" t="s">
        <v>336</v>
      </c>
      <c r="C218" s="5" t="s">
        <v>27</v>
      </c>
      <c r="D218" s="5" t="s">
        <v>385</v>
      </c>
      <c r="E218" s="5" t="s">
        <v>384</v>
      </c>
      <c r="F218" s="5" t="s">
        <v>91</v>
      </c>
      <c r="G218" s="5" t="s">
        <v>393</v>
      </c>
      <c r="H218" s="5" t="s">
        <v>93</v>
      </c>
      <c r="I218" s="5" t="s">
        <v>94</v>
      </c>
      <c r="J218" s="5">
        <v>860</v>
      </c>
      <c r="K218" s="5">
        <v>24.1</v>
      </c>
      <c r="L218" s="7">
        <f t="shared" si="18"/>
        <v>35.684647302904565</v>
      </c>
      <c r="M218" s="5" t="s">
        <v>337</v>
      </c>
      <c r="N218" s="5">
        <v>4</v>
      </c>
      <c r="O218" s="6">
        <f t="shared" si="19"/>
        <v>0.68444930355882316</v>
      </c>
      <c r="P218" s="6">
        <f t="shared" si="20"/>
        <v>7.1182727570117607E-2</v>
      </c>
      <c r="Q218" s="10">
        <f t="shared" si="21"/>
        <v>1.4829734910441169E-3</v>
      </c>
      <c r="R218" s="10">
        <f t="shared" si="22"/>
        <v>1.1964735127988676E-2</v>
      </c>
      <c r="S218" s="10">
        <f t="shared" si="23"/>
        <v>1.3447708619032793E-2</v>
      </c>
    </row>
    <row r="219" spans="1:19" x14ac:dyDescent="0.25">
      <c r="A219" s="5" t="s">
        <v>8</v>
      </c>
      <c r="B219" s="5" t="s">
        <v>336</v>
      </c>
      <c r="C219" s="5" t="s">
        <v>27</v>
      </c>
      <c r="D219" s="5" t="s">
        <v>385</v>
      </c>
      <c r="E219" s="5" t="s">
        <v>384</v>
      </c>
      <c r="F219" s="5" t="s">
        <v>91</v>
      </c>
      <c r="G219" s="5" t="s">
        <v>393</v>
      </c>
      <c r="H219" s="5" t="s">
        <v>93</v>
      </c>
      <c r="I219" s="5" t="s">
        <v>94</v>
      </c>
      <c r="J219" s="5">
        <v>1130</v>
      </c>
      <c r="K219" s="5">
        <v>26.8</v>
      </c>
      <c r="L219" s="7">
        <f t="shared" si="18"/>
        <v>42.164179104477611</v>
      </c>
      <c r="M219" s="5" t="s">
        <v>280</v>
      </c>
      <c r="N219" s="5">
        <v>4</v>
      </c>
      <c r="O219" s="6">
        <f t="shared" si="19"/>
        <v>1.255583962185342</v>
      </c>
      <c r="P219" s="6">
        <f t="shared" si="20"/>
        <v>0.13058073206727558</v>
      </c>
      <c r="Q219" s="10">
        <f t="shared" si="21"/>
        <v>2.7204319180682405E-3</v>
      </c>
      <c r="R219" s="10">
        <f t="shared" si="22"/>
        <v>1.8859555129484919E-2</v>
      </c>
      <c r="S219" s="10">
        <f t="shared" si="23"/>
        <v>2.1579987047553161E-2</v>
      </c>
    </row>
    <row r="220" spans="1:19" x14ac:dyDescent="0.25">
      <c r="A220" s="5" t="s">
        <v>8</v>
      </c>
      <c r="B220" s="5" t="s">
        <v>336</v>
      </c>
      <c r="C220" s="5" t="s">
        <v>27</v>
      </c>
      <c r="D220" s="5" t="s">
        <v>385</v>
      </c>
      <c r="E220" s="5" t="s">
        <v>384</v>
      </c>
      <c r="F220" s="5" t="s">
        <v>91</v>
      </c>
      <c r="G220" s="5" t="s">
        <v>393</v>
      </c>
      <c r="H220" s="5" t="s">
        <v>93</v>
      </c>
      <c r="I220" s="5" t="s">
        <v>94</v>
      </c>
      <c r="J220" s="5">
        <v>1630</v>
      </c>
      <c r="K220" s="5">
        <v>29.4</v>
      </c>
      <c r="L220" s="7">
        <f t="shared" si="18"/>
        <v>55.442176870748305</v>
      </c>
      <c r="M220" s="5" t="s">
        <v>279</v>
      </c>
      <c r="N220" s="5">
        <v>4</v>
      </c>
      <c r="O220" s="6">
        <f t="shared" si="19"/>
        <v>3.1314693819704762</v>
      </c>
      <c r="P220" s="6">
        <f t="shared" si="20"/>
        <v>0.32567281572492945</v>
      </c>
      <c r="Q220" s="10">
        <f t="shared" si="21"/>
        <v>6.7848503276026978E-3</v>
      </c>
      <c r="R220" s="10">
        <f t="shared" si="22"/>
        <v>3.7429002370439848E-2</v>
      </c>
      <c r="S220" s="10">
        <f t="shared" si="23"/>
        <v>4.4213852698042545E-2</v>
      </c>
    </row>
    <row r="221" spans="1:19" x14ac:dyDescent="0.25">
      <c r="A221" s="5" t="s">
        <v>8</v>
      </c>
      <c r="B221" s="5" t="s">
        <v>336</v>
      </c>
      <c r="C221" s="5" t="s">
        <v>27</v>
      </c>
      <c r="D221" s="5" t="s">
        <v>385</v>
      </c>
      <c r="E221" s="5" t="s">
        <v>384</v>
      </c>
      <c r="F221" s="5" t="s">
        <v>91</v>
      </c>
      <c r="G221" s="5" t="s">
        <v>393</v>
      </c>
      <c r="H221" s="5" t="s">
        <v>93</v>
      </c>
      <c r="I221" s="5" t="s">
        <v>94</v>
      </c>
      <c r="J221" s="5">
        <v>2120</v>
      </c>
      <c r="K221" s="5">
        <v>27.2</v>
      </c>
      <c r="L221" s="7">
        <f t="shared" si="18"/>
        <v>77.941176470588232</v>
      </c>
      <c r="M221" s="5" t="s">
        <v>235</v>
      </c>
      <c r="N221" s="5">
        <v>4</v>
      </c>
      <c r="O221" s="6">
        <f t="shared" si="19"/>
        <v>8.0491457612456738</v>
      </c>
      <c r="P221" s="6">
        <f t="shared" si="20"/>
        <v>0.83711115916955003</v>
      </c>
      <c r="Q221" s="10">
        <f t="shared" si="21"/>
        <v>1.7439815816032291E-2</v>
      </c>
      <c r="R221" s="10">
        <f t="shared" si="22"/>
        <v>7.5981780867075688E-2</v>
      </c>
      <c r="S221" s="10">
        <f t="shared" si="23"/>
        <v>9.3421596683107982E-2</v>
      </c>
    </row>
    <row r="222" spans="1:19" x14ac:dyDescent="0.25">
      <c r="A222" s="5" t="s">
        <v>8</v>
      </c>
      <c r="B222" s="5" t="s">
        <v>336</v>
      </c>
      <c r="C222" s="5" t="s">
        <v>27</v>
      </c>
      <c r="D222" s="5" t="s">
        <v>385</v>
      </c>
      <c r="E222" s="5" t="s">
        <v>384</v>
      </c>
      <c r="F222" s="5" t="s">
        <v>91</v>
      </c>
      <c r="G222" s="5" t="s">
        <v>393</v>
      </c>
      <c r="H222" s="5" t="s">
        <v>93</v>
      </c>
      <c r="I222" s="5" t="s">
        <v>338</v>
      </c>
      <c r="J222" s="5">
        <v>2620</v>
      </c>
      <c r="K222" s="5">
        <v>30.5</v>
      </c>
      <c r="L222" s="7">
        <f t="shared" si="18"/>
        <v>85.901639344262293</v>
      </c>
      <c r="M222" s="5" t="s">
        <v>9</v>
      </c>
      <c r="N222" s="5">
        <v>4</v>
      </c>
      <c r="O222" s="6">
        <f t="shared" si="19"/>
        <v>12.083262563826928</v>
      </c>
      <c r="P222" s="6">
        <f t="shared" si="20"/>
        <v>1.2566593066380003</v>
      </c>
      <c r="Q222" s="10">
        <f t="shared" si="21"/>
        <v>2.6180402221625012E-2</v>
      </c>
      <c r="R222" s="10">
        <f t="shared" si="22"/>
        <v>0.10304698364299147</v>
      </c>
      <c r="S222" s="10">
        <f t="shared" si="23"/>
        <v>0.12922738586461649</v>
      </c>
    </row>
    <row r="223" spans="1:19" x14ac:dyDescent="0.25">
      <c r="A223" s="5" t="s">
        <v>8</v>
      </c>
      <c r="B223" s="5" t="s">
        <v>336</v>
      </c>
      <c r="C223" s="5" t="s">
        <v>27</v>
      </c>
      <c r="D223" s="5" t="s">
        <v>385</v>
      </c>
      <c r="E223" s="5" t="s">
        <v>384</v>
      </c>
      <c r="F223" s="5" t="s">
        <v>91</v>
      </c>
      <c r="G223" s="5" t="s">
        <v>393</v>
      </c>
      <c r="H223" s="5" t="s">
        <v>93</v>
      </c>
      <c r="I223" s="5" t="s">
        <v>338</v>
      </c>
      <c r="J223" s="5">
        <v>1580</v>
      </c>
      <c r="K223" s="5">
        <v>30</v>
      </c>
      <c r="L223" s="7">
        <f t="shared" si="18"/>
        <v>52.666666666666664</v>
      </c>
      <c r="M223" s="5" t="s">
        <v>235</v>
      </c>
      <c r="N223" s="5">
        <v>4</v>
      </c>
      <c r="O223" s="6">
        <f t="shared" si="19"/>
        <v>2.7391055555555552</v>
      </c>
      <c r="P223" s="6">
        <f t="shared" si="20"/>
        <v>0.2848669777777777</v>
      </c>
      <c r="Q223" s="10">
        <f t="shared" si="21"/>
        <v>5.9347287037037032E-3</v>
      </c>
      <c r="R223" s="10">
        <f t="shared" si="22"/>
        <v>3.3853509767357876E-2</v>
      </c>
      <c r="S223" s="10">
        <f t="shared" si="23"/>
        <v>3.9788238471061582E-2</v>
      </c>
    </row>
    <row r="224" spans="1:19" x14ac:dyDescent="0.25">
      <c r="A224" s="5" t="s">
        <v>8</v>
      </c>
      <c r="B224" s="5" t="s">
        <v>336</v>
      </c>
      <c r="C224" s="5" t="s">
        <v>27</v>
      </c>
      <c r="D224" s="5" t="s">
        <v>385</v>
      </c>
      <c r="E224" s="5" t="s">
        <v>384</v>
      </c>
      <c r="F224" s="5" t="s">
        <v>91</v>
      </c>
      <c r="G224" s="5" t="s">
        <v>393</v>
      </c>
      <c r="H224" s="5" t="s">
        <v>93</v>
      </c>
      <c r="I224" s="5" t="s">
        <v>338</v>
      </c>
      <c r="J224" s="5">
        <v>1080</v>
      </c>
      <c r="K224" s="5">
        <v>29</v>
      </c>
      <c r="L224" s="7">
        <f t="shared" si="18"/>
        <v>37.241379310344826</v>
      </c>
      <c r="M224" s="5" t="s">
        <v>279</v>
      </c>
      <c r="N224" s="5">
        <v>4</v>
      </c>
      <c r="O224" s="6">
        <f t="shared" si="19"/>
        <v>0.93617122473246117</v>
      </c>
      <c r="P224" s="6">
        <f t="shared" si="20"/>
        <v>9.7361807372175951E-2</v>
      </c>
      <c r="Q224" s="10">
        <f t="shared" si="21"/>
        <v>2.0283709869203322E-3</v>
      </c>
      <c r="R224" s="10">
        <f t="shared" si="22"/>
        <v>1.5132601317289645E-2</v>
      </c>
      <c r="S224" s="10">
        <f t="shared" si="23"/>
        <v>1.7160972304209977E-2</v>
      </c>
    </row>
    <row r="225" spans="1:19" x14ac:dyDescent="0.25">
      <c r="A225" s="5" t="s">
        <v>22</v>
      </c>
      <c r="B225" s="5" t="s">
        <v>63</v>
      </c>
      <c r="C225" s="5" t="s">
        <v>27</v>
      </c>
      <c r="D225" s="5" t="s">
        <v>385</v>
      </c>
      <c r="E225" s="5" t="s">
        <v>384</v>
      </c>
      <c r="F225" s="5" t="s">
        <v>91</v>
      </c>
      <c r="G225" s="5" t="s">
        <v>393</v>
      </c>
      <c r="H225" s="5" t="s">
        <v>95</v>
      </c>
      <c r="I225" s="5" t="s">
        <v>96</v>
      </c>
      <c r="J225" s="5">
        <v>2765</v>
      </c>
      <c r="K225" s="5">
        <v>41</v>
      </c>
      <c r="L225" s="7">
        <f t="shared" si="18"/>
        <v>67.439024390243901</v>
      </c>
      <c r="M225" s="5" t="s">
        <v>10</v>
      </c>
      <c r="N225" s="5">
        <v>4</v>
      </c>
      <c r="O225" s="6">
        <f t="shared" si="19"/>
        <v>7.8595505372546111</v>
      </c>
      <c r="P225" s="6">
        <f t="shared" si="20"/>
        <v>0.81739325587447953</v>
      </c>
      <c r="Q225" s="10">
        <f t="shared" si="21"/>
        <v>1.7029026164051657E-2</v>
      </c>
      <c r="R225" s="10">
        <f t="shared" si="22"/>
        <v>7.4635493270240674E-2</v>
      </c>
      <c r="S225" s="10">
        <f t="shared" si="23"/>
        <v>9.1664519434292324E-2</v>
      </c>
    </row>
    <row r="226" spans="1:19" x14ac:dyDescent="0.25">
      <c r="A226" s="5" t="s">
        <v>8</v>
      </c>
      <c r="B226" s="5" t="s">
        <v>165</v>
      </c>
      <c r="C226" s="5" t="s">
        <v>27</v>
      </c>
      <c r="D226" s="5" t="s">
        <v>385</v>
      </c>
      <c r="E226" s="5" t="s">
        <v>384</v>
      </c>
      <c r="F226" s="5" t="s">
        <v>30</v>
      </c>
      <c r="G226" s="5" t="s">
        <v>397</v>
      </c>
      <c r="H226" s="5" t="s">
        <v>36</v>
      </c>
      <c r="I226" s="5" t="s">
        <v>173</v>
      </c>
      <c r="J226" s="5">
        <v>3000</v>
      </c>
      <c r="K226" s="5">
        <v>18</v>
      </c>
      <c r="L226" s="7">
        <f t="shared" si="18"/>
        <v>166.66666666666666</v>
      </c>
      <c r="M226" s="5" t="s">
        <v>10</v>
      </c>
      <c r="N226" s="5">
        <v>4</v>
      </c>
      <c r="O226" s="6">
        <f t="shared" si="19"/>
        <v>52.083333333333329</v>
      </c>
      <c r="P226" s="6">
        <f t="shared" si="20"/>
        <v>5.4166666666666661</v>
      </c>
      <c r="Q226" s="10">
        <f t="shared" si="21"/>
        <v>0.11284722222222221</v>
      </c>
      <c r="R226" s="10">
        <f t="shared" si="22"/>
        <v>0.3082628595775706</v>
      </c>
      <c r="S226" s="10">
        <f t="shared" si="23"/>
        <v>0.42111008179979281</v>
      </c>
    </row>
    <row r="227" spans="1:19" x14ac:dyDescent="0.25">
      <c r="A227" s="5" t="s">
        <v>8</v>
      </c>
      <c r="B227" s="5" t="s">
        <v>165</v>
      </c>
      <c r="C227" s="5" t="s">
        <v>27</v>
      </c>
      <c r="D227" s="5" t="s">
        <v>385</v>
      </c>
      <c r="E227" s="5" t="s">
        <v>384</v>
      </c>
      <c r="F227" s="5" t="s">
        <v>30</v>
      </c>
      <c r="G227" s="5" t="s">
        <v>397</v>
      </c>
      <c r="H227" s="5" t="s">
        <v>36</v>
      </c>
      <c r="I227" s="5" t="s">
        <v>173</v>
      </c>
      <c r="J227" s="5">
        <v>3000</v>
      </c>
      <c r="K227" s="5">
        <v>21.5</v>
      </c>
      <c r="L227" s="7">
        <f t="shared" si="18"/>
        <v>139.53488372093022</v>
      </c>
      <c r="M227" s="5" t="s">
        <v>9</v>
      </c>
      <c r="N227" s="5">
        <v>4</v>
      </c>
      <c r="O227" s="6">
        <f t="shared" si="19"/>
        <v>36.50621957815035</v>
      </c>
      <c r="P227" s="6">
        <f t="shared" si="20"/>
        <v>3.7966468361276364</v>
      </c>
      <c r="Q227" s="10">
        <f t="shared" si="21"/>
        <v>7.9096809085992426E-2</v>
      </c>
      <c r="R227" s="10">
        <f t="shared" si="22"/>
        <v>0.23614147442789565</v>
      </c>
      <c r="S227" s="10">
        <f t="shared" si="23"/>
        <v>0.31523828351388805</v>
      </c>
    </row>
    <row r="228" spans="1:19" x14ac:dyDescent="0.25">
      <c r="A228" s="5" t="s">
        <v>8</v>
      </c>
      <c r="B228" s="5" t="s">
        <v>165</v>
      </c>
      <c r="C228" s="5" t="s">
        <v>27</v>
      </c>
      <c r="D228" s="5" t="s">
        <v>385</v>
      </c>
      <c r="E228" s="5" t="s">
        <v>384</v>
      </c>
      <c r="F228" s="5" t="s">
        <v>30</v>
      </c>
      <c r="G228" s="5" t="s">
        <v>397</v>
      </c>
      <c r="H228" s="5" t="s">
        <v>36</v>
      </c>
      <c r="I228" s="5" t="s">
        <v>170</v>
      </c>
      <c r="J228" s="5">
        <v>2695</v>
      </c>
      <c r="K228" s="5">
        <v>40</v>
      </c>
      <c r="L228" s="7">
        <f t="shared" si="18"/>
        <v>67.375</v>
      </c>
      <c r="M228" s="5" t="s">
        <v>10</v>
      </c>
      <c r="N228" s="5">
        <v>4</v>
      </c>
      <c r="O228" s="6">
        <f t="shared" si="19"/>
        <v>7.6460360839843746</v>
      </c>
      <c r="P228" s="6">
        <f t="shared" si="20"/>
        <v>0.79518775273437492</v>
      </c>
      <c r="Q228" s="10">
        <f t="shared" si="21"/>
        <v>1.6566411515299476E-2</v>
      </c>
      <c r="R228" s="10">
        <f t="shared" si="22"/>
        <v>7.3109595619803347E-2</v>
      </c>
      <c r="S228" s="10">
        <f t="shared" si="23"/>
        <v>8.967600713510282E-2</v>
      </c>
    </row>
    <row r="229" spans="1:19" x14ac:dyDescent="0.25">
      <c r="A229" s="5" t="s">
        <v>8</v>
      </c>
      <c r="B229" s="5" t="s">
        <v>165</v>
      </c>
      <c r="C229" s="5" t="s">
        <v>27</v>
      </c>
      <c r="D229" s="5" t="s">
        <v>385</v>
      </c>
      <c r="E229" s="5" t="s">
        <v>384</v>
      </c>
      <c r="F229" s="5" t="s">
        <v>30</v>
      </c>
      <c r="G229" s="5" t="s">
        <v>397</v>
      </c>
      <c r="H229" s="5" t="s">
        <v>36</v>
      </c>
      <c r="I229" s="5" t="s">
        <v>174</v>
      </c>
      <c r="J229" s="5">
        <v>5350</v>
      </c>
      <c r="K229" s="5">
        <v>40</v>
      </c>
      <c r="L229" s="7">
        <f t="shared" si="18"/>
        <v>133.75</v>
      </c>
      <c r="M229" s="5" t="s">
        <v>10</v>
      </c>
      <c r="N229" s="5">
        <v>4</v>
      </c>
      <c r="O229" s="6">
        <f t="shared" si="19"/>
        <v>59.816552734375001</v>
      </c>
      <c r="P229" s="6">
        <f t="shared" si="20"/>
        <v>6.2209214843750003</v>
      </c>
      <c r="Q229" s="10">
        <f t="shared" si="21"/>
        <v>0.12960253092447918</v>
      </c>
      <c r="R229" s="10">
        <f t="shared" si="22"/>
        <v>0.34198980524747485</v>
      </c>
      <c r="S229" s="10">
        <f t="shared" si="23"/>
        <v>0.47159233617195406</v>
      </c>
    </row>
    <row r="230" spans="1:19" x14ac:dyDescent="0.25">
      <c r="A230" s="5" t="s">
        <v>8</v>
      </c>
      <c r="B230" s="5" t="s">
        <v>165</v>
      </c>
      <c r="C230" s="5" t="s">
        <v>27</v>
      </c>
      <c r="D230" s="5" t="s">
        <v>385</v>
      </c>
      <c r="E230" s="5" t="s">
        <v>384</v>
      </c>
      <c r="F230" s="5" t="s">
        <v>30</v>
      </c>
      <c r="G230" s="5" t="s">
        <v>397</v>
      </c>
      <c r="H230" s="5" t="s">
        <v>36</v>
      </c>
      <c r="I230" s="5" t="s">
        <v>174</v>
      </c>
      <c r="J230" s="5">
        <v>4700</v>
      </c>
      <c r="K230" s="5">
        <v>37</v>
      </c>
      <c r="L230" s="7">
        <f t="shared" si="18"/>
        <v>127.02702702702703</v>
      </c>
      <c r="M230" s="5" t="s">
        <v>9</v>
      </c>
      <c r="N230" s="5">
        <v>4</v>
      </c>
      <c r="O230" s="6">
        <f t="shared" si="19"/>
        <v>47.399105186267356</v>
      </c>
      <c r="P230" s="6">
        <f t="shared" si="20"/>
        <v>4.9295069393718043</v>
      </c>
      <c r="Q230" s="10">
        <f t="shared" si="21"/>
        <v>0.10269806123691261</v>
      </c>
      <c r="R230" s="10">
        <f t="shared" si="22"/>
        <v>0.28722664908804313</v>
      </c>
      <c r="S230" s="10">
        <f t="shared" si="23"/>
        <v>0.38992471032495574</v>
      </c>
    </row>
    <row r="231" spans="1:19" x14ac:dyDescent="0.25">
      <c r="A231" s="5" t="s">
        <v>22</v>
      </c>
      <c r="B231" s="5" t="s">
        <v>26</v>
      </c>
      <c r="C231" s="5" t="s">
        <v>27</v>
      </c>
      <c r="D231" s="5" t="s">
        <v>385</v>
      </c>
      <c r="E231" s="5" t="s">
        <v>384</v>
      </c>
      <c r="F231" s="5" t="s">
        <v>30</v>
      </c>
      <c r="G231" s="5" t="s">
        <v>397</v>
      </c>
      <c r="H231" s="5" t="s">
        <v>36</v>
      </c>
      <c r="I231" s="5" t="s">
        <v>18</v>
      </c>
      <c r="J231" s="5">
        <v>1750</v>
      </c>
      <c r="K231" s="5">
        <v>28</v>
      </c>
      <c r="L231" s="7">
        <f t="shared" si="18"/>
        <v>62.5</v>
      </c>
      <c r="M231" s="5" t="s">
        <v>10</v>
      </c>
      <c r="N231" s="5">
        <v>4</v>
      </c>
      <c r="O231" s="6">
        <f t="shared" si="19"/>
        <v>4.2724609375</v>
      </c>
      <c r="P231" s="6">
        <f t="shared" si="20"/>
        <v>0.4443359375</v>
      </c>
      <c r="Q231" s="10">
        <f t="shared" si="21"/>
        <v>9.2569986979166661E-3</v>
      </c>
      <c r="R231" s="10">
        <f t="shared" si="22"/>
        <v>4.7250422897927295E-2</v>
      </c>
      <c r="S231" s="10">
        <f t="shared" si="23"/>
        <v>5.650742159584396E-2</v>
      </c>
    </row>
    <row r="232" spans="1:19" x14ac:dyDescent="0.25">
      <c r="A232" s="5" t="s">
        <v>22</v>
      </c>
      <c r="B232" s="5" t="s">
        <v>26</v>
      </c>
      <c r="C232" s="5" t="s">
        <v>27</v>
      </c>
      <c r="D232" s="5" t="s">
        <v>385</v>
      </c>
      <c r="E232" s="5" t="s">
        <v>384</v>
      </c>
      <c r="F232" s="5" t="s">
        <v>30</v>
      </c>
      <c r="G232" s="5" t="s">
        <v>397</v>
      </c>
      <c r="H232" s="5" t="s">
        <v>36</v>
      </c>
      <c r="I232" s="5" t="s">
        <v>18</v>
      </c>
      <c r="J232" s="5">
        <v>1850</v>
      </c>
      <c r="K232" s="5">
        <v>29</v>
      </c>
      <c r="L232" s="7">
        <f t="shared" si="18"/>
        <v>63.793103448275865</v>
      </c>
      <c r="M232" s="5" t="s">
        <v>9</v>
      </c>
      <c r="N232" s="5">
        <v>4</v>
      </c>
      <c r="O232" s="6">
        <f t="shared" si="19"/>
        <v>4.7054288049940549</v>
      </c>
      <c r="P232" s="6">
        <f t="shared" si="20"/>
        <v>0.48936459571938168</v>
      </c>
      <c r="Q232" s="10">
        <f t="shared" si="21"/>
        <v>1.0195095744153785E-2</v>
      </c>
      <c r="R232" s="10">
        <f t="shared" si="22"/>
        <v>5.0797990133562676E-2</v>
      </c>
      <c r="S232" s="10">
        <f t="shared" si="23"/>
        <v>6.0993085877716458E-2</v>
      </c>
    </row>
    <row r="233" spans="1:19" x14ac:dyDescent="0.25">
      <c r="A233" s="5" t="s">
        <v>8</v>
      </c>
      <c r="B233" s="5" t="s">
        <v>165</v>
      </c>
      <c r="C233" s="5" t="s">
        <v>27</v>
      </c>
      <c r="D233" s="5" t="s">
        <v>385</v>
      </c>
      <c r="E233" s="5" t="s">
        <v>384</v>
      </c>
      <c r="F233" s="5" t="s">
        <v>30</v>
      </c>
      <c r="G233" s="5" t="s">
        <v>397</v>
      </c>
      <c r="H233" s="5" t="s">
        <v>36</v>
      </c>
      <c r="I233" s="5" t="s">
        <v>18</v>
      </c>
      <c r="J233" s="5">
        <v>1450</v>
      </c>
      <c r="K233" s="5">
        <v>28.5</v>
      </c>
      <c r="L233" s="7">
        <f t="shared" si="18"/>
        <v>50.877192982456137</v>
      </c>
      <c r="M233" s="5" t="s">
        <v>10</v>
      </c>
      <c r="N233" s="5">
        <v>4</v>
      </c>
      <c r="O233" s="6">
        <f t="shared" si="19"/>
        <v>2.3458179439827638</v>
      </c>
      <c r="P233" s="6">
        <f t="shared" si="20"/>
        <v>0.24396506617420743</v>
      </c>
      <c r="Q233" s="10">
        <f t="shared" si="21"/>
        <v>5.0826055452959885E-3</v>
      </c>
      <c r="R233" s="10">
        <f t="shared" si="22"/>
        <v>3.0138237596683604E-2</v>
      </c>
      <c r="S233" s="10">
        <f t="shared" si="23"/>
        <v>3.5220843141979589E-2</v>
      </c>
    </row>
    <row r="234" spans="1:19" x14ac:dyDescent="0.25">
      <c r="A234" s="5" t="s">
        <v>8</v>
      </c>
      <c r="B234" s="5" t="s">
        <v>165</v>
      </c>
      <c r="C234" s="5" t="s">
        <v>27</v>
      </c>
      <c r="D234" s="5" t="s">
        <v>385</v>
      </c>
      <c r="E234" s="5" t="s">
        <v>384</v>
      </c>
      <c r="F234" s="5" t="s">
        <v>30</v>
      </c>
      <c r="G234" s="5" t="s">
        <v>397</v>
      </c>
      <c r="H234" s="5" t="s">
        <v>36</v>
      </c>
      <c r="I234" s="5" t="s">
        <v>18</v>
      </c>
      <c r="J234" s="5">
        <v>1600</v>
      </c>
      <c r="K234" s="5">
        <v>29</v>
      </c>
      <c r="L234" s="7">
        <f t="shared" si="18"/>
        <v>55.172413793103445</v>
      </c>
      <c r="M234" s="5" t="s">
        <v>9</v>
      </c>
      <c r="N234" s="5">
        <v>4</v>
      </c>
      <c r="O234" s="6">
        <f t="shared" si="19"/>
        <v>3.0439952437574314</v>
      </c>
      <c r="P234" s="6">
        <f t="shared" si="20"/>
        <v>0.31657550535077283</v>
      </c>
      <c r="Q234" s="10">
        <f t="shared" si="21"/>
        <v>6.5953230281411007E-3</v>
      </c>
      <c r="R234" s="10">
        <f t="shared" si="22"/>
        <v>3.6642078556231465E-2</v>
      </c>
      <c r="S234" s="10">
        <f t="shared" si="23"/>
        <v>4.3237401584372566E-2</v>
      </c>
    </row>
    <row r="235" spans="1:19" x14ac:dyDescent="0.25">
      <c r="A235" s="5" t="s">
        <v>8</v>
      </c>
      <c r="B235" s="5" t="s">
        <v>281</v>
      </c>
      <c r="C235" s="5" t="s">
        <v>27</v>
      </c>
      <c r="D235" s="5" t="s">
        <v>385</v>
      </c>
      <c r="E235" s="5" t="s">
        <v>384</v>
      </c>
      <c r="F235" s="5" t="s">
        <v>30</v>
      </c>
      <c r="G235" s="5" t="s">
        <v>397</v>
      </c>
      <c r="H235" s="5" t="s">
        <v>36</v>
      </c>
      <c r="I235" s="5" t="s">
        <v>18</v>
      </c>
      <c r="J235" s="5">
        <v>1975</v>
      </c>
      <c r="K235" s="5">
        <v>33</v>
      </c>
      <c r="L235" s="7">
        <f t="shared" si="18"/>
        <v>59.848484848484851</v>
      </c>
      <c r="M235" s="5" t="s">
        <v>10</v>
      </c>
      <c r="N235" s="5">
        <v>4</v>
      </c>
      <c r="O235" s="6">
        <f t="shared" si="19"/>
        <v>4.4213351555325984</v>
      </c>
      <c r="P235" s="6">
        <f t="shared" si="20"/>
        <v>0.45981885617539026</v>
      </c>
      <c r="Q235" s="10">
        <f t="shared" si="21"/>
        <v>9.5795595036539619E-3</v>
      </c>
      <c r="R235" s="10">
        <f t="shared" si="22"/>
        <v>4.8479954373658471E-2</v>
      </c>
      <c r="S235" s="10">
        <f t="shared" si="23"/>
        <v>5.8059513877312431E-2</v>
      </c>
    </row>
    <row r="236" spans="1:19" x14ac:dyDescent="0.25">
      <c r="A236" s="5" t="s">
        <v>8</v>
      </c>
      <c r="B236" s="5" t="s">
        <v>291</v>
      </c>
      <c r="C236" s="5" t="s">
        <v>27</v>
      </c>
      <c r="D236" s="5" t="s">
        <v>385</v>
      </c>
      <c r="E236" s="5" t="s">
        <v>384</v>
      </c>
      <c r="F236" s="5" t="s">
        <v>30</v>
      </c>
      <c r="G236" s="5" t="s">
        <v>397</v>
      </c>
      <c r="H236" s="5" t="s">
        <v>36</v>
      </c>
      <c r="I236" s="5" t="s">
        <v>18</v>
      </c>
      <c r="J236" s="5">
        <v>1559</v>
      </c>
      <c r="K236" s="5">
        <v>24.4</v>
      </c>
      <c r="L236" s="7">
        <f t="shared" si="18"/>
        <v>63.893442622950822</v>
      </c>
      <c r="M236" s="5" t="s">
        <v>10</v>
      </c>
      <c r="N236" s="5">
        <v>4</v>
      </c>
      <c r="O236" s="6">
        <f t="shared" si="19"/>
        <v>3.977761227450618</v>
      </c>
      <c r="P236" s="6">
        <f t="shared" si="20"/>
        <v>0.4136871676548643</v>
      </c>
      <c r="Q236" s="10">
        <f t="shared" si="21"/>
        <v>8.6184826594763383E-3</v>
      </c>
      <c r="R236" s="10">
        <f t="shared" si="22"/>
        <v>4.4784337805949009E-2</v>
      </c>
      <c r="S236" s="10">
        <f t="shared" si="23"/>
        <v>5.3402820465425348E-2</v>
      </c>
    </row>
    <row r="237" spans="1:19" x14ac:dyDescent="0.25">
      <c r="A237" s="5" t="s">
        <v>8</v>
      </c>
      <c r="B237" s="5" t="s">
        <v>291</v>
      </c>
      <c r="C237" s="5" t="s">
        <v>27</v>
      </c>
      <c r="D237" s="5" t="s">
        <v>385</v>
      </c>
      <c r="E237" s="5" t="s">
        <v>384</v>
      </c>
      <c r="F237" s="5" t="s">
        <v>30</v>
      </c>
      <c r="G237" s="5" t="s">
        <v>397</v>
      </c>
      <c r="H237" s="5" t="s">
        <v>36</v>
      </c>
      <c r="I237" s="5" t="s">
        <v>18</v>
      </c>
      <c r="J237" s="5">
        <v>1600</v>
      </c>
      <c r="K237" s="5">
        <v>25.6</v>
      </c>
      <c r="L237" s="7">
        <f t="shared" si="18"/>
        <v>62.5</v>
      </c>
      <c r="M237" s="5" t="s">
        <v>10</v>
      </c>
      <c r="N237" s="5">
        <v>4</v>
      </c>
      <c r="O237" s="6">
        <f t="shared" si="19"/>
        <v>3.90625</v>
      </c>
      <c r="P237" s="6">
        <f t="shared" si="20"/>
        <v>0.40625</v>
      </c>
      <c r="Q237" s="10">
        <f t="shared" si="21"/>
        <v>8.4635416666666661E-3</v>
      </c>
      <c r="R237" s="10">
        <f t="shared" si="22"/>
        <v>4.4179129093154489E-2</v>
      </c>
      <c r="S237" s="10">
        <f t="shared" si="23"/>
        <v>5.2642670759821153E-2</v>
      </c>
    </row>
    <row r="238" spans="1:19" x14ac:dyDescent="0.25">
      <c r="A238" s="5" t="s">
        <v>8</v>
      </c>
      <c r="B238" s="5" t="s">
        <v>307</v>
      </c>
      <c r="C238" s="5" t="s">
        <v>27</v>
      </c>
      <c r="D238" s="5" t="s">
        <v>385</v>
      </c>
      <c r="E238" s="5" t="s">
        <v>384</v>
      </c>
      <c r="F238" s="5" t="s">
        <v>30</v>
      </c>
      <c r="G238" s="5" t="s">
        <v>397</v>
      </c>
      <c r="H238" s="5" t="s">
        <v>36</v>
      </c>
      <c r="I238" s="5" t="s">
        <v>18</v>
      </c>
      <c r="J238" s="5">
        <v>1450</v>
      </c>
      <c r="K238" s="5">
        <v>34.200000000000003</v>
      </c>
      <c r="L238" s="7">
        <f t="shared" si="18"/>
        <v>42.397660818713447</v>
      </c>
      <c r="M238" s="5" t="s">
        <v>10</v>
      </c>
      <c r="N238" s="5">
        <v>4</v>
      </c>
      <c r="O238" s="6">
        <f t="shared" si="19"/>
        <v>1.629040238876919</v>
      </c>
      <c r="P238" s="6">
        <f t="shared" si="20"/>
        <v>0.16942018484319957</v>
      </c>
      <c r="Q238" s="10">
        <f t="shared" si="21"/>
        <v>3.5295871842333242E-3</v>
      </c>
      <c r="R238" s="10">
        <f t="shared" si="22"/>
        <v>2.2926934132158183E-2</v>
      </c>
      <c r="S238" s="10">
        <f t="shared" si="23"/>
        <v>2.6456521316391507E-2</v>
      </c>
    </row>
    <row r="239" spans="1:19" x14ac:dyDescent="0.25">
      <c r="A239" s="5" t="s">
        <v>8</v>
      </c>
      <c r="B239" s="5" t="s">
        <v>165</v>
      </c>
      <c r="C239" s="5" t="s">
        <v>27</v>
      </c>
      <c r="D239" s="5" t="s">
        <v>385</v>
      </c>
      <c r="E239" s="5" t="s">
        <v>384</v>
      </c>
      <c r="F239" s="5" t="s">
        <v>30</v>
      </c>
      <c r="G239" s="5" t="s">
        <v>397</v>
      </c>
      <c r="H239" s="5" t="s">
        <v>36</v>
      </c>
      <c r="I239" s="5" t="s">
        <v>175</v>
      </c>
      <c r="J239" s="5">
        <v>1800</v>
      </c>
      <c r="K239" s="5">
        <v>25</v>
      </c>
      <c r="L239" s="7">
        <f t="shared" si="18"/>
        <v>72</v>
      </c>
      <c r="M239" s="5" t="s">
        <v>10</v>
      </c>
      <c r="N239" s="5">
        <v>4</v>
      </c>
      <c r="O239" s="6">
        <f t="shared" si="19"/>
        <v>5.8319999999999999</v>
      </c>
      <c r="P239" s="6">
        <f t="shared" si="20"/>
        <v>0.60652799999999996</v>
      </c>
      <c r="Q239" s="10">
        <f t="shared" si="21"/>
        <v>1.2636E-2</v>
      </c>
      <c r="R239" s="10">
        <f t="shared" si="22"/>
        <v>5.9670580217310476E-2</v>
      </c>
      <c r="S239" s="10">
        <f t="shared" si="23"/>
        <v>7.230658021731047E-2</v>
      </c>
    </row>
    <row r="240" spans="1:19" x14ac:dyDescent="0.25">
      <c r="A240" s="5" t="s">
        <v>8</v>
      </c>
      <c r="B240" s="5" t="s">
        <v>165</v>
      </c>
      <c r="C240" s="5" t="s">
        <v>27</v>
      </c>
      <c r="D240" s="5" t="s">
        <v>385</v>
      </c>
      <c r="E240" s="5" t="s">
        <v>384</v>
      </c>
      <c r="F240" s="5" t="s">
        <v>30</v>
      </c>
      <c r="G240" s="5" t="s">
        <v>397</v>
      </c>
      <c r="H240" s="5" t="s">
        <v>36</v>
      </c>
      <c r="I240" s="5" t="s">
        <v>176</v>
      </c>
      <c r="J240" s="5">
        <v>1750</v>
      </c>
      <c r="K240" s="5">
        <v>35.5</v>
      </c>
      <c r="L240" s="7">
        <f t="shared" si="18"/>
        <v>49.29577464788732</v>
      </c>
      <c r="M240" s="5" t="s">
        <v>10</v>
      </c>
      <c r="N240" s="5">
        <v>4</v>
      </c>
      <c r="O240" s="6">
        <f t="shared" si="19"/>
        <v>2.6578927792104734</v>
      </c>
      <c r="P240" s="6">
        <f t="shared" si="20"/>
        <v>0.27642084903788922</v>
      </c>
      <c r="Q240" s="10">
        <f t="shared" si="21"/>
        <v>5.7587676882893584E-3</v>
      </c>
      <c r="R240" s="10">
        <f t="shared" si="22"/>
        <v>3.3097883067103442E-2</v>
      </c>
      <c r="S240" s="10">
        <f t="shared" si="23"/>
        <v>3.8856650755392803E-2</v>
      </c>
    </row>
    <row r="241" spans="1:19" x14ac:dyDescent="0.25">
      <c r="A241" s="5" t="s">
        <v>8</v>
      </c>
      <c r="B241" s="5" t="s">
        <v>165</v>
      </c>
      <c r="C241" s="5" t="s">
        <v>27</v>
      </c>
      <c r="D241" s="5" t="s">
        <v>385</v>
      </c>
      <c r="E241" s="5" t="s">
        <v>384</v>
      </c>
      <c r="F241" s="5" t="s">
        <v>30</v>
      </c>
      <c r="G241" s="5" t="s">
        <v>397</v>
      </c>
      <c r="H241" s="5" t="s">
        <v>36</v>
      </c>
      <c r="I241" s="5" t="s">
        <v>177</v>
      </c>
      <c r="J241" s="5">
        <v>1060</v>
      </c>
      <c r="K241" s="5">
        <v>28</v>
      </c>
      <c r="L241" s="7">
        <f t="shared" si="18"/>
        <v>37.857142857142854</v>
      </c>
      <c r="M241" s="5" t="s">
        <v>10</v>
      </c>
      <c r="N241" s="5">
        <v>4</v>
      </c>
      <c r="O241" s="6">
        <f t="shared" si="19"/>
        <v>0.94947066326530594</v>
      </c>
      <c r="P241" s="6">
        <f t="shared" si="20"/>
        <v>9.874494897959181E-2</v>
      </c>
      <c r="Q241" s="10">
        <f t="shared" si="21"/>
        <v>2.0571864370748294E-3</v>
      </c>
      <c r="R241" s="10">
        <f t="shared" si="22"/>
        <v>1.5293549291277381E-2</v>
      </c>
      <c r="S241" s="10">
        <f t="shared" si="23"/>
        <v>1.7350735728352211E-2</v>
      </c>
    </row>
    <row r="242" spans="1:19" x14ac:dyDescent="0.25">
      <c r="A242" s="5" t="s">
        <v>8</v>
      </c>
      <c r="B242" s="5" t="s">
        <v>165</v>
      </c>
      <c r="C242" s="5" t="s">
        <v>27</v>
      </c>
      <c r="D242" s="5" t="s">
        <v>385</v>
      </c>
      <c r="E242" s="5" t="s">
        <v>384</v>
      </c>
      <c r="F242" s="5" t="s">
        <v>30</v>
      </c>
      <c r="G242" s="5" t="s">
        <v>397</v>
      </c>
      <c r="H242" s="5" t="s">
        <v>36</v>
      </c>
      <c r="I242" s="5" t="s">
        <v>178</v>
      </c>
      <c r="J242" s="5">
        <v>1700</v>
      </c>
      <c r="K242" s="5">
        <v>26.5</v>
      </c>
      <c r="L242" s="7">
        <f t="shared" si="18"/>
        <v>64.15094339622641</v>
      </c>
      <c r="M242" s="5" t="s">
        <v>10</v>
      </c>
      <c r="N242" s="5">
        <v>4</v>
      </c>
      <c r="O242" s="6">
        <f t="shared" si="19"/>
        <v>4.3725525097899602</v>
      </c>
      <c r="P242" s="6">
        <f t="shared" si="20"/>
        <v>0.45474546101815583</v>
      </c>
      <c r="Q242" s="10">
        <f t="shared" si="21"/>
        <v>9.4738637712115797E-3</v>
      </c>
      <c r="R242" s="10">
        <f t="shared" si="22"/>
        <v>4.8078222116359363E-2</v>
      </c>
      <c r="S242" s="10">
        <f t="shared" si="23"/>
        <v>5.7552085887570943E-2</v>
      </c>
    </row>
    <row r="243" spans="1:19" x14ac:dyDescent="0.25">
      <c r="A243" s="5" t="s">
        <v>8</v>
      </c>
      <c r="B243" s="5" t="s">
        <v>165</v>
      </c>
      <c r="C243" s="5" t="s">
        <v>27</v>
      </c>
      <c r="D243" s="5" t="s">
        <v>385</v>
      </c>
      <c r="E243" s="5" t="s">
        <v>384</v>
      </c>
      <c r="F243" s="5" t="s">
        <v>30</v>
      </c>
      <c r="G243" s="5" t="s">
        <v>397</v>
      </c>
      <c r="H243" s="5" t="s">
        <v>36</v>
      </c>
      <c r="I243" s="5" t="s">
        <v>179</v>
      </c>
      <c r="J243" s="5">
        <v>1200</v>
      </c>
      <c r="K243" s="5">
        <v>28</v>
      </c>
      <c r="L243" s="7">
        <f t="shared" si="18"/>
        <v>42.857142857142854</v>
      </c>
      <c r="M243" s="5" t="s">
        <v>10</v>
      </c>
      <c r="N243" s="5">
        <v>4</v>
      </c>
      <c r="O243" s="6">
        <f t="shared" si="19"/>
        <v>1.3775510204081631</v>
      </c>
      <c r="P243" s="6">
        <f t="shared" si="20"/>
        <v>0.14326530612244898</v>
      </c>
      <c r="Q243" s="10">
        <f t="shared" si="21"/>
        <v>2.9846938775510198E-3</v>
      </c>
      <c r="R243" s="10">
        <f t="shared" si="22"/>
        <v>2.0217520582724226E-2</v>
      </c>
      <c r="S243" s="10">
        <f t="shared" si="23"/>
        <v>2.3202214460275247E-2</v>
      </c>
    </row>
    <row r="244" spans="1:19" x14ac:dyDescent="0.25">
      <c r="A244" s="5" t="s">
        <v>8</v>
      </c>
      <c r="B244" s="5" t="s">
        <v>165</v>
      </c>
      <c r="C244" s="5" t="s">
        <v>27</v>
      </c>
      <c r="D244" s="5" t="s">
        <v>385</v>
      </c>
      <c r="E244" s="5" t="s">
        <v>384</v>
      </c>
      <c r="F244" s="5" t="s">
        <v>30</v>
      </c>
      <c r="G244" s="5" t="s">
        <v>397</v>
      </c>
      <c r="H244" s="5" t="s">
        <v>36</v>
      </c>
      <c r="I244" s="5" t="s">
        <v>180</v>
      </c>
      <c r="J244" s="5">
        <v>4150</v>
      </c>
      <c r="K244" s="5">
        <v>26.5</v>
      </c>
      <c r="L244" s="7">
        <f t="shared" si="18"/>
        <v>156.60377358490567</v>
      </c>
      <c r="M244" s="5" t="s">
        <v>10</v>
      </c>
      <c r="N244" s="5">
        <v>4</v>
      </c>
      <c r="O244" s="6">
        <f t="shared" si="19"/>
        <v>63.61104930580278</v>
      </c>
      <c r="P244" s="6">
        <f t="shared" si="20"/>
        <v>6.6155491278034892</v>
      </c>
      <c r="Q244" s="10">
        <f t="shared" si="21"/>
        <v>0.13782394016257268</v>
      </c>
      <c r="R244" s="10">
        <f t="shared" si="22"/>
        <v>0.35813481691991617</v>
      </c>
      <c r="S244" s="10">
        <f t="shared" si="23"/>
        <v>0.49595875708248882</v>
      </c>
    </row>
    <row r="245" spans="1:19" x14ac:dyDescent="0.25">
      <c r="A245" s="5" t="s">
        <v>8</v>
      </c>
      <c r="B245" s="5" t="s">
        <v>165</v>
      </c>
      <c r="C245" s="5" t="s">
        <v>27</v>
      </c>
      <c r="D245" s="5" t="s">
        <v>385</v>
      </c>
      <c r="E245" s="5" t="s">
        <v>384</v>
      </c>
      <c r="F245" s="5" t="s">
        <v>30</v>
      </c>
      <c r="G245" s="5" t="s">
        <v>397</v>
      </c>
      <c r="H245" s="5" t="s">
        <v>36</v>
      </c>
      <c r="I245" s="5" t="s">
        <v>180</v>
      </c>
      <c r="J245" s="5">
        <v>3850</v>
      </c>
      <c r="K245" s="5">
        <v>31</v>
      </c>
      <c r="L245" s="7">
        <f t="shared" si="18"/>
        <v>124.19354838709677</v>
      </c>
      <c r="M245" s="5" t="s">
        <v>9</v>
      </c>
      <c r="N245" s="5">
        <v>4</v>
      </c>
      <c r="O245" s="6">
        <f t="shared" si="19"/>
        <v>37.114090140478666</v>
      </c>
      <c r="P245" s="6">
        <f t="shared" si="20"/>
        <v>3.8598653746097806</v>
      </c>
      <c r="Q245" s="10">
        <f t="shared" si="21"/>
        <v>8.0413861971037101E-2</v>
      </c>
      <c r="R245" s="10">
        <f t="shared" si="22"/>
        <v>0.23908439899747766</v>
      </c>
      <c r="S245" s="10">
        <f t="shared" si="23"/>
        <v>0.31949826096851475</v>
      </c>
    </row>
    <row r="246" spans="1:19" x14ac:dyDescent="0.25">
      <c r="A246" s="5" t="s">
        <v>8</v>
      </c>
      <c r="B246" s="5" t="s">
        <v>165</v>
      </c>
      <c r="C246" s="5" t="s">
        <v>27</v>
      </c>
      <c r="D246" s="5" t="s">
        <v>385</v>
      </c>
      <c r="E246" s="5" t="s">
        <v>384</v>
      </c>
      <c r="F246" s="5" t="s">
        <v>30</v>
      </c>
      <c r="G246" s="5" t="s">
        <v>397</v>
      </c>
      <c r="H246" s="5" t="s">
        <v>36</v>
      </c>
      <c r="I246" s="5" t="s">
        <v>172</v>
      </c>
      <c r="J246" s="5">
        <v>1615</v>
      </c>
      <c r="K246" s="5">
        <v>35</v>
      </c>
      <c r="L246" s="7">
        <f t="shared" si="18"/>
        <v>46.142857142857146</v>
      </c>
      <c r="M246" s="5" t="s">
        <v>10</v>
      </c>
      <c r="N246" s="5">
        <v>4</v>
      </c>
      <c r="O246" s="6">
        <f t="shared" si="19"/>
        <v>2.1491241709183679</v>
      </c>
      <c r="P246" s="6">
        <f t="shared" si="20"/>
        <v>0.22350891377551022</v>
      </c>
      <c r="Q246" s="10">
        <f t="shared" si="21"/>
        <v>4.6564357036564634E-3</v>
      </c>
      <c r="R246" s="10">
        <f t="shared" si="22"/>
        <v>2.8222355350425752E-2</v>
      </c>
      <c r="S246" s="10">
        <f t="shared" si="23"/>
        <v>3.2878791054082215E-2</v>
      </c>
    </row>
    <row r="247" spans="1:19" x14ac:dyDescent="0.25">
      <c r="A247" s="5" t="s">
        <v>8</v>
      </c>
      <c r="B247" s="5" t="s">
        <v>165</v>
      </c>
      <c r="C247" s="5" t="s">
        <v>27</v>
      </c>
      <c r="D247" s="5" t="s">
        <v>385</v>
      </c>
      <c r="E247" s="5" t="s">
        <v>384</v>
      </c>
      <c r="F247" s="5" t="s">
        <v>30</v>
      </c>
      <c r="G247" s="5" t="s">
        <v>397</v>
      </c>
      <c r="H247" s="5" t="s">
        <v>36</v>
      </c>
      <c r="I247" s="5" t="s">
        <v>172</v>
      </c>
      <c r="J247" s="5">
        <v>1600</v>
      </c>
      <c r="K247" s="5">
        <v>35</v>
      </c>
      <c r="L247" s="7">
        <f t="shared" si="18"/>
        <v>45.714285714285715</v>
      </c>
      <c r="M247" s="5" t="s">
        <v>10</v>
      </c>
      <c r="N247" s="5">
        <v>4</v>
      </c>
      <c r="O247" s="6">
        <f t="shared" si="19"/>
        <v>2.0897959183673471</v>
      </c>
      <c r="P247" s="6">
        <f t="shared" si="20"/>
        <v>0.21733877551020411</v>
      </c>
      <c r="Q247" s="10">
        <f t="shared" si="21"/>
        <v>4.5278911564625851E-3</v>
      </c>
      <c r="R247" s="10">
        <f t="shared" si="22"/>
        <v>2.7635990312774601E-2</v>
      </c>
      <c r="S247" s="10">
        <f t="shared" si="23"/>
        <v>3.2163881469237182E-2</v>
      </c>
    </row>
    <row r="248" spans="1:19" x14ac:dyDescent="0.25">
      <c r="A248" s="5" t="s">
        <v>8</v>
      </c>
      <c r="B248" s="5" t="s">
        <v>165</v>
      </c>
      <c r="C248" s="5" t="s">
        <v>27</v>
      </c>
      <c r="D248" s="5" t="s">
        <v>385</v>
      </c>
      <c r="E248" s="5" t="s">
        <v>384</v>
      </c>
      <c r="F248" s="5" t="s">
        <v>30</v>
      </c>
      <c r="G248" s="5" t="s">
        <v>397</v>
      </c>
      <c r="H248" s="5" t="s">
        <v>36</v>
      </c>
      <c r="I248" s="5" t="s">
        <v>71</v>
      </c>
      <c r="J248" s="5">
        <v>3100</v>
      </c>
      <c r="K248" s="5">
        <v>39.5</v>
      </c>
      <c r="L248" s="7">
        <f t="shared" si="18"/>
        <v>78.481012658227854</v>
      </c>
      <c r="M248" s="5" t="s">
        <v>10</v>
      </c>
      <c r="N248" s="5">
        <v>4</v>
      </c>
      <c r="O248" s="6">
        <f t="shared" si="19"/>
        <v>11.933584361480534</v>
      </c>
      <c r="P248" s="6">
        <f t="shared" si="20"/>
        <v>1.2410927735939754</v>
      </c>
      <c r="Q248" s="10">
        <f t="shared" si="21"/>
        <v>2.5856099449874489E-2</v>
      </c>
      <c r="R248" s="10">
        <f t="shared" si="22"/>
        <v>0.10208814323887225</v>
      </c>
      <c r="S248" s="10">
        <f t="shared" si="23"/>
        <v>0.12794424268874674</v>
      </c>
    </row>
    <row r="249" spans="1:19" x14ac:dyDescent="0.25">
      <c r="A249" s="5" t="s">
        <v>8</v>
      </c>
      <c r="B249" s="5" t="s">
        <v>165</v>
      </c>
      <c r="C249" s="5" t="s">
        <v>27</v>
      </c>
      <c r="D249" s="5" t="s">
        <v>385</v>
      </c>
      <c r="E249" s="5" t="s">
        <v>384</v>
      </c>
      <c r="F249" s="5" t="s">
        <v>30</v>
      </c>
      <c r="G249" s="5" t="s">
        <v>397</v>
      </c>
      <c r="H249" s="5" t="s">
        <v>36</v>
      </c>
      <c r="I249" s="5" t="s">
        <v>71</v>
      </c>
      <c r="J249" s="5">
        <v>2850</v>
      </c>
      <c r="K249" s="5">
        <v>31.5</v>
      </c>
      <c r="L249" s="7">
        <f t="shared" si="18"/>
        <v>90.476190476190482</v>
      </c>
      <c r="M249" s="5" t="s">
        <v>9</v>
      </c>
      <c r="N249" s="5">
        <v>4</v>
      </c>
      <c r="O249" s="6">
        <f t="shared" si="19"/>
        <v>14.5812074829932</v>
      </c>
      <c r="P249" s="6">
        <f t="shared" si="20"/>
        <v>1.5164455782312927</v>
      </c>
      <c r="Q249" s="10">
        <f t="shared" si="21"/>
        <v>3.1592616213151931E-2</v>
      </c>
      <c r="R249" s="10">
        <f t="shared" si="22"/>
        <v>0.11864303331746644</v>
      </c>
      <c r="S249" s="10">
        <f t="shared" si="23"/>
        <v>0.15023564953061835</v>
      </c>
    </row>
    <row r="250" spans="1:19" x14ac:dyDescent="0.25">
      <c r="A250" s="5" t="s">
        <v>22</v>
      </c>
      <c r="B250" s="5" t="s">
        <v>26</v>
      </c>
      <c r="C250" s="5" t="s">
        <v>27</v>
      </c>
      <c r="D250" s="5" t="s">
        <v>385</v>
      </c>
      <c r="E250" s="5" t="s">
        <v>384</v>
      </c>
      <c r="F250" s="5" t="s">
        <v>30</v>
      </c>
      <c r="G250" s="5" t="s">
        <v>397</v>
      </c>
      <c r="H250" s="5" t="s">
        <v>36</v>
      </c>
      <c r="I250" s="5" t="s">
        <v>37</v>
      </c>
      <c r="J250" s="5">
        <v>3105</v>
      </c>
      <c r="K250" s="5">
        <v>37.5</v>
      </c>
      <c r="L250" s="7">
        <f t="shared" si="18"/>
        <v>82.8</v>
      </c>
      <c r="M250" s="5" t="s">
        <v>10</v>
      </c>
      <c r="N250" s="5">
        <v>4</v>
      </c>
      <c r="O250" s="6">
        <f t="shared" si="19"/>
        <v>13.3046145</v>
      </c>
      <c r="P250" s="6">
        <f t="shared" si="20"/>
        <v>1.3836799079999997</v>
      </c>
      <c r="Q250" s="10">
        <f t="shared" si="21"/>
        <v>2.8826664749999998E-2</v>
      </c>
      <c r="R250" s="10">
        <f t="shared" si="22"/>
        <v>0.11076405481821383</v>
      </c>
      <c r="S250" s="10">
        <f t="shared" si="23"/>
        <v>0.13959071956821384</v>
      </c>
    </row>
    <row r="251" spans="1:19" x14ac:dyDescent="0.25">
      <c r="A251" s="5" t="s">
        <v>22</v>
      </c>
      <c r="B251" s="5" t="s">
        <v>26</v>
      </c>
      <c r="C251" s="5" t="s">
        <v>27</v>
      </c>
      <c r="D251" s="5" t="s">
        <v>385</v>
      </c>
      <c r="E251" s="5" t="s">
        <v>384</v>
      </c>
      <c r="F251" s="5" t="s">
        <v>30</v>
      </c>
      <c r="G251" s="5" t="s">
        <v>397</v>
      </c>
      <c r="H251" s="5" t="s">
        <v>36</v>
      </c>
      <c r="I251" s="5" t="s">
        <v>37</v>
      </c>
      <c r="J251" s="5">
        <v>3100</v>
      </c>
      <c r="K251" s="5">
        <v>36</v>
      </c>
      <c r="L251" s="7">
        <f t="shared" si="18"/>
        <v>86.111111111111114</v>
      </c>
      <c r="M251" s="5" t="s">
        <v>9</v>
      </c>
      <c r="N251" s="5">
        <v>4</v>
      </c>
      <c r="O251" s="6">
        <f t="shared" si="19"/>
        <v>14.366801697530866</v>
      </c>
      <c r="P251" s="6">
        <f t="shared" si="20"/>
        <v>1.4941473765432098</v>
      </c>
      <c r="Q251" s="10">
        <f t="shared" si="21"/>
        <v>3.1128070344650208E-2</v>
      </c>
      <c r="R251" s="10">
        <f t="shared" si="22"/>
        <v>0.11733219553044927</v>
      </c>
      <c r="S251" s="10">
        <f t="shared" si="23"/>
        <v>0.14846026587509947</v>
      </c>
    </row>
    <row r="252" spans="1:19" x14ac:dyDescent="0.25">
      <c r="A252" s="5" t="s">
        <v>8</v>
      </c>
      <c r="B252" s="5" t="s">
        <v>165</v>
      </c>
      <c r="C252" s="5" t="s">
        <v>27</v>
      </c>
      <c r="D252" s="5" t="s">
        <v>385</v>
      </c>
      <c r="E252" s="5" t="s">
        <v>384</v>
      </c>
      <c r="F252" s="5" t="s">
        <v>30</v>
      </c>
      <c r="G252" s="5" t="s">
        <v>397</v>
      </c>
      <c r="H252" s="5" t="s">
        <v>36</v>
      </c>
      <c r="I252" s="5" t="s">
        <v>37</v>
      </c>
      <c r="J252" s="5">
        <v>3050</v>
      </c>
      <c r="K252" s="5">
        <v>36.5</v>
      </c>
      <c r="L252" s="7">
        <f t="shared" si="18"/>
        <v>83.561643835616437</v>
      </c>
      <c r="M252" s="5" t="s">
        <v>10</v>
      </c>
      <c r="N252" s="5">
        <v>4</v>
      </c>
      <c r="O252" s="6">
        <f t="shared" si="19"/>
        <v>13.310482735972977</v>
      </c>
      <c r="P252" s="6">
        <f t="shared" si="20"/>
        <v>1.3842902045411896</v>
      </c>
      <c r="Q252" s="10">
        <f t="shared" si="21"/>
        <v>2.8839379261274781E-2</v>
      </c>
      <c r="R252" s="10">
        <f t="shared" si="22"/>
        <v>0.11080069363522363</v>
      </c>
      <c r="S252" s="10">
        <f t="shared" si="23"/>
        <v>0.13964007289649841</v>
      </c>
    </row>
    <row r="253" spans="1:19" x14ac:dyDescent="0.25">
      <c r="A253" s="5" t="s">
        <v>8</v>
      </c>
      <c r="B253" s="5" t="s">
        <v>165</v>
      </c>
      <c r="C253" s="5" t="s">
        <v>27</v>
      </c>
      <c r="D253" s="5" t="s">
        <v>385</v>
      </c>
      <c r="E253" s="5" t="s">
        <v>384</v>
      </c>
      <c r="F253" s="5" t="s">
        <v>30</v>
      </c>
      <c r="G253" s="5" t="s">
        <v>397</v>
      </c>
      <c r="H253" s="5" t="s">
        <v>36</v>
      </c>
      <c r="I253" s="5" t="s">
        <v>37</v>
      </c>
      <c r="J253" s="5">
        <v>3000</v>
      </c>
      <c r="K253" s="5">
        <v>34</v>
      </c>
      <c r="L253" s="7">
        <f t="shared" si="18"/>
        <v>88.235294117647058</v>
      </c>
      <c r="M253" s="5" t="s">
        <v>9</v>
      </c>
      <c r="N253" s="5">
        <v>4</v>
      </c>
      <c r="O253" s="6">
        <f t="shared" si="19"/>
        <v>14.597750865051902</v>
      </c>
      <c r="P253" s="6">
        <f t="shared" si="20"/>
        <v>1.5181660899653979</v>
      </c>
      <c r="Q253" s="10">
        <f t="shared" si="21"/>
        <v>3.1628460207612452E-2</v>
      </c>
      <c r="R253" s="10">
        <f t="shared" si="22"/>
        <v>0.11874397551321185</v>
      </c>
      <c r="S253" s="10">
        <f t="shared" si="23"/>
        <v>0.15037243572082432</v>
      </c>
    </row>
    <row r="254" spans="1:19" x14ac:dyDescent="0.25">
      <c r="A254" s="5" t="s">
        <v>8</v>
      </c>
      <c r="B254" s="5" t="s">
        <v>165</v>
      </c>
      <c r="C254" s="5" t="s">
        <v>27</v>
      </c>
      <c r="D254" s="5" t="s">
        <v>385</v>
      </c>
      <c r="E254" s="5" t="s">
        <v>384</v>
      </c>
      <c r="F254" s="5" t="s">
        <v>30</v>
      </c>
      <c r="G254" s="5" t="s">
        <v>397</v>
      </c>
      <c r="H254" s="5" t="s">
        <v>36</v>
      </c>
      <c r="I254" s="5" t="s">
        <v>181</v>
      </c>
      <c r="J254" s="5">
        <v>1850</v>
      </c>
      <c r="K254" s="5">
        <v>28.5</v>
      </c>
      <c r="L254" s="7">
        <f t="shared" si="18"/>
        <v>64.912280701754383</v>
      </c>
      <c r="M254" s="5" t="s">
        <v>10</v>
      </c>
      <c r="N254" s="5">
        <v>4</v>
      </c>
      <c r="O254" s="6">
        <f t="shared" si="19"/>
        <v>4.8719798399507539</v>
      </c>
      <c r="P254" s="6">
        <f t="shared" si="20"/>
        <v>0.5066859033548784</v>
      </c>
      <c r="Q254" s="10">
        <f t="shared" si="21"/>
        <v>1.0555956319893299E-2</v>
      </c>
      <c r="R254" s="10">
        <f t="shared" si="22"/>
        <v>5.2140625426400966E-2</v>
      </c>
      <c r="S254" s="10">
        <f t="shared" si="23"/>
        <v>6.2696581746294264E-2</v>
      </c>
    </row>
    <row r="255" spans="1:19" x14ac:dyDescent="0.25">
      <c r="A255" s="5" t="s">
        <v>8</v>
      </c>
      <c r="B255" s="5" t="s">
        <v>165</v>
      </c>
      <c r="C255" s="5" t="s">
        <v>27</v>
      </c>
      <c r="D255" s="5" t="s">
        <v>385</v>
      </c>
      <c r="E255" s="5" t="s">
        <v>384</v>
      </c>
      <c r="F255" s="5" t="s">
        <v>30</v>
      </c>
      <c r="G255" s="5" t="s">
        <v>397</v>
      </c>
      <c r="H255" s="5" t="s">
        <v>36</v>
      </c>
      <c r="I255" s="5" t="s">
        <v>171</v>
      </c>
      <c r="J255" s="5">
        <v>1740</v>
      </c>
      <c r="K255" s="5">
        <v>26.5</v>
      </c>
      <c r="L255" s="7">
        <f t="shared" si="18"/>
        <v>65.660377358490564</v>
      </c>
      <c r="M255" s="5" t="s">
        <v>10</v>
      </c>
      <c r="N255" s="5">
        <v>4</v>
      </c>
      <c r="O255" s="6">
        <f t="shared" si="19"/>
        <v>4.6885226059095757</v>
      </c>
      <c r="P255" s="6">
        <f t="shared" si="20"/>
        <v>0.48760635101459576</v>
      </c>
      <c r="Q255" s="10">
        <f t="shared" si="21"/>
        <v>1.0158465646137415E-2</v>
      </c>
      <c r="R255" s="10">
        <f t="shared" si="22"/>
        <v>5.0661043972834809E-2</v>
      </c>
      <c r="S255" s="10">
        <f t="shared" si="23"/>
        <v>6.0819509618972221E-2</v>
      </c>
    </row>
    <row r="256" spans="1:19" x14ac:dyDescent="0.25">
      <c r="A256" s="5" t="s">
        <v>8</v>
      </c>
      <c r="B256" s="5" t="s">
        <v>226</v>
      </c>
      <c r="C256" s="5" t="s">
        <v>27</v>
      </c>
      <c r="D256" s="5" t="s">
        <v>385</v>
      </c>
      <c r="E256" s="5" t="s">
        <v>384</v>
      </c>
      <c r="F256" s="5" t="s">
        <v>30</v>
      </c>
      <c r="G256" s="5" t="s">
        <v>397</v>
      </c>
      <c r="H256" s="5" t="s">
        <v>36</v>
      </c>
      <c r="I256" s="5" t="s">
        <v>227</v>
      </c>
      <c r="J256" s="5">
        <v>1508</v>
      </c>
      <c r="K256" s="5">
        <v>28.4</v>
      </c>
      <c r="L256" s="7">
        <f t="shared" si="18"/>
        <v>53.098591549295776</v>
      </c>
      <c r="M256" s="5" t="s">
        <v>10</v>
      </c>
      <c r="N256" s="5">
        <v>4</v>
      </c>
      <c r="O256" s="6">
        <f t="shared" si="19"/>
        <v>2.6573414501091053</v>
      </c>
      <c r="P256" s="6">
        <f t="shared" si="20"/>
        <v>0.27636351081134697</v>
      </c>
      <c r="Q256" s="10">
        <f t="shared" si="21"/>
        <v>5.7575731419030607E-3</v>
      </c>
      <c r="R256" s="10">
        <f t="shared" si="22"/>
        <v>3.3092733790731882E-2</v>
      </c>
      <c r="S256" s="10">
        <f t="shared" si="23"/>
        <v>3.8850306932634943E-2</v>
      </c>
    </row>
    <row r="257" spans="1:19" x14ac:dyDescent="0.25">
      <c r="A257" s="5" t="s">
        <v>22</v>
      </c>
      <c r="B257" s="5" t="s">
        <v>26</v>
      </c>
      <c r="C257" s="5" t="s">
        <v>27</v>
      </c>
      <c r="D257" s="5" t="s">
        <v>385</v>
      </c>
      <c r="E257" s="5" t="s">
        <v>384</v>
      </c>
      <c r="F257" s="5" t="s">
        <v>30</v>
      </c>
      <c r="G257" s="5" t="s">
        <v>397</v>
      </c>
      <c r="H257" s="5" t="s">
        <v>36</v>
      </c>
      <c r="I257" s="5" t="s">
        <v>38</v>
      </c>
      <c r="J257" s="5">
        <v>1900</v>
      </c>
      <c r="K257" s="5">
        <v>37</v>
      </c>
      <c r="L257" s="7">
        <f t="shared" ref="L257:L317" si="24">J257/K257</f>
        <v>51.351351351351354</v>
      </c>
      <c r="M257" s="5" t="s">
        <v>10</v>
      </c>
      <c r="N257" s="5">
        <v>4</v>
      </c>
      <c r="O257" s="6">
        <f t="shared" ref="O257:O317" si="25">(J257*L257^2)/(1.6*10^6)</f>
        <v>3.1313915266617975</v>
      </c>
      <c r="P257" s="6">
        <f t="shared" ref="P257:P317" si="26">(0.104*J257*L257^2)/(1.6*10^6)</f>
        <v>0.32566471877282693</v>
      </c>
      <c r="Q257" s="10">
        <f t="shared" ref="Q257:Q317" si="27">(0.104*O257)/(12*N257)</f>
        <v>6.7846816411005614E-3</v>
      </c>
      <c r="R257" s="10">
        <f t="shared" ref="R257:R317" si="28">0.0159*O257^0.75</f>
        <v>3.7428304441951506E-2</v>
      </c>
      <c r="S257" s="10">
        <f t="shared" ref="S257:S317" si="29">Q257+R257</f>
        <v>4.4212986083052068E-2</v>
      </c>
    </row>
    <row r="258" spans="1:19" x14ac:dyDescent="0.25">
      <c r="A258" s="5" t="s">
        <v>8</v>
      </c>
      <c r="B258" s="5" t="s">
        <v>165</v>
      </c>
      <c r="C258" s="5" t="s">
        <v>27</v>
      </c>
      <c r="D258" s="5" t="s">
        <v>385</v>
      </c>
      <c r="E258" s="5" t="s">
        <v>384</v>
      </c>
      <c r="F258" s="5" t="s">
        <v>30</v>
      </c>
      <c r="G258" s="5" t="s">
        <v>397</v>
      </c>
      <c r="H258" s="5" t="s">
        <v>36</v>
      </c>
      <c r="I258" s="5" t="s">
        <v>38</v>
      </c>
      <c r="J258" s="5">
        <v>1900</v>
      </c>
      <c r="K258" s="5">
        <v>37</v>
      </c>
      <c r="L258" s="7">
        <f t="shared" si="24"/>
        <v>51.351351351351354</v>
      </c>
      <c r="M258" s="5" t="s">
        <v>10</v>
      </c>
      <c r="N258" s="5">
        <v>4</v>
      </c>
      <c r="O258" s="6">
        <f t="shared" si="25"/>
        <v>3.1313915266617975</v>
      </c>
      <c r="P258" s="6">
        <f t="shared" si="26"/>
        <v>0.32566471877282693</v>
      </c>
      <c r="Q258" s="10">
        <f t="shared" si="27"/>
        <v>6.7846816411005614E-3</v>
      </c>
      <c r="R258" s="10">
        <f t="shared" si="28"/>
        <v>3.7428304441951506E-2</v>
      </c>
      <c r="S258" s="10">
        <f t="shared" si="29"/>
        <v>4.4212986083052068E-2</v>
      </c>
    </row>
    <row r="259" spans="1:19" x14ac:dyDescent="0.25">
      <c r="A259" s="5" t="s">
        <v>8</v>
      </c>
      <c r="B259" s="5" t="s">
        <v>291</v>
      </c>
      <c r="C259" s="5" t="s">
        <v>27</v>
      </c>
      <c r="D259" s="5" t="s">
        <v>385</v>
      </c>
      <c r="E259" s="5" t="s">
        <v>384</v>
      </c>
      <c r="F259" s="5" t="s">
        <v>30</v>
      </c>
      <c r="G259" s="5" t="s">
        <v>397</v>
      </c>
      <c r="H259" s="5" t="s">
        <v>36</v>
      </c>
      <c r="I259" s="5" t="s">
        <v>38</v>
      </c>
      <c r="J259" s="5">
        <v>1808</v>
      </c>
      <c r="K259" s="5">
        <v>27.3</v>
      </c>
      <c r="L259" s="7">
        <f t="shared" si="24"/>
        <v>66.227106227106219</v>
      </c>
      <c r="M259" s="5" t="s">
        <v>10</v>
      </c>
      <c r="N259" s="5">
        <v>4</v>
      </c>
      <c r="O259" s="6">
        <f t="shared" si="25"/>
        <v>4.9562134471145445</v>
      </c>
      <c r="P259" s="6">
        <f t="shared" si="26"/>
        <v>0.51544619849991258</v>
      </c>
      <c r="Q259" s="10">
        <f t="shared" si="27"/>
        <v>1.0738462468748178E-2</v>
      </c>
      <c r="R259" s="10">
        <f t="shared" si="28"/>
        <v>5.2815284747529848E-2</v>
      </c>
      <c r="S259" s="10">
        <f t="shared" si="29"/>
        <v>6.3553747216278031E-2</v>
      </c>
    </row>
    <row r="260" spans="1:19" x14ac:dyDescent="0.25">
      <c r="A260" s="5" t="s">
        <v>8</v>
      </c>
      <c r="B260" s="5" t="s">
        <v>291</v>
      </c>
      <c r="C260" s="5" t="s">
        <v>27</v>
      </c>
      <c r="D260" s="5" t="s">
        <v>385</v>
      </c>
      <c r="E260" s="5" t="s">
        <v>384</v>
      </c>
      <c r="F260" s="5" t="s">
        <v>30</v>
      </c>
      <c r="G260" s="5" t="s">
        <v>397</v>
      </c>
      <c r="H260" s="5" t="s">
        <v>36</v>
      </c>
      <c r="I260" s="5" t="s">
        <v>38</v>
      </c>
      <c r="J260" s="5">
        <v>1839</v>
      </c>
      <c r="K260" s="5">
        <v>33.299999999999997</v>
      </c>
      <c r="L260" s="7">
        <f t="shared" si="24"/>
        <v>55.22522522522523</v>
      </c>
      <c r="M260" s="5" t="s">
        <v>10</v>
      </c>
      <c r="N260" s="5">
        <v>4</v>
      </c>
      <c r="O260" s="6">
        <f t="shared" si="25"/>
        <v>3.5053931854151457</v>
      </c>
      <c r="P260" s="6">
        <f t="shared" si="26"/>
        <v>0.36456089128317515</v>
      </c>
      <c r="Q260" s="10">
        <f t="shared" si="27"/>
        <v>7.5950185683994823E-3</v>
      </c>
      <c r="R260" s="10">
        <f t="shared" si="28"/>
        <v>4.073330769697972E-2</v>
      </c>
      <c r="S260" s="10">
        <f t="shared" si="29"/>
        <v>4.8328326265379203E-2</v>
      </c>
    </row>
    <row r="261" spans="1:19" x14ac:dyDescent="0.25">
      <c r="A261" s="5" t="s">
        <v>8</v>
      </c>
      <c r="B261" s="5" t="s">
        <v>165</v>
      </c>
      <c r="C261" s="5" t="s">
        <v>27</v>
      </c>
      <c r="D261" s="5" t="s">
        <v>385</v>
      </c>
      <c r="E261" s="5" t="s">
        <v>384</v>
      </c>
      <c r="F261" s="5" t="s">
        <v>30</v>
      </c>
      <c r="G261" s="5" t="s">
        <v>397</v>
      </c>
      <c r="H261" s="5" t="s">
        <v>36</v>
      </c>
      <c r="I261" s="5" t="s">
        <v>182</v>
      </c>
      <c r="J261" s="5">
        <v>1650</v>
      </c>
      <c r="K261" s="5">
        <v>32.5</v>
      </c>
      <c r="L261" s="7">
        <f t="shared" si="24"/>
        <v>50.769230769230766</v>
      </c>
      <c r="M261" s="5" t="s">
        <v>10</v>
      </c>
      <c r="N261" s="5">
        <v>4</v>
      </c>
      <c r="O261" s="6">
        <f t="shared" si="25"/>
        <v>2.6580621301775147</v>
      </c>
      <c r="P261" s="6">
        <f t="shared" si="26"/>
        <v>0.27643846153846147</v>
      </c>
      <c r="Q261" s="10">
        <f t="shared" si="27"/>
        <v>5.7591346153846147E-3</v>
      </c>
      <c r="R261" s="10">
        <f t="shared" si="28"/>
        <v>3.3099464709308975E-2</v>
      </c>
      <c r="S261" s="10">
        <f t="shared" si="29"/>
        <v>3.8858599324693592E-2</v>
      </c>
    </row>
    <row r="262" spans="1:19" x14ac:dyDescent="0.25">
      <c r="A262" s="5" t="s">
        <v>8</v>
      </c>
      <c r="B262" s="5" t="s">
        <v>165</v>
      </c>
      <c r="C262" s="5" t="s">
        <v>27</v>
      </c>
      <c r="D262" s="5" t="s">
        <v>385</v>
      </c>
      <c r="E262" s="5" t="s">
        <v>384</v>
      </c>
      <c r="F262" s="5" t="s">
        <v>30</v>
      </c>
      <c r="G262" s="5" t="s">
        <v>397</v>
      </c>
      <c r="H262" s="5" t="s">
        <v>36</v>
      </c>
      <c r="I262" s="5" t="s">
        <v>182</v>
      </c>
      <c r="J262" s="5">
        <v>1450</v>
      </c>
      <c r="K262" s="5">
        <v>32</v>
      </c>
      <c r="L262" s="7">
        <f t="shared" si="24"/>
        <v>45.3125</v>
      </c>
      <c r="M262" s="5" t="s">
        <v>9</v>
      </c>
      <c r="N262" s="5">
        <v>4</v>
      </c>
      <c r="O262" s="6">
        <f t="shared" si="25"/>
        <v>1.8607330322265625</v>
      </c>
      <c r="P262" s="6">
        <f t="shared" si="26"/>
        <v>0.19351623535156245</v>
      </c>
      <c r="Q262" s="10">
        <f t="shared" si="27"/>
        <v>4.031588236490885E-3</v>
      </c>
      <c r="R262" s="10">
        <f t="shared" si="28"/>
        <v>2.5331457284123761E-2</v>
      </c>
      <c r="S262" s="10">
        <f t="shared" si="29"/>
        <v>2.9363045520614646E-2</v>
      </c>
    </row>
    <row r="263" spans="1:19" x14ac:dyDescent="0.25">
      <c r="A263" s="5" t="s">
        <v>8</v>
      </c>
      <c r="B263" s="5" t="s">
        <v>165</v>
      </c>
      <c r="C263" s="5" t="s">
        <v>27</v>
      </c>
      <c r="D263" s="5" t="s">
        <v>385</v>
      </c>
      <c r="E263" s="5" t="s">
        <v>384</v>
      </c>
      <c r="F263" s="5" t="s">
        <v>30</v>
      </c>
      <c r="G263" s="5" t="s">
        <v>397</v>
      </c>
      <c r="H263" s="5" t="s">
        <v>36</v>
      </c>
      <c r="I263" s="5" t="s">
        <v>183</v>
      </c>
      <c r="J263" s="5">
        <v>1550</v>
      </c>
      <c r="K263" s="5">
        <v>28.5</v>
      </c>
      <c r="L263" s="7">
        <f t="shared" si="24"/>
        <v>54.385964912280699</v>
      </c>
      <c r="M263" s="5" t="s">
        <v>10</v>
      </c>
      <c r="N263" s="5">
        <v>4</v>
      </c>
      <c r="O263" s="6">
        <f t="shared" si="25"/>
        <v>2.8654008925823327</v>
      </c>
      <c r="P263" s="6">
        <f t="shared" si="26"/>
        <v>0.29800169282856259</v>
      </c>
      <c r="Q263" s="10">
        <f t="shared" si="27"/>
        <v>6.2083686005950543E-3</v>
      </c>
      <c r="R263" s="10">
        <f t="shared" si="28"/>
        <v>3.5017583120459564E-2</v>
      </c>
      <c r="S263" s="10">
        <f t="shared" si="29"/>
        <v>4.1225951721054616E-2</v>
      </c>
    </row>
    <row r="264" spans="1:19" x14ac:dyDescent="0.25">
      <c r="A264" s="5" t="s">
        <v>8</v>
      </c>
      <c r="B264" s="5" t="s">
        <v>165</v>
      </c>
      <c r="C264" s="5" t="s">
        <v>27</v>
      </c>
      <c r="D264" s="5" t="s">
        <v>385</v>
      </c>
      <c r="E264" s="5" t="s">
        <v>384</v>
      </c>
      <c r="F264" s="5" t="s">
        <v>30</v>
      </c>
      <c r="G264" s="5" t="s">
        <v>397</v>
      </c>
      <c r="H264" s="5" t="s">
        <v>36</v>
      </c>
      <c r="I264" s="5" t="s">
        <v>184</v>
      </c>
      <c r="J264" s="5">
        <v>5700</v>
      </c>
      <c r="K264" s="5">
        <v>47</v>
      </c>
      <c r="L264" s="7">
        <f t="shared" si="24"/>
        <v>121.27659574468085</v>
      </c>
      <c r="M264" s="5" t="s">
        <v>10</v>
      </c>
      <c r="N264" s="5">
        <v>4</v>
      </c>
      <c r="O264" s="6">
        <f t="shared" si="25"/>
        <v>52.397295156179268</v>
      </c>
      <c r="P264" s="6">
        <f t="shared" si="26"/>
        <v>5.449318696242643</v>
      </c>
      <c r="Q264" s="10">
        <f t="shared" si="27"/>
        <v>0.11352747283838842</v>
      </c>
      <c r="R264" s="10">
        <f t="shared" si="28"/>
        <v>0.30965548394091436</v>
      </c>
      <c r="S264" s="10">
        <f t="shared" si="29"/>
        <v>0.42318295677930279</v>
      </c>
    </row>
    <row r="265" spans="1:19" x14ac:dyDescent="0.25">
      <c r="A265" s="5" t="s">
        <v>8</v>
      </c>
      <c r="B265" s="5" t="s">
        <v>165</v>
      </c>
      <c r="C265" s="5" t="s">
        <v>27</v>
      </c>
      <c r="D265" s="5" t="s">
        <v>385</v>
      </c>
      <c r="E265" s="5" t="s">
        <v>384</v>
      </c>
      <c r="F265" s="5" t="s">
        <v>30</v>
      </c>
      <c r="G265" s="5" t="s">
        <v>397</v>
      </c>
      <c r="H265" s="5" t="s">
        <v>36</v>
      </c>
      <c r="I265" s="5" t="s">
        <v>184</v>
      </c>
      <c r="J265" s="5">
        <v>5250</v>
      </c>
      <c r="K265" s="5">
        <v>42.5</v>
      </c>
      <c r="L265" s="7">
        <f t="shared" si="24"/>
        <v>123.52941176470588</v>
      </c>
      <c r="M265" s="5" t="s">
        <v>9</v>
      </c>
      <c r="N265" s="5">
        <v>4</v>
      </c>
      <c r="O265" s="6">
        <f t="shared" si="25"/>
        <v>50.070285467128031</v>
      </c>
      <c r="P265" s="6">
        <f t="shared" si="26"/>
        <v>5.207309688581315</v>
      </c>
      <c r="Q265" s="10">
        <f t="shared" si="27"/>
        <v>0.10848561851211073</v>
      </c>
      <c r="R265" s="10">
        <f t="shared" si="28"/>
        <v>0.29928308707445306</v>
      </c>
      <c r="S265" s="10">
        <f t="shared" si="29"/>
        <v>0.40776870558656381</v>
      </c>
    </row>
    <row r="266" spans="1:19" x14ac:dyDescent="0.25">
      <c r="A266" s="5" t="s">
        <v>8</v>
      </c>
      <c r="B266" s="5" t="s">
        <v>165</v>
      </c>
      <c r="C266" s="5" t="s">
        <v>27</v>
      </c>
      <c r="D266" s="5" t="s">
        <v>385</v>
      </c>
      <c r="E266" s="5" t="s">
        <v>384</v>
      </c>
      <c r="F266" s="5" t="s">
        <v>30</v>
      </c>
      <c r="G266" s="5" t="s">
        <v>397</v>
      </c>
      <c r="H266" s="5" t="s">
        <v>36</v>
      </c>
      <c r="I266" s="5" t="s">
        <v>166</v>
      </c>
      <c r="J266" s="5">
        <v>1635</v>
      </c>
      <c r="K266" s="5">
        <v>33.5</v>
      </c>
      <c r="L266" s="7">
        <f t="shared" si="24"/>
        <v>48.805970149253731</v>
      </c>
      <c r="M266" s="5" t="s">
        <v>10</v>
      </c>
      <c r="N266" s="5">
        <v>4</v>
      </c>
      <c r="O266" s="6">
        <f t="shared" si="25"/>
        <v>2.434129469258187</v>
      </c>
      <c r="P266" s="6">
        <f t="shared" si="26"/>
        <v>0.25314946480285144</v>
      </c>
      <c r="Q266" s="10">
        <f t="shared" si="27"/>
        <v>5.2739471833927387E-3</v>
      </c>
      <c r="R266" s="10">
        <f t="shared" si="28"/>
        <v>3.098524111547564E-2</v>
      </c>
      <c r="S266" s="10">
        <f t="shared" si="29"/>
        <v>3.6259188298868379E-2</v>
      </c>
    </row>
    <row r="267" spans="1:19" x14ac:dyDescent="0.25">
      <c r="A267" s="5" t="s">
        <v>8</v>
      </c>
      <c r="B267" s="5" t="s">
        <v>165</v>
      </c>
      <c r="C267" s="5" t="s">
        <v>27</v>
      </c>
      <c r="D267" s="5" t="s">
        <v>385</v>
      </c>
      <c r="E267" s="5" t="s">
        <v>384</v>
      </c>
      <c r="F267" s="5" t="s">
        <v>30</v>
      </c>
      <c r="G267" s="5" t="s">
        <v>397</v>
      </c>
      <c r="H267" s="5" t="s">
        <v>36</v>
      </c>
      <c r="I267" s="5" t="s">
        <v>166</v>
      </c>
      <c r="J267" s="5">
        <v>1650</v>
      </c>
      <c r="K267" s="5">
        <v>33.5</v>
      </c>
      <c r="L267" s="7">
        <f t="shared" si="24"/>
        <v>49.253731343283583</v>
      </c>
      <c r="M267" s="5" t="s">
        <v>10</v>
      </c>
      <c r="N267" s="5">
        <v>4</v>
      </c>
      <c r="O267" s="6">
        <f t="shared" si="25"/>
        <v>2.5017403653374917</v>
      </c>
      <c r="P267" s="6">
        <f t="shared" si="26"/>
        <v>0.26018099799509914</v>
      </c>
      <c r="Q267" s="10">
        <f t="shared" si="27"/>
        <v>5.4204374582312318E-3</v>
      </c>
      <c r="R267" s="10">
        <f t="shared" si="28"/>
        <v>3.1628514967378327E-2</v>
      </c>
      <c r="S267" s="10">
        <f t="shared" si="29"/>
        <v>3.7048952425609558E-2</v>
      </c>
    </row>
    <row r="268" spans="1:19" x14ac:dyDescent="0.25">
      <c r="A268" s="5" t="s">
        <v>8</v>
      </c>
      <c r="B268" s="5" t="s">
        <v>165</v>
      </c>
      <c r="C268" s="5" t="s">
        <v>27</v>
      </c>
      <c r="D268" s="5" t="s">
        <v>385</v>
      </c>
      <c r="E268" s="5" t="s">
        <v>384</v>
      </c>
      <c r="F268" s="5" t="s">
        <v>30</v>
      </c>
      <c r="G268" s="5" t="s">
        <v>397</v>
      </c>
      <c r="H268" s="5" t="s">
        <v>36</v>
      </c>
      <c r="I268" s="5" t="s">
        <v>185</v>
      </c>
      <c r="J268" s="5">
        <v>3800</v>
      </c>
      <c r="K268" s="5">
        <v>17.5</v>
      </c>
      <c r="L268" s="7">
        <f t="shared" si="24"/>
        <v>217.14285714285714</v>
      </c>
      <c r="M268" s="5" t="s">
        <v>10</v>
      </c>
      <c r="N268" s="5">
        <v>4</v>
      </c>
      <c r="O268" s="6">
        <f t="shared" si="25"/>
        <v>111.98367346938774</v>
      </c>
      <c r="P268" s="6">
        <f t="shared" si="26"/>
        <v>11.646302040816325</v>
      </c>
      <c r="Q268" s="10">
        <f t="shared" si="27"/>
        <v>0.24263129251700677</v>
      </c>
      <c r="R268" s="10">
        <f t="shared" si="28"/>
        <v>0.54734752255253427</v>
      </c>
      <c r="S268" s="10">
        <f t="shared" si="29"/>
        <v>0.78997881506954104</v>
      </c>
    </row>
    <row r="269" spans="1:19" x14ac:dyDescent="0.25">
      <c r="A269" s="5" t="s">
        <v>8</v>
      </c>
      <c r="B269" s="5" t="s">
        <v>165</v>
      </c>
      <c r="C269" s="5" t="s">
        <v>27</v>
      </c>
      <c r="D269" s="5" t="s">
        <v>385</v>
      </c>
      <c r="E269" s="5" t="s">
        <v>384</v>
      </c>
      <c r="F269" s="5" t="s">
        <v>30</v>
      </c>
      <c r="G269" s="5" t="s">
        <v>397</v>
      </c>
      <c r="H269" s="5" t="s">
        <v>36</v>
      </c>
      <c r="I269" s="5" t="s">
        <v>185</v>
      </c>
      <c r="J269" s="5">
        <v>3800</v>
      </c>
      <c r="K269" s="5">
        <v>19.5</v>
      </c>
      <c r="L269" s="7">
        <f t="shared" si="24"/>
        <v>194.87179487179486</v>
      </c>
      <c r="M269" s="5" t="s">
        <v>9</v>
      </c>
      <c r="N269" s="5">
        <v>4</v>
      </c>
      <c r="O269" s="6">
        <f t="shared" si="25"/>
        <v>90.190664036817864</v>
      </c>
      <c r="P269" s="6">
        <f t="shared" si="26"/>
        <v>9.3798290598290581</v>
      </c>
      <c r="Q269" s="10">
        <f t="shared" si="27"/>
        <v>0.19541310541310539</v>
      </c>
      <c r="R269" s="10">
        <f t="shared" si="28"/>
        <v>0.4653377789945094</v>
      </c>
      <c r="S269" s="10">
        <f t="shared" si="29"/>
        <v>0.66075088440761476</v>
      </c>
    </row>
    <row r="270" spans="1:19" x14ac:dyDescent="0.25">
      <c r="A270" s="5" t="s">
        <v>22</v>
      </c>
      <c r="B270" s="5" t="s">
        <v>26</v>
      </c>
      <c r="C270" s="5" t="s">
        <v>27</v>
      </c>
      <c r="D270" s="5" t="s">
        <v>385</v>
      </c>
      <c r="E270" s="5" t="s">
        <v>384</v>
      </c>
      <c r="F270" s="5" t="s">
        <v>30</v>
      </c>
      <c r="G270" s="5" t="s">
        <v>397</v>
      </c>
      <c r="H270" s="5" t="s">
        <v>36</v>
      </c>
      <c r="I270" s="5" t="s">
        <v>39</v>
      </c>
      <c r="J270" s="5">
        <v>1900</v>
      </c>
      <c r="K270" s="5">
        <v>33</v>
      </c>
      <c r="L270" s="7">
        <f t="shared" si="24"/>
        <v>57.575757575757578</v>
      </c>
      <c r="M270" s="5" t="s">
        <v>10</v>
      </c>
      <c r="N270" s="5">
        <v>4</v>
      </c>
      <c r="O270" s="6">
        <f t="shared" si="25"/>
        <v>3.9365243342516072</v>
      </c>
      <c r="P270" s="6">
        <f t="shared" si="26"/>
        <v>0.40939853076216715</v>
      </c>
      <c r="Q270" s="10">
        <f t="shared" si="27"/>
        <v>8.5291360575451489E-3</v>
      </c>
      <c r="R270" s="10">
        <f t="shared" si="28"/>
        <v>4.443567990630154E-2</v>
      </c>
      <c r="S270" s="10">
        <f t="shared" si="29"/>
        <v>5.2964815963846688E-2</v>
      </c>
    </row>
    <row r="271" spans="1:19" x14ac:dyDescent="0.25">
      <c r="A271" s="5" t="s">
        <v>22</v>
      </c>
      <c r="B271" s="5" t="s">
        <v>26</v>
      </c>
      <c r="C271" s="5" t="s">
        <v>27</v>
      </c>
      <c r="D271" s="5" t="s">
        <v>385</v>
      </c>
      <c r="E271" s="5" t="s">
        <v>384</v>
      </c>
      <c r="F271" s="5" t="s">
        <v>30</v>
      </c>
      <c r="G271" s="5" t="s">
        <v>397</v>
      </c>
      <c r="H271" s="5" t="s">
        <v>36</v>
      </c>
      <c r="I271" s="5" t="s">
        <v>39</v>
      </c>
      <c r="J271" s="5">
        <v>1950</v>
      </c>
      <c r="K271" s="5">
        <v>38.5</v>
      </c>
      <c r="L271" s="7">
        <f t="shared" si="24"/>
        <v>50.649350649350652</v>
      </c>
      <c r="M271" s="5" t="s">
        <v>9</v>
      </c>
      <c r="N271" s="5">
        <v>4</v>
      </c>
      <c r="O271" s="6">
        <f t="shared" si="25"/>
        <v>3.1265285039635695</v>
      </c>
      <c r="P271" s="6">
        <f t="shared" si="26"/>
        <v>0.3251589644122112</v>
      </c>
      <c r="Q271" s="10">
        <f t="shared" si="27"/>
        <v>6.7741450919210668E-3</v>
      </c>
      <c r="R271" s="10">
        <f t="shared" si="28"/>
        <v>3.7384701610242169E-2</v>
      </c>
      <c r="S271" s="10">
        <f t="shared" si="29"/>
        <v>4.4158846702163232E-2</v>
      </c>
    </row>
    <row r="272" spans="1:19" x14ac:dyDescent="0.25">
      <c r="A272" s="5" t="s">
        <v>22</v>
      </c>
      <c r="B272" s="5" t="s">
        <v>63</v>
      </c>
      <c r="C272" s="5" t="s">
        <v>27</v>
      </c>
      <c r="D272" s="5" t="s">
        <v>385</v>
      </c>
      <c r="E272" s="5" t="s">
        <v>384</v>
      </c>
      <c r="F272" s="5" t="s">
        <v>30</v>
      </c>
      <c r="G272" s="5" t="s">
        <v>397</v>
      </c>
      <c r="H272" s="5" t="s">
        <v>36</v>
      </c>
      <c r="I272" s="5" t="s">
        <v>39</v>
      </c>
      <c r="J272" s="5">
        <v>1975</v>
      </c>
      <c r="K272" s="5">
        <v>33</v>
      </c>
      <c r="L272" s="7">
        <f t="shared" si="24"/>
        <v>59.848484848484851</v>
      </c>
      <c r="M272" s="5" t="s">
        <v>10</v>
      </c>
      <c r="N272" s="5">
        <v>4</v>
      </c>
      <c r="O272" s="6">
        <f t="shared" si="25"/>
        <v>4.4213351555325984</v>
      </c>
      <c r="P272" s="6">
        <f t="shared" si="26"/>
        <v>0.45981885617539026</v>
      </c>
      <c r="Q272" s="10">
        <f t="shared" si="27"/>
        <v>9.5795595036539619E-3</v>
      </c>
      <c r="R272" s="10">
        <f t="shared" si="28"/>
        <v>4.8479954373658471E-2</v>
      </c>
      <c r="S272" s="10">
        <f t="shared" si="29"/>
        <v>5.8059513877312431E-2</v>
      </c>
    </row>
    <row r="273" spans="1:19" x14ac:dyDescent="0.25">
      <c r="A273" s="5" t="s">
        <v>22</v>
      </c>
      <c r="B273" s="5" t="s">
        <v>63</v>
      </c>
      <c r="C273" s="5" t="s">
        <v>27</v>
      </c>
      <c r="D273" s="5" t="s">
        <v>385</v>
      </c>
      <c r="E273" s="5" t="s">
        <v>384</v>
      </c>
      <c r="F273" s="5" t="s">
        <v>30</v>
      </c>
      <c r="G273" s="5" t="s">
        <v>397</v>
      </c>
      <c r="H273" s="5" t="s">
        <v>36</v>
      </c>
      <c r="I273" s="5" t="s">
        <v>39</v>
      </c>
      <c r="J273" s="5">
        <v>1950</v>
      </c>
      <c r="K273" s="5">
        <v>38.5</v>
      </c>
      <c r="L273" s="7">
        <f t="shared" si="24"/>
        <v>50.649350649350652</v>
      </c>
      <c r="M273" s="5" t="s">
        <v>9</v>
      </c>
      <c r="N273" s="5">
        <v>4</v>
      </c>
      <c r="O273" s="6">
        <f t="shared" si="25"/>
        <v>3.1265285039635695</v>
      </c>
      <c r="P273" s="6">
        <f t="shared" si="26"/>
        <v>0.3251589644122112</v>
      </c>
      <c r="Q273" s="10">
        <f t="shared" si="27"/>
        <v>6.7741450919210668E-3</v>
      </c>
      <c r="R273" s="10">
        <f t="shared" si="28"/>
        <v>3.7384701610242169E-2</v>
      </c>
      <c r="S273" s="10">
        <f t="shared" si="29"/>
        <v>4.4158846702163232E-2</v>
      </c>
    </row>
    <row r="274" spans="1:19" x14ac:dyDescent="0.25">
      <c r="A274" s="5" t="s">
        <v>8</v>
      </c>
      <c r="B274" s="5" t="s">
        <v>165</v>
      </c>
      <c r="C274" s="5" t="s">
        <v>27</v>
      </c>
      <c r="D274" s="5" t="s">
        <v>385</v>
      </c>
      <c r="E274" s="5" t="s">
        <v>384</v>
      </c>
      <c r="F274" s="5" t="s">
        <v>30</v>
      </c>
      <c r="G274" s="5" t="s">
        <v>397</v>
      </c>
      <c r="H274" s="5" t="s">
        <v>36</v>
      </c>
      <c r="I274" s="5" t="s">
        <v>39</v>
      </c>
      <c r="J274" s="5">
        <v>1920</v>
      </c>
      <c r="K274" s="5">
        <v>31</v>
      </c>
      <c r="L274" s="7">
        <f t="shared" si="24"/>
        <v>61.935483870967744</v>
      </c>
      <c r="M274" s="5" t="s">
        <v>10</v>
      </c>
      <c r="N274" s="5">
        <v>4</v>
      </c>
      <c r="O274" s="6">
        <f t="shared" si="25"/>
        <v>4.6032049947970863</v>
      </c>
      <c r="P274" s="6">
        <f t="shared" si="26"/>
        <v>0.47873331945889697</v>
      </c>
      <c r="Q274" s="10">
        <f t="shared" si="27"/>
        <v>9.9736108220603529E-3</v>
      </c>
      <c r="R274" s="10">
        <f t="shared" si="28"/>
        <v>4.9968045363436797E-2</v>
      </c>
      <c r="S274" s="10">
        <f t="shared" si="29"/>
        <v>5.9941656185497148E-2</v>
      </c>
    </row>
    <row r="275" spans="1:19" x14ac:dyDescent="0.25">
      <c r="A275" s="5" t="s">
        <v>8</v>
      </c>
      <c r="B275" s="5" t="s">
        <v>165</v>
      </c>
      <c r="C275" s="5" t="s">
        <v>27</v>
      </c>
      <c r="D275" s="5" t="s">
        <v>385</v>
      </c>
      <c r="E275" s="5" t="s">
        <v>384</v>
      </c>
      <c r="F275" s="5" t="s">
        <v>30</v>
      </c>
      <c r="G275" s="5" t="s">
        <v>397</v>
      </c>
      <c r="H275" s="5" t="s">
        <v>36</v>
      </c>
      <c r="I275" s="5" t="s">
        <v>39</v>
      </c>
      <c r="J275" s="5">
        <v>1800</v>
      </c>
      <c r="K275" s="5">
        <v>38</v>
      </c>
      <c r="L275" s="7">
        <f t="shared" si="24"/>
        <v>47.368421052631582</v>
      </c>
      <c r="M275" s="5" t="s">
        <v>9</v>
      </c>
      <c r="N275" s="5">
        <v>4</v>
      </c>
      <c r="O275" s="6">
        <f t="shared" si="25"/>
        <v>2.5242382271468147</v>
      </c>
      <c r="P275" s="6">
        <f t="shared" si="26"/>
        <v>0.2625207756232687</v>
      </c>
      <c r="Q275" s="10">
        <f t="shared" si="27"/>
        <v>5.4691828254847643E-3</v>
      </c>
      <c r="R275" s="10">
        <f t="shared" si="28"/>
        <v>3.1841599745227871E-2</v>
      </c>
      <c r="S275" s="10">
        <f t="shared" si="29"/>
        <v>3.7310782570712638E-2</v>
      </c>
    </row>
    <row r="276" spans="1:19" x14ac:dyDescent="0.25">
      <c r="A276" s="5" t="s">
        <v>8</v>
      </c>
      <c r="B276" s="5" t="s">
        <v>165</v>
      </c>
      <c r="C276" s="5" t="s">
        <v>27</v>
      </c>
      <c r="D276" s="5" t="s">
        <v>385</v>
      </c>
      <c r="E276" s="5" t="s">
        <v>384</v>
      </c>
      <c r="F276" s="5" t="s">
        <v>30</v>
      </c>
      <c r="G276" s="5" t="s">
        <v>397</v>
      </c>
      <c r="H276" s="5" t="s">
        <v>36</v>
      </c>
      <c r="I276" s="5" t="s">
        <v>39</v>
      </c>
      <c r="J276" s="5">
        <v>1800</v>
      </c>
      <c r="K276" s="5">
        <v>33</v>
      </c>
      <c r="L276" s="7">
        <f t="shared" si="24"/>
        <v>54.545454545454547</v>
      </c>
      <c r="M276" s="5" t="s">
        <v>10</v>
      </c>
      <c r="N276" s="5">
        <v>4</v>
      </c>
      <c r="O276" s="6">
        <f t="shared" si="25"/>
        <v>3.3471074380165291</v>
      </c>
      <c r="P276" s="6">
        <f t="shared" si="26"/>
        <v>0.348099173553719</v>
      </c>
      <c r="Q276" s="10">
        <f t="shared" si="27"/>
        <v>7.2520661157024794E-3</v>
      </c>
      <c r="R276" s="10">
        <f t="shared" si="28"/>
        <v>3.9345889142976674E-2</v>
      </c>
      <c r="S276" s="10">
        <f t="shared" si="29"/>
        <v>4.6597955258679151E-2</v>
      </c>
    </row>
    <row r="277" spans="1:19" x14ac:dyDescent="0.25">
      <c r="A277" s="5" t="s">
        <v>8</v>
      </c>
      <c r="B277" s="5" t="s">
        <v>165</v>
      </c>
      <c r="C277" s="5" t="s">
        <v>27</v>
      </c>
      <c r="D277" s="5" t="s">
        <v>385</v>
      </c>
      <c r="E277" s="5" t="s">
        <v>384</v>
      </c>
      <c r="F277" s="5" t="s">
        <v>30</v>
      </c>
      <c r="G277" s="5" t="s">
        <v>397</v>
      </c>
      <c r="H277" s="5" t="s">
        <v>36</v>
      </c>
      <c r="I277" s="5" t="s">
        <v>39</v>
      </c>
      <c r="J277" s="5">
        <v>1850</v>
      </c>
      <c r="K277" s="5">
        <v>38.5</v>
      </c>
      <c r="L277" s="7">
        <f t="shared" si="24"/>
        <v>48.051948051948052</v>
      </c>
      <c r="M277" s="5" t="s">
        <v>9</v>
      </c>
      <c r="N277" s="5">
        <v>4</v>
      </c>
      <c r="O277" s="6">
        <f t="shared" si="25"/>
        <v>2.6697693540226006</v>
      </c>
      <c r="P277" s="6">
        <f t="shared" si="26"/>
        <v>0.27765601281835045</v>
      </c>
      <c r="Q277" s="10">
        <f t="shared" si="27"/>
        <v>5.7845002670489677E-3</v>
      </c>
      <c r="R277" s="10">
        <f t="shared" si="28"/>
        <v>3.3208742598630749E-2</v>
      </c>
      <c r="S277" s="10">
        <f t="shared" si="29"/>
        <v>3.899324286567972E-2</v>
      </c>
    </row>
    <row r="278" spans="1:19" x14ac:dyDescent="0.25">
      <c r="A278" s="5" t="s">
        <v>8</v>
      </c>
      <c r="B278" s="5" t="s">
        <v>291</v>
      </c>
      <c r="C278" s="5" t="s">
        <v>27</v>
      </c>
      <c r="D278" s="5" t="s">
        <v>385</v>
      </c>
      <c r="E278" s="5" t="s">
        <v>384</v>
      </c>
      <c r="F278" s="5" t="s">
        <v>30</v>
      </c>
      <c r="G278" s="5" t="s">
        <v>397</v>
      </c>
      <c r="H278" s="5" t="s">
        <v>36</v>
      </c>
      <c r="I278" s="5" t="s">
        <v>39</v>
      </c>
      <c r="J278" s="5">
        <v>1752</v>
      </c>
      <c r="K278" s="5">
        <v>29.2</v>
      </c>
      <c r="L278" s="7">
        <f t="shared" si="24"/>
        <v>60</v>
      </c>
      <c r="M278" s="5" t="s">
        <v>10</v>
      </c>
      <c r="N278" s="5">
        <v>4</v>
      </c>
      <c r="O278" s="6">
        <f t="shared" si="25"/>
        <v>3.9420000000000002</v>
      </c>
      <c r="P278" s="6">
        <f t="shared" si="26"/>
        <v>0.40996800000000005</v>
      </c>
      <c r="Q278" s="10">
        <f t="shared" si="27"/>
        <v>8.541E-3</v>
      </c>
      <c r="R278" s="10">
        <f t="shared" si="28"/>
        <v>4.4482029038474258E-2</v>
      </c>
      <c r="S278" s="10">
        <f t="shared" si="29"/>
        <v>5.3023029038474258E-2</v>
      </c>
    </row>
    <row r="279" spans="1:19" x14ac:dyDescent="0.25">
      <c r="A279" s="5" t="s">
        <v>8</v>
      </c>
      <c r="B279" s="5" t="s">
        <v>291</v>
      </c>
      <c r="C279" s="5" t="s">
        <v>27</v>
      </c>
      <c r="D279" s="5" t="s">
        <v>385</v>
      </c>
      <c r="E279" s="5" t="s">
        <v>384</v>
      </c>
      <c r="F279" s="5" t="s">
        <v>30</v>
      </c>
      <c r="G279" s="5" t="s">
        <v>397</v>
      </c>
      <c r="H279" s="5" t="s">
        <v>36</v>
      </c>
      <c r="I279" s="5" t="s">
        <v>39</v>
      </c>
      <c r="J279" s="5">
        <v>1140</v>
      </c>
      <c r="K279" s="5">
        <v>27.3</v>
      </c>
      <c r="L279" s="7">
        <f t="shared" si="24"/>
        <v>41.758241758241759</v>
      </c>
      <c r="M279" s="5" t="s">
        <v>10</v>
      </c>
      <c r="N279" s="5">
        <v>4</v>
      </c>
      <c r="O279" s="6">
        <f t="shared" si="25"/>
        <v>1.2424224127520831</v>
      </c>
      <c r="P279" s="6">
        <f t="shared" si="26"/>
        <v>0.12921193092621663</v>
      </c>
      <c r="Q279" s="10">
        <f t="shared" si="27"/>
        <v>2.6919152276295133E-3</v>
      </c>
      <c r="R279" s="10">
        <f t="shared" si="28"/>
        <v>1.8711089765198051E-2</v>
      </c>
      <c r="S279" s="10">
        <f t="shared" si="29"/>
        <v>2.1403004992827563E-2</v>
      </c>
    </row>
    <row r="280" spans="1:19" x14ac:dyDescent="0.25">
      <c r="A280" s="5" t="s">
        <v>8</v>
      </c>
      <c r="B280" s="5" t="s">
        <v>311</v>
      </c>
      <c r="C280" s="5" t="s">
        <v>27</v>
      </c>
      <c r="D280" s="5" t="s">
        <v>385</v>
      </c>
      <c r="E280" s="5" t="s">
        <v>384</v>
      </c>
      <c r="F280" s="5" t="s">
        <v>30</v>
      </c>
      <c r="G280" s="5" t="s">
        <v>397</v>
      </c>
      <c r="H280" s="5" t="s">
        <v>36</v>
      </c>
      <c r="I280" s="5" t="s">
        <v>39</v>
      </c>
      <c r="J280" s="5">
        <v>1850</v>
      </c>
      <c r="K280" s="5">
        <v>37.5</v>
      </c>
      <c r="L280" s="7">
        <f t="shared" si="24"/>
        <v>49.333333333333336</v>
      </c>
      <c r="M280" s="5" t="s">
        <v>10</v>
      </c>
      <c r="N280" s="5">
        <v>4</v>
      </c>
      <c r="O280" s="6">
        <f t="shared" si="25"/>
        <v>2.8140555555555555</v>
      </c>
      <c r="P280" s="6">
        <f t="shared" si="26"/>
        <v>0.29266177777777774</v>
      </c>
      <c r="Q280" s="10">
        <f t="shared" si="27"/>
        <v>6.0971203703703699E-3</v>
      </c>
      <c r="R280" s="10">
        <f t="shared" si="28"/>
        <v>3.4545908997176758E-2</v>
      </c>
      <c r="S280" s="10">
        <f t="shared" si="29"/>
        <v>4.0643029367547129E-2</v>
      </c>
    </row>
    <row r="281" spans="1:19" x14ac:dyDescent="0.25">
      <c r="A281" s="5" t="s">
        <v>8</v>
      </c>
      <c r="B281" s="5" t="s">
        <v>165</v>
      </c>
      <c r="C281" s="5" t="s">
        <v>27</v>
      </c>
      <c r="D281" s="5" t="s">
        <v>385</v>
      </c>
      <c r="E281" s="5" t="s">
        <v>384</v>
      </c>
      <c r="F281" s="5" t="s">
        <v>30</v>
      </c>
      <c r="G281" s="5" t="s">
        <v>397</v>
      </c>
      <c r="H281" s="5" t="s">
        <v>36</v>
      </c>
      <c r="I281" s="5" t="s">
        <v>186</v>
      </c>
      <c r="J281" s="5">
        <v>1150</v>
      </c>
      <c r="K281" s="5">
        <v>27.5</v>
      </c>
      <c r="L281" s="7">
        <f t="shared" si="24"/>
        <v>41.81818181818182</v>
      </c>
      <c r="M281" s="5" t="s">
        <v>10</v>
      </c>
      <c r="N281" s="5">
        <v>4</v>
      </c>
      <c r="O281" s="6">
        <f t="shared" si="25"/>
        <v>1.2569214876033059</v>
      </c>
      <c r="P281" s="6">
        <f t="shared" si="26"/>
        <v>0.1307198347107438</v>
      </c>
      <c r="Q281" s="10">
        <f t="shared" si="27"/>
        <v>2.7233298898071624E-3</v>
      </c>
      <c r="R281" s="10">
        <f t="shared" si="28"/>
        <v>1.8874620894311772E-2</v>
      </c>
      <c r="S281" s="10">
        <f t="shared" si="29"/>
        <v>2.1597950784118934E-2</v>
      </c>
    </row>
    <row r="282" spans="1:19" x14ac:dyDescent="0.25">
      <c r="A282" s="5" t="s">
        <v>8</v>
      </c>
      <c r="B282" s="5" t="s">
        <v>165</v>
      </c>
      <c r="C282" s="5" t="s">
        <v>27</v>
      </c>
      <c r="D282" s="5" t="s">
        <v>385</v>
      </c>
      <c r="E282" s="5" t="s">
        <v>384</v>
      </c>
      <c r="F282" s="5" t="s">
        <v>30</v>
      </c>
      <c r="G282" s="5" t="s">
        <v>397</v>
      </c>
      <c r="H282" s="5" t="s">
        <v>36</v>
      </c>
      <c r="I282" s="5" t="s">
        <v>186</v>
      </c>
      <c r="J282" s="5">
        <v>1250</v>
      </c>
      <c r="K282" s="5">
        <v>34</v>
      </c>
      <c r="L282" s="7">
        <f t="shared" si="24"/>
        <v>36.764705882352942</v>
      </c>
      <c r="M282" s="5" t="s">
        <v>9</v>
      </c>
      <c r="N282" s="5">
        <v>4</v>
      </c>
      <c r="O282" s="6">
        <f t="shared" si="25"/>
        <v>1.0559715614186851</v>
      </c>
      <c r="P282" s="6">
        <f t="shared" si="26"/>
        <v>0.10982104238754326</v>
      </c>
      <c r="Q282" s="10">
        <f t="shared" si="27"/>
        <v>2.2879383830738177E-3</v>
      </c>
      <c r="R282" s="10">
        <f t="shared" si="28"/>
        <v>1.65628966155872E-2</v>
      </c>
      <c r="S282" s="10">
        <f t="shared" si="29"/>
        <v>1.8850834998661019E-2</v>
      </c>
    </row>
    <row r="283" spans="1:19" x14ac:dyDescent="0.25">
      <c r="A283" s="5" t="s">
        <v>8</v>
      </c>
      <c r="B283" s="5" t="s">
        <v>220</v>
      </c>
      <c r="C283" s="5" t="s">
        <v>27</v>
      </c>
      <c r="D283" s="5" t="s">
        <v>385</v>
      </c>
      <c r="E283" s="5" t="s">
        <v>384</v>
      </c>
      <c r="F283" s="5" t="s">
        <v>30</v>
      </c>
      <c r="G283" s="5" t="s">
        <v>397</v>
      </c>
      <c r="H283" s="5" t="s">
        <v>64</v>
      </c>
      <c r="I283" s="5" t="s">
        <v>221</v>
      </c>
      <c r="J283" s="5">
        <v>4675</v>
      </c>
      <c r="K283" s="5">
        <v>30</v>
      </c>
      <c r="L283" s="7">
        <f t="shared" si="24"/>
        <v>155.83333333333334</v>
      </c>
      <c r="M283" s="5" t="s">
        <v>9</v>
      </c>
      <c r="N283" s="5">
        <v>4</v>
      </c>
      <c r="O283" s="6">
        <f t="shared" si="25"/>
        <v>70.954893663194454</v>
      </c>
      <c r="P283" s="6">
        <f t="shared" si="26"/>
        <v>7.3793089409722228</v>
      </c>
      <c r="Q283" s="10">
        <f t="shared" si="27"/>
        <v>0.15373560293692132</v>
      </c>
      <c r="R283" s="10">
        <f t="shared" si="28"/>
        <v>0.38871731788170716</v>
      </c>
      <c r="S283" s="10">
        <f t="shared" si="29"/>
        <v>0.5424529208186285</v>
      </c>
    </row>
    <row r="284" spans="1:19" x14ac:dyDescent="0.25">
      <c r="A284" s="5" t="s">
        <v>22</v>
      </c>
      <c r="B284" s="5" t="s">
        <v>63</v>
      </c>
      <c r="C284" s="5" t="s">
        <v>27</v>
      </c>
      <c r="D284" s="5" t="s">
        <v>385</v>
      </c>
      <c r="E284" s="5" t="s">
        <v>384</v>
      </c>
      <c r="F284" s="5" t="s">
        <v>30</v>
      </c>
      <c r="G284" s="5" t="s">
        <v>397</v>
      </c>
      <c r="H284" s="5" t="s">
        <v>64</v>
      </c>
      <c r="I284" s="5" t="s">
        <v>12</v>
      </c>
      <c r="J284" s="5">
        <v>3750</v>
      </c>
      <c r="K284" s="5">
        <v>42</v>
      </c>
      <c r="L284" s="7">
        <f t="shared" si="24"/>
        <v>89.285714285714292</v>
      </c>
      <c r="M284" s="5" t="s">
        <v>10</v>
      </c>
      <c r="N284" s="5">
        <v>4</v>
      </c>
      <c r="O284" s="6">
        <f t="shared" si="25"/>
        <v>18.684231505102044</v>
      </c>
      <c r="P284" s="6">
        <f t="shared" si="26"/>
        <v>1.9431600765306125</v>
      </c>
      <c r="Q284" s="10">
        <f t="shared" si="27"/>
        <v>4.0482501594387758E-2</v>
      </c>
      <c r="R284" s="10">
        <f t="shared" si="28"/>
        <v>0.14289056521434054</v>
      </c>
      <c r="S284" s="10">
        <f t="shared" si="29"/>
        <v>0.18337306680872831</v>
      </c>
    </row>
    <row r="285" spans="1:19" x14ac:dyDescent="0.25">
      <c r="A285" s="5" t="s">
        <v>8</v>
      </c>
      <c r="B285" s="5" t="s">
        <v>220</v>
      </c>
      <c r="C285" s="5" t="s">
        <v>27</v>
      </c>
      <c r="D285" s="5" t="s">
        <v>385</v>
      </c>
      <c r="E285" s="5" t="s">
        <v>384</v>
      </c>
      <c r="F285" s="5" t="s">
        <v>30</v>
      </c>
      <c r="G285" s="5" t="s">
        <v>397</v>
      </c>
      <c r="H285" s="5" t="s">
        <v>64</v>
      </c>
      <c r="I285" s="5" t="s">
        <v>222</v>
      </c>
      <c r="J285" s="5">
        <v>7318</v>
      </c>
      <c r="K285" s="5">
        <v>42</v>
      </c>
      <c r="L285" s="7">
        <f t="shared" si="24"/>
        <v>174.23809523809524</v>
      </c>
      <c r="M285" s="5" t="s">
        <v>9</v>
      </c>
      <c r="N285" s="5">
        <v>4</v>
      </c>
      <c r="O285" s="6">
        <f t="shared" si="25"/>
        <v>138.85408214002268</v>
      </c>
      <c r="P285" s="6">
        <f t="shared" si="26"/>
        <v>14.440824542562359</v>
      </c>
      <c r="Q285" s="10">
        <f t="shared" si="27"/>
        <v>0.30085051130338247</v>
      </c>
      <c r="R285" s="10">
        <f t="shared" si="28"/>
        <v>0.64315568574253767</v>
      </c>
      <c r="S285" s="10">
        <f t="shared" si="29"/>
        <v>0.94400619704592015</v>
      </c>
    </row>
    <row r="286" spans="1:19" x14ac:dyDescent="0.25">
      <c r="A286" s="5" t="s">
        <v>8</v>
      </c>
      <c r="B286" s="5" t="s">
        <v>220</v>
      </c>
      <c r="C286" s="5" t="s">
        <v>27</v>
      </c>
      <c r="D286" s="5" t="s">
        <v>385</v>
      </c>
      <c r="E286" s="5" t="s">
        <v>384</v>
      </c>
      <c r="F286" s="5" t="s">
        <v>30</v>
      </c>
      <c r="G286" s="5" t="s">
        <v>397</v>
      </c>
      <c r="H286" s="5" t="s">
        <v>64</v>
      </c>
      <c r="I286" s="5" t="s">
        <v>222</v>
      </c>
      <c r="J286" s="5">
        <v>7175</v>
      </c>
      <c r="K286" s="5">
        <v>38</v>
      </c>
      <c r="L286" s="7">
        <f t="shared" si="24"/>
        <v>188.81578947368422</v>
      </c>
      <c r="M286" s="5" t="s">
        <v>9</v>
      </c>
      <c r="N286" s="5">
        <v>4</v>
      </c>
      <c r="O286" s="6">
        <f t="shared" si="25"/>
        <v>159.87425743377773</v>
      </c>
      <c r="P286" s="6">
        <f t="shared" si="26"/>
        <v>16.626922773112884</v>
      </c>
      <c r="Q286" s="10">
        <f t="shared" si="27"/>
        <v>0.34639422443985174</v>
      </c>
      <c r="R286" s="10">
        <f t="shared" si="28"/>
        <v>0.71487651439725008</v>
      </c>
      <c r="S286" s="10">
        <f t="shared" si="29"/>
        <v>1.0612707388371019</v>
      </c>
    </row>
    <row r="287" spans="1:19" x14ac:dyDescent="0.25">
      <c r="A287" s="5" t="s">
        <v>8</v>
      </c>
      <c r="B287" s="5" t="s">
        <v>220</v>
      </c>
      <c r="C287" s="5" t="s">
        <v>27</v>
      </c>
      <c r="D287" s="5" t="s">
        <v>385</v>
      </c>
      <c r="E287" s="5" t="s">
        <v>384</v>
      </c>
      <c r="F287" s="5" t="s">
        <v>30</v>
      </c>
      <c r="G287" s="5" t="s">
        <v>397</v>
      </c>
      <c r="H287" s="5" t="s">
        <v>64</v>
      </c>
      <c r="I287" s="5" t="s">
        <v>223</v>
      </c>
      <c r="J287" s="5">
        <v>2448</v>
      </c>
      <c r="K287" s="5">
        <v>17</v>
      </c>
      <c r="L287" s="7">
        <f t="shared" si="24"/>
        <v>144</v>
      </c>
      <c r="M287" s="5" t="s">
        <v>9</v>
      </c>
      <c r="N287" s="5">
        <v>4</v>
      </c>
      <c r="O287" s="6">
        <f t="shared" si="25"/>
        <v>31.72608</v>
      </c>
      <c r="P287" s="6">
        <f t="shared" si="26"/>
        <v>3.2995123199999994</v>
      </c>
      <c r="Q287" s="10">
        <f t="shared" si="27"/>
        <v>6.8739839999999997E-2</v>
      </c>
      <c r="R287" s="10">
        <f t="shared" si="28"/>
        <v>0.21254918085556765</v>
      </c>
      <c r="S287" s="10">
        <f t="shared" si="29"/>
        <v>0.28128902085556762</v>
      </c>
    </row>
    <row r="288" spans="1:19" x14ac:dyDescent="0.25">
      <c r="A288" s="5" t="s">
        <v>22</v>
      </c>
      <c r="B288" s="5" t="s">
        <v>26</v>
      </c>
      <c r="C288" s="5" t="s">
        <v>27</v>
      </c>
      <c r="D288" s="5" t="s">
        <v>385</v>
      </c>
      <c r="E288" s="5" t="s">
        <v>384</v>
      </c>
      <c r="F288" s="5" t="s">
        <v>30</v>
      </c>
      <c r="G288" s="5" t="s">
        <v>392</v>
      </c>
      <c r="H288" s="5" t="s">
        <v>31</v>
      </c>
      <c r="I288" s="5" t="s">
        <v>32</v>
      </c>
      <c r="J288" s="5">
        <v>1150</v>
      </c>
      <c r="K288" s="5">
        <v>21.5</v>
      </c>
      <c r="L288" s="7">
        <f t="shared" si="24"/>
        <v>53.488372093023258</v>
      </c>
      <c r="M288" s="5" t="s">
        <v>10</v>
      </c>
      <c r="N288" s="5">
        <v>4</v>
      </c>
      <c r="O288" s="6">
        <f t="shared" si="25"/>
        <v>2.0563480259599789</v>
      </c>
      <c r="P288" s="6">
        <f t="shared" si="26"/>
        <v>0.21386019469983777</v>
      </c>
      <c r="Q288" s="10">
        <f t="shared" si="27"/>
        <v>4.4554207229132873E-3</v>
      </c>
      <c r="R288" s="10">
        <f t="shared" si="28"/>
        <v>2.7303579591746802E-2</v>
      </c>
      <c r="S288" s="10">
        <f t="shared" si="29"/>
        <v>3.1759000314660092E-2</v>
      </c>
    </row>
    <row r="289" spans="1:19" x14ac:dyDescent="0.25">
      <c r="A289" s="5" t="s">
        <v>8</v>
      </c>
      <c r="B289" s="5" t="s">
        <v>217</v>
      </c>
      <c r="C289" s="5" t="s">
        <v>27</v>
      </c>
      <c r="D289" s="5" t="s">
        <v>385</v>
      </c>
      <c r="E289" s="5" t="s">
        <v>384</v>
      </c>
      <c r="F289" s="5" t="s">
        <v>30</v>
      </c>
      <c r="G289" s="5" t="s">
        <v>392</v>
      </c>
      <c r="H289" s="5" t="s">
        <v>31</v>
      </c>
      <c r="I289" s="5" t="s">
        <v>218</v>
      </c>
      <c r="J289" s="5">
        <v>1200</v>
      </c>
      <c r="K289" s="5">
        <v>28</v>
      </c>
      <c r="L289" s="7">
        <f t="shared" si="24"/>
        <v>42.857142857142854</v>
      </c>
      <c r="M289" s="5" t="s">
        <v>10</v>
      </c>
      <c r="N289" s="5">
        <v>4</v>
      </c>
      <c r="O289" s="6">
        <f t="shared" si="25"/>
        <v>1.3775510204081631</v>
      </c>
      <c r="P289" s="6">
        <f t="shared" si="26"/>
        <v>0.14326530612244898</v>
      </c>
      <c r="Q289" s="10">
        <f t="shared" si="27"/>
        <v>2.9846938775510198E-3</v>
      </c>
      <c r="R289" s="10">
        <f t="shared" si="28"/>
        <v>2.0217520582724226E-2</v>
      </c>
      <c r="S289" s="10">
        <f t="shared" si="29"/>
        <v>2.3202214460275247E-2</v>
      </c>
    </row>
    <row r="290" spans="1:19" x14ac:dyDescent="0.25">
      <c r="A290" s="5" t="s">
        <v>22</v>
      </c>
      <c r="B290" s="5" t="s">
        <v>26</v>
      </c>
      <c r="C290" s="5" t="s">
        <v>27</v>
      </c>
      <c r="D290" s="5" t="s">
        <v>385</v>
      </c>
      <c r="E290" s="5" t="s">
        <v>384</v>
      </c>
      <c r="F290" s="5" t="s">
        <v>30</v>
      </c>
      <c r="G290" s="5" t="s">
        <v>392</v>
      </c>
      <c r="H290" s="5" t="s">
        <v>31</v>
      </c>
      <c r="I290" s="5" t="s">
        <v>33</v>
      </c>
      <c r="J290" s="5">
        <v>1200</v>
      </c>
      <c r="K290" s="5">
        <v>25</v>
      </c>
      <c r="L290" s="7">
        <f t="shared" si="24"/>
        <v>48</v>
      </c>
      <c r="M290" s="5" t="s">
        <v>10</v>
      </c>
      <c r="N290" s="5">
        <v>4</v>
      </c>
      <c r="O290" s="6">
        <f t="shared" si="25"/>
        <v>1.728</v>
      </c>
      <c r="P290" s="6">
        <f t="shared" si="26"/>
        <v>0.17971200000000001</v>
      </c>
      <c r="Q290" s="10">
        <f t="shared" si="27"/>
        <v>3.7439999999999995E-3</v>
      </c>
      <c r="R290" s="10">
        <f t="shared" si="28"/>
        <v>2.3963758151521651E-2</v>
      </c>
      <c r="S290" s="10">
        <f t="shared" si="29"/>
        <v>2.7707758151521652E-2</v>
      </c>
    </row>
    <row r="291" spans="1:19" x14ac:dyDescent="0.25">
      <c r="A291" s="5" t="s">
        <v>22</v>
      </c>
      <c r="B291" s="5" t="s">
        <v>26</v>
      </c>
      <c r="C291" s="5" t="s">
        <v>27</v>
      </c>
      <c r="D291" s="5" t="s">
        <v>385</v>
      </c>
      <c r="E291" s="5" t="s">
        <v>384</v>
      </c>
      <c r="F291" s="5" t="s">
        <v>30</v>
      </c>
      <c r="G291" s="5" t="s">
        <v>392</v>
      </c>
      <c r="H291" s="5" t="s">
        <v>31</v>
      </c>
      <c r="I291" s="5" t="s">
        <v>33</v>
      </c>
      <c r="J291" s="5">
        <v>1250</v>
      </c>
      <c r="K291" s="5">
        <v>25</v>
      </c>
      <c r="L291" s="7">
        <f t="shared" si="24"/>
        <v>50</v>
      </c>
      <c r="M291" s="5" t="s">
        <v>9</v>
      </c>
      <c r="N291" s="5">
        <v>4</v>
      </c>
      <c r="O291" s="6">
        <f t="shared" si="25"/>
        <v>1.953125</v>
      </c>
      <c r="P291" s="6">
        <f t="shared" si="26"/>
        <v>0.203125</v>
      </c>
      <c r="Q291" s="10">
        <f t="shared" si="27"/>
        <v>4.231770833333333E-3</v>
      </c>
      <c r="R291" s="10">
        <f t="shared" si="28"/>
        <v>2.6269067326101514E-2</v>
      </c>
      <c r="S291" s="10">
        <f t="shared" si="29"/>
        <v>3.0500838159434846E-2</v>
      </c>
    </row>
    <row r="292" spans="1:19" x14ac:dyDescent="0.25">
      <c r="A292" s="5" t="s">
        <v>22</v>
      </c>
      <c r="B292" s="5" t="s">
        <v>63</v>
      </c>
      <c r="C292" s="5" t="s">
        <v>27</v>
      </c>
      <c r="D292" s="5" t="s">
        <v>385</v>
      </c>
      <c r="E292" s="5" t="s">
        <v>384</v>
      </c>
      <c r="F292" s="5" t="s">
        <v>30</v>
      </c>
      <c r="G292" s="5" t="s">
        <v>392</v>
      </c>
      <c r="H292" s="5" t="s">
        <v>31</v>
      </c>
      <c r="I292" s="5" t="s">
        <v>33</v>
      </c>
      <c r="J292" s="5">
        <v>1050</v>
      </c>
      <c r="K292" s="5">
        <v>23</v>
      </c>
      <c r="L292" s="7">
        <f t="shared" si="24"/>
        <v>45.652173913043477</v>
      </c>
      <c r="M292" s="5" t="s">
        <v>10</v>
      </c>
      <c r="N292" s="5">
        <v>4</v>
      </c>
      <c r="O292" s="6">
        <f t="shared" si="25"/>
        <v>1.3677043950850662</v>
      </c>
      <c r="P292" s="6">
        <f t="shared" si="26"/>
        <v>0.14224125708884686</v>
      </c>
      <c r="Q292" s="10">
        <f t="shared" si="27"/>
        <v>2.9633595226843099E-3</v>
      </c>
      <c r="R292" s="10">
        <f t="shared" si="28"/>
        <v>2.0109038528318947E-2</v>
      </c>
      <c r="S292" s="10">
        <f t="shared" si="29"/>
        <v>2.3072398051003258E-2</v>
      </c>
    </row>
    <row r="293" spans="1:19" x14ac:dyDescent="0.25">
      <c r="A293" s="5" t="s">
        <v>22</v>
      </c>
      <c r="B293" s="5" t="s">
        <v>63</v>
      </c>
      <c r="C293" s="5" t="s">
        <v>27</v>
      </c>
      <c r="D293" s="5" t="s">
        <v>385</v>
      </c>
      <c r="E293" s="5" t="s">
        <v>384</v>
      </c>
      <c r="F293" s="5" t="s">
        <v>30</v>
      </c>
      <c r="G293" s="5" t="s">
        <v>392</v>
      </c>
      <c r="H293" s="5" t="s">
        <v>31</v>
      </c>
      <c r="I293" s="5" t="s">
        <v>33</v>
      </c>
      <c r="J293" s="5">
        <v>1050</v>
      </c>
      <c r="K293" s="5">
        <v>24.5</v>
      </c>
      <c r="L293" s="7">
        <f t="shared" si="24"/>
        <v>42.857142857142854</v>
      </c>
      <c r="M293" s="5" t="s">
        <v>9</v>
      </c>
      <c r="N293" s="5">
        <v>4</v>
      </c>
      <c r="O293" s="6">
        <f t="shared" si="25"/>
        <v>1.2053571428571428</v>
      </c>
      <c r="P293" s="6">
        <f t="shared" si="26"/>
        <v>0.12535714285714283</v>
      </c>
      <c r="Q293" s="10">
        <f t="shared" si="27"/>
        <v>2.6116071428571425E-3</v>
      </c>
      <c r="R293" s="10">
        <f t="shared" si="28"/>
        <v>1.8290851916478671E-2</v>
      </c>
      <c r="S293" s="10">
        <f t="shared" si="29"/>
        <v>2.0902459059335812E-2</v>
      </c>
    </row>
    <row r="294" spans="1:19" x14ac:dyDescent="0.25">
      <c r="A294" s="5" t="s">
        <v>8</v>
      </c>
      <c r="B294" s="5" t="s">
        <v>287</v>
      </c>
      <c r="C294" s="5" t="s">
        <v>27</v>
      </c>
      <c r="D294" s="5" t="s">
        <v>385</v>
      </c>
      <c r="E294" s="5" t="s">
        <v>384</v>
      </c>
      <c r="F294" s="5" t="s">
        <v>30</v>
      </c>
      <c r="G294" s="5" t="s">
        <v>392</v>
      </c>
      <c r="H294" s="5" t="s">
        <v>31</v>
      </c>
      <c r="I294" s="5" t="s">
        <v>33</v>
      </c>
      <c r="J294" s="5">
        <v>1000</v>
      </c>
      <c r="K294" s="5">
        <v>24.4</v>
      </c>
      <c r="L294" s="7">
        <f t="shared" si="24"/>
        <v>40.983606557377051</v>
      </c>
      <c r="M294" s="5" t="s">
        <v>10</v>
      </c>
      <c r="N294" s="5">
        <v>4</v>
      </c>
      <c r="O294" s="6">
        <f t="shared" si="25"/>
        <v>1.0497850040311745</v>
      </c>
      <c r="P294" s="6">
        <f t="shared" si="26"/>
        <v>0.10917764041924215</v>
      </c>
      <c r="Q294" s="10">
        <f t="shared" si="27"/>
        <v>2.2745341754008778E-3</v>
      </c>
      <c r="R294" s="10">
        <f t="shared" si="28"/>
        <v>1.6490066149903643E-2</v>
      </c>
      <c r="S294" s="10">
        <f t="shared" si="29"/>
        <v>1.8764600325304519E-2</v>
      </c>
    </row>
    <row r="295" spans="1:19" x14ac:dyDescent="0.25">
      <c r="A295" s="5" t="s">
        <v>8</v>
      </c>
      <c r="B295" s="5" t="s">
        <v>287</v>
      </c>
      <c r="C295" s="5" t="s">
        <v>27</v>
      </c>
      <c r="D295" s="5" t="s">
        <v>385</v>
      </c>
      <c r="E295" s="5" t="s">
        <v>384</v>
      </c>
      <c r="F295" s="5" t="s">
        <v>30</v>
      </c>
      <c r="G295" s="5" t="s">
        <v>392</v>
      </c>
      <c r="H295" s="5" t="s">
        <v>31</v>
      </c>
      <c r="I295" s="5" t="s">
        <v>33</v>
      </c>
      <c r="J295" s="5">
        <v>1000</v>
      </c>
      <c r="K295" s="5">
        <v>26.5</v>
      </c>
      <c r="L295" s="7">
        <f t="shared" si="24"/>
        <v>37.735849056603776</v>
      </c>
      <c r="M295" s="5" t="s">
        <v>9</v>
      </c>
      <c r="N295" s="5">
        <v>4</v>
      </c>
      <c r="O295" s="6">
        <f t="shared" si="25"/>
        <v>0.88999644001424005</v>
      </c>
      <c r="P295" s="6">
        <f t="shared" si="26"/>
        <v>9.2559629761480952E-2</v>
      </c>
      <c r="Q295" s="10">
        <f t="shared" si="27"/>
        <v>1.9283256200308535E-3</v>
      </c>
      <c r="R295" s="10">
        <f t="shared" si="28"/>
        <v>1.4569287935358966E-2</v>
      </c>
      <c r="S295" s="10">
        <f t="shared" si="29"/>
        <v>1.6497613555389819E-2</v>
      </c>
    </row>
    <row r="296" spans="1:19" x14ac:dyDescent="0.25">
      <c r="A296" s="5" t="s">
        <v>8</v>
      </c>
      <c r="B296" s="5" t="s">
        <v>291</v>
      </c>
      <c r="C296" s="5" t="s">
        <v>27</v>
      </c>
      <c r="D296" s="5" t="s">
        <v>385</v>
      </c>
      <c r="E296" s="5" t="s">
        <v>384</v>
      </c>
      <c r="F296" s="5" t="s">
        <v>30</v>
      </c>
      <c r="G296" s="5" t="s">
        <v>392</v>
      </c>
      <c r="H296" s="5" t="s">
        <v>31</v>
      </c>
      <c r="I296" s="5" t="s">
        <v>33</v>
      </c>
      <c r="J296" s="5">
        <v>1171</v>
      </c>
      <c r="K296" s="5">
        <v>23.8</v>
      </c>
      <c r="L296" s="7">
        <f t="shared" si="24"/>
        <v>49.201680672268907</v>
      </c>
      <c r="M296" s="5" t="s">
        <v>10</v>
      </c>
      <c r="N296" s="5">
        <v>4</v>
      </c>
      <c r="O296" s="6">
        <f t="shared" si="25"/>
        <v>1.7717269382017513</v>
      </c>
      <c r="P296" s="6">
        <f t="shared" si="26"/>
        <v>0.18425960157298213</v>
      </c>
      <c r="Q296" s="10">
        <f t="shared" si="27"/>
        <v>3.8387416994371277E-3</v>
      </c>
      <c r="R296" s="10">
        <f t="shared" si="28"/>
        <v>2.4417135633988743E-2</v>
      </c>
      <c r="S296" s="10">
        <f t="shared" si="29"/>
        <v>2.8255877333425869E-2</v>
      </c>
    </row>
    <row r="297" spans="1:19" x14ac:dyDescent="0.25">
      <c r="A297" s="5" t="s">
        <v>8</v>
      </c>
      <c r="B297" s="5" t="s">
        <v>291</v>
      </c>
      <c r="C297" s="5" t="s">
        <v>27</v>
      </c>
      <c r="D297" s="5" t="s">
        <v>385</v>
      </c>
      <c r="E297" s="5" t="s">
        <v>384</v>
      </c>
      <c r="F297" s="5" t="s">
        <v>30</v>
      </c>
      <c r="G297" s="5" t="s">
        <v>392</v>
      </c>
      <c r="H297" s="5" t="s">
        <v>31</v>
      </c>
      <c r="I297" s="5" t="s">
        <v>33</v>
      </c>
      <c r="J297" s="5">
        <v>1121</v>
      </c>
      <c r="K297" s="5">
        <v>23.2</v>
      </c>
      <c r="L297" s="7">
        <f t="shared" si="24"/>
        <v>48.318965517241381</v>
      </c>
      <c r="M297" s="5" t="s">
        <v>10</v>
      </c>
      <c r="N297" s="5">
        <v>4</v>
      </c>
      <c r="O297" s="6">
        <f t="shared" si="25"/>
        <v>1.6357649015773632</v>
      </c>
      <c r="P297" s="6">
        <f t="shared" si="26"/>
        <v>0.17011954976404578</v>
      </c>
      <c r="Q297" s="10">
        <f t="shared" si="27"/>
        <v>3.5441572867509533E-3</v>
      </c>
      <c r="R297" s="10">
        <f t="shared" si="28"/>
        <v>2.2997879194034985E-2</v>
      </c>
      <c r="S297" s="10">
        <f t="shared" si="29"/>
        <v>2.6542036480785937E-2</v>
      </c>
    </row>
    <row r="298" spans="1:19" x14ac:dyDescent="0.25">
      <c r="A298" s="5" t="s">
        <v>8</v>
      </c>
      <c r="B298" s="5" t="s">
        <v>307</v>
      </c>
      <c r="C298" s="5" t="s">
        <v>27</v>
      </c>
      <c r="D298" s="5" t="s">
        <v>385</v>
      </c>
      <c r="E298" s="5" t="s">
        <v>384</v>
      </c>
      <c r="F298" s="5" t="s">
        <v>30</v>
      </c>
      <c r="G298" s="5" t="s">
        <v>392</v>
      </c>
      <c r="H298" s="5" t="s">
        <v>31</v>
      </c>
      <c r="I298" s="5" t="s">
        <v>33</v>
      </c>
      <c r="J298" s="5">
        <v>1150</v>
      </c>
      <c r="K298" s="5">
        <v>29.5</v>
      </c>
      <c r="L298" s="7">
        <f t="shared" si="24"/>
        <v>38.983050847457626</v>
      </c>
      <c r="M298" s="5" t="s">
        <v>10</v>
      </c>
      <c r="N298" s="5">
        <v>4</v>
      </c>
      <c r="O298" s="6">
        <f t="shared" si="25"/>
        <v>1.0922687446136168</v>
      </c>
      <c r="P298" s="6">
        <f t="shared" si="26"/>
        <v>0.11359594943981614</v>
      </c>
      <c r="Q298" s="10">
        <f t="shared" si="27"/>
        <v>2.3665822799961698E-3</v>
      </c>
      <c r="R298" s="10">
        <f t="shared" si="28"/>
        <v>1.6988078304717071E-2</v>
      </c>
      <c r="S298" s="10">
        <f t="shared" si="29"/>
        <v>1.9354660584713242E-2</v>
      </c>
    </row>
    <row r="299" spans="1:19" x14ac:dyDescent="0.25">
      <c r="A299" s="5" t="s">
        <v>8</v>
      </c>
      <c r="B299" s="5" t="s">
        <v>311</v>
      </c>
      <c r="C299" s="5" t="s">
        <v>27</v>
      </c>
      <c r="D299" s="5" t="s">
        <v>385</v>
      </c>
      <c r="E299" s="5" t="s">
        <v>384</v>
      </c>
      <c r="F299" s="5" t="s">
        <v>30</v>
      </c>
      <c r="G299" s="5" t="s">
        <v>392</v>
      </c>
      <c r="H299" s="5" t="s">
        <v>31</v>
      </c>
      <c r="I299" s="5" t="s">
        <v>33</v>
      </c>
      <c r="J299" s="5">
        <v>1100</v>
      </c>
      <c r="K299" s="5">
        <v>28</v>
      </c>
      <c r="L299" s="7">
        <f t="shared" si="24"/>
        <v>39.285714285714285</v>
      </c>
      <c r="M299" s="5" t="s">
        <v>10</v>
      </c>
      <c r="N299" s="5">
        <v>4</v>
      </c>
      <c r="O299" s="6">
        <f t="shared" si="25"/>
        <v>1.061065051020408</v>
      </c>
      <c r="P299" s="6">
        <f t="shared" si="26"/>
        <v>0.11035076530612244</v>
      </c>
      <c r="Q299" s="10">
        <f t="shared" si="27"/>
        <v>2.2989742772108841E-3</v>
      </c>
      <c r="R299" s="10">
        <f t="shared" si="28"/>
        <v>1.6622779036452554E-2</v>
      </c>
      <c r="S299" s="10">
        <f t="shared" si="29"/>
        <v>1.8921753313663438E-2</v>
      </c>
    </row>
    <row r="300" spans="1:19" x14ac:dyDescent="0.25">
      <c r="A300" s="5" t="s">
        <v>8</v>
      </c>
      <c r="B300" s="5" t="s">
        <v>339</v>
      </c>
      <c r="C300" s="5" t="s">
        <v>27</v>
      </c>
      <c r="D300" s="5" t="s">
        <v>385</v>
      </c>
      <c r="E300" s="5" t="s">
        <v>384</v>
      </c>
      <c r="F300" s="5" t="s">
        <v>30</v>
      </c>
      <c r="G300" s="5" t="s">
        <v>392</v>
      </c>
      <c r="H300" s="5" t="s">
        <v>31</v>
      </c>
      <c r="I300" s="5" t="s">
        <v>33</v>
      </c>
      <c r="J300" s="5">
        <v>1080</v>
      </c>
      <c r="K300" s="5">
        <v>19.5</v>
      </c>
      <c r="L300" s="7">
        <f t="shared" si="24"/>
        <v>55.384615384615387</v>
      </c>
      <c r="M300" s="5" t="s">
        <v>10</v>
      </c>
      <c r="N300" s="5">
        <v>4</v>
      </c>
      <c r="O300" s="6">
        <f t="shared" si="25"/>
        <v>2.0705325443786986</v>
      </c>
      <c r="P300" s="6">
        <f t="shared" si="26"/>
        <v>0.21533538461538462</v>
      </c>
      <c r="Q300" s="10">
        <f t="shared" si="27"/>
        <v>4.4861538461538472E-3</v>
      </c>
      <c r="R300" s="10">
        <f t="shared" si="28"/>
        <v>2.744471151966631E-2</v>
      </c>
      <c r="S300" s="10">
        <f t="shared" si="29"/>
        <v>3.1930865365820155E-2</v>
      </c>
    </row>
    <row r="301" spans="1:19" x14ac:dyDescent="0.25">
      <c r="A301" s="5" t="s">
        <v>22</v>
      </c>
      <c r="B301" s="5" t="s">
        <v>63</v>
      </c>
      <c r="C301" s="5" t="s">
        <v>27</v>
      </c>
      <c r="D301" s="5" t="s">
        <v>385</v>
      </c>
      <c r="E301" s="5" t="s">
        <v>384</v>
      </c>
      <c r="F301" s="5" t="s">
        <v>30</v>
      </c>
      <c r="G301" s="5" t="s">
        <v>392</v>
      </c>
      <c r="H301" s="5" t="s">
        <v>31</v>
      </c>
      <c r="I301" s="5" t="s">
        <v>141</v>
      </c>
      <c r="J301" s="5">
        <v>3255</v>
      </c>
      <c r="K301" s="5">
        <v>31</v>
      </c>
      <c r="L301" s="7">
        <f t="shared" si="24"/>
        <v>105</v>
      </c>
      <c r="M301" s="5" t="s">
        <v>10</v>
      </c>
      <c r="N301" s="5">
        <v>4</v>
      </c>
      <c r="O301" s="6">
        <f t="shared" si="25"/>
        <v>22.428984374999999</v>
      </c>
      <c r="P301" s="6">
        <f t="shared" si="26"/>
        <v>2.3326143749999999</v>
      </c>
      <c r="Q301" s="10">
        <f t="shared" si="27"/>
        <v>4.8596132812499998E-2</v>
      </c>
      <c r="R301" s="10">
        <f t="shared" si="28"/>
        <v>0.16387184018502851</v>
      </c>
      <c r="S301" s="10">
        <f t="shared" si="29"/>
        <v>0.21246797299752851</v>
      </c>
    </row>
    <row r="302" spans="1:19" x14ac:dyDescent="0.25">
      <c r="A302" s="5" t="s">
        <v>22</v>
      </c>
      <c r="B302" s="5" t="s">
        <v>63</v>
      </c>
      <c r="C302" s="5" t="s">
        <v>27</v>
      </c>
      <c r="D302" s="5" t="s">
        <v>385</v>
      </c>
      <c r="E302" s="5" t="s">
        <v>384</v>
      </c>
      <c r="F302" s="5" t="s">
        <v>30</v>
      </c>
      <c r="G302" s="5" t="s">
        <v>392</v>
      </c>
      <c r="H302" s="5" t="s">
        <v>31</v>
      </c>
      <c r="I302" s="5" t="s">
        <v>141</v>
      </c>
      <c r="J302" s="5">
        <v>3070</v>
      </c>
      <c r="K302" s="5">
        <v>32.5</v>
      </c>
      <c r="L302" s="7">
        <f t="shared" si="24"/>
        <v>94.461538461538467</v>
      </c>
      <c r="M302" s="5" t="s">
        <v>9</v>
      </c>
      <c r="N302" s="5">
        <v>4</v>
      </c>
      <c r="O302" s="6">
        <f t="shared" si="25"/>
        <v>17.120972189349114</v>
      </c>
      <c r="P302" s="6">
        <f t="shared" si="26"/>
        <v>1.7805811076923079</v>
      </c>
      <c r="Q302" s="10">
        <f t="shared" si="27"/>
        <v>3.7095439743589746E-2</v>
      </c>
      <c r="R302" s="10">
        <f t="shared" si="28"/>
        <v>0.13382690699889258</v>
      </c>
      <c r="S302" s="10">
        <f t="shared" si="29"/>
        <v>0.17092234674248233</v>
      </c>
    </row>
    <row r="303" spans="1:19" x14ac:dyDescent="0.25">
      <c r="A303" s="5" t="s">
        <v>8</v>
      </c>
      <c r="B303" s="5" t="s">
        <v>284</v>
      </c>
      <c r="C303" s="5" t="s">
        <v>27</v>
      </c>
      <c r="D303" s="5" t="s">
        <v>385</v>
      </c>
      <c r="E303" s="5" t="s">
        <v>384</v>
      </c>
      <c r="F303" s="5" t="s">
        <v>30</v>
      </c>
      <c r="G303" s="5" t="s">
        <v>392</v>
      </c>
      <c r="H303" s="5" t="s">
        <v>31</v>
      </c>
      <c r="I303" s="5" t="s">
        <v>286</v>
      </c>
      <c r="J303" s="5">
        <v>1800</v>
      </c>
      <c r="K303" s="5">
        <v>33.6</v>
      </c>
      <c r="L303" s="7">
        <f t="shared" si="24"/>
        <v>53.571428571428569</v>
      </c>
      <c r="M303" s="5" t="s">
        <v>10</v>
      </c>
      <c r="N303" s="5">
        <v>4</v>
      </c>
      <c r="O303" s="6">
        <f t="shared" si="25"/>
        <v>3.2286352040816326</v>
      </c>
      <c r="P303" s="6">
        <f t="shared" si="26"/>
        <v>0.33577806122448972</v>
      </c>
      <c r="Q303" s="10">
        <f t="shared" si="27"/>
        <v>6.9953762755102034E-3</v>
      </c>
      <c r="R303" s="10">
        <f t="shared" si="28"/>
        <v>3.8296700440793495E-2</v>
      </c>
      <c r="S303" s="10">
        <f t="shared" si="29"/>
        <v>4.5292076716303697E-2</v>
      </c>
    </row>
    <row r="304" spans="1:19" x14ac:dyDescent="0.25">
      <c r="A304" s="5" t="s">
        <v>8</v>
      </c>
      <c r="B304" s="5" t="s">
        <v>308</v>
      </c>
      <c r="C304" s="5" t="s">
        <v>27</v>
      </c>
      <c r="D304" s="5" t="s">
        <v>385</v>
      </c>
      <c r="E304" s="5" t="s">
        <v>384</v>
      </c>
      <c r="F304" s="5" t="s">
        <v>30</v>
      </c>
      <c r="G304" s="5" t="s">
        <v>392</v>
      </c>
      <c r="H304" s="5" t="s">
        <v>31</v>
      </c>
      <c r="I304" s="5" t="s">
        <v>286</v>
      </c>
      <c r="J304" s="5">
        <v>1749</v>
      </c>
      <c r="K304" s="5">
        <v>23</v>
      </c>
      <c r="L304" s="7">
        <f t="shared" si="24"/>
        <v>76.043478260869563</v>
      </c>
      <c r="M304" s="5" t="s">
        <v>10</v>
      </c>
      <c r="N304" s="5">
        <v>4</v>
      </c>
      <c r="O304" s="6">
        <f t="shared" si="25"/>
        <v>6.3211161968336489</v>
      </c>
      <c r="P304" s="6">
        <f t="shared" si="26"/>
        <v>0.65739608447069942</v>
      </c>
      <c r="Q304" s="10">
        <f t="shared" si="27"/>
        <v>1.3695751759806238E-2</v>
      </c>
      <c r="R304" s="10">
        <f t="shared" si="28"/>
        <v>6.3385869858994706E-2</v>
      </c>
      <c r="S304" s="10">
        <f t="shared" si="29"/>
        <v>7.7081621618800944E-2</v>
      </c>
    </row>
    <row r="305" spans="1:19" x14ac:dyDescent="0.25">
      <c r="A305" s="5" t="s">
        <v>8</v>
      </c>
      <c r="B305" s="5" t="s">
        <v>316</v>
      </c>
      <c r="C305" s="5" t="s">
        <v>27</v>
      </c>
      <c r="D305" s="5" t="s">
        <v>385</v>
      </c>
      <c r="E305" s="5" t="s">
        <v>384</v>
      </c>
      <c r="F305" s="5" t="s">
        <v>30</v>
      </c>
      <c r="G305" s="5" t="s">
        <v>392</v>
      </c>
      <c r="H305" s="5" t="s">
        <v>34</v>
      </c>
      <c r="I305" s="5" t="s">
        <v>317</v>
      </c>
      <c r="J305" s="5">
        <v>1190</v>
      </c>
      <c r="K305" s="5">
        <v>18</v>
      </c>
      <c r="L305" s="7">
        <f t="shared" si="24"/>
        <v>66.111111111111114</v>
      </c>
      <c r="M305" s="5" t="s">
        <v>10</v>
      </c>
      <c r="N305" s="5">
        <v>4</v>
      </c>
      <c r="O305" s="6">
        <f t="shared" si="25"/>
        <v>3.2506925154320987</v>
      </c>
      <c r="P305" s="6">
        <f t="shared" si="26"/>
        <v>0.33807202160493827</v>
      </c>
      <c r="Q305" s="10">
        <f t="shared" si="27"/>
        <v>7.0431671167695475E-3</v>
      </c>
      <c r="R305" s="10">
        <f t="shared" si="28"/>
        <v>3.8492759193587217E-2</v>
      </c>
      <c r="S305" s="10">
        <f t="shared" si="29"/>
        <v>4.5535926310356765E-2</v>
      </c>
    </row>
    <row r="306" spans="1:19" x14ac:dyDescent="0.25">
      <c r="A306" s="5" t="s">
        <v>8</v>
      </c>
      <c r="B306" s="5" t="s">
        <v>370</v>
      </c>
      <c r="C306" s="5" t="s">
        <v>27</v>
      </c>
      <c r="D306" s="5" t="s">
        <v>385</v>
      </c>
      <c r="E306" s="5" t="s">
        <v>384</v>
      </c>
      <c r="F306" s="5" t="s">
        <v>30</v>
      </c>
      <c r="G306" s="5" t="s">
        <v>392</v>
      </c>
      <c r="H306" s="5" t="s">
        <v>34</v>
      </c>
      <c r="I306" s="5" t="s">
        <v>371</v>
      </c>
      <c r="J306" s="5">
        <v>823</v>
      </c>
      <c r="K306" s="5">
        <v>21.3</v>
      </c>
      <c r="L306" s="7">
        <f t="shared" si="24"/>
        <v>38.63849765258216</v>
      </c>
      <c r="M306" s="5" t="s">
        <v>10</v>
      </c>
      <c r="N306" s="5">
        <v>4</v>
      </c>
      <c r="O306" s="6">
        <f t="shared" si="25"/>
        <v>0.76792766949899716</v>
      </c>
      <c r="P306" s="6">
        <f t="shared" si="26"/>
        <v>7.9864477627895697E-2</v>
      </c>
      <c r="Q306" s="10">
        <f t="shared" si="27"/>
        <v>1.6638432839144936E-3</v>
      </c>
      <c r="R306" s="10">
        <f t="shared" si="28"/>
        <v>1.3043296338772574E-2</v>
      </c>
      <c r="S306" s="10">
        <f t="shared" si="29"/>
        <v>1.4707139622687068E-2</v>
      </c>
    </row>
    <row r="307" spans="1:19" x14ac:dyDescent="0.25">
      <c r="A307" s="5" t="s">
        <v>8</v>
      </c>
      <c r="B307" s="5" t="s">
        <v>370</v>
      </c>
      <c r="C307" s="5" t="s">
        <v>27</v>
      </c>
      <c r="D307" s="5" t="s">
        <v>385</v>
      </c>
      <c r="E307" s="5" t="s">
        <v>384</v>
      </c>
      <c r="F307" s="5" t="s">
        <v>30</v>
      </c>
      <c r="G307" s="5" t="s">
        <v>392</v>
      </c>
      <c r="H307" s="5" t="s">
        <v>34</v>
      </c>
      <c r="I307" s="5" t="s">
        <v>371</v>
      </c>
      <c r="J307" s="5">
        <v>799</v>
      </c>
      <c r="K307" s="5">
        <v>21.8</v>
      </c>
      <c r="L307" s="7">
        <f t="shared" si="24"/>
        <v>36.651376146788991</v>
      </c>
      <c r="M307" s="5" t="s">
        <v>9</v>
      </c>
      <c r="N307" s="5">
        <v>4</v>
      </c>
      <c r="O307" s="6">
        <f t="shared" si="25"/>
        <v>0.67082210961829813</v>
      </c>
      <c r="P307" s="6">
        <f t="shared" si="26"/>
        <v>6.9765499400302994E-2</v>
      </c>
      <c r="Q307" s="10">
        <f t="shared" si="27"/>
        <v>1.4534479041729794E-3</v>
      </c>
      <c r="R307" s="10">
        <f t="shared" si="28"/>
        <v>1.1785625867435959E-2</v>
      </c>
      <c r="S307" s="10">
        <f t="shared" si="29"/>
        <v>1.3239073771608939E-2</v>
      </c>
    </row>
    <row r="308" spans="1:19" x14ac:dyDescent="0.25">
      <c r="A308" s="5" t="s">
        <v>8</v>
      </c>
      <c r="B308" s="5" t="s">
        <v>370</v>
      </c>
      <c r="C308" s="5" t="s">
        <v>27</v>
      </c>
      <c r="D308" s="5" t="s">
        <v>385</v>
      </c>
      <c r="E308" s="5" t="s">
        <v>384</v>
      </c>
      <c r="F308" s="5" t="s">
        <v>30</v>
      </c>
      <c r="G308" s="5" t="s">
        <v>392</v>
      </c>
      <c r="H308" s="5" t="s">
        <v>34</v>
      </c>
      <c r="I308" s="5" t="s">
        <v>371</v>
      </c>
      <c r="J308" s="5">
        <v>704</v>
      </c>
      <c r="K308" s="5">
        <v>18.7</v>
      </c>
      <c r="L308" s="7">
        <f t="shared" si="24"/>
        <v>37.647058823529413</v>
      </c>
      <c r="M308" s="5" t="s">
        <v>10</v>
      </c>
      <c r="N308" s="5">
        <v>4</v>
      </c>
      <c r="O308" s="6">
        <f t="shared" si="25"/>
        <v>0.62361245674740484</v>
      </c>
      <c r="P308" s="6">
        <f t="shared" si="26"/>
        <v>6.4855695501730107E-2</v>
      </c>
      <c r="Q308" s="10">
        <f t="shared" si="27"/>
        <v>1.3511603229527105E-3</v>
      </c>
      <c r="R308" s="10">
        <f t="shared" si="28"/>
        <v>1.1157919160137931E-2</v>
      </c>
      <c r="S308" s="10">
        <f t="shared" si="29"/>
        <v>1.2509079483090641E-2</v>
      </c>
    </row>
    <row r="309" spans="1:19" x14ac:dyDescent="0.25">
      <c r="A309" s="5" t="s">
        <v>8</v>
      </c>
      <c r="B309" s="5" t="s">
        <v>370</v>
      </c>
      <c r="C309" s="5" t="s">
        <v>27</v>
      </c>
      <c r="D309" s="5" t="s">
        <v>385</v>
      </c>
      <c r="E309" s="5" t="s">
        <v>384</v>
      </c>
      <c r="F309" s="5" t="s">
        <v>30</v>
      </c>
      <c r="G309" s="5" t="s">
        <v>392</v>
      </c>
      <c r="H309" s="5" t="s">
        <v>34</v>
      </c>
      <c r="I309" s="5" t="s">
        <v>371</v>
      </c>
      <c r="J309" s="5">
        <v>695</v>
      </c>
      <c r="K309" s="5">
        <v>19.5</v>
      </c>
      <c r="L309" s="7">
        <f t="shared" si="24"/>
        <v>35.641025641025642</v>
      </c>
      <c r="M309" s="5" t="s">
        <v>9</v>
      </c>
      <c r="N309" s="5">
        <v>4</v>
      </c>
      <c r="O309" s="6">
        <f t="shared" si="25"/>
        <v>0.55177905161078245</v>
      </c>
      <c r="P309" s="6">
        <f t="shared" si="26"/>
        <v>5.7385021367521369E-2</v>
      </c>
      <c r="Q309" s="10">
        <f t="shared" si="27"/>
        <v>1.1955212784900285E-3</v>
      </c>
      <c r="R309" s="10">
        <f t="shared" si="28"/>
        <v>1.0179373052067059E-2</v>
      </c>
      <c r="S309" s="10">
        <f t="shared" si="29"/>
        <v>1.1374894330557089E-2</v>
      </c>
    </row>
    <row r="310" spans="1:19" x14ac:dyDescent="0.25">
      <c r="A310" s="5" t="s">
        <v>8</v>
      </c>
      <c r="B310" s="5" t="s">
        <v>270</v>
      </c>
      <c r="C310" s="5" t="s">
        <v>27</v>
      </c>
      <c r="D310" s="5" t="s">
        <v>385</v>
      </c>
      <c r="E310" s="5" t="s">
        <v>384</v>
      </c>
      <c r="F310" s="5" t="s">
        <v>30</v>
      </c>
      <c r="G310" s="5" t="s">
        <v>392</v>
      </c>
      <c r="H310" s="5" t="s">
        <v>34</v>
      </c>
      <c r="I310" s="5" t="s">
        <v>274</v>
      </c>
      <c r="J310" s="5">
        <v>3450</v>
      </c>
      <c r="K310" s="5">
        <v>45</v>
      </c>
      <c r="L310" s="7">
        <f t="shared" si="24"/>
        <v>76.666666666666671</v>
      </c>
      <c r="M310" s="5" t="s">
        <v>9</v>
      </c>
      <c r="N310" s="5">
        <v>4</v>
      </c>
      <c r="O310" s="6">
        <f t="shared" si="25"/>
        <v>12.673958333333335</v>
      </c>
      <c r="P310" s="6">
        <f t="shared" si="26"/>
        <v>1.3180916666666669</v>
      </c>
      <c r="Q310" s="10">
        <f t="shared" si="27"/>
        <v>2.7460243055555559E-2</v>
      </c>
      <c r="R310" s="10">
        <f t="shared" si="28"/>
        <v>0.10680247834350282</v>
      </c>
      <c r="S310" s="10">
        <f t="shared" si="29"/>
        <v>0.13426272139905837</v>
      </c>
    </row>
    <row r="311" spans="1:19" x14ac:dyDescent="0.25">
      <c r="A311" s="5" t="s">
        <v>8</v>
      </c>
      <c r="B311" s="5" t="s">
        <v>270</v>
      </c>
      <c r="C311" s="5" t="s">
        <v>27</v>
      </c>
      <c r="D311" s="5" t="s">
        <v>385</v>
      </c>
      <c r="E311" s="5" t="s">
        <v>384</v>
      </c>
      <c r="F311" s="5" t="s">
        <v>30</v>
      </c>
      <c r="G311" s="5" t="s">
        <v>392</v>
      </c>
      <c r="H311" s="5" t="s">
        <v>34</v>
      </c>
      <c r="I311" s="5" t="s">
        <v>274</v>
      </c>
      <c r="J311" s="5">
        <v>2280</v>
      </c>
      <c r="K311" s="5">
        <v>34.9</v>
      </c>
      <c r="L311" s="7">
        <f t="shared" si="24"/>
        <v>65.329512893982809</v>
      </c>
      <c r="M311" s="5" t="s">
        <v>10</v>
      </c>
      <c r="N311" s="5">
        <v>4</v>
      </c>
      <c r="O311" s="6">
        <f t="shared" si="25"/>
        <v>6.0818219883252187</v>
      </c>
      <c r="P311" s="6">
        <f t="shared" si="26"/>
        <v>0.63250948678582275</v>
      </c>
      <c r="Q311" s="10">
        <f t="shared" si="27"/>
        <v>1.3177280974704641E-2</v>
      </c>
      <c r="R311" s="10">
        <f t="shared" si="28"/>
        <v>6.1577549589278129E-2</v>
      </c>
      <c r="S311" s="10">
        <f t="shared" si="29"/>
        <v>7.4754830563982771E-2</v>
      </c>
    </row>
    <row r="312" spans="1:19" x14ac:dyDescent="0.25">
      <c r="A312" s="5" t="s">
        <v>8</v>
      </c>
      <c r="B312" s="5" t="s">
        <v>270</v>
      </c>
      <c r="C312" s="5" t="s">
        <v>27</v>
      </c>
      <c r="D312" s="5" t="s">
        <v>385</v>
      </c>
      <c r="E312" s="5" t="s">
        <v>384</v>
      </c>
      <c r="F312" s="5" t="s">
        <v>30</v>
      </c>
      <c r="G312" s="5" t="s">
        <v>392</v>
      </c>
      <c r="H312" s="5" t="s">
        <v>34</v>
      </c>
      <c r="I312" s="5" t="s">
        <v>271</v>
      </c>
      <c r="J312" s="5">
        <v>3510</v>
      </c>
      <c r="K312" s="5">
        <v>36.6</v>
      </c>
      <c r="L312" s="7">
        <f t="shared" si="24"/>
        <v>95.901639344262293</v>
      </c>
      <c r="M312" s="5" t="s">
        <v>10</v>
      </c>
      <c r="N312" s="5">
        <v>4</v>
      </c>
      <c r="O312" s="6">
        <f t="shared" si="25"/>
        <v>20.176191715936575</v>
      </c>
      <c r="P312" s="6">
        <f t="shared" si="26"/>
        <v>2.0983239384574035</v>
      </c>
      <c r="Q312" s="10">
        <f t="shared" si="27"/>
        <v>4.3715082051195904E-2</v>
      </c>
      <c r="R312" s="10">
        <f t="shared" si="28"/>
        <v>0.15136536806834505</v>
      </c>
      <c r="S312" s="10">
        <f t="shared" si="29"/>
        <v>0.19508045011954095</v>
      </c>
    </row>
    <row r="313" spans="1:19" x14ac:dyDescent="0.25">
      <c r="A313" s="5" t="s">
        <v>8</v>
      </c>
      <c r="B313" s="5" t="s">
        <v>270</v>
      </c>
      <c r="C313" s="5" t="s">
        <v>27</v>
      </c>
      <c r="D313" s="5" t="s">
        <v>385</v>
      </c>
      <c r="E313" s="5" t="s">
        <v>384</v>
      </c>
      <c r="F313" s="5" t="s">
        <v>30</v>
      </c>
      <c r="G313" s="5" t="s">
        <v>392</v>
      </c>
      <c r="H313" s="5" t="s">
        <v>34</v>
      </c>
      <c r="I313" s="5" t="s">
        <v>271</v>
      </c>
      <c r="J313" s="5">
        <v>3400</v>
      </c>
      <c r="K313" s="5">
        <v>38</v>
      </c>
      <c r="L313" s="7">
        <f t="shared" si="24"/>
        <v>89.473684210526315</v>
      </c>
      <c r="M313" s="5" t="s">
        <v>9</v>
      </c>
      <c r="N313" s="5">
        <v>4</v>
      </c>
      <c r="O313" s="6">
        <f t="shared" si="25"/>
        <v>17.011772853185594</v>
      </c>
      <c r="P313" s="6">
        <f t="shared" si="26"/>
        <v>1.7692243767313018</v>
      </c>
      <c r="Q313" s="10">
        <f t="shared" si="27"/>
        <v>3.6858841181902115E-2</v>
      </c>
      <c r="R313" s="10">
        <f t="shared" si="28"/>
        <v>0.13318622383409978</v>
      </c>
      <c r="S313" s="10">
        <f t="shared" si="29"/>
        <v>0.17004506501600189</v>
      </c>
    </row>
    <row r="314" spans="1:19" x14ac:dyDescent="0.25">
      <c r="A314" s="5" t="s">
        <v>8</v>
      </c>
      <c r="B314" s="5" t="s">
        <v>270</v>
      </c>
      <c r="C314" s="5" t="s">
        <v>27</v>
      </c>
      <c r="D314" s="5" t="s">
        <v>385</v>
      </c>
      <c r="E314" s="5" t="s">
        <v>384</v>
      </c>
      <c r="F314" s="5" t="s">
        <v>30</v>
      </c>
      <c r="G314" s="5" t="s">
        <v>392</v>
      </c>
      <c r="H314" s="5" t="s">
        <v>34</v>
      </c>
      <c r="I314" s="5" t="s">
        <v>273</v>
      </c>
      <c r="J314" s="5">
        <v>1760</v>
      </c>
      <c r="K314" s="5">
        <v>32.5</v>
      </c>
      <c r="L314" s="7">
        <f t="shared" si="24"/>
        <v>54.153846153846153</v>
      </c>
      <c r="M314" s="5" t="s">
        <v>10</v>
      </c>
      <c r="N314" s="5">
        <v>4</v>
      </c>
      <c r="O314" s="6">
        <f t="shared" si="25"/>
        <v>3.2259029585798817</v>
      </c>
      <c r="P314" s="6">
        <f t="shared" si="26"/>
        <v>0.33549390769230769</v>
      </c>
      <c r="Q314" s="10">
        <f t="shared" si="27"/>
        <v>6.9894564102564102E-3</v>
      </c>
      <c r="R314" s="10">
        <f t="shared" si="28"/>
        <v>3.827239131633859E-2</v>
      </c>
      <c r="S314" s="10">
        <f t="shared" si="29"/>
        <v>4.5261847726595E-2</v>
      </c>
    </row>
    <row r="315" spans="1:19" x14ac:dyDescent="0.25">
      <c r="A315" s="5" t="s">
        <v>8</v>
      </c>
      <c r="B315" s="5" t="s">
        <v>270</v>
      </c>
      <c r="C315" s="5" t="s">
        <v>27</v>
      </c>
      <c r="D315" s="5" t="s">
        <v>385</v>
      </c>
      <c r="E315" s="5" t="s">
        <v>384</v>
      </c>
      <c r="F315" s="5" t="s">
        <v>30</v>
      </c>
      <c r="G315" s="5" t="s">
        <v>392</v>
      </c>
      <c r="H315" s="5" t="s">
        <v>34</v>
      </c>
      <c r="I315" s="5" t="s">
        <v>276</v>
      </c>
      <c r="J315" s="5">
        <v>1850</v>
      </c>
      <c r="K315" s="5">
        <v>28.4</v>
      </c>
      <c r="L315" s="7">
        <f t="shared" si="24"/>
        <v>65.140845070422543</v>
      </c>
      <c r="M315" s="5" t="s">
        <v>10</v>
      </c>
      <c r="N315" s="5">
        <v>4</v>
      </c>
      <c r="O315" s="6">
        <f t="shared" si="25"/>
        <v>4.9063499615651676</v>
      </c>
      <c r="P315" s="6">
        <f t="shared" si="26"/>
        <v>0.51026039600277739</v>
      </c>
      <c r="Q315" s="10">
        <f t="shared" si="27"/>
        <v>1.0630424916724529E-2</v>
      </c>
      <c r="R315" s="10">
        <f t="shared" si="28"/>
        <v>5.2416258332901387E-2</v>
      </c>
      <c r="S315" s="10">
        <f t="shared" si="29"/>
        <v>6.3046683249625923E-2</v>
      </c>
    </row>
    <row r="316" spans="1:19" x14ac:dyDescent="0.25">
      <c r="A316" s="5" t="s">
        <v>8</v>
      </c>
      <c r="B316" s="5" t="s">
        <v>270</v>
      </c>
      <c r="C316" s="5" t="s">
        <v>27</v>
      </c>
      <c r="D316" s="5" t="s">
        <v>385</v>
      </c>
      <c r="E316" s="5" t="s">
        <v>384</v>
      </c>
      <c r="F316" s="5" t="s">
        <v>30</v>
      </c>
      <c r="G316" s="5" t="s">
        <v>392</v>
      </c>
      <c r="H316" s="5" t="s">
        <v>34</v>
      </c>
      <c r="I316" s="5" t="s">
        <v>276</v>
      </c>
      <c r="J316" s="5">
        <v>1900</v>
      </c>
      <c r="K316" s="5">
        <v>29.8</v>
      </c>
      <c r="L316" s="7">
        <f t="shared" si="24"/>
        <v>63.758389261744966</v>
      </c>
      <c r="M316" s="5" t="s">
        <v>9</v>
      </c>
      <c r="N316" s="5">
        <v>4</v>
      </c>
      <c r="O316" s="6">
        <f t="shared" si="25"/>
        <v>4.8273444889869825</v>
      </c>
      <c r="P316" s="6">
        <f t="shared" si="26"/>
        <v>0.50204382685464621</v>
      </c>
      <c r="Q316" s="10">
        <f t="shared" si="27"/>
        <v>1.0459246392805129E-2</v>
      </c>
      <c r="R316" s="10">
        <f t="shared" si="28"/>
        <v>5.1781943123725895E-2</v>
      </c>
      <c r="S316" s="10">
        <f t="shared" si="29"/>
        <v>6.2241189516531022E-2</v>
      </c>
    </row>
    <row r="317" spans="1:19" x14ac:dyDescent="0.25">
      <c r="A317" s="5" t="s">
        <v>8</v>
      </c>
      <c r="B317" s="5" t="s">
        <v>270</v>
      </c>
      <c r="C317" s="5" t="s">
        <v>27</v>
      </c>
      <c r="D317" s="5" t="s">
        <v>385</v>
      </c>
      <c r="E317" s="5" t="s">
        <v>384</v>
      </c>
      <c r="F317" s="5" t="s">
        <v>30</v>
      </c>
      <c r="G317" s="5" t="s">
        <v>392</v>
      </c>
      <c r="H317" s="5" t="s">
        <v>34</v>
      </c>
      <c r="I317" s="5" t="s">
        <v>275</v>
      </c>
      <c r="J317" s="5">
        <v>2410</v>
      </c>
      <c r="K317" s="5">
        <v>32.299999999999997</v>
      </c>
      <c r="L317" s="7">
        <f t="shared" si="24"/>
        <v>74.613003095975245</v>
      </c>
      <c r="M317" s="5" t="s">
        <v>10</v>
      </c>
      <c r="N317" s="5">
        <v>4</v>
      </c>
      <c r="O317" s="6">
        <f t="shared" si="25"/>
        <v>8.3854447229437667</v>
      </c>
      <c r="P317" s="6">
        <f t="shared" si="26"/>
        <v>0.8720862511861518</v>
      </c>
      <c r="Q317" s="10">
        <f t="shared" si="27"/>
        <v>1.8168463566378159E-2</v>
      </c>
      <c r="R317" s="10">
        <f t="shared" si="28"/>
        <v>7.8350486889121454E-2</v>
      </c>
      <c r="S317" s="10">
        <f t="shared" si="29"/>
        <v>9.6518950455499616E-2</v>
      </c>
    </row>
    <row r="318" spans="1:19" x14ac:dyDescent="0.25">
      <c r="A318" s="5" t="s">
        <v>8</v>
      </c>
      <c r="B318" s="5" t="s">
        <v>270</v>
      </c>
      <c r="C318" s="5" t="s">
        <v>27</v>
      </c>
      <c r="D318" s="5" t="s">
        <v>385</v>
      </c>
      <c r="E318" s="5" t="s">
        <v>384</v>
      </c>
      <c r="F318" s="5" t="s">
        <v>30</v>
      </c>
      <c r="G318" s="5" t="s">
        <v>392</v>
      </c>
      <c r="H318" s="5" t="s">
        <v>34</v>
      </c>
      <c r="I318" s="5" t="s">
        <v>275</v>
      </c>
      <c r="J318" s="5">
        <v>2390</v>
      </c>
      <c r="K318" s="5">
        <v>31.7</v>
      </c>
      <c r="L318" s="7">
        <f t="shared" ref="L318:L381" si="30">J318/K318</f>
        <v>75.394321766561518</v>
      </c>
      <c r="M318" s="5" t="s">
        <v>9</v>
      </c>
      <c r="N318" s="5">
        <v>4</v>
      </c>
      <c r="O318" s="6">
        <f t="shared" ref="O318:O381" si="31">(J318*L318^2)/(1.6*10^6)</f>
        <v>8.4909287334932184</v>
      </c>
      <c r="P318" s="6">
        <f t="shared" ref="P318:P381" si="32">(0.104*J318*L318^2)/(1.6*10^6)</f>
        <v>0.88305658828329481</v>
      </c>
      <c r="Q318" s="10">
        <f t="shared" ref="Q318:Q381" si="33">(0.104*O318)/(12*N318)</f>
        <v>1.8397012255901974E-2</v>
      </c>
      <c r="R318" s="10">
        <f t="shared" ref="R318:R381" si="34">0.0159*O318^0.75</f>
        <v>7.9088533214020734E-2</v>
      </c>
      <c r="S318" s="10">
        <f t="shared" ref="S318:S381" si="35">Q318+R318</f>
        <v>9.7485545469922705E-2</v>
      </c>
    </row>
    <row r="319" spans="1:19" x14ac:dyDescent="0.25">
      <c r="A319" s="5" t="s">
        <v>8</v>
      </c>
      <c r="B319" s="5" t="s">
        <v>270</v>
      </c>
      <c r="C319" s="5" t="s">
        <v>27</v>
      </c>
      <c r="D319" s="5" t="s">
        <v>385</v>
      </c>
      <c r="E319" s="5" t="s">
        <v>384</v>
      </c>
      <c r="F319" s="5" t="s">
        <v>30</v>
      </c>
      <c r="G319" s="5" t="s">
        <v>392</v>
      </c>
      <c r="H319" s="5" t="s">
        <v>34</v>
      </c>
      <c r="I319" s="5" t="s">
        <v>272</v>
      </c>
      <c r="J319" s="5">
        <v>3350</v>
      </c>
      <c r="K319" s="5">
        <v>37</v>
      </c>
      <c r="L319" s="7">
        <f t="shared" si="30"/>
        <v>90.540540540540547</v>
      </c>
      <c r="M319" s="5" t="s">
        <v>10</v>
      </c>
      <c r="N319" s="5">
        <v>4</v>
      </c>
      <c r="O319" s="6">
        <f t="shared" si="31"/>
        <v>17.163702976625277</v>
      </c>
      <c r="P319" s="6">
        <f t="shared" si="32"/>
        <v>1.7850251095690288</v>
      </c>
      <c r="Q319" s="10">
        <f t="shared" si="33"/>
        <v>3.7188023116021436E-2</v>
      </c>
      <c r="R319" s="10">
        <f t="shared" si="34"/>
        <v>0.13407733437686528</v>
      </c>
      <c r="S319" s="10">
        <f t="shared" si="35"/>
        <v>0.17126535749288671</v>
      </c>
    </row>
    <row r="320" spans="1:19" x14ac:dyDescent="0.25">
      <c r="A320" s="5" t="s">
        <v>8</v>
      </c>
      <c r="B320" s="5" t="s">
        <v>270</v>
      </c>
      <c r="C320" s="5" t="s">
        <v>27</v>
      </c>
      <c r="D320" s="5" t="s">
        <v>385</v>
      </c>
      <c r="E320" s="5" t="s">
        <v>384</v>
      </c>
      <c r="F320" s="5" t="s">
        <v>30</v>
      </c>
      <c r="G320" s="5" t="s">
        <v>392</v>
      </c>
      <c r="H320" s="5" t="s">
        <v>34</v>
      </c>
      <c r="I320" s="5" t="s">
        <v>272</v>
      </c>
      <c r="J320" s="5">
        <v>3180</v>
      </c>
      <c r="K320" s="5">
        <v>35</v>
      </c>
      <c r="L320" s="7">
        <f t="shared" si="30"/>
        <v>90.857142857142861</v>
      </c>
      <c r="M320" s="5" t="s">
        <v>9</v>
      </c>
      <c r="N320" s="5">
        <v>4</v>
      </c>
      <c r="O320" s="6">
        <f t="shared" si="31"/>
        <v>16.406853061224488</v>
      </c>
      <c r="P320" s="6">
        <f t="shared" si="32"/>
        <v>1.706312718367347</v>
      </c>
      <c r="Q320" s="10">
        <f t="shared" si="33"/>
        <v>3.554818163265306E-2</v>
      </c>
      <c r="R320" s="10">
        <f t="shared" si="34"/>
        <v>0.12961823122752753</v>
      </c>
      <c r="S320" s="10">
        <f t="shared" si="35"/>
        <v>0.16516641286018058</v>
      </c>
    </row>
    <row r="321" spans="1:19" x14ac:dyDescent="0.25">
      <c r="A321" s="5" t="s">
        <v>8</v>
      </c>
      <c r="B321" s="5" t="s">
        <v>270</v>
      </c>
      <c r="C321" s="5" t="s">
        <v>27</v>
      </c>
      <c r="D321" s="5" t="s">
        <v>385</v>
      </c>
      <c r="E321" s="5" t="s">
        <v>384</v>
      </c>
      <c r="F321" s="5" t="s">
        <v>30</v>
      </c>
      <c r="G321" s="5" t="s">
        <v>392</v>
      </c>
      <c r="H321" s="5" t="s">
        <v>34</v>
      </c>
      <c r="I321" s="5" t="s">
        <v>272</v>
      </c>
      <c r="J321" s="5">
        <v>3350</v>
      </c>
      <c r="K321" s="5">
        <v>38.799999999999997</v>
      </c>
      <c r="L321" s="7">
        <f t="shared" si="30"/>
        <v>86.340206185567013</v>
      </c>
      <c r="M321" s="5" t="s">
        <v>10</v>
      </c>
      <c r="N321" s="5">
        <v>4</v>
      </c>
      <c r="O321" s="6">
        <f t="shared" si="31"/>
        <v>15.608134083723032</v>
      </c>
      <c r="P321" s="6">
        <f t="shared" si="32"/>
        <v>1.6232459447071952</v>
      </c>
      <c r="Q321" s="10">
        <f t="shared" si="33"/>
        <v>3.3817623848066566E-2</v>
      </c>
      <c r="R321" s="10">
        <f t="shared" si="34"/>
        <v>0.12485627237086265</v>
      </c>
      <c r="S321" s="10">
        <f t="shared" si="35"/>
        <v>0.15867389621892922</v>
      </c>
    </row>
    <row r="322" spans="1:19" x14ac:dyDescent="0.25">
      <c r="A322" s="5" t="s">
        <v>8</v>
      </c>
      <c r="B322" s="5" t="s">
        <v>270</v>
      </c>
      <c r="C322" s="5" t="s">
        <v>27</v>
      </c>
      <c r="D322" s="5" t="s">
        <v>385</v>
      </c>
      <c r="E322" s="5" t="s">
        <v>384</v>
      </c>
      <c r="F322" s="5" t="s">
        <v>30</v>
      </c>
      <c r="G322" s="5" t="s">
        <v>392</v>
      </c>
      <c r="H322" s="5" t="s">
        <v>34</v>
      </c>
      <c r="I322" s="5" t="s">
        <v>272</v>
      </c>
      <c r="J322" s="5">
        <v>3510</v>
      </c>
      <c r="K322" s="5">
        <v>38.200000000000003</v>
      </c>
      <c r="L322" s="7">
        <f t="shared" si="30"/>
        <v>91.8848167539267</v>
      </c>
      <c r="M322" s="5" t="s">
        <v>9</v>
      </c>
      <c r="N322" s="5">
        <v>4</v>
      </c>
      <c r="O322" s="6">
        <f t="shared" si="31"/>
        <v>18.52143538759902</v>
      </c>
      <c r="P322" s="6">
        <f t="shared" si="32"/>
        <v>1.9262292803102978</v>
      </c>
      <c r="Q322" s="10">
        <f t="shared" si="33"/>
        <v>4.0129776673131209E-2</v>
      </c>
      <c r="R322" s="10">
        <f t="shared" si="34"/>
        <v>0.14195578806050616</v>
      </c>
      <c r="S322" s="10">
        <f t="shared" si="35"/>
        <v>0.18208556473363735</v>
      </c>
    </row>
    <row r="323" spans="1:19" x14ac:dyDescent="0.25">
      <c r="A323" s="5" t="s">
        <v>22</v>
      </c>
      <c r="B323" s="5" t="s">
        <v>26</v>
      </c>
      <c r="C323" s="5" t="s">
        <v>27</v>
      </c>
      <c r="D323" s="5" t="s">
        <v>385</v>
      </c>
      <c r="E323" s="5" t="s">
        <v>384</v>
      </c>
      <c r="F323" s="5" t="s">
        <v>30</v>
      </c>
      <c r="G323" s="5" t="s">
        <v>392</v>
      </c>
      <c r="H323" s="5" t="s">
        <v>34</v>
      </c>
      <c r="I323" s="5" t="s">
        <v>21</v>
      </c>
      <c r="J323" s="5">
        <v>1000</v>
      </c>
      <c r="K323" s="5">
        <v>20</v>
      </c>
      <c r="L323" s="7">
        <f t="shared" si="30"/>
        <v>50</v>
      </c>
      <c r="M323" s="5" t="s">
        <v>10</v>
      </c>
      <c r="N323" s="5">
        <v>4</v>
      </c>
      <c r="O323" s="6">
        <f t="shared" si="31"/>
        <v>1.5625</v>
      </c>
      <c r="P323" s="6">
        <f t="shared" si="32"/>
        <v>0.16250000000000001</v>
      </c>
      <c r="Q323" s="10">
        <f t="shared" si="33"/>
        <v>3.3854166666666668E-3</v>
      </c>
      <c r="R323" s="10">
        <f t="shared" si="34"/>
        <v>2.2220925526404162E-2</v>
      </c>
      <c r="S323" s="10">
        <f t="shared" si="35"/>
        <v>2.5606342193070827E-2</v>
      </c>
    </row>
    <row r="324" spans="1:19" x14ac:dyDescent="0.25">
      <c r="A324" s="5" t="s">
        <v>22</v>
      </c>
      <c r="B324" s="5" t="s">
        <v>63</v>
      </c>
      <c r="C324" s="5" t="s">
        <v>27</v>
      </c>
      <c r="D324" s="5" t="s">
        <v>385</v>
      </c>
      <c r="E324" s="5" t="s">
        <v>384</v>
      </c>
      <c r="F324" s="5" t="s">
        <v>30</v>
      </c>
      <c r="G324" s="5" t="s">
        <v>392</v>
      </c>
      <c r="H324" s="5" t="s">
        <v>34</v>
      </c>
      <c r="I324" s="5" t="s">
        <v>21</v>
      </c>
      <c r="J324" s="5">
        <v>1050</v>
      </c>
      <c r="K324" s="5">
        <v>23</v>
      </c>
      <c r="L324" s="7">
        <f t="shared" si="30"/>
        <v>45.652173913043477</v>
      </c>
      <c r="M324" s="5" t="s">
        <v>10</v>
      </c>
      <c r="N324" s="5">
        <v>4</v>
      </c>
      <c r="O324" s="6">
        <f t="shared" si="31"/>
        <v>1.3677043950850662</v>
      </c>
      <c r="P324" s="6">
        <f t="shared" si="32"/>
        <v>0.14224125708884686</v>
      </c>
      <c r="Q324" s="10">
        <f t="shared" si="33"/>
        <v>2.9633595226843099E-3</v>
      </c>
      <c r="R324" s="10">
        <f t="shared" si="34"/>
        <v>2.0109038528318947E-2</v>
      </c>
      <c r="S324" s="10">
        <f t="shared" si="35"/>
        <v>2.3072398051003258E-2</v>
      </c>
    </row>
    <row r="325" spans="1:19" x14ac:dyDescent="0.25">
      <c r="A325" s="5" t="s">
        <v>8</v>
      </c>
      <c r="B325" s="5" t="s">
        <v>226</v>
      </c>
      <c r="C325" s="5" t="s">
        <v>27</v>
      </c>
      <c r="D325" s="5" t="s">
        <v>385</v>
      </c>
      <c r="E325" s="5" t="s">
        <v>384</v>
      </c>
      <c r="F325" s="5" t="s">
        <v>30</v>
      </c>
      <c r="G325" s="5" t="s">
        <v>392</v>
      </c>
      <c r="H325" s="5" t="s">
        <v>34</v>
      </c>
      <c r="I325" s="5" t="s">
        <v>21</v>
      </c>
      <c r="J325" s="5">
        <v>1429</v>
      </c>
      <c r="K325" s="5">
        <v>23.9</v>
      </c>
      <c r="L325" s="7">
        <f t="shared" si="30"/>
        <v>59.7907949790795</v>
      </c>
      <c r="M325" s="5" t="s">
        <v>10</v>
      </c>
      <c r="N325" s="5">
        <v>4</v>
      </c>
      <c r="O325" s="6">
        <f t="shared" si="31"/>
        <v>3.1928675410532033</v>
      </c>
      <c r="P325" s="6">
        <f t="shared" si="32"/>
        <v>0.33205822426953308</v>
      </c>
      <c r="Q325" s="10">
        <f t="shared" si="33"/>
        <v>6.9178796722819402E-3</v>
      </c>
      <c r="R325" s="10">
        <f t="shared" si="34"/>
        <v>3.7978062134013092E-2</v>
      </c>
      <c r="S325" s="10">
        <f t="shared" si="35"/>
        <v>4.4895941806295032E-2</v>
      </c>
    </row>
    <row r="326" spans="1:19" x14ac:dyDescent="0.25">
      <c r="A326" s="5" t="s">
        <v>22</v>
      </c>
      <c r="B326" s="5" t="s">
        <v>63</v>
      </c>
      <c r="C326" s="5" t="s">
        <v>27</v>
      </c>
      <c r="D326" s="5" t="s">
        <v>385</v>
      </c>
      <c r="E326" s="5" t="s">
        <v>384</v>
      </c>
      <c r="F326" s="5" t="s">
        <v>30</v>
      </c>
      <c r="G326" s="5" t="s">
        <v>392</v>
      </c>
      <c r="H326" s="5" t="s">
        <v>34</v>
      </c>
      <c r="I326" s="5" t="s">
        <v>142</v>
      </c>
      <c r="J326" s="5">
        <v>1350</v>
      </c>
      <c r="K326" s="5">
        <v>25</v>
      </c>
      <c r="L326" s="7">
        <f t="shared" si="30"/>
        <v>54</v>
      </c>
      <c r="M326" s="5" t="s">
        <v>10</v>
      </c>
      <c r="N326" s="5">
        <v>4</v>
      </c>
      <c r="O326" s="6">
        <f t="shared" si="31"/>
        <v>2.460375</v>
      </c>
      <c r="P326" s="6">
        <f t="shared" si="32"/>
        <v>0.25587900000000002</v>
      </c>
      <c r="Q326" s="10">
        <f t="shared" si="33"/>
        <v>5.3308124999999996E-3</v>
      </c>
      <c r="R326" s="10">
        <f t="shared" si="34"/>
        <v>3.1235474191314793E-2</v>
      </c>
      <c r="S326" s="10">
        <f t="shared" si="35"/>
        <v>3.6566286691314794E-2</v>
      </c>
    </row>
    <row r="327" spans="1:19" x14ac:dyDescent="0.25">
      <c r="A327" s="5" t="s">
        <v>8</v>
      </c>
      <c r="B327" s="5" t="s">
        <v>217</v>
      </c>
      <c r="C327" s="5" t="s">
        <v>27</v>
      </c>
      <c r="D327" s="5" t="s">
        <v>385</v>
      </c>
      <c r="E327" s="5" t="s">
        <v>384</v>
      </c>
      <c r="F327" s="5" t="s">
        <v>30</v>
      </c>
      <c r="G327" s="5" t="s">
        <v>392</v>
      </c>
      <c r="H327" s="5" t="s">
        <v>34</v>
      </c>
      <c r="I327" s="5" t="s">
        <v>142</v>
      </c>
      <c r="J327" s="5">
        <v>1300</v>
      </c>
      <c r="K327" s="5">
        <v>24.8</v>
      </c>
      <c r="L327" s="7">
        <f t="shared" si="30"/>
        <v>52.419354838709673</v>
      </c>
      <c r="M327" s="5" t="s">
        <v>10</v>
      </c>
      <c r="N327" s="5">
        <v>4</v>
      </c>
      <c r="O327" s="6">
        <f t="shared" si="31"/>
        <v>2.2325783688865761</v>
      </c>
      <c r="P327" s="6">
        <f t="shared" si="32"/>
        <v>0.2321881503642039</v>
      </c>
      <c r="Q327" s="10">
        <f t="shared" si="33"/>
        <v>4.8372531325875812E-3</v>
      </c>
      <c r="R327" s="10">
        <f t="shared" si="34"/>
        <v>2.9040370897396122E-2</v>
      </c>
      <c r="S327" s="10">
        <f t="shared" si="35"/>
        <v>3.3877624029983705E-2</v>
      </c>
    </row>
    <row r="328" spans="1:19" x14ac:dyDescent="0.25">
      <c r="A328" s="5" t="s">
        <v>8</v>
      </c>
      <c r="B328" s="5" t="s">
        <v>316</v>
      </c>
      <c r="C328" s="5" t="s">
        <v>27</v>
      </c>
      <c r="D328" s="5" t="s">
        <v>385</v>
      </c>
      <c r="E328" s="5" t="s">
        <v>384</v>
      </c>
      <c r="F328" s="5" t="s">
        <v>30</v>
      </c>
      <c r="G328" s="5" t="s">
        <v>392</v>
      </c>
      <c r="H328" s="5" t="s">
        <v>34</v>
      </c>
      <c r="I328" s="5" t="s">
        <v>318</v>
      </c>
      <c r="J328" s="5">
        <v>1980</v>
      </c>
      <c r="K328" s="5">
        <v>26</v>
      </c>
      <c r="L328" s="7">
        <f t="shared" si="30"/>
        <v>76.15384615384616</v>
      </c>
      <c r="M328" s="5" t="s">
        <v>10</v>
      </c>
      <c r="N328" s="5">
        <v>4</v>
      </c>
      <c r="O328" s="6">
        <f t="shared" si="31"/>
        <v>7.1767677514792911</v>
      </c>
      <c r="P328" s="6">
        <f t="shared" si="32"/>
        <v>0.74638384615384623</v>
      </c>
      <c r="Q328" s="10">
        <f t="shared" si="33"/>
        <v>1.5549663461538464E-2</v>
      </c>
      <c r="R328" s="10">
        <f t="shared" si="34"/>
        <v>6.9717819153043717E-2</v>
      </c>
      <c r="S328" s="10">
        <f t="shared" si="35"/>
        <v>8.5267482614582182E-2</v>
      </c>
    </row>
    <row r="329" spans="1:19" x14ac:dyDescent="0.25">
      <c r="A329" s="5" t="s">
        <v>8</v>
      </c>
      <c r="B329" s="5" t="s">
        <v>357</v>
      </c>
      <c r="C329" s="5" t="s">
        <v>27</v>
      </c>
      <c r="D329" s="5" t="s">
        <v>385</v>
      </c>
      <c r="E329" s="5" t="s">
        <v>384</v>
      </c>
      <c r="F329" s="5" t="s">
        <v>30</v>
      </c>
      <c r="G329" s="5" t="s">
        <v>392</v>
      </c>
      <c r="H329" s="5" t="s">
        <v>34</v>
      </c>
      <c r="I329" s="5" t="s">
        <v>318</v>
      </c>
      <c r="J329" s="5">
        <v>1952</v>
      </c>
      <c r="K329" s="5">
        <v>28.2</v>
      </c>
      <c r="L329" s="7">
        <f t="shared" si="30"/>
        <v>69.219858156028366</v>
      </c>
      <c r="M329" s="5" t="s">
        <v>10</v>
      </c>
      <c r="N329" s="5">
        <v>4</v>
      </c>
      <c r="O329" s="6">
        <f t="shared" si="31"/>
        <v>5.8454942910316374</v>
      </c>
      <c r="P329" s="6">
        <f t="shared" si="32"/>
        <v>0.60793140626729025</v>
      </c>
      <c r="Q329" s="10">
        <f t="shared" si="33"/>
        <v>1.2665237630568546E-2</v>
      </c>
      <c r="R329" s="10">
        <f t="shared" si="34"/>
        <v>5.9774101244652454E-2</v>
      </c>
      <c r="S329" s="10">
        <f t="shared" si="35"/>
        <v>7.2439338875220999E-2</v>
      </c>
    </row>
    <row r="330" spans="1:19" x14ac:dyDescent="0.25">
      <c r="A330" s="5" t="s">
        <v>8</v>
      </c>
      <c r="B330" s="5" t="s">
        <v>357</v>
      </c>
      <c r="C330" s="5" t="s">
        <v>27</v>
      </c>
      <c r="D330" s="5" t="s">
        <v>385</v>
      </c>
      <c r="E330" s="5" t="s">
        <v>384</v>
      </c>
      <c r="F330" s="5" t="s">
        <v>30</v>
      </c>
      <c r="G330" s="5" t="s">
        <v>392</v>
      </c>
      <c r="H330" s="5" t="s">
        <v>34</v>
      </c>
      <c r="I330" s="5" t="s">
        <v>318</v>
      </c>
      <c r="J330" s="5">
        <v>1800</v>
      </c>
      <c r="K330" s="5">
        <v>32</v>
      </c>
      <c r="L330" s="7">
        <f t="shared" si="30"/>
        <v>56.25</v>
      </c>
      <c r="M330" s="5" t="s">
        <v>9</v>
      </c>
      <c r="N330" s="5">
        <v>4</v>
      </c>
      <c r="O330" s="6">
        <f t="shared" si="31"/>
        <v>3.5595703125</v>
      </c>
      <c r="P330" s="6">
        <f t="shared" si="32"/>
        <v>0.37019531249999998</v>
      </c>
      <c r="Q330" s="10">
        <f t="shared" si="33"/>
        <v>7.71240234375E-3</v>
      </c>
      <c r="R330" s="10">
        <f t="shared" si="34"/>
        <v>4.1204562411128992E-2</v>
      </c>
      <c r="S330" s="10">
        <f t="shared" si="35"/>
        <v>4.8916964754878993E-2</v>
      </c>
    </row>
    <row r="331" spans="1:19" x14ac:dyDescent="0.25">
      <c r="A331" s="5" t="s">
        <v>22</v>
      </c>
      <c r="B331" s="5" t="s">
        <v>26</v>
      </c>
      <c r="C331" s="5" t="s">
        <v>27</v>
      </c>
      <c r="D331" s="5" t="s">
        <v>385</v>
      </c>
      <c r="E331" s="5" t="s">
        <v>384</v>
      </c>
      <c r="F331" s="5" t="s">
        <v>30</v>
      </c>
      <c r="G331" s="5" t="s">
        <v>392</v>
      </c>
      <c r="H331" s="5" t="s">
        <v>34</v>
      </c>
      <c r="I331" s="5" t="s">
        <v>35</v>
      </c>
      <c r="J331" s="5">
        <v>2750</v>
      </c>
      <c r="K331" s="5">
        <v>29</v>
      </c>
      <c r="L331" s="7">
        <f t="shared" si="30"/>
        <v>94.827586206896555</v>
      </c>
      <c r="M331" s="5" t="s">
        <v>10</v>
      </c>
      <c r="N331" s="5">
        <v>4</v>
      </c>
      <c r="O331" s="6">
        <f t="shared" si="31"/>
        <v>15.455465963139122</v>
      </c>
      <c r="P331" s="6">
        <f t="shared" si="32"/>
        <v>1.6073684601664686</v>
      </c>
      <c r="Q331" s="10">
        <f t="shared" si="33"/>
        <v>3.3486842920134763E-2</v>
      </c>
      <c r="R331" s="10">
        <f t="shared" si="34"/>
        <v>0.12393920372417333</v>
      </c>
      <c r="S331" s="10">
        <f t="shared" si="35"/>
        <v>0.15742604664430809</v>
      </c>
    </row>
    <row r="332" spans="1:19" x14ac:dyDescent="0.25">
      <c r="A332" s="5" t="s">
        <v>22</v>
      </c>
      <c r="B332" s="5" t="s">
        <v>26</v>
      </c>
      <c r="C332" s="5" t="s">
        <v>27</v>
      </c>
      <c r="D332" s="5" t="s">
        <v>385</v>
      </c>
      <c r="E332" s="5" t="s">
        <v>384</v>
      </c>
      <c r="F332" s="5" t="s">
        <v>30</v>
      </c>
      <c r="G332" s="5" t="s">
        <v>392</v>
      </c>
      <c r="H332" s="5" t="s">
        <v>34</v>
      </c>
      <c r="I332" s="5" t="s">
        <v>35</v>
      </c>
      <c r="J332" s="5">
        <v>2500</v>
      </c>
      <c r="K332" s="5">
        <v>29.5</v>
      </c>
      <c r="L332" s="7">
        <f t="shared" si="30"/>
        <v>84.745762711864401</v>
      </c>
      <c r="M332" s="5" t="s">
        <v>9</v>
      </c>
      <c r="N332" s="5">
        <v>4</v>
      </c>
      <c r="O332" s="6">
        <f t="shared" si="31"/>
        <v>11.221631715024417</v>
      </c>
      <c r="P332" s="6">
        <f t="shared" si="32"/>
        <v>1.1670496983625394</v>
      </c>
      <c r="Q332" s="10">
        <f t="shared" si="33"/>
        <v>2.4313535382552903E-2</v>
      </c>
      <c r="R332" s="10">
        <f t="shared" si="34"/>
        <v>9.7485300079983322E-2</v>
      </c>
      <c r="S332" s="10">
        <f t="shared" si="35"/>
        <v>0.12179883546253623</v>
      </c>
    </row>
    <row r="333" spans="1:19" x14ac:dyDescent="0.25">
      <c r="A333" s="5" t="s">
        <v>8</v>
      </c>
      <c r="B333" s="5" t="s">
        <v>366</v>
      </c>
      <c r="C333" s="5" t="s">
        <v>27</v>
      </c>
      <c r="D333" s="5" t="s">
        <v>385</v>
      </c>
      <c r="E333" s="5" t="s">
        <v>384</v>
      </c>
      <c r="F333" s="5" t="s">
        <v>30</v>
      </c>
      <c r="G333" s="5" t="s">
        <v>392</v>
      </c>
      <c r="H333" s="5" t="s">
        <v>232</v>
      </c>
      <c r="I333" s="5" t="s">
        <v>367</v>
      </c>
      <c r="J333" s="5">
        <v>1950</v>
      </c>
      <c r="K333" s="5">
        <v>26.5</v>
      </c>
      <c r="L333" s="7">
        <f t="shared" si="30"/>
        <v>73.584905660377359</v>
      </c>
      <c r="M333" s="5" t="s">
        <v>10</v>
      </c>
      <c r="N333" s="5">
        <v>4</v>
      </c>
      <c r="O333" s="6">
        <f t="shared" si="31"/>
        <v>6.5992123531505875</v>
      </c>
      <c r="P333" s="6">
        <f t="shared" si="32"/>
        <v>0.68631808472766109</v>
      </c>
      <c r="Q333" s="10">
        <f t="shared" si="33"/>
        <v>1.4298293431826273E-2</v>
      </c>
      <c r="R333" s="10">
        <f t="shared" si="34"/>
        <v>6.5466059667993612E-2</v>
      </c>
      <c r="S333" s="10">
        <f t="shared" si="35"/>
        <v>7.9764353099819885E-2</v>
      </c>
    </row>
    <row r="334" spans="1:19" x14ac:dyDescent="0.25">
      <c r="A334" s="5" t="s">
        <v>8</v>
      </c>
      <c r="B334" s="5" t="s">
        <v>366</v>
      </c>
      <c r="C334" s="5" t="s">
        <v>27</v>
      </c>
      <c r="D334" s="5" t="s">
        <v>385</v>
      </c>
      <c r="E334" s="5" t="s">
        <v>384</v>
      </c>
      <c r="F334" s="5" t="s">
        <v>30</v>
      </c>
      <c r="G334" s="5" t="s">
        <v>392</v>
      </c>
      <c r="H334" s="5" t="s">
        <v>232</v>
      </c>
      <c r="I334" s="5" t="s">
        <v>367</v>
      </c>
      <c r="J334" s="5">
        <v>2530</v>
      </c>
      <c r="K334" s="5">
        <v>31.5</v>
      </c>
      <c r="L334" s="7">
        <f t="shared" si="30"/>
        <v>80.317460317460316</v>
      </c>
      <c r="M334" s="5" t="s">
        <v>9</v>
      </c>
      <c r="N334" s="5">
        <v>4</v>
      </c>
      <c r="O334" s="6">
        <f t="shared" si="31"/>
        <v>10.200476820357773</v>
      </c>
      <c r="P334" s="6">
        <f t="shared" si="32"/>
        <v>1.0608495893172085</v>
      </c>
      <c r="Q334" s="10">
        <f t="shared" si="33"/>
        <v>2.2101033110775173E-2</v>
      </c>
      <c r="R334" s="10">
        <f t="shared" si="34"/>
        <v>9.07533111467419E-2</v>
      </c>
      <c r="S334" s="10">
        <f t="shared" si="35"/>
        <v>0.11285434425751707</v>
      </c>
    </row>
    <row r="335" spans="1:19" x14ac:dyDescent="0.25">
      <c r="A335" s="5" t="s">
        <v>8</v>
      </c>
      <c r="B335" s="5" t="s">
        <v>346</v>
      </c>
      <c r="C335" s="5" t="s">
        <v>27</v>
      </c>
      <c r="D335" s="5" t="s">
        <v>385</v>
      </c>
      <c r="E335" s="5" t="s">
        <v>384</v>
      </c>
      <c r="F335" s="5" t="s">
        <v>30</v>
      </c>
      <c r="G335" s="5" t="s">
        <v>392</v>
      </c>
      <c r="H335" s="5" t="s">
        <v>232</v>
      </c>
      <c r="I335" s="5" t="s">
        <v>345</v>
      </c>
      <c r="J335" s="5">
        <v>3230</v>
      </c>
      <c r="K335" s="5">
        <v>33</v>
      </c>
      <c r="L335" s="7">
        <f t="shared" si="30"/>
        <v>97.878787878787875</v>
      </c>
      <c r="M335" s="5" t="s">
        <v>9</v>
      </c>
      <c r="N335" s="5">
        <v>4</v>
      </c>
      <c r="O335" s="6">
        <f t="shared" si="31"/>
        <v>19.340144054178143</v>
      </c>
      <c r="P335" s="6">
        <f t="shared" si="32"/>
        <v>2.0113749816345265</v>
      </c>
      <c r="Q335" s="10">
        <f t="shared" si="33"/>
        <v>4.1903645450719312E-2</v>
      </c>
      <c r="R335" s="10">
        <f t="shared" si="34"/>
        <v>0.14663643809535123</v>
      </c>
      <c r="S335" s="10">
        <f t="shared" si="35"/>
        <v>0.18854008354607055</v>
      </c>
    </row>
    <row r="336" spans="1:19" x14ac:dyDescent="0.25">
      <c r="A336" s="5" t="s">
        <v>8</v>
      </c>
      <c r="B336" s="5" t="s">
        <v>346</v>
      </c>
      <c r="C336" s="5" t="s">
        <v>27</v>
      </c>
      <c r="D336" s="5" t="s">
        <v>385</v>
      </c>
      <c r="E336" s="5" t="s">
        <v>384</v>
      </c>
      <c r="F336" s="5" t="s">
        <v>30</v>
      </c>
      <c r="G336" s="5" t="s">
        <v>392</v>
      </c>
      <c r="H336" s="5" t="s">
        <v>232</v>
      </c>
      <c r="I336" s="5" t="s">
        <v>345</v>
      </c>
      <c r="J336" s="5">
        <v>2950</v>
      </c>
      <c r="K336" s="5">
        <v>27.5</v>
      </c>
      <c r="L336" s="7">
        <f t="shared" si="30"/>
        <v>107.27272727272727</v>
      </c>
      <c r="M336" s="5" t="s">
        <v>9</v>
      </c>
      <c r="N336" s="5">
        <v>4</v>
      </c>
      <c r="O336" s="6">
        <f t="shared" si="31"/>
        <v>21.216838842975204</v>
      </c>
      <c r="P336" s="6">
        <f t="shared" si="32"/>
        <v>2.2065512396694213</v>
      </c>
      <c r="Q336" s="10">
        <f t="shared" si="33"/>
        <v>4.5969817493112936E-2</v>
      </c>
      <c r="R336" s="10">
        <f t="shared" si="34"/>
        <v>0.15718374523111669</v>
      </c>
      <c r="S336" s="10">
        <f t="shared" si="35"/>
        <v>0.20315356272422963</v>
      </c>
    </row>
    <row r="337" spans="1:19" x14ac:dyDescent="0.25">
      <c r="A337" s="5" t="s">
        <v>8</v>
      </c>
      <c r="B337" s="5" t="s">
        <v>344</v>
      </c>
      <c r="C337" s="5" t="s">
        <v>27</v>
      </c>
      <c r="D337" s="5" t="s">
        <v>385</v>
      </c>
      <c r="E337" s="5" t="s">
        <v>384</v>
      </c>
      <c r="F337" s="5" t="s">
        <v>30</v>
      </c>
      <c r="G337" s="5" t="s">
        <v>392</v>
      </c>
      <c r="H337" s="5" t="s">
        <v>232</v>
      </c>
      <c r="I337" s="5" t="s">
        <v>345</v>
      </c>
      <c r="J337" s="5">
        <v>3320</v>
      </c>
      <c r="K337" s="5">
        <v>30.8</v>
      </c>
      <c r="L337" s="7">
        <f t="shared" si="30"/>
        <v>107.79220779220779</v>
      </c>
      <c r="M337" s="5" t="s">
        <v>9</v>
      </c>
      <c r="N337" s="5">
        <v>4</v>
      </c>
      <c r="O337" s="6">
        <f t="shared" si="31"/>
        <v>24.109757125990889</v>
      </c>
      <c r="P337" s="6">
        <f t="shared" si="32"/>
        <v>2.5074147411030521</v>
      </c>
      <c r="Q337" s="10">
        <f t="shared" si="33"/>
        <v>5.2237807106313594E-2</v>
      </c>
      <c r="R337" s="10">
        <f t="shared" si="34"/>
        <v>0.17299826631519027</v>
      </c>
      <c r="S337" s="10">
        <f t="shared" si="35"/>
        <v>0.22523607342150387</v>
      </c>
    </row>
    <row r="338" spans="1:19" x14ac:dyDescent="0.25">
      <c r="A338" s="5" t="s">
        <v>8</v>
      </c>
      <c r="B338" s="5" t="s">
        <v>231</v>
      </c>
      <c r="C338" s="5" t="s">
        <v>27</v>
      </c>
      <c r="D338" s="5" t="s">
        <v>385</v>
      </c>
      <c r="E338" s="5" t="s">
        <v>384</v>
      </c>
      <c r="F338" s="5" t="s">
        <v>30</v>
      </c>
      <c r="G338" s="5" t="s">
        <v>392</v>
      </c>
      <c r="H338" s="5" t="s">
        <v>232</v>
      </c>
      <c r="I338" s="5" t="s">
        <v>67</v>
      </c>
      <c r="J338" s="5">
        <v>2400</v>
      </c>
      <c r="K338" s="5">
        <v>28</v>
      </c>
      <c r="L338" s="7">
        <f t="shared" si="30"/>
        <v>85.714285714285708</v>
      </c>
      <c r="M338" s="5" t="s">
        <v>10</v>
      </c>
      <c r="N338" s="5">
        <v>4</v>
      </c>
      <c r="O338" s="6">
        <f t="shared" si="31"/>
        <v>11.020408163265305</v>
      </c>
      <c r="P338" s="6">
        <f t="shared" si="32"/>
        <v>1.1461224489795918</v>
      </c>
      <c r="Q338" s="10">
        <f t="shared" si="33"/>
        <v>2.3877551020408158E-2</v>
      </c>
      <c r="R338" s="10">
        <f t="shared" si="34"/>
        <v>9.6171277298758448E-2</v>
      </c>
      <c r="S338" s="10">
        <f t="shared" si="35"/>
        <v>0.12004882831916661</v>
      </c>
    </row>
    <row r="339" spans="1:19" x14ac:dyDescent="0.25">
      <c r="A339" s="5" t="s">
        <v>8</v>
      </c>
      <c r="B339" s="5" t="s">
        <v>231</v>
      </c>
      <c r="C339" s="5" t="s">
        <v>27</v>
      </c>
      <c r="D339" s="5" t="s">
        <v>385</v>
      </c>
      <c r="E339" s="5" t="s">
        <v>384</v>
      </c>
      <c r="F339" s="5" t="s">
        <v>30</v>
      </c>
      <c r="G339" s="5" t="s">
        <v>392</v>
      </c>
      <c r="H339" s="5" t="s">
        <v>232</v>
      </c>
      <c r="I339" s="5" t="s">
        <v>67</v>
      </c>
      <c r="J339" s="5">
        <v>2290</v>
      </c>
      <c r="K339" s="5">
        <v>29</v>
      </c>
      <c r="L339" s="7">
        <f t="shared" si="30"/>
        <v>78.965517241379317</v>
      </c>
      <c r="M339" s="5" t="s">
        <v>9</v>
      </c>
      <c r="N339" s="5">
        <v>4</v>
      </c>
      <c r="O339" s="6">
        <f t="shared" si="31"/>
        <v>8.9246351070154581</v>
      </c>
      <c r="P339" s="6">
        <f t="shared" si="32"/>
        <v>0.9281620511296077</v>
      </c>
      <c r="Q339" s="10">
        <f t="shared" si="33"/>
        <v>1.9336709398533491E-2</v>
      </c>
      <c r="R339" s="10">
        <f t="shared" si="34"/>
        <v>8.2099398588030822E-2</v>
      </c>
      <c r="S339" s="10">
        <f t="shared" si="35"/>
        <v>0.10143610798656431</v>
      </c>
    </row>
    <row r="340" spans="1:19" x14ac:dyDescent="0.25">
      <c r="A340" s="5" t="s">
        <v>8</v>
      </c>
      <c r="B340" s="5" t="s">
        <v>366</v>
      </c>
      <c r="C340" s="5" t="s">
        <v>27</v>
      </c>
      <c r="D340" s="5" t="s">
        <v>385</v>
      </c>
      <c r="E340" s="5" t="s">
        <v>384</v>
      </c>
      <c r="F340" s="5" t="s">
        <v>30</v>
      </c>
      <c r="G340" s="5" t="s">
        <v>392</v>
      </c>
      <c r="H340" s="5" t="s">
        <v>232</v>
      </c>
      <c r="I340" s="5" t="s">
        <v>368</v>
      </c>
      <c r="J340" s="5">
        <v>2350</v>
      </c>
      <c r="K340" s="5">
        <v>28.5</v>
      </c>
      <c r="L340" s="7">
        <f t="shared" si="30"/>
        <v>82.456140350877192</v>
      </c>
      <c r="M340" s="5" t="s">
        <v>10</v>
      </c>
      <c r="N340" s="5">
        <v>4</v>
      </c>
      <c r="O340" s="6">
        <f t="shared" si="31"/>
        <v>9.9860534010464761</v>
      </c>
      <c r="P340" s="6">
        <f t="shared" si="32"/>
        <v>1.0385495537088334</v>
      </c>
      <c r="Q340" s="10">
        <f t="shared" si="33"/>
        <v>2.1636449035600695E-2</v>
      </c>
      <c r="R340" s="10">
        <f t="shared" si="34"/>
        <v>8.9318729610296993E-2</v>
      </c>
      <c r="S340" s="10">
        <f t="shared" si="35"/>
        <v>0.11095517864589768</v>
      </c>
    </row>
    <row r="341" spans="1:19" x14ac:dyDescent="0.25">
      <c r="A341" s="5" t="s">
        <v>8</v>
      </c>
      <c r="B341" s="5" t="s">
        <v>366</v>
      </c>
      <c r="C341" s="5" t="s">
        <v>27</v>
      </c>
      <c r="D341" s="5" t="s">
        <v>385</v>
      </c>
      <c r="E341" s="5" t="s">
        <v>384</v>
      </c>
      <c r="F341" s="5" t="s">
        <v>30</v>
      </c>
      <c r="G341" s="5" t="s">
        <v>392</v>
      </c>
      <c r="H341" s="5" t="s">
        <v>232</v>
      </c>
      <c r="I341" s="5" t="s">
        <v>368</v>
      </c>
      <c r="J341" s="5">
        <v>2450</v>
      </c>
      <c r="K341" s="5">
        <v>30.5</v>
      </c>
      <c r="L341" s="7">
        <f t="shared" si="30"/>
        <v>80.327868852459019</v>
      </c>
      <c r="M341" s="5" t="s">
        <v>9</v>
      </c>
      <c r="N341" s="5">
        <v>4</v>
      </c>
      <c r="O341" s="6">
        <f t="shared" si="31"/>
        <v>9.880492475141093</v>
      </c>
      <c r="P341" s="6">
        <f t="shared" si="32"/>
        <v>1.0275712174146734</v>
      </c>
      <c r="Q341" s="10">
        <f t="shared" si="33"/>
        <v>2.1407733696139034E-2</v>
      </c>
      <c r="R341" s="10">
        <f t="shared" si="34"/>
        <v>8.8609659587763734E-2</v>
      </c>
      <c r="S341" s="10">
        <f t="shared" si="35"/>
        <v>0.11001739328390277</v>
      </c>
    </row>
    <row r="342" spans="1:19" x14ac:dyDescent="0.25">
      <c r="A342" s="5" t="s">
        <v>8</v>
      </c>
      <c r="B342" s="5" t="s">
        <v>366</v>
      </c>
      <c r="C342" s="5" t="s">
        <v>27</v>
      </c>
      <c r="D342" s="5" t="s">
        <v>385</v>
      </c>
      <c r="E342" s="5" t="s">
        <v>384</v>
      </c>
      <c r="F342" s="5" t="s">
        <v>30</v>
      </c>
      <c r="G342" s="5" t="s">
        <v>392</v>
      </c>
      <c r="H342" s="5" t="s">
        <v>232</v>
      </c>
      <c r="I342" s="5" t="s">
        <v>368</v>
      </c>
      <c r="J342" s="5">
        <v>2726</v>
      </c>
      <c r="K342" s="5">
        <v>30.5</v>
      </c>
      <c r="L342" s="7">
        <f t="shared" si="30"/>
        <v>89.377049180327873</v>
      </c>
      <c r="M342" s="5" t="s">
        <v>10</v>
      </c>
      <c r="N342" s="5">
        <v>4</v>
      </c>
      <c r="O342" s="6">
        <f t="shared" si="31"/>
        <v>13.609992727761355</v>
      </c>
      <c r="P342" s="6">
        <f t="shared" si="32"/>
        <v>1.4154392436871808</v>
      </c>
      <c r="Q342" s="10">
        <f t="shared" si="33"/>
        <v>2.9488317576816272E-2</v>
      </c>
      <c r="R342" s="10">
        <f t="shared" si="34"/>
        <v>0.11266539513595818</v>
      </c>
      <c r="S342" s="10">
        <f t="shared" si="35"/>
        <v>0.14215371271277444</v>
      </c>
    </row>
    <row r="343" spans="1:19" x14ac:dyDescent="0.25">
      <c r="A343" s="5" t="s">
        <v>8</v>
      </c>
      <c r="B343" s="5" t="s">
        <v>366</v>
      </c>
      <c r="C343" s="5" t="s">
        <v>27</v>
      </c>
      <c r="D343" s="5" t="s">
        <v>385</v>
      </c>
      <c r="E343" s="5" t="s">
        <v>384</v>
      </c>
      <c r="F343" s="5" t="s">
        <v>30</v>
      </c>
      <c r="G343" s="5" t="s">
        <v>392</v>
      </c>
      <c r="H343" s="5" t="s">
        <v>232</v>
      </c>
      <c r="I343" s="5" t="s">
        <v>368</v>
      </c>
      <c r="J343" s="5">
        <v>2753</v>
      </c>
      <c r="K343" s="5">
        <v>32.799999999999997</v>
      </c>
      <c r="L343" s="7">
        <f t="shared" si="30"/>
        <v>83.932926829268297</v>
      </c>
      <c r="M343" s="5" t="s">
        <v>9</v>
      </c>
      <c r="N343" s="5">
        <v>4</v>
      </c>
      <c r="O343" s="6">
        <f t="shared" si="31"/>
        <v>12.121349234667795</v>
      </c>
      <c r="P343" s="6">
        <f t="shared" si="32"/>
        <v>1.2606203204054509</v>
      </c>
      <c r="Q343" s="10">
        <f t="shared" si="33"/>
        <v>2.6262923341780223E-2</v>
      </c>
      <c r="R343" s="10">
        <f t="shared" si="34"/>
        <v>0.10329049231083934</v>
      </c>
      <c r="S343" s="10">
        <f t="shared" si="35"/>
        <v>0.12955341565261957</v>
      </c>
    </row>
    <row r="344" spans="1:19" x14ac:dyDescent="0.25">
      <c r="A344" s="5" t="s">
        <v>8</v>
      </c>
      <c r="B344" s="5" t="s">
        <v>366</v>
      </c>
      <c r="C344" s="5" t="s">
        <v>27</v>
      </c>
      <c r="D344" s="5" t="s">
        <v>385</v>
      </c>
      <c r="E344" s="5" t="s">
        <v>384</v>
      </c>
      <c r="F344" s="5" t="s">
        <v>30</v>
      </c>
      <c r="G344" s="5" t="s">
        <v>392</v>
      </c>
      <c r="H344" s="5" t="s">
        <v>232</v>
      </c>
      <c r="I344" s="5" t="s">
        <v>35</v>
      </c>
      <c r="J344" s="5">
        <v>2900</v>
      </c>
      <c r="K344" s="5">
        <v>33</v>
      </c>
      <c r="L344" s="7">
        <f t="shared" si="30"/>
        <v>87.878787878787875</v>
      </c>
      <c r="M344" s="5" t="s">
        <v>10</v>
      </c>
      <c r="N344" s="5">
        <v>4</v>
      </c>
      <c r="O344" s="6">
        <f t="shared" si="31"/>
        <v>13.997359963269052</v>
      </c>
      <c r="P344" s="6">
        <f t="shared" si="32"/>
        <v>1.4557254361799814</v>
      </c>
      <c r="Q344" s="10">
        <f t="shared" si="33"/>
        <v>3.0327613253749608E-2</v>
      </c>
      <c r="R344" s="10">
        <f t="shared" si="34"/>
        <v>0.11506194811191645</v>
      </c>
      <c r="S344" s="10">
        <f t="shared" si="35"/>
        <v>0.14538956136566605</v>
      </c>
    </row>
    <row r="345" spans="1:19" x14ac:dyDescent="0.25">
      <c r="A345" s="5" t="s">
        <v>8</v>
      </c>
      <c r="B345" s="5" t="s">
        <v>366</v>
      </c>
      <c r="C345" s="5" t="s">
        <v>27</v>
      </c>
      <c r="D345" s="5" t="s">
        <v>385</v>
      </c>
      <c r="E345" s="5" t="s">
        <v>384</v>
      </c>
      <c r="F345" s="5" t="s">
        <v>30</v>
      </c>
      <c r="G345" s="5" t="s">
        <v>392</v>
      </c>
      <c r="H345" s="5" t="s">
        <v>232</v>
      </c>
      <c r="I345" s="5" t="s">
        <v>35</v>
      </c>
      <c r="J345" s="5">
        <v>2748</v>
      </c>
      <c r="K345" s="5">
        <v>36.6</v>
      </c>
      <c r="L345" s="7">
        <f t="shared" si="30"/>
        <v>75.081967213114751</v>
      </c>
      <c r="M345" s="5" t="s">
        <v>9</v>
      </c>
      <c r="N345" s="5">
        <v>4</v>
      </c>
      <c r="O345" s="6">
        <f t="shared" si="31"/>
        <v>9.6820658425154509</v>
      </c>
      <c r="P345" s="6">
        <f t="shared" si="32"/>
        <v>1.0069348476216069</v>
      </c>
      <c r="Q345" s="10">
        <f t="shared" si="33"/>
        <v>2.0977809325450143E-2</v>
      </c>
      <c r="R345" s="10">
        <f t="shared" si="34"/>
        <v>8.7271642179623674E-2</v>
      </c>
      <c r="S345" s="10">
        <f t="shared" si="35"/>
        <v>0.10824945150507381</v>
      </c>
    </row>
    <row r="346" spans="1:19" x14ac:dyDescent="0.25">
      <c r="A346" s="5" t="s">
        <v>22</v>
      </c>
      <c r="B346" s="5" t="s">
        <v>63</v>
      </c>
      <c r="C346" s="5" t="s">
        <v>27</v>
      </c>
      <c r="D346" s="5" t="s">
        <v>385</v>
      </c>
      <c r="E346" s="5" t="s">
        <v>384</v>
      </c>
      <c r="F346" s="5" t="s">
        <v>30</v>
      </c>
      <c r="G346" s="5" t="s">
        <v>392</v>
      </c>
      <c r="H346" s="5" t="s">
        <v>66</v>
      </c>
      <c r="I346" s="5" t="s">
        <v>67</v>
      </c>
      <c r="J346" s="5">
        <v>2350</v>
      </c>
      <c r="K346" s="5">
        <v>28</v>
      </c>
      <c r="L346" s="7">
        <f t="shared" si="30"/>
        <v>83.928571428571431</v>
      </c>
      <c r="M346" s="5" t="s">
        <v>10</v>
      </c>
      <c r="N346" s="5">
        <v>4</v>
      </c>
      <c r="O346" s="6">
        <f t="shared" si="31"/>
        <v>10.345882493622449</v>
      </c>
      <c r="P346" s="6">
        <f t="shared" si="32"/>
        <v>1.0759717793367347</v>
      </c>
      <c r="Q346" s="10">
        <f t="shared" si="33"/>
        <v>2.2416078736181972E-2</v>
      </c>
      <c r="R346" s="10">
        <f t="shared" si="34"/>
        <v>9.1721844656989765E-2</v>
      </c>
      <c r="S346" s="10">
        <f t="shared" si="35"/>
        <v>0.11413792339317173</v>
      </c>
    </row>
    <row r="347" spans="1:19" x14ac:dyDescent="0.25">
      <c r="A347" s="5" t="s">
        <v>22</v>
      </c>
      <c r="B347" s="5" t="s">
        <v>63</v>
      </c>
      <c r="C347" s="5" t="s">
        <v>27</v>
      </c>
      <c r="D347" s="5" t="s">
        <v>385</v>
      </c>
      <c r="E347" s="5" t="s">
        <v>384</v>
      </c>
      <c r="F347" s="5" t="s">
        <v>30</v>
      </c>
      <c r="G347" s="5" t="s">
        <v>392</v>
      </c>
      <c r="H347" s="5" t="s">
        <v>66</v>
      </c>
      <c r="I347" s="5" t="s">
        <v>67</v>
      </c>
      <c r="J347" s="5">
        <v>2280</v>
      </c>
      <c r="K347" s="5">
        <v>29</v>
      </c>
      <c r="L347" s="7">
        <f t="shared" si="30"/>
        <v>78.620689655172413</v>
      </c>
      <c r="M347" s="5" t="s">
        <v>9</v>
      </c>
      <c r="N347" s="5">
        <v>4</v>
      </c>
      <c r="O347" s="6">
        <f t="shared" si="31"/>
        <v>8.8082282996432824</v>
      </c>
      <c r="P347" s="6">
        <f t="shared" si="32"/>
        <v>0.91605574316290117</v>
      </c>
      <c r="Q347" s="10">
        <f t="shared" si="33"/>
        <v>1.908449464922711E-2</v>
      </c>
      <c r="R347" s="10">
        <f t="shared" si="34"/>
        <v>8.1294945871818847E-2</v>
      </c>
      <c r="S347" s="10">
        <f t="shared" si="35"/>
        <v>0.10037944052104596</v>
      </c>
    </row>
    <row r="348" spans="1:19" x14ac:dyDescent="0.25">
      <c r="A348" s="5" t="s">
        <v>8</v>
      </c>
      <c r="B348" s="5" t="s">
        <v>241</v>
      </c>
      <c r="C348" s="5" t="s">
        <v>27</v>
      </c>
      <c r="D348" s="5" t="s">
        <v>385</v>
      </c>
      <c r="E348" s="5" t="s">
        <v>384</v>
      </c>
      <c r="F348" s="5" t="s">
        <v>30</v>
      </c>
      <c r="G348" s="5" t="s">
        <v>392</v>
      </c>
      <c r="H348" s="5" t="s">
        <v>40</v>
      </c>
      <c r="I348" s="5" t="s">
        <v>249</v>
      </c>
      <c r="J348" s="5">
        <v>1750</v>
      </c>
      <c r="K348" s="5">
        <v>25</v>
      </c>
      <c r="L348" s="7">
        <f t="shared" si="30"/>
        <v>70</v>
      </c>
      <c r="M348" s="5" t="s">
        <v>10</v>
      </c>
      <c r="N348" s="5">
        <v>4</v>
      </c>
      <c r="O348" s="6">
        <f t="shared" si="31"/>
        <v>5.359375</v>
      </c>
      <c r="P348" s="6">
        <f t="shared" si="32"/>
        <v>0.55737499999999995</v>
      </c>
      <c r="Q348" s="10">
        <f t="shared" si="33"/>
        <v>1.1611979166666666E-2</v>
      </c>
      <c r="R348" s="10">
        <f t="shared" si="34"/>
        <v>5.6005765012085269E-2</v>
      </c>
      <c r="S348" s="10">
        <f t="shared" si="35"/>
        <v>6.7617744178751937E-2</v>
      </c>
    </row>
    <row r="349" spans="1:19" x14ac:dyDescent="0.25">
      <c r="A349" s="5" t="s">
        <v>22</v>
      </c>
      <c r="B349" s="5" t="s">
        <v>26</v>
      </c>
      <c r="C349" s="5" t="s">
        <v>27</v>
      </c>
      <c r="D349" s="5" t="s">
        <v>385</v>
      </c>
      <c r="E349" s="5" t="s">
        <v>384</v>
      </c>
      <c r="F349" s="5" t="s">
        <v>30</v>
      </c>
      <c r="G349" s="5" t="s">
        <v>392</v>
      </c>
      <c r="H349" s="5" t="s">
        <v>40</v>
      </c>
      <c r="I349" s="5" t="s">
        <v>41</v>
      </c>
      <c r="J349" s="5">
        <v>2500</v>
      </c>
      <c r="K349" s="5">
        <v>28</v>
      </c>
      <c r="L349" s="7">
        <f t="shared" si="30"/>
        <v>89.285714285714292</v>
      </c>
      <c r="M349" s="5" t="s">
        <v>10</v>
      </c>
      <c r="N349" s="5">
        <v>4</v>
      </c>
      <c r="O349" s="6">
        <f t="shared" si="31"/>
        <v>12.456154336734695</v>
      </c>
      <c r="P349" s="6">
        <f t="shared" si="32"/>
        <v>1.2954400510204083</v>
      </c>
      <c r="Q349" s="10">
        <f t="shared" si="33"/>
        <v>2.6988334396258504E-2</v>
      </c>
      <c r="R349" s="10">
        <f t="shared" si="34"/>
        <v>0.10542293667898026</v>
      </c>
      <c r="S349" s="10">
        <f t="shared" si="35"/>
        <v>0.13241127107523876</v>
      </c>
    </row>
    <row r="350" spans="1:19" x14ac:dyDescent="0.25">
      <c r="A350" s="5" t="s">
        <v>8</v>
      </c>
      <c r="B350" s="5" t="s">
        <v>241</v>
      </c>
      <c r="C350" s="5" t="s">
        <v>27</v>
      </c>
      <c r="D350" s="5" t="s">
        <v>385</v>
      </c>
      <c r="E350" s="5" t="s">
        <v>384</v>
      </c>
      <c r="F350" s="5" t="s">
        <v>30</v>
      </c>
      <c r="G350" s="5" t="s">
        <v>392</v>
      </c>
      <c r="H350" s="5" t="s">
        <v>40</v>
      </c>
      <c r="I350" s="5" t="s">
        <v>41</v>
      </c>
      <c r="J350" s="5">
        <v>2300</v>
      </c>
      <c r="K350" s="5">
        <v>31</v>
      </c>
      <c r="L350" s="7">
        <f t="shared" si="30"/>
        <v>74.193548387096769</v>
      </c>
      <c r="M350" s="5" t="s">
        <v>10</v>
      </c>
      <c r="N350" s="5">
        <v>4</v>
      </c>
      <c r="O350" s="6">
        <f t="shared" si="31"/>
        <v>7.912981269510925</v>
      </c>
      <c r="P350" s="6">
        <f t="shared" si="32"/>
        <v>0.82295005202913618</v>
      </c>
      <c r="Q350" s="10">
        <f t="shared" si="33"/>
        <v>1.7144792750607003E-2</v>
      </c>
      <c r="R350" s="10">
        <f t="shared" si="34"/>
        <v>7.5015710610391848E-2</v>
      </c>
      <c r="S350" s="10">
        <f t="shared" si="35"/>
        <v>9.2160503360998847E-2</v>
      </c>
    </row>
    <row r="351" spans="1:19" x14ac:dyDescent="0.25">
      <c r="A351" s="5" t="s">
        <v>8</v>
      </c>
      <c r="B351" s="5" t="s">
        <v>313</v>
      </c>
      <c r="C351" s="5" t="s">
        <v>27</v>
      </c>
      <c r="D351" s="5" t="s">
        <v>385</v>
      </c>
      <c r="E351" s="5" t="s">
        <v>384</v>
      </c>
      <c r="F351" s="5" t="s">
        <v>30</v>
      </c>
      <c r="G351" s="5" t="s">
        <v>392</v>
      </c>
      <c r="H351" s="5" t="s">
        <v>40</v>
      </c>
      <c r="I351" s="5" t="s">
        <v>41</v>
      </c>
      <c r="J351" s="5">
        <v>2650</v>
      </c>
      <c r="K351" s="5">
        <v>27.1</v>
      </c>
      <c r="L351" s="7">
        <f t="shared" si="30"/>
        <v>97.785977859778598</v>
      </c>
      <c r="M351" s="5" t="s">
        <v>10</v>
      </c>
      <c r="N351" s="5">
        <v>4</v>
      </c>
      <c r="O351" s="6">
        <f t="shared" si="31"/>
        <v>15.83722392805109</v>
      </c>
      <c r="P351" s="6">
        <f t="shared" si="32"/>
        <v>1.6470712885173131</v>
      </c>
      <c r="Q351" s="10">
        <f t="shared" si="33"/>
        <v>3.431398517744403E-2</v>
      </c>
      <c r="R351" s="10">
        <f t="shared" si="34"/>
        <v>0.1262282081691613</v>
      </c>
      <c r="S351" s="10">
        <f t="shared" si="35"/>
        <v>0.16054219334660533</v>
      </c>
    </row>
    <row r="352" spans="1:19" x14ac:dyDescent="0.25">
      <c r="A352" s="5" t="s">
        <v>8</v>
      </c>
      <c r="B352" s="5" t="s">
        <v>241</v>
      </c>
      <c r="C352" s="5" t="s">
        <v>27</v>
      </c>
      <c r="D352" s="5" t="s">
        <v>385</v>
      </c>
      <c r="E352" s="5" t="s">
        <v>384</v>
      </c>
      <c r="F352" s="5" t="s">
        <v>30</v>
      </c>
      <c r="G352" s="5" t="s">
        <v>392</v>
      </c>
      <c r="H352" s="5" t="s">
        <v>40</v>
      </c>
      <c r="I352" s="5" t="s">
        <v>250</v>
      </c>
      <c r="J352" s="5">
        <v>1710</v>
      </c>
      <c r="K352" s="5">
        <v>25</v>
      </c>
      <c r="L352" s="7">
        <f t="shared" si="30"/>
        <v>68.400000000000006</v>
      </c>
      <c r="M352" s="5" t="s">
        <v>10</v>
      </c>
      <c r="N352" s="5">
        <v>4</v>
      </c>
      <c r="O352" s="6">
        <f t="shared" si="31"/>
        <v>5.0002110000000002</v>
      </c>
      <c r="P352" s="6">
        <f t="shared" si="32"/>
        <v>0.52002194400000012</v>
      </c>
      <c r="Q352" s="10">
        <f t="shared" si="33"/>
        <v>1.0833790500000001E-2</v>
      </c>
      <c r="R352" s="10">
        <f t="shared" si="34"/>
        <v>5.316653690438651E-2</v>
      </c>
      <c r="S352" s="10">
        <f t="shared" si="35"/>
        <v>6.4000327404386506E-2</v>
      </c>
    </row>
    <row r="353" spans="1:19" x14ac:dyDescent="0.25">
      <c r="A353" s="5" t="s">
        <v>8</v>
      </c>
      <c r="B353" s="5" t="s">
        <v>241</v>
      </c>
      <c r="C353" s="5" t="s">
        <v>27</v>
      </c>
      <c r="D353" s="5" t="s">
        <v>385</v>
      </c>
      <c r="E353" s="5" t="s">
        <v>384</v>
      </c>
      <c r="F353" s="5" t="s">
        <v>30</v>
      </c>
      <c r="G353" s="5" t="s">
        <v>392</v>
      </c>
      <c r="H353" s="5" t="s">
        <v>40</v>
      </c>
      <c r="I353" s="5" t="s">
        <v>252</v>
      </c>
      <c r="J353" s="5">
        <v>1670</v>
      </c>
      <c r="K353" s="5">
        <v>28.5</v>
      </c>
      <c r="L353" s="7">
        <f t="shared" si="30"/>
        <v>58.596491228070178</v>
      </c>
      <c r="M353" s="5" t="s">
        <v>10</v>
      </c>
      <c r="N353" s="5">
        <v>4</v>
      </c>
      <c r="O353" s="6">
        <f t="shared" si="31"/>
        <v>3.5837665435518629</v>
      </c>
      <c r="P353" s="6">
        <f t="shared" si="32"/>
        <v>0.37271172052939366</v>
      </c>
      <c r="Q353" s="10">
        <f t="shared" si="33"/>
        <v>7.7648275110290361E-3</v>
      </c>
      <c r="R353" s="10">
        <f t="shared" si="34"/>
        <v>4.1414450883432853E-2</v>
      </c>
      <c r="S353" s="10">
        <f t="shared" si="35"/>
        <v>4.9179278394461887E-2</v>
      </c>
    </row>
    <row r="354" spans="1:19" x14ac:dyDescent="0.25">
      <c r="A354" s="5" t="s">
        <v>8</v>
      </c>
      <c r="B354" s="5" t="s">
        <v>241</v>
      </c>
      <c r="C354" s="5" t="s">
        <v>27</v>
      </c>
      <c r="D354" s="5" t="s">
        <v>385</v>
      </c>
      <c r="E354" s="5" t="s">
        <v>384</v>
      </c>
      <c r="F354" s="5" t="s">
        <v>30</v>
      </c>
      <c r="G354" s="5" t="s">
        <v>392</v>
      </c>
      <c r="H354" s="5" t="s">
        <v>40</v>
      </c>
      <c r="I354" s="5" t="s">
        <v>11</v>
      </c>
      <c r="J354" s="5">
        <v>2375</v>
      </c>
      <c r="K354" s="5">
        <v>27</v>
      </c>
      <c r="L354" s="7">
        <f t="shared" si="30"/>
        <v>87.962962962962962</v>
      </c>
      <c r="M354" s="5" t="s">
        <v>10</v>
      </c>
      <c r="N354" s="5">
        <v>4</v>
      </c>
      <c r="O354" s="6">
        <f t="shared" si="31"/>
        <v>11.485326110253771</v>
      </c>
      <c r="P354" s="6">
        <f t="shared" si="32"/>
        <v>1.1944739154663921</v>
      </c>
      <c r="Q354" s="10">
        <f t="shared" si="33"/>
        <v>2.4884873238883169E-2</v>
      </c>
      <c r="R354" s="10">
        <f t="shared" si="34"/>
        <v>9.9198389756610938E-2</v>
      </c>
      <c r="S354" s="10">
        <f t="shared" si="35"/>
        <v>0.1240832629954941</v>
      </c>
    </row>
    <row r="355" spans="1:19" x14ac:dyDescent="0.25">
      <c r="A355" s="5" t="s">
        <v>8</v>
      </c>
      <c r="B355" s="5" t="s">
        <v>241</v>
      </c>
      <c r="C355" s="5" t="s">
        <v>27</v>
      </c>
      <c r="D355" s="5" t="s">
        <v>385</v>
      </c>
      <c r="E355" s="5" t="s">
        <v>384</v>
      </c>
      <c r="F355" s="5" t="s">
        <v>30</v>
      </c>
      <c r="G355" s="5" t="s">
        <v>392</v>
      </c>
      <c r="H355" s="5" t="s">
        <v>40</v>
      </c>
      <c r="I355" s="5" t="s">
        <v>260</v>
      </c>
      <c r="J355" s="5">
        <v>2250</v>
      </c>
      <c r="K355" s="5">
        <v>26.2</v>
      </c>
      <c r="L355" s="7">
        <f t="shared" si="30"/>
        <v>85.877862595419856</v>
      </c>
      <c r="M355" s="5" t="s">
        <v>10</v>
      </c>
      <c r="N355" s="5">
        <v>4</v>
      </c>
      <c r="O355" s="6">
        <f t="shared" si="31"/>
        <v>10.371103993065674</v>
      </c>
      <c r="P355" s="6">
        <f t="shared" si="32"/>
        <v>1.0785948152788301</v>
      </c>
      <c r="Q355" s="10">
        <f t="shared" si="33"/>
        <v>2.2470725318308959E-2</v>
      </c>
      <c r="R355" s="10">
        <f t="shared" si="34"/>
        <v>9.1889495281948216E-2</v>
      </c>
      <c r="S355" s="10">
        <f t="shared" si="35"/>
        <v>0.11436022060025718</v>
      </c>
    </row>
    <row r="356" spans="1:19" x14ac:dyDescent="0.25">
      <c r="A356" s="5" t="s">
        <v>8</v>
      </c>
      <c r="B356" s="5" t="s">
        <v>188</v>
      </c>
      <c r="C356" s="5" t="s">
        <v>27</v>
      </c>
      <c r="D356" s="5" t="s">
        <v>385</v>
      </c>
      <c r="E356" s="5" t="s">
        <v>384</v>
      </c>
      <c r="F356" s="5" t="s">
        <v>30</v>
      </c>
      <c r="G356" s="5" t="s">
        <v>392</v>
      </c>
      <c r="H356" s="5" t="s">
        <v>40</v>
      </c>
      <c r="I356" s="5" t="s">
        <v>190</v>
      </c>
      <c r="J356" s="5">
        <v>2800</v>
      </c>
      <c r="K356" s="5">
        <v>27</v>
      </c>
      <c r="L356" s="7">
        <f t="shared" si="30"/>
        <v>103.70370370370371</v>
      </c>
      <c r="M356" s="5" t="s">
        <v>10</v>
      </c>
      <c r="N356" s="5">
        <v>4</v>
      </c>
      <c r="O356" s="6">
        <f t="shared" si="31"/>
        <v>18.820301783264746</v>
      </c>
      <c r="P356" s="6">
        <f t="shared" si="32"/>
        <v>1.9573113854595339</v>
      </c>
      <c r="Q356" s="10">
        <f t="shared" si="33"/>
        <v>4.0777320530406946E-2</v>
      </c>
      <c r="R356" s="10">
        <f t="shared" si="34"/>
        <v>0.14367032083802037</v>
      </c>
      <c r="S356" s="10">
        <f t="shared" si="35"/>
        <v>0.18444764136842731</v>
      </c>
    </row>
    <row r="357" spans="1:19" x14ac:dyDescent="0.25">
      <c r="A357" s="5" t="s">
        <v>8</v>
      </c>
      <c r="B357" s="5" t="s">
        <v>241</v>
      </c>
      <c r="C357" s="5" t="s">
        <v>27</v>
      </c>
      <c r="D357" s="5" t="s">
        <v>385</v>
      </c>
      <c r="E357" s="5" t="s">
        <v>384</v>
      </c>
      <c r="F357" s="5" t="s">
        <v>30</v>
      </c>
      <c r="G357" s="5" t="s">
        <v>392</v>
      </c>
      <c r="H357" s="5" t="s">
        <v>40</v>
      </c>
      <c r="I357" s="5" t="s">
        <v>190</v>
      </c>
      <c r="J357" s="5">
        <v>2885</v>
      </c>
      <c r="K357" s="5">
        <v>27.5</v>
      </c>
      <c r="L357" s="7">
        <f t="shared" si="30"/>
        <v>104.90909090909091</v>
      </c>
      <c r="M357" s="5" t="s">
        <v>10</v>
      </c>
      <c r="N357" s="5">
        <v>4</v>
      </c>
      <c r="O357" s="6">
        <f t="shared" si="31"/>
        <v>19.845044731404958</v>
      </c>
      <c r="P357" s="6">
        <f t="shared" si="32"/>
        <v>2.0638846520661156</v>
      </c>
      <c r="Q357" s="10">
        <f t="shared" si="33"/>
        <v>4.2997596918044077E-2</v>
      </c>
      <c r="R357" s="10">
        <f t="shared" si="34"/>
        <v>0.1494982765139998</v>
      </c>
      <c r="S357" s="10">
        <f t="shared" si="35"/>
        <v>0.19249587343204388</v>
      </c>
    </row>
    <row r="358" spans="1:19" x14ac:dyDescent="0.25">
      <c r="A358" s="5" t="s">
        <v>8</v>
      </c>
      <c r="B358" s="5" t="s">
        <v>241</v>
      </c>
      <c r="C358" s="5" t="s">
        <v>27</v>
      </c>
      <c r="D358" s="5" t="s">
        <v>385</v>
      </c>
      <c r="E358" s="5" t="s">
        <v>384</v>
      </c>
      <c r="F358" s="5" t="s">
        <v>30</v>
      </c>
      <c r="G358" s="5" t="s">
        <v>392</v>
      </c>
      <c r="H358" s="5" t="s">
        <v>40</v>
      </c>
      <c r="I358" s="5" t="s">
        <v>190</v>
      </c>
      <c r="J358" s="5">
        <v>2720</v>
      </c>
      <c r="K358" s="5">
        <v>30.3</v>
      </c>
      <c r="L358" s="7">
        <f t="shared" si="30"/>
        <v>89.768976897689768</v>
      </c>
      <c r="M358" s="5" t="s">
        <v>9</v>
      </c>
      <c r="N358" s="5">
        <v>4</v>
      </c>
      <c r="O358" s="6">
        <f t="shared" si="31"/>
        <v>13.69939766253853</v>
      </c>
      <c r="P358" s="6">
        <f t="shared" si="32"/>
        <v>1.4247373569040074</v>
      </c>
      <c r="Q358" s="10">
        <f t="shared" si="33"/>
        <v>2.9682028268833482E-2</v>
      </c>
      <c r="R358" s="10">
        <f t="shared" si="34"/>
        <v>0.11322002036146131</v>
      </c>
      <c r="S358" s="10">
        <f t="shared" si="35"/>
        <v>0.14290204863029479</v>
      </c>
    </row>
    <row r="359" spans="1:19" x14ac:dyDescent="0.25">
      <c r="A359" s="5" t="s">
        <v>8</v>
      </c>
      <c r="B359" s="5" t="s">
        <v>241</v>
      </c>
      <c r="C359" s="5" t="s">
        <v>27</v>
      </c>
      <c r="D359" s="5" t="s">
        <v>385</v>
      </c>
      <c r="E359" s="5" t="s">
        <v>384</v>
      </c>
      <c r="F359" s="5" t="s">
        <v>30</v>
      </c>
      <c r="G359" s="5" t="s">
        <v>392</v>
      </c>
      <c r="H359" s="5" t="s">
        <v>40</v>
      </c>
      <c r="I359" s="5" t="s">
        <v>257</v>
      </c>
      <c r="J359" s="5">
        <v>2020</v>
      </c>
      <c r="K359" s="5">
        <v>23.5</v>
      </c>
      <c r="L359" s="7">
        <f t="shared" si="30"/>
        <v>85.957446808510639</v>
      </c>
      <c r="M359" s="5" t="s">
        <v>10</v>
      </c>
      <c r="N359" s="5">
        <v>4</v>
      </c>
      <c r="O359" s="6">
        <f t="shared" si="31"/>
        <v>9.3282118605703932</v>
      </c>
      <c r="P359" s="6">
        <f t="shared" si="32"/>
        <v>0.97013403349932081</v>
      </c>
      <c r="Q359" s="10">
        <f t="shared" si="33"/>
        <v>2.0211125697902517E-2</v>
      </c>
      <c r="R359" s="10">
        <f t="shared" si="34"/>
        <v>8.486838252062337E-2</v>
      </c>
      <c r="S359" s="10">
        <f t="shared" si="35"/>
        <v>0.10507950821852588</v>
      </c>
    </row>
    <row r="360" spans="1:19" x14ac:dyDescent="0.25">
      <c r="A360" s="5" t="s">
        <v>8</v>
      </c>
      <c r="B360" s="5" t="s">
        <v>241</v>
      </c>
      <c r="C360" s="5" t="s">
        <v>27</v>
      </c>
      <c r="D360" s="5" t="s">
        <v>385</v>
      </c>
      <c r="E360" s="5" t="s">
        <v>384</v>
      </c>
      <c r="F360" s="5" t="s">
        <v>30</v>
      </c>
      <c r="G360" s="5" t="s">
        <v>392</v>
      </c>
      <c r="H360" s="5" t="s">
        <v>40</v>
      </c>
      <c r="I360" s="5" t="s">
        <v>258</v>
      </c>
      <c r="J360" s="5">
        <v>2220</v>
      </c>
      <c r="K360" s="5">
        <v>28</v>
      </c>
      <c r="L360" s="7">
        <f t="shared" si="30"/>
        <v>79.285714285714292</v>
      </c>
      <c r="M360" s="5" t="s">
        <v>10</v>
      </c>
      <c r="N360" s="5">
        <v>4</v>
      </c>
      <c r="O360" s="6">
        <f t="shared" si="31"/>
        <v>8.7221364795918372</v>
      </c>
      <c r="P360" s="6">
        <f t="shared" si="32"/>
        <v>0.90710219387755109</v>
      </c>
      <c r="Q360" s="10">
        <f t="shared" si="33"/>
        <v>1.8897962372448979E-2</v>
      </c>
      <c r="R360" s="10">
        <f t="shared" si="34"/>
        <v>8.0698280844358428E-2</v>
      </c>
      <c r="S360" s="10">
        <f t="shared" si="35"/>
        <v>9.9596243216807406E-2</v>
      </c>
    </row>
    <row r="361" spans="1:19" x14ac:dyDescent="0.25">
      <c r="A361" s="5" t="s">
        <v>8</v>
      </c>
      <c r="B361" s="5" t="s">
        <v>241</v>
      </c>
      <c r="C361" s="5" t="s">
        <v>27</v>
      </c>
      <c r="D361" s="5" t="s">
        <v>385</v>
      </c>
      <c r="E361" s="5" t="s">
        <v>384</v>
      </c>
      <c r="F361" s="5" t="s">
        <v>30</v>
      </c>
      <c r="G361" s="5" t="s">
        <v>392</v>
      </c>
      <c r="H361" s="5" t="s">
        <v>40</v>
      </c>
      <c r="I361" s="5" t="s">
        <v>258</v>
      </c>
      <c r="J361" s="5">
        <v>2320</v>
      </c>
      <c r="K361" s="5">
        <v>27.8</v>
      </c>
      <c r="L361" s="7">
        <f t="shared" si="30"/>
        <v>83.453237410071935</v>
      </c>
      <c r="M361" s="5" t="s">
        <v>9</v>
      </c>
      <c r="N361" s="5">
        <v>4</v>
      </c>
      <c r="O361" s="6">
        <f t="shared" si="31"/>
        <v>10.098442109621653</v>
      </c>
      <c r="P361" s="6">
        <f t="shared" si="32"/>
        <v>1.050237979400652</v>
      </c>
      <c r="Q361" s="10">
        <f t="shared" si="33"/>
        <v>2.1879957904180247E-2</v>
      </c>
      <c r="R361" s="10">
        <f t="shared" si="34"/>
        <v>9.0071606634706189E-2</v>
      </c>
      <c r="S361" s="10">
        <f t="shared" si="35"/>
        <v>0.11195156453888644</v>
      </c>
    </row>
    <row r="362" spans="1:19" x14ac:dyDescent="0.25">
      <c r="A362" s="5" t="s">
        <v>8</v>
      </c>
      <c r="B362" s="5" t="s">
        <v>188</v>
      </c>
      <c r="C362" s="5" t="s">
        <v>27</v>
      </c>
      <c r="D362" s="5" t="s">
        <v>385</v>
      </c>
      <c r="E362" s="5" t="s">
        <v>384</v>
      </c>
      <c r="F362" s="5" t="s">
        <v>30</v>
      </c>
      <c r="G362" s="5" t="s">
        <v>392</v>
      </c>
      <c r="H362" s="5" t="s">
        <v>40</v>
      </c>
      <c r="I362" s="5" t="s">
        <v>189</v>
      </c>
      <c r="J362" s="5">
        <v>2200</v>
      </c>
      <c r="K362" s="5">
        <v>28.7</v>
      </c>
      <c r="L362" s="7">
        <f t="shared" si="30"/>
        <v>76.655052264808361</v>
      </c>
      <c r="M362" s="5" t="s">
        <v>10</v>
      </c>
      <c r="N362" s="5">
        <v>4</v>
      </c>
      <c r="O362" s="6">
        <f t="shared" si="31"/>
        <v>8.0794959268656896</v>
      </c>
      <c r="P362" s="6">
        <f t="shared" si="32"/>
        <v>0.8402675763940316</v>
      </c>
      <c r="Q362" s="10">
        <f t="shared" si="33"/>
        <v>1.7505574508208995E-2</v>
      </c>
      <c r="R362" s="10">
        <f t="shared" si="34"/>
        <v>7.6196552828618133E-2</v>
      </c>
      <c r="S362" s="10">
        <f t="shared" si="35"/>
        <v>9.3702127336827132E-2</v>
      </c>
    </row>
    <row r="363" spans="1:19" x14ac:dyDescent="0.25">
      <c r="A363" s="5" t="s">
        <v>8</v>
      </c>
      <c r="B363" s="5" t="s">
        <v>188</v>
      </c>
      <c r="C363" s="5" t="s">
        <v>27</v>
      </c>
      <c r="D363" s="5" t="s">
        <v>385</v>
      </c>
      <c r="E363" s="5" t="s">
        <v>384</v>
      </c>
      <c r="F363" s="5" t="s">
        <v>30</v>
      </c>
      <c r="G363" s="5" t="s">
        <v>392</v>
      </c>
      <c r="H363" s="5" t="s">
        <v>40</v>
      </c>
      <c r="I363" s="5" t="s">
        <v>189</v>
      </c>
      <c r="J363" s="5">
        <v>2100</v>
      </c>
      <c r="K363" s="5">
        <v>22.2</v>
      </c>
      <c r="L363" s="7">
        <f t="shared" si="30"/>
        <v>94.594594594594597</v>
      </c>
      <c r="M363" s="5" t="s">
        <v>10</v>
      </c>
      <c r="N363" s="5">
        <v>4</v>
      </c>
      <c r="O363" s="6">
        <f t="shared" si="31"/>
        <v>11.744430241051864</v>
      </c>
      <c r="P363" s="6">
        <f t="shared" si="32"/>
        <v>1.2214207450693937</v>
      </c>
      <c r="Q363" s="10">
        <f t="shared" si="33"/>
        <v>2.5446265522279039E-2</v>
      </c>
      <c r="R363" s="10">
        <f t="shared" si="34"/>
        <v>0.1008721061659506</v>
      </c>
      <c r="S363" s="10">
        <f t="shared" si="35"/>
        <v>0.12631837168822965</v>
      </c>
    </row>
    <row r="364" spans="1:19" x14ac:dyDescent="0.25">
      <c r="A364" s="5" t="s">
        <v>8</v>
      </c>
      <c r="B364" s="5" t="s">
        <v>313</v>
      </c>
      <c r="C364" s="5" t="s">
        <v>27</v>
      </c>
      <c r="D364" s="5" t="s">
        <v>385</v>
      </c>
      <c r="E364" s="5" t="s">
        <v>384</v>
      </c>
      <c r="F364" s="5" t="s">
        <v>30</v>
      </c>
      <c r="G364" s="5" t="s">
        <v>392</v>
      </c>
      <c r="H364" s="5" t="s">
        <v>40</v>
      </c>
      <c r="I364" s="5" t="s">
        <v>314</v>
      </c>
      <c r="J364" s="5">
        <v>1910</v>
      </c>
      <c r="K364" s="5">
        <v>24</v>
      </c>
      <c r="L364" s="7">
        <f t="shared" si="30"/>
        <v>79.583333333333329</v>
      </c>
      <c r="M364" s="5" t="s">
        <v>10</v>
      </c>
      <c r="N364" s="5">
        <v>4</v>
      </c>
      <c r="O364" s="6">
        <f t="shared" si="31"/>
        <v>7.5606239149305541</v>
      </c>
      <c r="P364" s="6">
        <f t="shared" si="32"/>
        <v>0.78630488715277769</v>
      </c>
      <c r="Q364" s="10">
        <f t="shared" si="33"/>
        <v>1.6381351815682867E-2</v>
      </c>
      <c r="R364" s="10">
        <f t="shared" si="34"/>
        <v>7.2496218047525651E-2</v>
      </c>
      <c r="S364" s="10">
        <f t="shared" si="35"/>
        <v>8.8877569863208522E-2</v>
      </c>
    </row>
    <row r="365" spans="1:19" x14ac:dyDescent="0.25">
      <c r="A365" s="5" t="s">
        <v>8</v>
      </c>
      <c r="B365" s="5" t="s">
        <v>241</v>
      </c>
      <c r="C365" s="5" t="s">
        <v>27</v>
      </c>
      <c r="D365" s="5" t="s">
        <v>385</v>
      </c>
      <c r="E365" s="5" t="s">
        <v>384</v>
      </c>
      <c r="F365" s="5" t="s">
        <v>30</v>
      </c>
      <c r="G365" s="5" t="s">
        <v>392</v>
      </c>
      <c r="H365" s="5" t="s">
        <v>40</v>
      </c>
      <c r="I365" s="5" t="s">
        <v>251</v>
      </c>
      <c r="J365" s="5">
        <v>1940</v>
      </c>
      <c r="K365" s="5">
        <v>26.5</v>
      </c>
      <c r="L365" s="7">
        <f t="shared" si="30"/>
        <v>73.20754716981132</v>
      </c>
      <c r="M365" s="5" t="s">
        <v>10</v>
      </c>
      <c r="N365" s="5">
        <v>4</v>
      </c>
      <c r="O365" s="6">
        <f t="shared" si="31"/>
        <v>6.4982057671769313</v>
      </c>
      <c r="P365" s="6">
        <f t="shared" si="32"/>
        <v>0.67581339978640087</v>
      </c>
      <c r="Q365" s="10">
        <f t="shared" si="33"/>
        <v>1.4079445828883352E-2</v>
      </c>
      <c r="R365" s="10">
        <f t="shared" si="34"/>
        <v>6.4713102102881032E-2</v>
      </c>
      <c r="S365" s="10">
        <f t="shared" si="35"/>
        <v>7.8792547931764378E-2</v>
      </c>
    </row>
    <row r="366" spans="1:19" x14ac:dyDescent="0.25">
      <c r="A366" s="5" t="s">
        <v>8</v>
      </c>
      <c r="B366" s="5" t="s">
        <v>241</v>
      </c>
      <c r="C366" s="5" t="s">
        <v>27</v>
      </c>
      <c r="D366" s="5" t="s">
        <v>385</v>
      </c>
      <c r="E366" s="5" t="s">
        <v>384</v>
      </c>
      <c r="F366" s="5" t="s">
        <v>30</v>
      </c>
      <c r="G366" s="5" t="s">
        <v>392</v>
      </c>
      <c r="H366" s="5" t="s">
        <v>40</v>
      </c>
      <c r="I366" s="5" t="s">
        <v>251</v>
      </c>
      <c r="J366" s="5">
        <v>1810</v>
      </c>
      <c r="K366" s="5">
        <v>26.5</v>
      </c>
      <c r="L366" s="7">
        <f t="shared" si="30"/>
        <v>68.301886792452834</v>
      </c>
      <c r="M366" s="5" t="s">
        <v>9</v>
      </c>
      <c r="N366" s="5">
        <v>4</v>
      </c>
      <c r="O366" s="6">
        <f t="shared" si="31"/>
        <v>5.2774483802064802</v>
      </c>
      <c r="P366" s="6">
        <f t="shared" si="32"/>
        <v>0.54885463154147374</v>
      </c>
      <c r="Q366" s="10">
        <f t="shared" si="33"/>
        <v>1.1434471490447374E-2</v>
      </c>
      <c r="R366" s="10">
        <f t="shared" si="34"/>
        <v>5.536242690304656E-2</v>
      </c>
      <c r="S366" s="10">
        <f t="shared" si="35"/>
        <v>6.6796898393493939E-2</v>
      </c>
    </row>
    <row r="367" spans="1:19" x14ac:dyDescent="0.25">
      <c r="A367" s="5" t="s">
        <v>8</v>
      </c>
      <c r="B367" s="5" t="s">
        <v>361</v>
      </c>
      <c r="C367" s="5" t="s">
        <v>27</v>
      </c>
      <c r="D367" s="5" t="s">
        <v>385</v>
      </c>
      <c r="E367" s="5" t="s">
        <v>384</v>
      </c>
      <c r="F367" s="5" t="s">
        <v>30</v>
      </c>
      <c r="G367" s="5" t="s">
        <v>392</v>
      </c>
      <c r="H367" s="5" t="s">
        <v>40</v>
      </c>
      <c r="I367" s="5" t="s">
        <v>362</v>
      </c>
      <c r="J367" s="5">
        <v>1970</v>
      </c>
      <c r="K367" s="5">
        <v>26.9</v>
      </c>
      <c r="L367" s="7">
        <f t="shared" si="30"/>
        <v>73.234200743494426</v>
      </c>
      <c r="M367" s="5" t="s">
        <v>10</v>
      </c>
      <c r="N367" s="5">
        <v>4</v>
      </c>
      <c r="O367" s="6">
        <f t="shared" si="31"/>
        <v>6.6034992952004536</v>
      </c>
      <c r="P367" s="6">
        <f t="shared" si="32"/>
        <v>0.68676392670084707</v>
      </c>
      <c r="Q367" s="10">
        <f t="shared" si="33"/>
        <v>1.430758180626765E-2</v>
      </c>
      <c r="R367" s="10">
        <f t="shared" si="34"/>
        <v>6.5497952840159274E-2</v>
      </c>
      <c r="S367" s="10">
        <f t="shared" si="35"/>
        <v>7.9805534646426923E-2</v>
      </c>
    </row>
    <row r="368" spans="1:19" x14ac:dyDescent="0.25">
      <c r="A368" s="5" t="s">
        <v>8</v>
      </c>
      <c r="B368" s="5" t="s">
        <v>241</v>
      </c>
      <c r="C368" s="5" t="s">
        <v>27</v>
      </c>
      <c r="D368" s="5" t="s">
        <v>385</v>
      </c>
      <c r="E368" s="5" t="s">
        <v>384</v>
      </c>
      <c r="F368" s="5" t="s">
        <v>30</v>
      </c>
      <c r="G368" s="5" t="s">
        <v>392</v>
      </c>
      <c r="H368" s="5" t="s">
        <v>40</v>
      </c>
      <c r="I368" s="5" t="s">
        <v>255</v>
      </c>
      <c r="J368" s="5">
        <v>2180</v>
      </c>
      <c r="K368" s="5">
        <v>20.2</v>
      </c>
      <c r="L368" s="7">
        <f t="shared" si="30"/>
        <v>107.92079207920793</v>
      </c>
      <c r="M368" s="5" t="s">
        <v>10</v>
      </c>
      <c r="N368" s="5">
        <v>4</v>
      </c>
      <c r="O368" s="6">
        <f t="shared" si="31"/>
        <v>15.868897657092445</v>
      </c>
      <c r="P368" s="6">
        <f t="shared" si="32"/>
        <v>1.6503653563376142</v>
      </c>
      <c r="Q368" s="10">
        <f t="shared" si="33"/>
        <v>3.4382611590366964E-2</v>
      </c>
      <c r="R368" s="10">
        <f t="shared" si="34"/>
        <v>0.12641749889048123</v>
      </c>
      <c r="S368" s="10">
        <f t="shared" si="35"/>
        <v>0.16080011048084819</v>
      </c>
    </row>
    <row r="369" spans="1:19" x14ac:dyDescent="0.25">
      <c r="A369" s="5" t="s">
        <v>8</v>
      </c>
      <c r="B369" s="5" t="s">
        <v>375</v>
      </c>
      <c r="C369" s="5" t="s">
        <v>27</v>
      </c>
      <c r="D369" s="5" t="s">
        <v>385</v>
      </c>
      <c r="E369" s="5" t="s">
        <v>384</v>
      </c>
      <c r="F369" s="5" t="s">
        <v>30</v>
      </c>
      <c r="G369" s="5" t="s">
        <v>392</v>
      </c>
      <c r="H369" s="5" t="s">
        <v>40</v>
      </c>
      <c r="I369" s="5" t="s">
        <v>377</v>
      </c>
      <c r="J369" s="5">
        <v>1900</v>
      </c>
      <c r="K369" s="5">
        <v>31.8</v>
      </c>
      <c r="L369" s="7">
        <f t="shared" si="30"/>
        <v>59.748427672955977</v>
      </c>
      <c r="M369" s="5" t="s">
        <v>10</v>
      </c>
      <c r="N369" s="5">
        <v>4</v>
      </c>
      <c r="O369" s="6">
        <f t="shared" si="31"/>
        <v>4.2392260986511614</v>
      </c>
      <c r="P369" s="6">
        <f t="shared" si="32"/>
        <v>0.44087951425972072</v>
      </c>
      <c r="Q369" s="10">
        <f t="shared" si="33"/>
        <v>9.1849898804108494E-3</v>
      </c>
      <c r="R369" s="10">
        <f t="shared" si="34"/>
        <v>4.6974488465593794E-2</v>
      </c>
      <c r="S369" s="10">
        <f t="shared" si="35"/>
        <v>5.615947834600464E-2</v>
      </c>
    </row>
    <row r="370" spans="1:19" x14ac:dyDescent="0.25">
      <c r="A370" s="5" t="s">
        <v>8</v>
      </c>
      <c r="B370" s="5" t="s">
        <v>241</v>
      </c>
      <c r="C370" s="5" t="s">
        <v>27</v>
      </c>
      <c r="D370" s="5" t="s">
        <v>385</v>
      </c>
      <c r="E370" s="5" t="s">
        <v>384</v>
      </c>
      <c r="F370" s="5" t="s">
        <v>30</v>
      </c>
      <c r="G370" s="5" t="s">
        <v>392</v>
      </c>
      <c r="H370" s="5" t="s">
        <v>40</v>
      </c>
      <c r="I370" s="5" t="s">
        <v>242</v>
      </c>
      <c r="J370" s="5">
        <v>1765</v>
      </c>
      <c r="K370" s="5">
        <v>23.2</v>
      </c>
      <c r="L370" s="7">
        <f t="shared" si="30"/>
        <v>76.077586206896555</v>
      </c>
      <c r="M370" s="5" t="s">
        <v>10</v>
      </c>
      <c r="N370" s="5">
        <v>4</v>
      </c>
      <c r="O370" s="6">
        <f t="shared" si="31"/>
        <v>6.3846659076341412</v>
      </c>
      <c r="P370" s="6">
        <f t="shared" si="32"/>
        <v>0.66400525439395075</v>
      </c>
      <c r="Q370" s="10">
        <f t="shared" si="33"/>
        <v>1.3833442799873972E-2</v>
      </c>
      <c r="R370" s="10">
        <f t="shared" si="34"/>
        <v>6.3863211893944297E-2</v>
      </c>
      <c r="S370" s="10">
        <f t="shared" si="35"/>
        <v>7.7696654693818271E-2</v>
      </c>
    </row>
    <row r="371" spans="1:19" x14ac:dyDescent="0.25">
      <c r="A371" s="5" t="s">
        <v>8</v>
      </c>
      <c r="B371" s="5" t="s">
        <v>241</v>
      </c>
      <c r="C371" s="5" t="s">
        <v>27</v>
      </c>
      <c r="D371" s="5" t="s">
        <v>385</v>
      </c>
      <c r="E371" s="5" t="s">
        <v>384</v>
      </c>
      <c r="F371" s="5" t="s">
        <v>30</v>
      </c>
      <c r="G371" s="5" t="s">
        <v>392</v>
      </c>
      <c r="H371" s="5" t="s">
        <v>40</v>
      </c>
      <c r="I371" s="5" t="s">
        <v>261</v>
      </c>
      <c r="J371" s="5">
        <v>2600</v>
      </c>
      <c r="K371" s="5">
        <v>27.5</v>
      </c>
      <c r="L371" s="7">
        <f t="shared" si="30"/>
        <v>94.545454545454547</v>
      </c>
      <c r="M371" s="5" t="s">
        <v>10</v>
      </c>
      <c r="N371" s="5">
        <v>4</v>
      </c>
      <c r="O371" s="6">
        <f t="shared" si="31"/>
        <v>14.525619834710744</v>
      </c>
      <c r="P371" s="6">
        <f t="shared" si="32"/>
        <v>1.5106644628099171</v>
      </c>
      <c r="Q371" s="10">
        <f t="shared" si="33"/>
        <v>3.1472176308539941E-2</v>
      </c>
      <c r="R371" s="10">
        <f t="shared" si="34"/>
        <v>0.11830364604409564</v>
      </c>
      <c r="S371" s="10">
        <f t="shared" si="35"/>
        <v>0.14977582235263559</v>
      </c>
    </row>
    <row r="372" spans="1:19" x14ac:dyDescent="0.25">
      <c r="A372" s="5" t="s">
        <v>8</v>
      </c>
      <c r="B372" s="5" t="s">
        <v>241</v>
      </c>
      <c r="C372" s="5" t="s">
        <v>27</v>
      </c>
      <c r="D372" s="5" t="s">
        <v>385</v>
      </c>
      <c r="E372" s="5" t="s">
        <v>384</v>
      </c>
      <c r="F372" s="5" t="s">
        <v>30</v>
      </c>
      <c r="G372" s="5" t="s">
        <v>392</v>
      </c>
      <c r="H372" s="5" t="s">
        <v>40</v>
      </c>
      <c r="I372" s="5" t="s">
        <v>261</v>
      </c>
      <c r="J372" s="5">
        <v>2450</v>
      </c>
      <c r="K372" s="5">
        <v>28</v>
      </c>
      <c r="L372" s="7">
        <f t="shared" si="30"/>
        <v>87.5</v>
      </c>
      <c r="M372" s="5" t="s">
        <v>9</v>
      </c>
      <c r="N372" s="5">
        <v>4</v>
      </c>
      <c r="O372" s="6">
        <f t="shared" si="31"/>
        <v>11.7236328125</v>
      </c>
      <c r="P372" s="6">
        <f t="shared" si="32"/>
        <v>1.2192578124999998</v>
      </c>
      <c r="Q372" s="10">
        <f t="shared" si="33"/>
        <v>2.5401204427083334E-2</v>
      </c>
      <c r="R372" s="10">
        <f t="shared" si="34"/>
        <v>0.10073810572305898</v>
      </c>
      <c r="S372" s="10">
        <f t="shared" si="35"/>
        <v>0.12613931015014232</v>
      </c>
    </row>
    <row r="373" spans="1:19" x14ac:dyDescent="0.25">
      <c r="A373" s="5" t="s">
        <v>8</v>
      </c>
      <c r="B373" s="5" t="s">
        <v>241</v>
      </c>
      <c r="C373" s="5" t="s">
        <v>27</v>
      </c>
      <c r="D373" s="5" t="s">
        <v>385</v>
      </c>
      <c r="E373" s="5" t="s">
        <v>384</v>
      </c>
      <c r="F373" s="5" t="s">
        <v>30</v>
      </c>
      <c r="G373" s="5" t="s">
        <v>392</v>
      </c>
      <c r="H373" s="5" t="s">
        <v>40</v>
      </c>
      <c r="I373" s="5" t="s">
        <v>243</v>
      </c>
      <c r="J373" s="5">
        <v>4700</v>
      </c>
      <c r="K373" s="5">
        <v>36.4</v>
      </c>
      <c r="L373" s="7">
        <f t="shared" si="30"/>
        <v>129.12087912087912</v>
      </c>
      <c r="M373" s="5" t="s">
        <v>10</v>
      </c>
      <c r="N373" s="5">
        <v>4</v>
      </c>
      <c r="O373" s="6">
        <f t="shared" si="31"/>
        <v>48.974591685786741</v>
      </c>
      <c r="P373" s="6">
        <f t="shared" si="32"/>
        <v>5.0933575353218208</v>
      </c>
      <c r="Q373" s="10">
        <f t="shared" si="33"/>
        <v>0.1061116153192046</v>
      </c>
      <c r="R373" s="10">
        <f t="shared" si="34"/>
        <v>0.29435759247386778</v>
      </c>
      <c r="S373" s="10">
        <f t="shared" si="35"/>
        <v>0.40046920779307238</v>
      </c>
    </row>
    <row r="374" spans="1:19" x14ac:dyDescent="0.25">
      <c r="A374" s="5" t="s">
        <v>8</v>
      </c>
      <c r="B374" s="5" t="s">
        <v>241</v>
      </c>
      <c r="C374" s="5" t="s">
        <v>27</v>
      </c>
      <c r="D374" s="5" t="s">
        <v>385</v>
      </c>
      <c r="E374" s="5" t="s">
        <v>384</v>
      </c>
      <c r="F374" s="5" t="s">
        <v>30</v>
      </c>
      <c r="G374" s="5" t="s">
        <v>392</v>
      </c>
      <c r="H374" s="5" t="s">
        <v>40</v>
      </c>
      <c r="I374" s="5" t="s">
        <v>243</v>
      </c>
      <c r="J374" s="5">
        <v>4550</v>
      </c>
      <c r="K374" s="5">
        <v>36</v>
      </c>
      <c r="L374" s="7">
        <f t="shared" si="30"/>
        <v>126.38888888888889</v>
      </c>
      <c r="M374" s="5" t="s">
        <v>9</v>
      </c>
      <c r="N374" s="5">
        <v>4</v>
      </c>
      <c r="O374" s="6">
        <f t="shared" si="31"/>
        <v>45.426492573302461</v>
      </c>
      <c r="P374" s="6">
        <f t="shared" si="32"/>
        <v>4.7243552276234562</v>
      </c>
      <c r="Q374" s="10">
        <f t="shared" si="33"/>
        <v>9.8424067242155341E-2</v>
      </c>
      <c r="R374" s="10">
        <f t="shared" si="34"/>
        <v>0.27821403095946923</v>
      </c>
      <c r="S374" s="10">
        <f t="shared" si="35"/>
        <v>0.37663809820162458</v>
      </c>
    </row>
    <row r="375" spans="1:19" x14ac:dyDescent="0.25">
      <c r="A375" s="5" t="s">
        <v>8</v>
      </c>
      <c r="B375" s="5" t="s">
        <v>241</v>
      </c>
      <c r="C375" s="5" t="s">
        <v>27</v>
      </c>
      <c r="D375" s="5" t="s">
        <v>385</v>
      </c>
      <c r="E375" s="5" t="s">
        <v>384</v>
      </c>
      <c r="F375" s="5" t="s">
        <v>30</v>
      </c>
      <c r="G375" s="5" t="s">
        <v>392</v>
      </c>
      <c r="H375" s="5" t="s">
        <v>40</v>
      </c>
      <c r="I375" s="5" t="s">
        <v>244</v>
      </c>
      <c r="J375" s="5">
        <v>1500</v>
      </c>
      <c r="K375" s="5">
        <v>23</v>
      </c>
      <c r="L375" s="7">
        <f t="shared" si="30"/>
        <v>65.217391304347828</v>
      </c>
      <c r="M375" s="5" t="s">
        <v>10</v>
      </c>
      <c r="N375" s="5">
        <v>4</v>
      </c>
      <c r="O375" s="6">
        <f t="shared" si="31"/>
        <v>3.9874763705103979</v>
      </c>
      <c r="P375" s="6">
        <f t="shared" si="32"/>
        <v>0.41469754253308139</v>
      </c>
      <c r="Q375" s="10">
        <f t="shared" si="33"/>
        <v>8.6395321361058628E-3</v>
      </c>
      <c r="R375" s="10">
        <f t="shared" si="34"/>
        <v>4.4866347546259483E-2</v>
      </c>
      <c r="S375" s="10">
        <f t="shared" si="35"/>
        <v>5.3505879682365344E-2</v>
      </c>
    </row>
    <row r="376" spans="1:19" x14ac:dyDescent="0.25">
      <c r="A376" s="5" t="s">
        <v>22</v>
      </c>
      <c r="B376" s="5" t="s">
        <v>63</v>
      </c>
      <c r="C376" s="5" t="s">
        <v>27</v>
      </c>
      <c r="D376" s="5" t="s">
        <v>385</v>
      </c>
      <c r="E376" s="5" t="s">
        <v>384</v>
      </c>
      <c r="F376" s="5" t="s">
        <v>30</v>
      </c>
      <c r="G376" s="5" t="s">
        <v>392</v>
      </c>
      <c r="H376" s="5" t="s">
        <v>40</v>
      </c>
      <c r="I376" s="5" t="s">
        <v>65</v>
      </c>
      <c r="J376" s="5">
        <v>2200</v>
      </c>
      <c r="K376" s="5">
        <v>27</v>
      </c>
      <c r="L376" s="7">
        <f t="shared" si="30"/>
        <v>81.481481481481481</v>
      </c>
      <c r="M376" s="5" t="s">
        <v>10</v>
      </c>
      <c r="N376" s="5">
        <v>4</v>
      </c>
      <c r="O376" s="6">
        <f t="shared" si="31"/>
        <v>9.1289437585733886</v>
      </c>
      <c r="P376" s="6">
        <f t="shared" si="32"/>
        <v>0.94941015089163217</v>
      </c>
      <c r="Q376" s="10">
        <f t="shared" si="33"/>
        <v>1.9779378143575676E-2</v>
      </c>
      <c r="R376" s="10">
        <f t="shared" si="34"/>
        <v>8.3505008186665314E-2</v>
      </c>
      <c r="S376" s="10">
        <f t="shared" si="35"/>
        <v>0.10328438633024099</v>
      </c>
    </row>
    <row r="377" spans="1:19" x14ac:dyDescent="0.25">
      <c r="A377" s="5" t="s">
        <v>22</v>
      </c>
      <c r="B377" s="5" t="s">
        <v>63</v>
      </c>
      <c r="C377" s="5" t="s">
        <v>27</v>
      </c>
      <c r="D377" s="5" t="s">
        <v>385</v>
      </c>
      <c r="E377" s="5" t="s">
        <v>384</v>
      </c>
      <c r="F377" s="5" t="s">
        <v>30</v>
      </c>
      <c r="G377" s="5" t="s">
        <v>392</v>
      </c>
      <c r="H377" s="5" t="s">
        <v>40</v>
      </c>
      <c r="I377" s="5" t="s">
        <v>65</v>
      </c>
      <c r="J377" s="5">
        <v>2330</v>
      </c>
      <c r="K377" s="5">
        <v>27.5</v>
      </c>
      <c r="L377" s="7">
        <f t="shared" si="30"/>
        <v>84.727272727272734</v>
      </c>
      <c r="M377" s="5" t="s">
        <v>9</v>
      </c>
      <c r="N377" s="5">
        <v>4</v>
      </c>
      <c r="O377" s="6">
        <f t="shared" si="31"/>
        <v>10.453997520661158</v>
      </c>
      <c r="P377" s="6">
        <f t="shared" si="32"/>
        <v>1.0872157421487605</v>
      </c>
      <c r="Q377" s="10">
        <f t="shared" si="33"/>
        <v>2.2650327961432504E-2</v>
      </c>
      <c r="R377" s="10">
        <f t="shared" si="34"/>
        <v>9.2439783335974496E-2</v>
      </c>
      <c r="S377" s="10">
        <f t="shared" si="35"/>
        <v>0.115090111297407</v>
      </c>
    </row>
    <row r="378" spans="1:19" x14ac:dyDescent="0.25">
      <c r="A378" s="5" t="s">
        <v>22</v>
      </c>
      <c r="B378" s="5" t="s">
        <v>26</v>
      </c>
      <c r="C378" s="5" t="s">
        <v>27</v>
      </c>
      <c r="D378" s="5" t="s">
        <v>385</v>
      </c>
      <c r="E378" s="5" t="s">
        <v>384</v>
      </c>
      <c r="F378" s="5" t="s">
        <v>30</v>
      </c>
      <c r="G378" s="5" t="s">
        <v>392</v>
      </c>
      <c r="H378" s="5" t="s">
        <v>40</v>
      </c>
      <c r="I378" s="5" t="s">
        <v>42</v>
      </c>
      <c r="J378" s="5">
        <v>2600</v>
      </c>
      <c r="K378" s="5">
        <v>29</v>
      </c>
      <c r="L378" s="7">
        <f t="shared" si="30"/>
        <v>89.65517241379311</v>
      </c>
      <c r="M378" s="5" t="s">
        <v>10</v>
      </c>
      <c r="N378" s="5">
        <v>4</v>
      </c>
      <c r="O378" s="6">
        <f t="shared" si="31"/>
        <v>13.061831153388825</v>
      </c>
      <c r="P378" s="6">
        <f t="shared" si="32"/>
        <v>1.3584304399524376</v>
      </c>
      <c r="Q378" s="10">
        <f t="shared" si="33"/>
        <v>2.8300634165675787E-2</v>
      </c>
      <c r="R378" s="10">
        <f t="shared" si="34"/>
        <v>0.10924464894421673</v>
      </c>
      <c r="S378" s="10">
        <f t="shared" si="35"/>
        <v>0.13754528310989253</v>
      </c>
    </row>
    <row r="379" spans="1:19" x14ac:dyDescent="0.25">
      <c r="A379" s="5" t="s">
        <v>22</v>
      </c>
      <c r="B379" s="5" t="s">
        <v>26</v>
      </c>
      <c r="C379" s="5" t="s">
        <v>27</v>
      </c>
      <c r="D379" s="5" t="s">
        <v>385</v>
      </c>
      <c r="E379" s="5" t="s">
        <v>384</v>
      </c>
      <c r="F379" s="5" t="s">
        <v>30</v>
      </c>
      <c r="G379" s="5" t="s">
        <v>392</v>
      </c>
      <c r="H379" s="5" t="s">
        <v>40</v>
      </c>
      <c r="I379" s="5" t="s">
        <v>42</v>
      </c>
      <c r="J379" s="5">
        <v>2100</v>
      </c>
      <c r="K379" s="5">
        <v>36</v>
      </c>
      <c r="L379" s="7">
        <f t="shared" si="30"/>
        <v>58.333333333333336</v>
      </c>
      <c r="M379" s="5" t="s">
        <v>9</v>
      </c>
      <c r="N379" s="5">
        <v>4</v>
      </c>
      <c r="O379" s="6">
        <f t="shared" si="31"/>
        <v>4.466145833333333</v>
      </c>
      <c r="P379" s="6">
        <f t="shared" si="32"/>
        <v>0.46447916666666667</v>
      </c>
      <c r="Q379" s="10">
        <f t="shared" si="33"/>
        <v>9.6766493055555538E-3</v>
      </c>
      <c r="R379" s="10">
        <f t="shared" si="34"/>
        <v>4.8848001391821147E-2</v>
      </c>
      <c r="S379" s="10">
        <f t="shared" si="35"/>
        <v>5.8524650697376703E-2</v>
      </c>
    </row>
    <row r="380" spans="1:19" x14ac:dyDescent="0.25">
      <c r="A380" s="5" t="s">
        <v>8</v>
      </c>
      <c r="B380" s="5" t="s">
        <v>188</v>
      </c>
      <c r="C380" s="5" t="s">
        <v>27</v>
      </c>
      <c r="D380" s="5" t="s">
        <v>385</v>
      </c>
      <c r="E380" s="5" t="s">
        <v>384</v>
      </c>
      <c r="F380" s="5" t="s">
        <v>30</v>
      </c>
      <c r="G380" s="5" t="s">
        <v>392</v>
      </c>
      <c r="H380" s="5" t="s">
        <v>40</v>
      </c>
      <c r="I380" s="5" t="s">
        <v>42</v>
      </c>
      <c r="J380" s="5">
        <v>2100</v>
      </c>
      <c r="K380" s="5">
        <v>21.8</v>
      </c>
      <c r="L380" s="7">
        <f t="shared" si="30"/>
        <v>96.330275229357795</v>
      </c>
      <c r="M380" s="5" t="s">
        <v>10</v>
      </c>
      <c r="N380" s="5">
        <v>4</v>
      </c>
      <c r="O380" s="6">
        <f t="shared" si="31"/>
        <v>12.179372527565018</v>
      </c>
      <c r="P380" s="6">
        <f t="shared" si="32"/>
        <v>1.2666547428667618</v>
      </c>
      <c r="Q380" s="10">
        <f t="shared" si="33"/>
        <v>2.6388640476390873E-2</v>
      </c>
      <c r="R380" s="10">
        <f t="shared" si="34"/>
        <v>0.10366109929063344</v>
      </c>
      <c r="S380" s="10">
        <f t="shared" si="35"/>
        <v>0.1300497397670243</v>
      </c>
    </row>
    <row r="381" spans="1:19" x14ac:dyDescent="0.25">
      <c r="A381" s="5" t="s">
        <v>8</v>
      </c>
      <c r="B381" s="5" t="s">
        <v>188</v>
      </c>
      <c r="C381" s="5" t="s">
        <v>27</v>
      </c>
      <c r="D381" s="5" t="s">
        <v>385</v>
      </c>
      <c r="E381" s="5" t="s">
        <v>384</v>
      </c>
      <c r="F381" s="5" t="s">
        <v>30</v>
      </c>
      <c r="G381" s="5" t="s">
        <v>392</v>
      </c>
      <c r="H381" s="5" t="s">
        <v>40</v>
      </c>
      <c r="I381" s="5" t="s">
        <v>42</v>
      </c>
      <c r="J381" s="5">
        <v>2700</v>
      </c>
      <c r="K381" s="5">
        <v>24.6</v>
      </c>
      <c r="L381" s="7">
        <f t="shared" si="30"/>
        <v>109.7560975609756</v>
      </c>
      <c r="M381" s="5" t="s">
        <v>10</v>
      </c>
      <c r="N381" s="5">
        <v>4</v>
      </c>
      <c r="O381" s="6">
        <f t="shared" si="31"/>
        <v>20.328301606186795</v>
      </c>
      <c r="P381" s="6">
        <f t="shared" si="32"/>
        <v>2.1141433670434266</v>
      </c>
      <c r="Q381" s="10">
        <f t="shared" si="33"/>
        <v>4.4044653480071388E-2</v>
      </c>
      <c r="R381" s="10">
        <f t="shared" si="34"/>
        <v>0.15222043056323636</v>
      </c>
      <c r="S381" s="10">
        <f t="shared" si="35"/>
        <v>0.19626508404330775</v>
      </c>
    </row>
    <row r="382" spans="1:19" x14ac:dyDescent="0.25">
      <c r="A382" s="5" t="s">
        <v>8</v>
      </c>
      <c r="B382" s="5" t="s">
        <v>241</v>
      </c>
      <c r="C382" s="5" t="s">
        <v>27</v>
      </c>
      <c r="D382" s="5" t="s">
        <v>385</v>
      </c>
      <c r="E382" s="5" t="s">
        <v>384</v>
      </c>
      <c r="F382" s="5" t="s">
        <v>30</v>
      </c>
      <c r="G382" s="5" t="s">
        <v>392</v>
      </c>
      <c r="H382" s="5" t="s">
        <v>40</v>
      </c>
      <c r="I382" s="5" t="s">
        <v>42</v>
      </c>
      <c r="J382" s="5">
        <v>2200</v>
      </c>
      <c r="K382" s="5">
        <v>29</v>
      </c>
      <c r="L382" s="7">
        <f t="shared" ref="L382:L445" si="36">J382/K382</f>
        <v>75.862068965517238</v>
      </c>
      <c r="M382" s="5" t="s">
        <v>10</v>
      </c>
      <c r="N382" s="5">
        <v>4</v>
      </c>
      <c r="O382" s="6">
        <f t="shared" ref="O382:O445" si="37">(J382*L382^2)/(1.6*10^6)</f>
        <v>7.9131985731272296</v>
      </c>
      <c r="P382" s="6">
        <f t="shared" ref="P382:P445" si="38">(0.104*J382*L382^2)/(1.6*10^6)</f>
        <v>0.82297265160523181</v>
      </c>
      <c r="Q382" s="10">
        <f t="shared" ref="Q382:Q445" si="39">(0.104*O382)/(12*N382)</f>
        <v>1.7145263575108996E-2</v>
      </c>
      <c r="R382" s="10">
        <f t="shared" ref="R382:R445" si="40">0.0159*O382^0.75</f>
        <v>7.501725564715013E-2</v>
      </c>
      <c r="S382" s="10">
        <f t="shared" ref="S382:S445" si="41">Q382+R382</f>
        <v>9.2162519222259126E-2</v>
      </c>
    </row>
    <row r="383" spans="1:19" x14ac:dyDescent="0.25">
      <c r="A383" s="5" t="s">
        <v>8</v>
      </c>
      <c r="B383" s="5" t="s">
        <v>241</v>
      </c>
      <c r="C383" s="5" t="s">
        <v>27</v>
      </c>
      <c r="D383" s="5" t="s">
        <v>385</v>
      </c>
      <c r="E383" s="5" t="s">
        <v>384</v>
      </c>
      <c r="F383" s="5" t="s">
        <v>30</v>
      </c>
      <c r="G383" s="5" t="s">
        <v>392</v>
      </c>
      <c r="H383" s="5" t="s">
        <v>40</v>
      </c>
      <c r="I383" s="5" t="s">
        <v>42</v>
      </c>
      <c r="J383" s="5">
        <v>2200</v>
      </c>
      <c r="K383" s="5">
        <v>36.5</v>
      </c>
      <c r="L383" s="7">
        <f t="shared" si="36"/>
        <v>60.273972602739725</v>
      </c>
      <c r="M383" s="5" t="s">
        <v>9</v>
      </c>
      <c r="N383" s="5">
        <v>4</v>
      </c>
      <c r="O383" s="6">
        <f t="shared" si="37"/>
        <v>4.995308688309251</v>
      </c>
      <c r="P383" s="6">
        <f t="shared" si="38"/>
        <v>0.51951210358416211</v>
      </c>
      <c r="Q383" s="10">
        <f t="shared" si="39"/>
        <v>1.0823168824670043E-2</v>
      </c>
      <c r="R383" s="10">
        <f t="shared" si="40"/>
        <v>5.3127437920794114E-2</v>
      </c>
      <c r="S383" s="10">
        <f t="shared" si="41"/>
        <v>6.3950606745464156E-2</v>
      </c>
    </row>
    <row r="384" spans="1:19" x14ac:dyDescent="0.25">
      <c r="A384" s="5" t="s">
        <v>8</v>
      </c>
      <c r="B384" s="5" t="s">
        <v>339</v>
      </c>
      <c r="C384" s="5" t="s">
        <v>27</v>
      </c>
      <c r="D384" s="5" t="s">
        <v>385</v>
      </c>
      <c r="E384" s="5" t="s">
        <v>384</v>
      </c>
      <c r="F384" s="5" t="s">
        <v>30</v>
      </c>
      <c r="G384" s="5" t="s">
        <v>392</v>
      </c>
      <c r="H384" s="5" t="s">
        <v>40</v>
      </c>
      <c r="I384" s="5" t="s">
        <v>42</v>
      </c>
      <c r="J384" s="5">
        <v>1750</v>
      </c>
      <c r="K384" s="5">
        <v>18.899999999999999</v>
      </c>
      <c r="L384" s="7">
        <f t="shared" si="36"/>
        <v>92.592592592592595</v>
      </c>
      <c r="M384" s="5" t="s">
        <v>10</v>
      </c>
      <c r="N384" s="5">
        <v>4</v>
      </c>
      <c r="O384" s="6">
        <f t="shared" si="37"/>
        <v>9.3771433470507564</v>
      </c>
      <c r="P384" s="6">
        <f t="shared" si="38"/>
        <v>0.9752229080932785</v>
      </c>
      <c r="Q384" s="10">
        <f t="shared" si="39"/>
        <v>2.0317143918609972E-2</v>
      </c>
      <c r="R384" s="10">
        <f t="shared" si="40"/>
        <v>8.5202049293344517E-2</v>
      </c>
      <c r="S384" s="10">
        <f t="shared" si="41"/>
        <v>0.10551919321195449</v>
      </c>
    </row>
    <row r="385" spans="1:19" x14ac:dyDescent="0.25">
      <c r="A385" s="5" t="s">
        <v>8</v>
      </c>
      <c r="B385" s="5" t="s">
        <v>372</v>
      </c>
      <c r="C385" s="5" t="s">
        <v>27</v>
      </c>
      <c r="D385" s="5" t="s">
        <v>385</v>
      </c>
      <c r="E385" s="5" t="s">
        <v>384</v>
      </c>
      <c r="F385" s="5" t="s">
        <v>30</v>
      </c>
      <c r="G385" s="5" t="s">
        <v>392</v>
      </c>
      <c r="H385" s="5" t="s">
        <v>40</v>
      </c>
      <c r="I385" s="5" t="s">
        <v>42</v>
      </c>
      <c r="J385" s="5">
        <v>2260</v>
      </c>
      <c r="K385" s="5">
        <v>32.5</v>
      </c>
      <c r="L385" s="7">
        <f t="shared" si="36"/>
        <v>69.538461538461533</v>
      </c>
      <c r="M385" s="5" t="s">
        <v>10</v>
      </c>
      <c r="N385" s="5">
        <v>4</v>
      </c>
      <c r="O385" s="6">
        <f t="shared" si="37"/>
        <v>6.8302816568047318</v>
      </c>
      <c r="P385" s="6">
        <f t="shared" si="38"/>
        <v>0.71034929230769206</v>
      </c>
      <c r="Q385" s="10">
        <f t="shared" si="39"/>
        <v>1.4798943589743584E-2</v>
      </c>
      <c r="R385" s="10">
        <f t="shared" si="40"/>
        <v>6.7177847468393184E-2</v>
      </c>
      <c r="S385" s="10">
        <f t="shared" si="41"/>
        <v>8.1976791058136766E-2</v>
      </c>
    </row>
    <row r="386" spans="1:19" x14ac:dyDescent="0.25">
      <c r="A386" s="5" t="s">
        <v>8</v>
      </c>
      <c r="B386" s="5" t="s">
        <v>241</v>
      </c>
      <c r="C386" s="5" t="s">
        <v>27</v>
      </c>
      <c r="D386" s="5" t="s">
        <v>385</v>
      </c>
      <c r="E386" s="5" t="s">
        <v>384</v>
      </c>
      <c r="F386" s="5" t="s">
        <v>30</v>
      </c>
      <c r="G386" s="5" t="s">
        <v>392</v>
      </c>
      <c r="H386" s="5" t="s">
        <v>40</v>
      </c>
      <c r="I386" s="5" t="s">
        <v>248</v>
      </c>
      <c r="J386" s="5">
        <v>2250</v>
      </c>
      <c r="K386" s="5">
        <v>26.5</v>
      </c>
      <c r="L386" s="7">
        <f t="shared" si="36"/>
        <v>84.905660377358487</v>
      </c>
      <c r="M386" s="5" t="s">
        <v>10</v>
      </c>
      <c r="N386" s="5">
        <v>4</v>
      </c>
      <c r="O386" s="6">
        <f t="shared" si="37"/>
        <v>10.1376156995372</v>
      </c>
      <c r="P386" s="6">
        <f t="shared" si="38"/>
        <v>1.0543120327518689</v>
      </c>
      <c r="Q386" s="10">
        <f t="shared" si="39"/>
        <v>2.1964834015663931E-2</v>
      </c>
      <c r="R386" s="10">
        <f t="shared" si="40"/>
        <v>9.033353218570736E-2</v>
      </c>
      <c r="S386" s="10">
        <f t="shared" si="41"/>
        <v>0.11229836620137129</v>
      </c>
    </row>
    <row r="387" spans="1:19" x14ac:dyDescent="0.25">
      <c r="A387" s="5" t="s">
        <v>8</v>
      </c>
      <c r="B387" s="5" t="s">
        <v>241</v>
      </c>
      <c r="C387" s="5" t="s">
        <v>27</v>
      </c>
      <c r="D387" s="5" t="s">
        <v>385</v>
      </c>
      <c r="E387" s="5" t="s">
        <v>384</v>
      </c>
      <c r="F387" s="5" t="s">
        <v>30</v>
      </c>
      <c r="G387" s="5" t="s">
        <v>392</v>
      </c>
      <c r="H387" s="5" t="s">
        <v>40</v>
      </c>
      <c r="I387" s="5" t="s">
        <v>256</v>
      </c>
      <c r="J387" s="5">
        <v>2435</v>
      </c>
      <c r="K387" s="5">
        <v>30.5</v>
      </c>
      <c r="L387" s="7">
        <f t="shared" si="36"/>
        <v>79.836065573770497</v>
      </c>
      <c r="M387" s="5" t="s">
        <v>10</v>
      </c>
      <c r="N387" s="5">
        <v>4</v>
      </c>
      <c r="O387" s="6">
        <f t="shared" si="37"/>
        <v>9.7001228668368729</v>
      </c>
      <c r="P387" s="6">
        <f t="shared" si="38"/>
        <v>1.0088127781510348</v>
      </c>
      <c r="Q387" s="10">
        <f t="shared" si="39"/>
        <v>2.1016932878146558E-2</v>
      </c>
      <c r="R387" s="10">
        <f t="shared" si="40"/>
        <v>8.7393684760953466E-2</v>
      </c>
      <c r="S387" s="10">
        <f t="shared" si="41"/>
        <v>0.10841061763910002</v>
      </c>
    </row>
    <row r="388" spans="1:19" x14ac:dyDescent="0.25">
      <c r="A388" s="5" t="s">
        <v>8</v>
      </c>
      <c r="B388" s="5" t="s">
        <v>289</v>
      </c>
      <c r="C388" s="5" t="s">
        <v>27</v>
      </c>
      <c r="D388" s="5" t="s">
        <v>385</v>
      </c>
      <c r="E388" s="5" t="s">
        <v>384</v>
      </c>
      <c r="F388" s="5" t="s">
        <v>30</v>
      </c>
      <c r="G388" s="5" t="s">
        <v>392</v>
      </c>
      <c r="H388" s="5" t="s">
        <v>40</v>
      </c>
      <c r="I388" s="5" t="s">
        <v>256</v>
      </c>
      <c r="J388" s="5">
        <v>2718</v>
      </c>
      <c r="K388" s="5">
        <v>23.1</v>
      </c>
      <c r="L388" s="7">
        <f t="shared" si="36"/>
        <v>117.66233766233765</v>
      </c>
      <c r="M388" s="5" t="s">
        <v>10</v>
      </c>
      <c r="N388" s="5">
        <v>4</v>
      </c>
      <c r="O388" s="6">
        <f t="shared" si="37"/>
        <v>23.518218164951929</v>
      </c>
      <c r="P388" s="6">
        <f t="shared" si="38"/>
        <v>2.4458946891549997</v>
      </c>
      <c r="Q388" s="10">
        <f t="shared" si="39"/>
        <v>5.0956139357395847E-2</v>
      </c>
      <c r="R388" s="10">
        <f t="shared" si="40"/>
        <v>0.16980498484927839</v>
      </c>
      <c r="S388" s="10">
        <f t="shared" si="41"/>
        <v>0.22076112420667424</v>
      </c>
    </row>
    <row r="389" spans="1:19" x14ac:dyDescent="0.25">
      <c r="A389" s="5" t="s">
        <v>8</v>
      </c>
      <c r="B389" s="5" t="s">
        <v>290</v>
      </c>
      <c r="C389" s="5" t="s">
        <v>27</v>
      </c>
      <c r="D389" s="5" t="s">
        <v>385</v>
      </c>
      <c r="E389" s="5" t="s">
        <v>384</v>
      </c>
      <c r="F389" s="5" t="s">
        <v>30</v>
      </c>
      <c r="G389" s="5" t="s">
        <v>392</v>
      </c>
      <c r="H389" s="5" t="s">
        <v>40</v>
      </c>
      <c r="I389" s="5" t="s">
        <v>256</v>
      </c>
      <c r="J389" s="5">
        <v>2452</v>
      </c>
      <c r="K389" s="5">
        <v>30</v>
      </c>
      <c r="L389" s="7">
        <f t="shared" si="36"/>
        <v>81.733333333333334</v>
      </c>
      <c r="M389" s="5" t="s">
        <v>10</v>
      </c>
      <c r="N389" s="5">
        <v>4</v>
      </c>
      <c r="O389" s="6">
        <f t="shared" si="37"/>
        <v>10.237617644444445</v>
      </c>
      <c r="P389" s="6">
        <f t="shared" si="38"/>
        <v>1.0647122350222222</v>
      </c>
      <c r="Q389" s="10">
        <f t="shared" si="39"/>
        <v>2.2181504896296295E-2</v>
      </c>
      <c r="R389" s="10">
        <f t="shared" si="40"/>
        <v>9.1001029050637408E-2</v>
      </c>
      <c r="S389" s="10">
        <f t="shared" si="41"/>
        <v>0.1131825339469337</v>
      </c>
    </row>
    <row r="390" spans="1:19" x14ac:dyDescent="0.25">
      <c r="A390" s="5" t="s">
        <v>8</v>
      </c>
      <c r="B390" s="5" t="s">
        <v>375</v>
      </c>
      <c r="C390" s="5" t="s">
        <v>27</v>
      </c>
      <c r="D390" s="5" t="s">
        <v>385</v>
      </c>
      <c r="E390" s="5" t="s">
        <v>384</v>
      </c>
      <c r="F390" s="5" t="s">
        <v>30</v>
      </c>
      <c r="G390" s="5" t="s">
        <v>392</v>
      </c>
      <c r="H390" s="5" t="s">
        <v>40</v>
      </c>
      <c r="I390" s="5" t="s">
        <v>376</v>
      </c>
      <c r="J390" s="5">
        <v>2200</v>
      </c>
      <c r="K390" s="5">
        <v>31.5</v>
      </c>
      <c r="L390" s="7">
        <f t="shared" si="36"/>
        <v>69.841269841269835</v>
      </c>
      <c r="M390" s="5" t="s">
        <v>10</v>
      </c>
      <c r="N390" s="5">
        <v>4</v>
      </c>
      <c r="O390" s="6">
        <f t="shared" si="37"/>
        <v>6.706979087931467</v>
      </c>
      <c r="P390" s="6">
        <f t="shared" si="38"/>
        <v>0.69752582514487249</v>
      </c>
      <c r="Q390" s="10">
        <f t="shared" si="39"/>
        <v>1.453178802385151E-2</v>
      </c>
      <c r="R390" s="10">
        <f t="shared" si="40"/>
        <v>6.626624143790244E-2</v>
      </c>
      <c r="S390" s="10">
        <f t="shared" si="41"/>
        <v>8.0798029461753948E-2</v>
      </c>
    </row>
    <row r="391" spans="1:19" x14ac:dyDescent="0.25">
      <c r="A391" s="5" t="s">
        <v>8</v>
      </c>
      <c r="B391" s="5" t="s">
        <v>241</v>
      </c>
      <c r="C391" s="5" t="s">
        <v>27</v>
      </c>
      <c r="D391" s="5" t="s">
        <v>385</v>
      </c>
      <c r="E391" s="5" t="s">
        <v>384</v>
      </c>
      <c r="F391" s="5" t="s">
        <v>30</v>
      </c>
      <c r="G391" s="5" t="s">
        <v>392</v>
      </c>
      <c r="H391" s="5" t="s">
        <v>40</v>
      </c>
      <c r="I391" s="5" t="s">
        <v>259</v>
      </c>
      <c r="J391" s="5">
        <v>2120</v>
      </c>
      <c r="K391" s="5">
        <v>28</v>
      </c>
      <c r="L391" s="7">
        <f t="shared" si="36"/>
        <v>75.714285714285708</v>
      </c>
      <c r="M391" s="5" t="s">
        <v>10</v>
      </c>
      <c r="N391" s="5">
        <v>4</v>
      </c>
      <c r="O391" s="6">
        <f t="shared" si="37"/>
        <v>7.5957653061224475</v>
      </c>
      <c r="P391" s="6">
        <f t="shared" si="38"/>
        <v>0.78995959183673448</v>
      </c>
      <c r="Q391" s="10">
        <f t="shared" si="39"/>
        <v>1.6457491496598635E-2</v>
      </c>
      <c r="R391" s="10">
        <f t="shared" si="40"/>
        <v>7.2748790523327542E-2</v>
      </c>
      <c r="S391" s="10">
        <f t="shared" si="41"/>
        <v>8.920628201992617E-2</v>
      </c>
    </row>
    <row r="392" spans="1:19" x14ac:dyDescent="0.25">
      <c r="A392" s="5" t="s">
        <v>8</v>
      </c>
      <c r="B392" s="5" t="s">
        <v>241</v>
      </c>
      <c r="C392" s="5" t="s">
        <v>27</v>
      </c>
      <c r="D392" s="5" t="s">
        <v>385</v>
      </c>
      <c r="E392" s="5" t="s">
        <v>384</v>
      </c>
      <c r="F392" s="5" t="s">
        <v>30</v>
      </c>
      <c r="G392" s="5" t="s">
        <v>392</v>
      </c>
      <c r="H392" s="5" t="s">
        <v>40</v>
      </c>
      <c r="I392" s="5" t="s">
        <v>259</v>
      </c>
      <c r="J392" s="5">
        <v>2340</v>
      </c>
      <c r="K392" s="5">
        <v>34.200000000000003</v>
      </c>
      <c r="L392" s="7">
        <f t="shared" si="36"/>
        <v>68.421052631578945</v>
      </c>
      <c r="M392" s="5" t="s">
        <v>9</v>
      </c>
      <c r="N392" s="5">
        <v>4</v>
      </c>
      <c r="O392" s="6">
        <f t="shared" si="37"/>
        <v>6.8466066481994456</v>
      </c>
      <c r="P392" s="6">
        <f t="shared" si="38"/>
        <v>0.71204709141274225</v>
      </c>
      <c r="Q392" s="10">
        <f t="shared" si="39"/>
        <v>1.4834314404432133E-2</v>
      </c>
      <c r="R392" s="10">
        <f t="shared" si="40"/>
        <v>6.7298232379061906E-2</v>
      </c>
      <c r="S392" s="10">
        <f t="shared" si="41"/>
        <v>8.2132546783494034E-2</v>
      </c>
    </row>
    <row r="393" spans="1:19" x14ac:dyDescent="0.25">
      <c r="A393" s="5" t="s">
        <v>8</v>
      </c>
      <c r="B393" s="5" t="s">
        <v>241</v>
      </c>
      <c r="C393" s="5" t="s">
        <v>27</v>
      </c>
      <c r="D393" s="5" t="s">
        <v>385</v>
      </c>
      <c r="E393" s="5" t="s">
        <v>384</v>
      </c>
      <c r="F393" s="5" t="s">
        <v>30</v>
      </c>
      <c r="G393" s="5" t="s">
        <v>392</v>
      </c>
      <c r="H393" s="5" t="s">
        <v>40</v>
      </c>
      <c r="I393" s="5" t="s">
        <v>50</v>
      </c>
      <c r="J393" s="5">
        <v>1960</v>
      </c>
      <c r="K393" s="5">
        <v>26.5</v>
      </c>
      <c r="L393" s="7">
        <f t="shared" si="36"/>
        <v>73.962264150943398</v>
      </c>
      <c r="M393" s="5" t="s">
        <v>10</v>
      </c>
      <c r="N393" s="5">
        <v>4</v>
      </c>
      <c r="O393" s="6">
        <f t="shared" si="37"/>
        <v>6.7012602349590606</v>
      </c>
      <c r="P393" s="6">
        <f t="shared" si="38"/>
        <v>0.69693106443574226</v>
      </c>
      <c r="Q393" s="10">
        <f t="shared" si="39"/>
        <v>1.4519397175744631E-2</v>
      </c>
      <c r="R393" s="10">
        <f t="shared" si="40"/>
        <v>6.62238593952931E-2</v>
      </c>
      <c r="S393" s="10">
        <f t="shared" si="41"/>
        <v>8.074325657103773E-2</v>
      </c>
    </row>
    <row r="394" spans="1:19" x14ac:dyDescent="0.25">
      <c r="A394" s="5" t="s">
        <v>8</v>
      </c>
      <c r="B394" s="5" t="s">
        <v>241</v>
      </c>
      <c r="C394" s="5" t="s">
        <v>27</v>
      </c>
      <c r="D394" s="5" t="s">
        <v>385</v>
      </c>
      <c r="E394" s="5" t="s">
        <v>384</v>
      </c>
      <c r="F394" s="5" t="s">
        <v>30</v>
      </c>
      <c r="G394" s="5" t="s">
        <v>392</v>
      </c>
      <c r="H394" s="5" t="s">
        <v>40</v>
      </c>
      <c r="I394" s="5" t="s">
        <v>50</v>
      </c>
      <c r="J394" s="5">
        <v>1915</v>
      </c>
      <c r="K394" s="5">
        <v>30</v>
      </c>
      <c r="L394" s="7">
        <f t="shared" si="36"/>
        <v>63.833333333333336</v>
      </c>
      <c r="M394" s="5" t="s">
        <v>9</v>
      </c>
      <c r="N394" s="5">
        <v>4</v>
      </c>
      <c r="O394" s="6">
        <f t="shared" si="37"/>
        <v>4.8768999131944453</v>
      </c>
      <c r="P394" s="6">
        <f t="shared" si="38"/>
        <v>0.50719759097222228</v>
      </c>
      <c r="Q394" s="10">
        <f t="shared" si="39"/>
        <v>1.0566616478587964E-2</v>
      </c>
      <c r="R394" s="10">
        <f t="shared" si="40"/>
        <v>5.2180111939267297E-2</v>
      </c>
      <c r="S394" s="10">
        <f t="shared" si="41"/>
        <v>6.2746728417855266E-2</v>
      </c>
    </row>
    <row r="395" spans="1:19" x14ac:dyDescent="0.25">
      <c r="A395" s="5" t="s">
        <v>8</v>
      </c>
      <c r="B395" s="5" t="s">
        <v>241</v>
      </c>
      <c r="C395" s="5" t="s">
        <v>27</v>
      </c>
      <c r="D395" s="5" t="s">
        <v>385</v>
      </c>
      <c r="E395" s="5" t="s">
        <v>384</v>
      </c>
      <c r="F395" s="5" t="s">
        <v>30</v>
      </c>
      <c r="G395" s="5" t="s">
        <v>392</v>
      </c>
      <c r="H395" s="5" t="s">
        <v>40</v>
      </c>
      <c r="I395" s="5" t="s">
        <v>246</v>
      </c>
      <c r="J395" s="5">
        <v>1545</v>
      </c>
      <c r="K395" s="5">
        <v>20.5</v>
      </c>
      <c r="L395" s="7">
        <f t="shared" si="36"/>
        <v>75.365853658536579</v>
      </c>
      <c r="M395" s="5" t="s">
        <v>10</v>
      </c>
      <c r="N395" s="5">
        <v>4</v>
      </c>
      <c r="O395" s="6">
        <f t="shared" si="37"/>
        <v>5.4847614886972025</v>
      </c>
      <c r="P395" s="6">
        <f t="shared" si="38"/>
        <v>0.5704151948245092</v>
      </c>
      <c r="Q395" s="10">
        <f t="shared" si="39"/>
        <v>1.1883649892177273E-2</v>
      </c>
      <c r="R395" s="10">
        <f t="shared" si="40"/>
        <v>5.6985640531587591E-2</v>
      </c>
      <c r="S395" s="10">
        <f t="shared" si="41"/>
        <v>6.8869290423764856E-2</v>
      </c>
    </row>
    <row r="396" spans="1:19" x14ac:dyDescent="0.25">
      <c r="A396" s="5" t="s">
        <v>8</v>
      </c>
      <c r="B396" s="5" t="s">
        <v>241</v>
      </c>
      <c r="C396" s="5" t="s">
        <v>27</v>
      </c>
      <c r="D396" s="5" t="s">
        <v>385</v>
      </c>
      <c r="E396" s="5" t="s">
        <v>384</v>
      </c>
      <c r="F396" s="5" t="s">
        <v>30</v>
      </c>
      <c r="G396" s="5" t="s">
        <v>392</v>
      </c>
      <c r="H396" s="5" t="s">
        <v>40</v>
      </c>
      <c r="I396" s="5" t="s">
        <v>262</v>
      </c>
      <c r="J396" s="5">
        <v>2320</v>
      </c>
      <c r="K396" s="5">
        <v>28.5</v>
      </c>
      <c r="L396" s="7">
        <f t="shared" si="36"/>
        <v>81.403508771929822</v>
      </c>
      <c r="M396" s="5" t="s">
        <v>10</v>
      </c>
      <c r="N396" s="5">
        <v>4</v>
      </c>
      <c r="O396" s="6">
        <f t="shared" si="37"/>
        <v>9.6084702985533994</v>
      </c>
      <c r="P396" s="6">
        <f t="shared" si="38"/>
        <v>0.99928091104955352</v>
      </c>
      <c r="Q396" s="10">
        <f t="shared" si="39"/>
        <v>2.0818352313532365E-2</v>
      </c>
      <c r="R396" s="10">
        <f t="shared" si="40"/>
        <v>8.6773639521385768E-2</v>
      </c>
      <c r="S396" s="10">
        <f t="shared" si="41"/>
        <v>0.10759199183491813</v>
      </c>
    </row>
    <row r="397" spans="1:19" x14ac:dyDescent="0.25">
      <c r="A397" s="5" t="s">
        <v>8</v>
      </c>
      <c r="B397" s="5" t="s">
        <v>241</v>
      </c>
      <c r="C397" s="5" t="s">
        <v>27</v>
      </c>
      <c r="D397" s="5" t="s">
        <v>385</v>
      </c>
      <c r="E397" s="5" t="s">
        <v>384</v>
      </c>
      <c r="F397" s="5" t="s">
        <v>30</v>
      </c>
      <c r="G397" s="5" t="s">
        <v>392</v>
      </c>
      <c r="H397" s="5" t="s">
        <v>40</v>
      </c>
      <c r="I397" s="5" t="s">
        <v>262</v>
      </c>
      <c r="J397" s="5">
        <v>2100</v>
      </c>
      <c r="K397" s="5">
        <v>32</v>
      </c>
      <c r="L397" s="7">
        <f t="shared" si="36"/>
        <v>65.625</v>
      </c>
      <c r="M397" s="5" t="s">
        <v>9</v>
      </c>
      <c r="N397" s="5">
        <v>4</v>
      </c>
      <c r="O397" s="6">
        <f t="shared" si="37"/>
        <v>5.6524658203125</v>
      </c>
      <c r="P397" s="6">
        <f t="shared" si="38"/>
        <v>0.58785644531249992</v>
      </c>
      <c r="Q397" s="10">
        <f t="shared" si="39"/>
        <v>1.2247009277343748E-2</v>
      </c>
      <c r="R397" s="10">
        <f t="shared" si="40"/>
        <v>5.8287520740768706E-2</v>
      </c>
      <c r="S397" s="10">
        <f t="shared" si="41"/>
        <v>7.0534530018112454E-2</v>
      </c>
    </row>
    <row r="398" spans="1:19" x14ac:dyDescent="0.25">
      <c r="A398" s="5" t="s">
        <v>22</v>
      </c>
      <c r="B398" s="5" t="s">
        <v>26</v>
      </c>
      <c r="C398" s="5" t="s">
        <v>27</v>
      </c>
      <c r="D398" s="5" t="s">
        <v>385</v>
      </c>
      <c r="E398" s="5" t="s">
        <v>384</v>
      </c>
      <c r="F398" s="5" t="s">
        <v>30</v>
      </c>
      <c r="G398" s="5" t="s">
        <v>392</v>
      </c>
      <c r="H398" s="5" t="s">
        <v>40</v>
      </c>
      <c r="I398" s="5" t="s">
        <v>43</v>
      </c>
      <c r="J398" s="5">
        <v>2000</v>
      </c>
      <c r="K398" s="5">
        <v>31.5</v>
      </c>
      <c r="L398" s="7">
        <f t="shared" si="36"/>
        <v>63.492063492063494</v>
      </c>
      <c r="M398" s="5" t="s">
        <v>10</v>
      </c>
      <c r="N398" s="5">
        <v>4</v>
      </c>
      <c r="O398" s="6">
        <f t="shared" si="37"/>
        <v>5.0390526581002772</v>
      </c>
      <c r="P398" s="6">
        <f t="shared" si="38"/>
        <v>0.52406147644242884</v>
      </c>
      <c r="Q398" s="10">
        <f t="shared" si="39"/>
        <v>1.0917947425883935E-2</v>
      </c>
      <c r="R398" s="10">
        <f t="shared" si="40"/>
        <v>5.34759855037336E-2</v>
      </c>
      <c r="S398" s="10">
        <f t="shared" si="41"/>
        <v>6.4393932929617537E-2</v>
      </c>
    </row>
    <row r="399" spans="1:19" x14ac:dyDescent="0.25">
      <c r="A399" s="5" t="s">
        <v>22</v>
      </c>
      <c r="B399" s="5" t="s">
        <v>26</v>
      </c>
      <c r="C399" s="5" t="s">
        <v>27</v>
      </c>
      <c r="D399" s="5" t="s">
        <v>385</v>
      </c>
      <c r="E399" s="5" t="s">
        <v>384</v>
      </c>
      <c r="F399" s="5" t="s">
        <v>30</v>
      </c>
      <c r="G399" s="5" t="s">
        <v>392</v>
      </c>
      <c r="H399" s="5" t="s">
        <v>40</v>
      </c>
      <c r="I399" s="5" t="s">
        <v>43</v>
      </c>
      <c r="J399" s="5">
        <v>2200</v>
      </c>
      <c r="K399" s="5">
        <v>36</v>
      </c>
      <c r="L399" s="7">
        <f t="shared" si="36"/>
        <v>61.111111111111114</v>
      </c>
      <c r="M399" s="5" t="s">
        <v>9</v>
      </c>
      <c r="N399" s="5">
        <v>4</v>
      </c>
      <c r="O399" s="6">
        <f t="shared" si="37"/>
        <v>5.1350308641975309</v>
      </c>
      <c r="P399" s="6">
        <f t="shared" si="38"/>
        <v>0.53404320987654319</v>
      </c>
      <c r="Q399" s="10">
        <f t="shared" si="39"/>
        <v>1.1125900205761317E-2</v>
      </c>
      <c r="R399" s="10">
        <f t="shared" si="40"/>
        <v>5.4238093824659765E-2</v>
      </c>
      <c r="S399" s="10">
        <f t="shared" si="41"/>
        <v>6.5363994030421077E-2</v>
      </c>
    </row>
    <row r="400" spans="1:19" x14ac:dyDescent="0.25">
      <c r="A400" s="5" t="s">
        <v>8</v>
      </c>
      <c r="B400" s="5" t="s">
        <v>241</v>
      </c>
      <c r="C400" s="5" t="s">
        <v>27</v>
      </c>
      <c r="D400" s="5" t="s">
        <v>385</v>
      </c>
      <c r="E400" s="5" t="s">
        <v>384</v>
      </c>
      <c r="F400" s="5" t="s">
        <v>30</v>
      </c>
      <c r="G400" s="5" t="s">
        <v>392</v>
      </c>
      <c r="H400" s="5" t="s">
        <v>40</v>
      </c>
      <c r="I400" s="5" t="s">
        <v>43</v>
      </c>
      <c r="J400" s="5">
        <v>1850</v>
      </c>
      <c r="K400" s="5">
        <v>32</v>
      </c>
      <c r="L400" s="7">
        <f t="shared" si="36"/>
        <v>57.8125</v>
      </c>
      <c r="M400" s="5" t="s">
        <v>10</v>
      </c>
      <c r="N400" s="5">
        <v>4</v>
      </c>
      <c r="O400" s="6">
        <f t="shared" si="37"/>
        <v>3.8645172119140625</v>
      </c>
      <c r="P400" s="6">
        <f t="shared" si="38"/>
        <v>0.40190979003906241</v>
      </c>
      <c r="Q400" s="10">
        <f t="shared" si="39"/>
        <v>8.3731206258138013E-3</v>
      </c>
      <c r="R400" s="10">
        <f t="shared" si="40"/>
        <v>4.3824660334541701E-2</v>
      </c>
      <c r="S400" s="10">
        <f t="shared" si="41"/>
        <v>5.2197780960355503E-2</v>
      </c>
    </row>
    <row r="401" spans="1:19" x14ac:dyDescent="0.25">
      <c r="A401" s="5" t="s">
        <v>8</v>
      </c>
      <c r="B401" s="5" t="s">
        <v>241</v>
      </c>
      <c r="C401" s="5" t="s">
        <v>27</v>
      </c>
      <c r="D401" s="5" t="s">
        <v>385</v>
      </c>
      <c r="E401" s="5" t="s">
        <v>384</v>
      </c>
      <c r="F401" s="5" t="s">
        <v>30</v>
      </c>
      <c r="G401" s="5" t="s">
        <v>392</v>
      </c>
      <c r="H401" s="5" t="s">
        <v>40</v>
      </c>
      <c r="I401" s="5" t="s">
        <v>43</v>
      </c>
      <c r="J401" s="5">
        <v>2200</v>
      </c>
      <c r="K401" s="5">
        <v>33</v>
      </c>
      <c r="L401" s="7">
        <f t="shared" si="36"/>
        <v>66.666666666666671</v>
      </c>
      <c r="M401" s="5" t="s">
        <v>9</v>
      </c>
      <c r="N401" s="5">
        <v>4</v>
      </c>
      <c r="O401" s="6">
        <f t="shared" si="37"/>
        <v>6.1111111111111125</v>
      </c>
      <c r="P401" s="6">
        <f t="shared" si="38"/>
        <v>0.63555555555555565</v>
      </c>
      <c r="Q401" s="10">
        <f t="shared" si="39"/>
        <v>1.3240740740740742E-2</v>
      </c>
      <c r="R401" s="10">
        <f t="shared" si="40"/>
        <v>6.1799827002558427E-2</v>
      </c>
      <c r="S401" s="10">
        <f t="shared" si="41"/>
        <v>7.5040567743299175E-2</v>
      </c>
    </row>
    <row r="402" spans="1:19" x14ac:dyDescent="0.25">
      <c r="A402" s="5" t="s">
        <v>8</v>
      </c>
      <c r="B402" s="5" t="s">
        <v>241</v>
      </c>
      <c r="C402" s="5" t="s">
        <v>27</v>
      </c>
      <c r="D402" s="5" t="s">
        <v>385</v>
      </c>
      <c r="E402" s="5" t="s">
        <v>384</v>
      </c>
      <c r="F402" s="5" t="s">
        <v>30</v>
      </c>
      <c r="G402" s="5" t="s">
        <v>392</v>
      </c>
      <c r="H402" s="5" t="s">
        <v>40</v>
      </c>
      <c r="I402" s="5" t="s">
        <v>263</v>
      </c>
      <c r="J402" s="5">
        <v>2260</v>
      </c>
      <c r="K402" s="5">
        <v>33.200000000000003</v>
      </c>
      <c r="L402" s="7">
        <f t="shared" si="36"/>
        <v>68.072289156626496</v>
      </c>
      <c r="M402" s="5" t="s">
        <v>10</v>
      </c>
      <c r="N402" s="5">
        <v>4</v>
      </c>
      <c r="O402" s="6">
        <f t="shared" si="37"/>
        <v>6.5452941283205082</v>
      </c>
      <c r="P402" s="6">
        <f t="shared" si="38"/>
        <v>0.68071058934533279</v>
      </c>
      <c r="Q402" s="10">
        <f t="shared" si="39"/>
        <v>1.41814706113611E-2</v>
      </c>
      <c r="R402" s="10">
        <f t="shared" si="40"/>
        <v>6.506448548789423E-2</v>
      </c>
      <c r="S402" s="10">
        <f t="shared" si="41"/>
        <v>7.9245956099255332E-2</v>
      </c>
    </row>
    <row r="403" spans="1:19" x14ac:dyDescent="0.25">
      <c r="A403" s="5" t="s">
        <v>8</v>
      </c>
      <c r="B403" s="5" t="s">
        <v>241</v>
      </c>
      <c r="C403" s="5" t="s">
        <v>27</v>
      </c>
      <c r="D403" s="5" t="s">
        <v>385</v>
      </c>
      <c r="E403" s="5" t="s">
        <v>384</v>
      </c>
      <c r="F403" s="5" t="s">
        <v>30</v>
      </c>
      <c r="G403" s="5" t="s">
        <v>392</v>
      </c>
      <c r="H403" s="5" t="s">
        <v>40</v>
      </c>
      <c r="I403" s="5" t="s">
        <v>263</v>
      </c>
      <c r="J403" s="5">
        <v>2340</v>
      </c>
      <c r="K403" s="5">
        <v>42.5</v>
      </c>
      <c r="L403" s="7">
        <f t="shared" si="36"/>
        <v>55.058823529411768</v>
      </c>
      <c r="M403" s="5" t="s">
        <v>9</v>
      </c>
      <c r="N403" s="5">
        <v>4</v>
      </c>
      <c r="O403" s="6">
        <f t="shared" si="37"/>
        <v>4.4335307958477514</v>
      </c>
      <c r="P403" s="6">
        <f t="shared" si="38"/>
        <v>0.46108720276816617</v>
      </c>
      <c r="Q403" s="10">
        <f t="shared" si="39"/>
        <v>9.6059833910034607E-3</v>
      </c>
      <c r="R403" s="10">
        <f t="shared" si="40"/>
        <v>4.8580213759297074E-2</v>
      </c>
      <c r="S403" s="10">
        <f t="shared" si="41"/>
        <v>5.8186197150300531E-2</v>
      </c>
    </row>
    <row r="404" spans="1:19" x14ac:dyDescent="0.25">
      <c r="A404" s="5" t="s">
        <v>22</v>
      </c>
      <c r="B404" s="5" t="s">
        <v>26</v>
      </c>
      <c r="C404" s="5" t="s">
        <v>27</v>
      </c>
      <c r="D404" s="5" t="s">
        <v>385</v>
      </c>
      <c r="E404" s="5" t="s">
        <v>384</v>
      </c>
      <c r="F404" s="5" t="s">
        <v>30</v>
      </c>
      <c r="G404" s="5" t="s">
        <v>392</v>
      </c>
      <c r="H404" s="5" t="s">
        <v>40</v>
      </c>
      <c r="I404" s="5" t="s">
        <v>44</v>
      </c>
      <c r="J404" s="5">
        <v>3400</v>
      </c>
      <c r="K404" s="5">
        <v>35</v>
      </c>
      <c r="L404" s="7">
        <f t="shared" si="36"/>
        <v>97.142857142857139</v>
      </c>
      <c r="M404" s="5" t="s">
        <v>10</v>
      </c>
      <c r="N404" s="5">
        <v>4</v>
      </c>
      <c r="O404" s="6">
        <f t="shared" si="37"/>
        <v>20.053061224489795</v>
      </c>
      <c r="P404" s="6">
        <f t="shared" si="38"/>
        <v>2.0855183673469386</v>
      </c>
      <c r="Q404" s="10">
        <f t="shared" si="39"/>
        <v>4.3448299319727886E-2</v>
      </c>
      <c r="R404" s="10">
        <f t="shared" si="40"/>
        <v>0.15067202812691205</v>
      </c>
      <c r="S404" s="10">
        <f t="shared" si="41"/>
        <v>0.19412032744663993</v>
      </c>
    </row>
    <row r="405" spans="1:19" x14ac:dyDescent="0.25">
      <c r="A405" s="5" t="s">
        <v>22</v>
      </c>
      <c r="B405" s="5" t="s">
        <v>26</v>
      </c>
      <c r="C405" s="5" t="s">
        <v>27</v>
      </c>
      <c r="D405" s="5" t="s">
        <v>385</v>
      </c>
      <c r="E405" s="5" t="s">
        <v>384</v>
      </c>
      <c r="F405" s="5" t="s">
        <v>30</v>
      </c>
      <c r="G405" s="5" t="s">
        <v>392</v>
      </c>
      <c r="H405" s="5" t="s">
        <v>40</v>
      </c>
      <c r="I405" s="5" t="s">
        <v>44</v>
      </c>
      <c r="J405" s="5">
        <v>3100</v>
      </c>
      <c r="K405" s="5">
        <v>40</v>
      </c>
      <c r="L405" s="7">
        <f t="shared" si="36"/>
        <v>77.5</v>
      </c>
      <c r="M405" s="5" t="s">
        <v>9</v>
      </c>
      <c r="N405" s="5">
        <v>4</v>
      </c>
      <c r="O405" s="6">
        <f t="shared" si="37"/>
        <v>11.637109375</v>
      </c>
      <c r="P405" s="6">
        <f t="shared" si="38"/>
        <v>1.2102593749999999</v>
      </c>
      <c r="Q405" s="10">
        <f t="shared" si="39"/>
        <v>2.5213736979166665E-2</v>
      </c>
      <c r="R405" s="10">
        <f t="shared" si="40"/>
        <v>0.10017998480100093</v>
      </c>
      <c r="S405" s="10">
        <f t="shared" si="41"/>
        <v>0.12539372178016761</v>
      </c>
    </row>
    <row r="406" spans="1:19" x14ac:dyDescent="0.25">
      <c r="A406" s="5" t="s">
        <v>8</v>
      </c>
      <c r="B406" s="5" t="s">
        <v>241</v>
      </c>
      <c r="C406" s="5" t="s">
        <v>27</v>
      </c>
      <c r="D406" s="5" t="s">
        <v>385</v>
      </c>
      <c r="E406" s="5" t="s">
        <v>384</v>
      </c>
      <c r="F406" s="5" t="s">
        <v>30</v>
      </c>
      <c r="G406" s="5" t="s">
        <v>392</v>
      </c>
      <c r="H406" s="5" t="s">
        <v>40</v>
      </c>
      <c r="I406" s="5" t="s">
        <v>44</v>
      </c>
      <c r="J406" s="5">
        <v>3250</v>
      </c>
      <c r="K406" s="5">
        <v>36.5</v>
      </c>
      <c r="L406" s="7">
        <f t="shared" si="36"/>
        <v>89.041095890410958</v>
      </c>
      <c r="M406" s="5" t="s">
        <v>10</v>
      </c>
      <c r="N406" s="5">
        <v>4</v>
      </c>
      <c r="O406" s="6">
        <f t="shared" si="37"/>
        <v>16.104393413398384</v>
      </c>
      <c r="P406" s="6">
        <f t="shared" si="38"/>
        <v>1.674856914993432</v>
      </c>
      <c r="Q406" s="10">
        <f t="shared" si="39"/>
        <v>3.4892852395696498E-2</v>
      </c>
      <c r="R406" s="10">
        <f t="shared" si="40"/>
        <v>0.12782193945216461</v>
      </c>
      <c r="S406" s="10">
        <f t="shared" si="41"/>
        <v>0.16271479184786111</v>
      </c>
    </row>
    <row r="407" spans="1:19" x14ac:dyDescent="0.25">
      <c r="A407" s="5" t="s">
        <v>8</v>
      </c>
      <c r="B407" s="5" t="s">
        <v>241</v>
      </c>
      <c r="C407" s="5" t="s">
        <v>27</v>
      </c>
      <c r="D407" s="5" t="s">
        <v>385</v>
      </c>
      <c r="E407" s="5" t="s">
        <v>384</v>
      </c>
      <c r="F407" s="5" t="s">
        <v>30</v>
      </c>
      <c r="G407" s="5" t="s">
        <v>392</v>
      </c>
      <c r="H407" s="5" t="s">
        <v>40</v>
      </c>
      <c r="I407" s="5" t="s">
        <v>44</v>
      </c>
      <c r="J407" s="5">
        <v>3100</v>
      </c>
      <c r="K407" s="5">
        <v>42.5</v>
      </c>
      <c r="L407" s="7">
        <f t="shared" si="36"/>
        <v>72.941176470588232</v>
      </c>
      <c r="M407" s="5" t="s">
        <v>9</v>
      </c>
      <c r="N407" s="5">
        <v>4</v>
      </c>
      <c r="O407" s="6">
        <f t="shared" si="37"/>
        <v>10.308304498269894</v>
      </c>
      <c r="P407" s="6">
        <f t="shared" si="38"/>
        <v>1.072063667820069</v>
      </c>
      <c r="Q407" s="10">
        <f t="shared" si="39"/>
        <v>2.2334659746251439E-2</v>
      </c>
      <c r="R407" s="10">
        <f t="shared" si="40"/>
        <v>9.1471869100578224E-2</v>
      </c>
      <c r="S407" s="10">
        <f t="shared" si="41"/>
        <v>0.11380652884682967</v>
      </c>
    </row>
    <row r="408" spans="1:19" x14ac:dyDescent="0.25">
      <c r="A408" s="5" t="s">
        <v>8</v>
      </c>
      <c r="B408" s="5" t="s">
        <v>364</v>
      </c>
      <c r="C408" s="5" t="s">
        <v>27</v>
      </c>
      <c r="D408" s="5" t="s">
        <v>385</v>
      </c>
      <c r="E408" s="5" t="s">
        <v>384</v>
      </c>
      <c r="F408" s="5" t="s">
        <v>30</v>
      </c>
      <c r="G408" s="5" t="s">
        <v>392</v>
      </c>
      <c r="H408" s="5" t="s">
        <v>40</v>
      </c>
      <c r="I408" s="5" t="s">
        <v>365</v>
      </c>
      <c r="J408" s="5">
        <v>1764</v>
      </c>
      <c r="K408" s="5">
        <v>23.3</v>
      </c>
      <c r="L408" s="7">
        <f t="shared" si="36"/>
        <v>75.708154506437765</v>
      </c>
      <c r="M408" s="5" t="s">
        <v>10</v>
      </c>
      <c r="N408" s="5">
        <v>4</v>
      </c>
      <c r="O408" s="6">
        <f t="shared" si="37"/>
        <v>6.3192264362946453</v>
      </c>
      <c r="P408" s="6">
        <f t="shared" si="38"/>
        <v>0.65719954937464309</v>
      </c>
      <c r="Q408" s="10">
        <f t="shared" si="39"/>
        <v>1.3691657278638398E-2</v>
      </c>
      <c r="R408" s="10">
        <f t="shared" si="40"/>
        <v>6.3371656950773778E-2</v>
      </c>
      <c r="S408" s="10">
        <f t="shared" si="41"/>
        <v>7.7063314229412178E-2</v>
      </c>
    </row>
    <row r="409" spans="1:19" x14ac:dyDescent="0.25">
      <c r="A409" s="5" t="s">
        <v>8</v>
      </c>
      <c r="B409" s="5" t="s">
        <v>241</v>
      </c>
      <c r="C409" s="5" t="s">
        <v>27</v>
      </c>
      <c r="D409" s="5" t="s">
        <v>385</v>
      </c>
      <c r="E409" s="5" t="s">
        <v>384</v>
      </c>
      <c r="F409" s="5" t="s">
        <v>30</v>
      </c>
      <c r="G409" s="5" t="s">
        <v>392</v>
      </c>
      <c r="H409" s="5" t="s">
        <v>40</v>
      </c>
      <c r="I409" s="5" t="s">
        <v>247</v>
      </c>
      <c r="J409" s="5">
        <v>2450</v>
      </c>
      <c r="K409" s="5">
        <v>30</v>
      </c>
      <c r="L409" s="7">
        <f t="shared" si="36"/>
        <v>81.666666666666671</v>
      </c>
      <c r="M409" s="5" t="s">
        <v>10</v>
      </c>
      <c r="N409" s="5">
        <v>4</v>
      </c>
      <c r="O409" s="6">
        <f t="shared" si="37"/>
        <v>10.212586805555558</v>
      </c>
      <c r="P409" s="6">
        <f t="shared" si="38"/>
        <v>1.0621090277777778</v>
      </c>
      <c r="Q409" s="10">
        <f t="shared" si="39"/>
        <v>2.2127271412037044E-2</v>
      </c>
      <c r="R409" s="10">
        <f t="shared" si="40"/>
        <v>9.0834105769885987E-2</v>
      </c>
      <c r="S409" s="10">
        <f t="shared" si="41"/>
        <v>0.11296137718192303</v>
      </c>
    </row>
    <row r="410" spans="1:19" x14ac:dyDescent="0.25">
      <c r="A410" s="5" t="s">
        <v>8</v>
      </c>
      <c r="B410" s="5" t="s">
        <v>241</v>
      </c>
      <c r="C410" s="5" t="s">
        <v>27</v>
      </c>
      <c r="D410" s="5" t="s">
        <v>385</v>
      </c>
      <c r="E410" s="5" t="s">
        <v>384</v>
      </c>
      <c r="F410" s="5" t="s">
        <v>30</v>
      </c>
      <c r="G410" s="5" t="s">
        <v>392</v>
      </c>
      <c r="H410" s="5" t="s">
        <v>40</v>
      </c>
      <c r="I410" s="5" t="s">
        <v>247</v>
      </c>
      <c r="J410" s="5">
        <v>2470</v>
      </c>
      <c r="K410" s="5">
        <v>33.5</v>
      </c>
      <c r="L410" s="7">
        <f t="shared" si="36"/>
        <v>73.731343283582092</v>
      </c>
      <c r="M410" s="5" t="s">
        <v>9</v>
      </c>
      <c r="N410" s="5">
        <v>4</v>
      </c>
      <c r="O410" s="6">
        <f t="shared" si="37"/>
        <v>8.3923050790822025</v>
      </c>
      <c r="P410" s="6">
        <f t="shared" si="38"/>
        <v>0.87279972822454899</v>
      </c>
      <c r="Q410" s="10">
        <f t="shared" si="39"/>
        <v>1.8183327671344771E-2</v>
      </c>
      <c r="R410" s="10">
        <f t="shared" si="40"/>
        <v>7.8398557442714095E-2</v>
      </c>
      <c r="S410" s="10">
        <f t="shared" si="41"/>
        <v>9.6581885114058866E-2</v>
      </c>
    </row>
    <row r="411" spans="1:19" x14ac:dyDescent="0.25">
      <c r="A411" s="5" t="s">
        <v>8</v>
      </c>
      <c r="B411" s="5" t="s">
        <v>241</v>
      </c>
      <c r="C411" s="5" t="s">
        <v>27</v>
      </c>
      <c r="D411" s="5" t="s">
        <v>385</v>
      </c>
      <c r="E411" s="5" t="s">
        <v>384</v>
      </c>
      <c r="F411" s="5" t="s">
        <v>30</v>
      </c>
      <c r="G411" s="5" t="s">
        <v>392</v>
      </c>
      <c r="H411" s="5" t="s">
        <v>40</v>
      </c>
      <c r="I411" s="5" t="s">
        <v>253</v>
      </c>
      <c r="J411" s="5">
        <v>1750</v>
      </c>
      <c r="K411" s="5">
        <v>28.5</v>
      </c>
      <c r="L411" s="7">
        <f t="shared" si="36"/>
        <v>61.403508771929822</v>
      </c>
      <c r="M411" s="5" t="s">
        <v>10</v>
      </c>
      <c r="N411" s="5">
        <v>4</v>
      </c>
      <c r="O411" s="6">
        <f t="shared" si="37"/>
        <v>4.1238650353955055</v>
      </c>
      <c r="P411" s="6">
        <f t="shared" si="38"/>
        <v>0.42888196368113263</v>
      </c>
      <c r="Q411" s="10">
        <f t="shared" si="39"/>
        <v>8.9350409100235947E-3</v>
      </c>
      <c r="R411" s="10">
        <f t="shared" si="40"/>
        <v>4.6012460418506596E-2</v>
      </c>
      <c r="S411" s="10">
        <f t="shared" si="41"/>
        <v>5.4947501328530192E-2</v>
      </c>
    </row>
    <row r="412" spans="1:19" x14ac:dyDescent="0.25">
      <c r="A412" s="5" t="s">
        <v>8</v>
      </c>
      <c r="B412" s="5" t="s">
        <v>241</v>
      </c>
      <c r="C412" s="5" t="s">
        <v>27</v>
      </c>
      <c r="D412" s="5" t="s">
        <v>385</v>
      </c>
      <c r="E412" s="5" t="s">
        <v>384</v>
      </c>
      <c r="F412" s="5" t="s">
        <v>30</v>
      </c>
      <c r="G412" s="5" t="s">
        <v>392</v>
      </c>
      <c r="H412" s="5" t="s">
        <v>40</v>
      </c>
      <c r="I412" s="5" t="s">
        <v>245</v>
      </c>
      <c r="J412" s="5">
        <v>1340</v>
      </c>
      <c r="K412" s="5">
        <v>23</v>
      </c>
      <c r="L412" s="7">
        <f t="shared" si="36"/>
        <v>58.260869565217391</v>
      </c>
      <c r="M412" s="5" t="s">
        <v>10</v>
      </c>
      <c r="N412" s="5">
        <v>4</v>
      </c>
      <c r="O412" s="6">
        <f t="shared" si="37"/>
        <v>2.8427504725897923</v>
      </c>
      <c r="P412" s="6">
        <f t="shared" si="38"/>
        <v>0.29564604914933834</v>
      </c>
      <c r="Q412" s="10">
        <f t="shared" si="39"/>
        <v>6.1592926906112169E-3</v>
      </c>
      <c r="R412" s="10">
        <f t="shared" si="40"/>
        <v>3.4809772072794537E-2</v>
      </c>
      <c r="S412" s="10">
        <f t="shared" si="41"/>
        <v>4.0969064763405755E-2</v>
      </c>
    </row>
    <row r="413" spans="1:19" x14ac:dyDescent="0.25">
      <c r="A413" s="5" t="s">
        <v>8</v>
      </c>
      <c r="B413" s="5" t="s">
        <v>241</v>
      </c>
      <c r="C413" s="5" t="s">
        <v>27</v>
      </c>
      <c r="D413" s="5" t="s">
        <v>385</v>
      </c>
      <c r="E413" s="5" t="s">
        <v>384</v>
      </c>
      <c r="F413" s="5" t="s">
        <v>30</v>
      </c>
      <c r="G413" s="5" t="s">
        <v>392</v>
      </c>
      <c r="H413" s="5" t="s">
        <v>40</v>
      </c>
      <c r="I413" s="5" t="s">
        <v>245</v>
      </c>
      <c r="J413" s="5">
        <v>1200</v>
      </c>
      <c r="K413" s="5">
        <v>18</v>
      </c>
      <c r="L413" s="7">
        <f t="shared" si="36"/>
        <v>66.666666666666671</v>
      </c>
      <c r="M413" s="5" t="s">
        <v>9</v>
      </c>
      <c r="N413" s="5">
        <v>4</v>
      </c>
      <c r="O413" s="6">
        <f t="shared" si="37"/>
        <v>3.3333333333333339</v>
      </c>
      <c r="P413" s="6">
        <f t="shared" si="38"/>
        <v>0.34666666666666673</v>
      </c>
      <c r="Q413" s="10">
        <f t="shared" si="39"/>
        <v>7.2222222222222236E-3</v>
      </c>
      <c r="R413" s="10">
        <f t="shared" si="40"/>
        <v>3.9224388638091127E-2</v>
      </c>
      <c r="S413" s="10">
        <f t="shared" si="41"/>
        <v>4.6446610860313348E-2</v>
      </c>
    </row>
    <row r="414" spans="1:19" x14ac:dyDescent="0.25">
      <c r="A414" s="5" t="s">
        <v>8</v>
      </c>
      <c r="B414" s="5" t="s">
        <v>241</v>
      </c>
      <c r="C414" s="5" t="s">
        <v>27</v>
      </c>
      <c r="D414" s="5" t="s">
        <v>385</v>
      </c>
      <c r="E414" s="5" t="s">
        <v>384</v>
      </c>
      <c r="F414" s="5" t="s">
        <v>30</v>
      </c>
      <c r="G414" s="5" t="s">
        <v>392</v>
      </c>
      <c r="H414" s="5" t="s">
        <v>40</v>
      </c>
      <c r="I414" s="5" t="s">
        <v>254</v>
      </c>
      <c r="J414" s="5">
        <v>2500</v>
      </c>
      <c r="K414" s="5">
        <v>26.5</v>
      </c>
      <c r="L414" s="7">
        <f t="shared" si="36"/>
        <v>94.339622641509436</v>
      </c>
      <c r="M414" s="5" t="s">
        <v>10</v>
      </c>
      <c r="N414" s="5">
        <v>4</v>
      </c>
      <c r="O414" s="6">
        <f t="shared" si="37"/>
        <v>13.906194375222499</v>
      </c>
      <c r="P414" s="6">
        <f t="shared" si="38"/>
        <v>1.44624421502314</v>
      </c>
      <c r="Q414" s="10">
        <f t="shared" si="39"/>
        <v>3.0130087812982081E-2</v>
      </c>
      <c r="R414" s="10">
        <f t="shared" si="40"/>
        <v>0.11449943560372897</v>
      </c>
      <c r="S414" s="10">
        <f t="shared" si="41"/>
        <v>0.14462952341671104</v>
      </c>
    </row>
    <row r="415" spans="1:19" x14ac:dyDescent="0.25">
      <c r="A415" s="5" t="s">
        <v>22</v>
      </c>
      <c r="B415" s="5" t="s">
        <v>63</v>
      </c>
      <c r="C415" s="5" t="s">
        <v>27</v>
      </c>
      <c r="D415" s="5" t="s">
        <v>385</v>
      </c>
      <c r="E415" s="5" t="s">
        <v>384</v>
      </c>
      <c r="F415" s="5" t="s">
        <v>45</v>
      </c>
      <c r="G415" s="5" t="s">
        <v>390</v>
      </c>
      <c r="H415" s="5" t="s">
        <v>68</v>
      </c>
      <c r="I415" s="5" t="s">
        <v>69</v>
      </c>
      <c r="J415" s="5">
        <v>945</v>
      </c>
      <c r="K415" s="5">
        <v>21.5</v>
      </c>
      <c r="L415" s="7">
        <f t="shared" si="36"/>
        <v>43.953488372093027</v>
      </c>
      <c r="M415" s="5" t="s">
        <v>10</v>
      </c>
      <c r="N415" s="5">
        <v>4</v>
      </c>
      <c r="O415" s="6">
        <f t="shared" si="37"/>
        <v>1.1410338358572203</v>
      </c>
      <c r="P415" s="6">
        <f t="shared" si="38"/>
        <v>0.11866751892915092</v>
      </c>
      <c r="Q415" s="10">
        <f t="shared" si="39"/>
        <v>2.4722399776906439E-3</v>
      </c>
      <c r="R415" s="10">
        <f t="shared" si="40"/>
        <v>1.7553794774037217E-2</v>
      </c>
      <c r="S415" s="10">
        <f t="shared" si="41"/>
        <v>2.0026034751727862E-2</v>
      </c>
    </row>
    <row r="416" spans="1:19" x14ac:dyDescent="0.25">
      <c r="A416" s="5" t="s">
        <v>22</v>
      </c>
      <c r="B416" s="5" t="s">
        <v>63</v>
      </c>
      <c r="C416" s="5" t="s">
        <v>27</v>
      </c>
      <c r="D416" s="5" t="s">
        <v>385</v>
      </c>
      <c r="E416" s="5" t="s">
        <v>384</v>
      </c>
      <c r="F416" s="5" t="s">
        <v>45</v>
      </c>
      <c r="G416" s="5" t="s">
        <v>390</v>
      </c>
      <c r="H416" s="5" t="s">
        <v>79</v>
      </c>
      <c r="I416" s="5" t="s">
        <v>80</v>
      </c>
      <c r="J416" s="5">
        <v>1270</v>
      </c>
      <c r="K416" s="5">
        <v>44</v>
      </c>
      <c r="L416" s="7">
        <f t="shared" si="36"/>
        <v>28.863636363636363</v>
      </c>
      <c r="M416" s="5" t="s">
        <v>10</v>
      </c>
      <c r="N416" s="5">
        <v>4</v>
      </c>
      <c r="O416" s="6">
        <f t="shared" si="37"/>
        <v>0.66128066890495862</v>
      </c>
      <c r="P416" s="6">
        <f t="shared" si="38"/>
        <v>6.8773189566115694E-2</v>
      </c>
      <c r="Q416" s="10">
        <f t="shared" si="39"/>
        <v>1.4327747826274103E-3</v>
      </c>
      <c r="R416" s="10">
        <f t="shared" si="40"/>
        <v>1.165967633207318E-2</v>
      </c>
      <c r="S416" s="10">
        <f t="shared" si="41"/>
        <v>1.3092451114700591E-2</v>
      </c>
    </row>
    <row r="417" spans="1:19" x14ac:dyDescent="0.25">
      <c r="A417" s="5" t="s">
        <v>22</v>
      </c>
      <c r="B417" s="5" t="s">
        <v>63</v>
      </c>
      <c r="C417" s="5" t="s">
        <v>27</v>
      </c>
      <c r="D417" s="5" t="s">
        <v>385</v>
      </c>
      <c r="E417" s="5" t="s">
        <v>384</v>
      </c>
      <c r="F417" s="5" t="s">
        <v>45</v>
      </c>
      <c r="G417" s="5" t="s">
        <v>390</v>
      </c>
      <c r="H417" s="5" t="s">
        <v>79</v>
      </c>
      <c r="I417" s="5" t="s">
        <v>80</v>
      </c>
      <c r="J417" s="5">
        <v>1225</v>
      </c>
      <c r="K417" s="5">
        <v>45</v>
      </c>
      <c r="L417" s="7">
        <f t="shared" si="36"/>
        <v>27.222222222222221</v>
      </c>
      <c r="M417" s="5" t="s">
        <v>9</v>
      </c>
      <c r="N417" s="5">
        <v>4</v>
      </c>
      <c r="O417" s="6">
        <f t="shared" si="37"/>
        <v>0.5673659336419753</v>
      </c>
      <c r="P417" s="6">
        <f t="shared" si="38"/>
        <v>5.900605709876542E-2</v>
      </c>
      <c r="Q417" s="10">
        <f t="shared" si="39"/>
        <v>1.2292928562242797E-3</v>
      </c>
      <c r="R417" s="10">
        <f t="shared" si="40"/>
        <v>1.0394283700610837E-2</v>
      </c>
      <c r="S417" s="10">
        <f t="shared" si="41"/>
        <v>1.1623576556835116E-2</v>
      </c>
    </row>
    <row r="418" spans="1:19" x14ac:dyDescent="0.25">
      <c r="A418" s="5" t="s">
        <v>22</v>
      </c>
      <c r="B418" s="5" t="s">
        <v>63</v>
      </c>
      <c r="C418" s="5" t="s">
        <v>27</v>
      </c>
      <c r="D418" s="5" t="s">
        <v>385</v>
      </c>
      <c r="E418" s="5" t="s">
        <v>384</v>
      </c>
      <c r="F418" s="5" t="s">
        <v>45</v>
      </c>
      <c r="G418" s="5" t="s">
        <v>390</v>
      </c>
      <c r="H418" s="5" t="s">
        <v>81</v>
      </c>
      <c r="I418" s="5" t="s">
        <v>82</v>
      </c>
      <c r="J418" s="5">
        <v>740</v>
      </c>
      <c r="K418" s="5">
        <v>27</v>
      </c>
      <c r="L418" s="7">
        <f t="shared" si="36"/>
        <v>27.407407407407408</v>
      </c>
      <c r="M418" s="5" t="s">
        <v>10</v>
      </c>
      <c r="N418" s="5">
        <v>4</v>
      </c>
      <c r="O418" s="6">
        <f t="shared" si="37"/>
        <v>0.34741426611796983</v>
      </c>
      <c r="P418" s="6">
        <f t="shared" si="38"/>
        <v>3.6131083676268862E-2</v>
      </c>
      <c r="Q418" s="10">
        <f t="shared" si="39"/>
        <v>7.5273090992226792E-4</v>
      </c>
      <c r="R418" s="10">
        <f t="shared" si="40"/>
        <v>7.1950341649546588E-3</v>
      </c>
      <c r="S418" s="10">
        <f t="shared" si="41"/>
        <v>7.9477650748769266E-3</v>
      </c>
    </row>
    <row r="419" spans="1:19" x14ac:dyDescent="0.25">
      <c r="A419" s="5" t="s">
        <v>22</v>
      </c>
      <c r="B419" s="5" t="s">
        <v>63</v>
      </c>
      <c r="C419" s="5" t="s">
        <v>27</v>
      </c>
      <c r="D419" s="5" t="s">
        <v>385</v>
      </c>
      <c r="E419" s="5" t="s">
        <v>384</v>
      </c>
      <c r="F419" s="5" t="s">
        <v>45</v>
      </c>
      <c r="G419" s="5" t="s">
        <v>390</v>
      </c>
      <c r="H419" s="5" t="s">
        <v>70</v>
      </c>
      <c r="I419" s="5" t="s">
        <v>71</v>
      </c>
      <c r="J419" s="5">
        <v>950</v>
      </c>
      <c r="K419" s="5">
        <v>37</v>
      </c>
      <c r="L419" s="7">
        <f t="shared" si="36"/>
        <v>25.675675675675677</v>
      </c>
      <c r="M419" s="5" t="s">
        <v>10</v>
      </c>
      <c r="N419" s="5">
        <v>4</v>
      </c>
      <c r="O419" s="6">
        <f t="shared" si="37"/>
        <v>0.39142394083272469</v>
      </c>
      <c r="P419" s="6">
        <f t="shared" si="38"/>
        <v>4.0708089846603367E-2</v>
      </c>
      <c r="Q419" s="10">
        <f t="shared" si="39"/>
        <v>8.4808520513757017E-4</v>
      </c>
      <c r="R419" s="10">
        <f t="shared" si="40"/>
        <v>7.8683317585654267E-3</v>
      </c>
      <c r="S419" s="10">
        <f t="shared" si="41"/>
        <v>8.716416963702997E-3</v>
      </c>
    </row>
    <row r="420" spans="1:19" x14ac:dyDescent="0.25">
      <c r="A420" s="5" t="s">
        <v>8</v>
      </c>
      <c r="B420" s="5" t="s">
        <v>161</v>
      </c>
      <c r="C420" s="5" t="s">
        <v>27</v>
      </c>
      <c r="D420" s="5" t="s">
        <v>385</v>
      </c>
      <c r="E420" s="5" t="s">
        <v>384</v>
      </c>
      <c r="F420" s="5" t="s">
        <v>45</v>
      </c>
      <c r="G420" s="5" t="s">
        <v>390</v>
      </c>
      <c r="H420" s="5" t="s">
        <v>70</v>
      </c>
      <c r="I420" s="5" t="s">
        <v>71</v>
      </c>
      <c r="J420" s="5">
        <v>940</v>
      </c>
      <c r="K420" s="5">
        <v>36</v>
      </c>
      <c r="L420" s="7">
        <f t="shared" si="36"/>
        <v>26.111111111111111</v>
      </c>
      <c r="M420" s="5" t="s">
        <v>10</v>
      </c>
      <c r="N420" s="5">
        <v>4</v>
      </c>
      <c r="O420" s="6">
        <f t="shared" si="37"/>
        <v>0.40055169753086417</v>
      </c>
      <c r="P420" s="6">
        <f t="shared" si="38"/>
        <v>4.1657376543209869E-2</v>
      </c>
      <c r="Q420" s="10">
        <f t="shared" si="39"/>
        <v>8.678620113168723E-4</v>
      </c>
      <c r="R420" s="10">
        <f t="shared" si="40"/>
        <v>8.0055478331547292E-3</v>
      </c>
      <c r="S420" s="10">
        <f t="shared" si="41"/>
        <v>8.8734098444716008E-3</v>
      </c>
    </row>
    <row r="421" spans="1:19" x14ac:dyDescent="0.25">
      <c r="A421" s="5" t="s">
        <v>22</v>
      </c>
      <c r="B421" s="5" t="s">
        <v>63</v>
      </c>
      <c r="C421" s="5" t="s">
        <v>27</v>
      </c>
      <c r="D421" s="5" t="s">
        <v>385</v>
      </c>
      <c r="E421" s="5" t="s">
        <v>384</v>
      </c>
      <c r="F421" s="5" t="s">
        <v>45</v>
      </c>
      <c r="G421" s="5" t="s">
        <v>390</v>
      </c>
      <c r="H421" s="5" t="s">
        <v>75</v>
      </c>
      <c r="I421" s="5" t="s">
        <v>76</v>
      </c>
      <c r="J421" s="5">
        <v>1700</v>
      </c>
      <c r="K421" s="5">
        <v>55</v>
      </c>
      <c r="L421" s="7">
        <f t="shared" si="36"/>
        <v>30.90909090909091</v>
      </c>
      <c r="M421" s="5" t="s">
        <v>10</v>
      </c>
      <c r="N421" s="5">
        <v>4</v>
      </c>
      <c r="O421" s="6">
        <f t="shared" si="37"/>
        <v>1.0150826446280992</v>
      </c>
      <c r="P421" s="6">
        <f t="shared" si="38"/>
        <v>0.10556859504132231</v>
      </c>
      <c r="Q421" s="10">
        <f t="shared" si="39"/>
        <v>2.1993457300275481E-3</v>
      </c>
      <c r="R421" s="10">
        <f t="shared" si="40"/>
        <v>1.6079523553745634E-2</v>
      </c>
      <c r="S421" s="10">
        <f t="shared" si="41"/>
        <v>1.8278869283773182E-2</v>
      </c>
    </row>
    <row r="422" spans="1:19" x14ac:dyDescent="0.25">
      <c r="A422" s="5" t="s">
        <v>22</v>
      </c>
      <c r="B422" s="5" t="s">
        <v>63</v>
      </c>
      <c r="C422" s="5" t="s">
        <v>27</v>
      </c>
      <c r="D422" s="5" t="s">
        <v>385</v>
      </c>
      <c r="E422" s="5" t="s">
        <v>384</v>
      </c>
      <c r="F422" s="5" t="s">
        <v>45</v>
      </c>
      <c r="G422" s="5" t="s">
        <v>390</v>
      </c>
      <c r="H422" s="5" t="s">
        <v>75</v>
      </c>
      <c r="I422" s="5" t="s">
        <v>76</v>
      </c>
      <c r="J422" s="5">
        <v>1450</v>
      </c>
      <c r="K422" s="5">
        <v>48.5</v>
      </c>
      <c r="L422" s="7">
        <f t="shared" si="36"/>
        <v>29.896907216494846</v>
      </c>
      <c r="M422" s="5" t="s">
        <v>9</v>
      </c>
      <c r="N422" s="5">
        <v>4</v>
      </c>
      <c r="O422" s="6">
        <f t="shared" si="37"/>
        <v>0.81002896163247951</v>
      </c>
      <c r="P422" s="6">
        <f t="shared" si="38"/>
        <v>8.4243012009777865E-2</v>
      </c>
      <c r="Q422" s="10">
        <f t="shared" si="39"/>
        <v>1.7550627502037055E-3</v>
      </c>
      <c r="R422" s="10">
        <f t="shared" si="40"/>
        <v>1.3576022042751284E-2</v>
      </c>
      <c r="S422" s="10">
        <f t="shared" si="41"/>
        <v>1.5331084792954988E-2</v>
      </c>
    </row>
    <row r="423" spans="1:19" x14ac:dyDescent="0.25">
      <c r="A423" s="5" t="s">
        <v>8</v>
      </c>
      <c r="B423" s="5" t="s">
        <v>313</v>
      </c>
      <c r="C423" s="5" t="s">
        <v>27</v>
      </c>
      <c r="D423" s="5" t="s">
        <v>385</v>
      </c>
      <c r="E423" s="5" t="s">
        <v>384</v>
      </c>
      <c r="F423" s="5" t="s">
        <v>45</v>
      </c>
      <c r="G423" s="5" t="s">
        <v>390</v>
      </c>
      <c r="H423" s="5" t="s">
        <v>46</v>
      </c>
      <c r="I423" s="5" t="s">
        <v>167</v>
      </c>
      <c r="J423" s="5">
        <v>980</v>
      </c>
      <c r="K423" s="5">
        <v>26</v>
      </c>
      <c r="L423" s="7">
        <f t="shared" si="36"/>
        <v>37.692307692307693</v>
      </c>
      <c r="M423" s="5" t="s">
        <v>10</v>
      </c>
      <c r="N423" s="5">
        <v>4</v>
      </c>
      <c r="O423" s="6">
        <f t="shared" si="37"/>
        <v>0.87018491124260366</v>
      </c>
      <c r="P423" s="6">
        <f t="shared" si="38"/>
        <v>9.0499230769230776E-2</v>
      </c>
      <c r="Q423" s="10">
        <f t="shared" si="39"/>
        <v>1.8854006410256412E-3</v>
      </c>
      <c r="R423" s="10">
        <f t="shared" si="40"/>
        <v>1.4325367948525116E-2</v>
      </c>
      <c r="S423" s="10">
        <f t="shared" si="41"/>
        <v>1.6210768589550756E-2</v>
      </c>
    </row>
    <row r="424" spans="1:19" x14ac:dyDescent="0.25">
      <c r="A424" s="5" t="s">
        <v>8</v>
      </c>
      <c r="B424" s="5" t="s">
        <v>206</v>
      </c>
      <c r="C424" s="5" t="s">
        <v>27</v>
      </c>
      <c r="D424" s="5" t="s">
        <v>385</v>
      </c>
      <c r="E424" s="5" t="s">
        <v>384</v>
      </c>
      <c r="F424" s="5" t="s">
        <v>45</v>
      </c>
      <c r="G424" s="5" t="s">
        <v>390</v>
      </c>
      <c r="H424" s="5" t="s">
        <v>46</v>
      </c>
      <c r="I424" s="5" t="s">
        <v>207</v>
      </c>
      <c r="J424" s="5">
        <v>1000</v>
      </c>
      <c r="K424" s="5">
        <v>28.3</v>
      </c>
      <c r="L424" s="7">
        <f t="shared" si="36"/>
        <v>35.335689045936398</v>
      </c>
      <c r="M424" s="5" t="s">
        <v>10</v>
      </c>
      <c r="N424" s="5">
        <v>4</v>
      </c>
      <c r="O424" s="6">
        <f t="shared" si="37"/>
        <v>0.78038182521944355</v>
      </c>
      <c r="P424" s="6">
        <f t="shared" si="38"/>
        <v>8.1159709822822126E-2</v>
      </c>
      <c r="Q424" s="10">
        <f t="shared" si="39"/>
        <v>1.690827287975461E-3</v>
      </c>
      <c r="R424" s="10">
        <f t="shared" si="40"/>
        <v>1.3201627791862751E-2</v>
      </c>
      <c r="S424" s="10">
        <f t="shared" si="41"/>
        <v>1.4892455079838211E-2</v>
      </c>
    </row>
    <row r="425" spans="1:19" x14ac:dyDescent="0.25">
      <c r="A425" s="5" t="s">
        <v>8</v>
      </c>
      <c r="B425" s="5" t="s">
        <v>206</v>
      </c>
      <c r="C425" s="5" t="s">
        <v>27</v>
      </c>
      <c r="D425" s="5" t="s">
        <v>385</v>
      </c>
      <c r="E425" s="5" t="s">
        <v>384</v>
      </c>
      <c r="F425" s="5" t="s">
        <v>45</v>
      </c>
      <c r="G425" s="5" t="s">
        <v>390</v>
      </c>
      <c r="H425" s="5" t="s">
        <v>46</v>
      </c>
      <c r="I425" s="5" t="s">
        <v>207</v>
      </c>
      <c r="J425" s="5">
        <v>1100</v>
      </c>
      <c r="K425" s="5">
        <v>32</v>
      </c>
      <c r="L425" s="7">
        <f t="shared" si="36"/>
        <v>34.375</v>
      </c>
      <c r="M425" s="5" t="s">
        <v>9</v>
      </c>
      <c r="N425" s="5">
        <v>4</v>
      </c>
      <c r="O425" s="6">
        <f t="shared" si="37"/>
        <v>0.8123779296875</v>
      </c>
      <c r="P425" s="6">
        <f t="shared" si="38"/>
        <v>8.4487304687500001E-2</v>
      </c>
      <c r="Q425" s="10">
        <f t="shared" si="39"/>
        <v>1.7601521809895834E-3</v>
      </c>
      <c r="R425" s="10">
        <f t="shared" si="40"/>
        <v>1.3605537743536752E-2</v>
      </c>
      <c r="S425" s="10">
        <f t="shared" si="41"/>
        <v>1.5365689924526336E-2</v>
      </c>
    </row>
    <row r="426" spans="1:19" x14ac:dyDescent="0.25">
      <c r="A426" s="5" t="s">
        <v>8</v>
      </c>
      <c r="B426" s="5" t="s">
        <v>208</v>
      </c>
      <c r="C426" s="5" t="s">
        <v>27</v>
      </c>
      <c r="D426" s="5" t="s">
        <v>385</v>
      </c>
      <c r="E426" s="5" t="s">
        <v>384</v>
      </c>
      <c r="F426" s="5" t="s">
        <v>45</v>
      </c>
      <c r="G426" s="5" t="s">
        <v>390</v>
      </c>
      <c r="H426" s="5" t="s">
        <v>46</v>
      </c>
      <c r="I426" s="5" t="s">
        <v>207</v>
      </c>
      <c r="J426" s="5">
        <v>1070</v>
      </c>
      <c r="K426" s="5">
        <v>28.1</v>
      </c>
      <c r="L426" s="7">
        <f t="shared" si="36"/>
        <v>38.078291814946617</v>
      </c>
      <c r="M426" s="5" t="s">
        <v>10</v>
      </c>
      <c r="N426" s="5">
        <v>4</v>
      </c>
      <c r="O426" s="6">
        <f t="shared" si="37"/>
        <v>0.9696582806702041</v>
      </c>
      <c r="P426" s="6">
        <f t="shared" si="38"/>
        <v>0.10084446118970124</v>
      </c>
      <c r="Q426" s="10">
        <f t="shared" si="39"/>
        <v>2.1009262747854422E-3</v>
      </c>
      <c r="R426" s="10">
        <f t="shared" si="40"/>
        <v>1.5536785046705944E-2</v>
      </c>
      <c r="S426" s="10">
        <f t="shared" si="41"/>
        <v>1.7637711321491386E-2</v>
      </c>
    </row>
    <row r="427" spans="1:19" x14ac:dyDescent="0.25">
      <c r="A427" s="5" t="s">
        <v>8</v>
      </c>
      <c r="B427" s="5" t="s">
        <v>209</v>
      </c>
      <c r="C427" s="5" t="s">
        <v>27</v>
      </c>
      <c r="D427" s="5" t="s">
        <v>385</v>
      </c>
      <c r="E427" s="5" t="s">
        <v>384</v>
      </c>
      <c r="F427" s="5" t="s">
        <v>45</v>
      </c>
      <c r="G427" s="5" t="s">
        <v>390</v>
      </c>
      <c r="H427" s="5" t="s">
        <v>46</v>
      </c>
      <c r="I427" s="5" t="s">
        <v>207</v>
      </c>
      <c r="J427" s="5">
        <v>1500</v>
      </c>
      <c r="K427" s="5">
        <v>46.9</v>
      </c>
      <c r="L427" s="7">
        <f t="shared" si="36"/>
        <v>31.982942430703627</v>
      </c>
      <c r="M427" s="5" t="s">
        <v>10</v>
      </c>
      <c r="N427" s="5">
        <v>4</v>
      </c>
      <c r="O427" s="6">
        <f t="shared" si="37"/>
        <v>0.95897681861784601</v>
      </c>
      <c r="P427" s="6">
        <f t="shared" si="38"/>
        <v>9.973358913625599E-2</v>
      </c>
      <c r="Q427" s="10">
        <f t="shared" si="39"/>
        <v>2.0777831070053327E-3</v>
      </c>
      <c r="R427" s="10">
        <f t="shared" si="40"/>
        <v>1.5408246091418672E-2</v>
      </c>
      <c r="S427" s="10">
        <f t="shared" si="41"/>
        <v>1.7486029198424003E-2</v>
      </c>
    </row>
    <row r="428" spans="1:19" x14ac:dyDescent="0.25">
      <c r="A428" s="5" t="s">
        <v>8</v>
      </c>
      <c r="B428" s="5" t="s">
        <v>209</v>
      </c>
      <c r="C428" s="5" t="s">
        <v>27</v>
      </c>
      <c r="D428" s="5" t="s">
        <v>385</v>
      </c>
      <c r="E428" s="5" t="s">
        <v>384</v>
      </c>
      <c r="F428" s="5" t="s">
        <v>45</v>
      </c>
      <c r="G428" s="5" t="s">
        <v>390</v>
      </c>
      <c r="H428" s="5" t="s">
        <v>46</v>
      </c>
      <c r="I428" s="5" t="s">
        <v>207</v>
      </c>
      <c r="J428" s="5">
        <v>1580</v>
      </c>
      <c r="K428" s="5">
        <v>52.7</v>
      </c>
      <c r="L428" s="7">
        <f t="shared" si="36"/>
        <v>29.981024667931688</v>
      </c>
      <c r="M428" s="5" t="s">
        <v>9</v>
      </c>
      <c r="N428" s="5">
        <v>4</v>
      </c>
      <c r="O428" s="6">
        <f t="shared" si="37"/>
        <v>0.88762606713738934</v>
      </c>
      <c r="P428" s="6">
        <f t="shared" si="38"/>
        <v>9.231311098228849E-2</v>
      </c>
      <c r="Q428" s="10">
        <f t="shared" si="39"/>
        <v>1.9231898121310103E-3</v>
      </c>
      <c r="R428" s="10">
        <f t="shared" si="40"/>
        <v>1.4540175890565775E-2</v>
      </c>
      <c r="S428" s="10">
        <f t="shared" si="41"/>
        <v>1.6463365702696783E-2</v>
      </c>
    </row>
    <row r="429" spans="1:19" x14ac:dyDescent="0.25">
      <c r="A429" s="5" t="s">
        <v>8</v>
      </c>
      <c r="B429" s="5" t="s">
        <v>210</v>
      </c>
      <c r="C429" s="5" t="s">
        <v>27</v>
      </c>
      <c r="D429" s="5" t="s">
        <v>385</v>
      </c>
      <c r="E429" s="5" t="s">
        <v>384</v>
      </c>
      <c r="F429" s="5" t="s">
        <v>45</v>
      </c>
      <c r="G429" s="5" t="s">
        <v>390</v>
      </c>
      <c r="H429" s="5" t="s">
        <v>46</v>
      </c>
      <c r="I429" s="5" t="s">
        <v>207</v>
      </c>
      <c r="J429" s="5">
        <v>1330</v>
      </c>
      <c r="K429" s="5">
        <v>30</v>
      </c>
      <c r="L429" s="7">
        <f t="shared" si="36"/>
        <v>44.333333333333336</v>
      </c>
      <c r="M429" s="5" t="s">
        <v>10</v>
      </c>
      <c r="N429" s="5">
        <v>4</v>
      </c>
      <c r="O429" s="6">
        <f t="shared" si="37"/>
        <v>1.6337756944444446</v>
      </c>
      <c r="P429" s="6">
        <f t="shared" si="38"/>
        <v>0.1699126722222222</v>
      </c>
      <c r="Q429" s="10">
        <f t="shared" si="39"/>
        <v>3.5398473379629632E-3</v>
      </c>
      <c r="R429" s="10">
        <f t="shared" si="40"/>
        <v>2.2976900704314702E-2</v>
      </c>
      <c r="S429" s="10">
        <f t="shared" si="41"/>
        <v>2.6516748042277664E-2</v>
      </c>
    </row>
    <row r="430" spans="1:19" x14ac:dyDescent="0.25">
      <c r="A430" s="5" t="s">
        <v>8</v>
      </c>
      <c r="B430" s="5" t="s">
        <v>308</v>
      </c>
      <c r="C430" s="5" t="s">
        <v>27</v>
      </c>
      <c r="D430" s="5" t="s">
        <v>385</v>
      </c>
      <c r="E430" s="5" t="s">
        <v>384</v>
      </c>
      <c r="F430" s="5" t="s">
        <v>45</v>
      </c>
      <c r="G430" s="5" t="s">
        <v>390</v>
      </c>
      <c r="H430" s="5" t="s">
        <v>46</v>
      </c>
      <c r="I430" s="5" t="s">
        <v>310</v>
      </c>
      <c r="J430" s="5">
        <v>972</v>
      </c>
      <c r="K430" s="5">
        <v>19.7</v>
      </c>
      <c r="L430" s="7">
        <f t="shared" si="36"/>
        <v>49.340101522842644</v>
      </c>
      <c r="M430" s="5" t="s">
        <v>10</v>
      </c>
      <c r="N430" s="5">
        <v>4</v>
      </c>
      <c r="O430" s="6">
        <f t="shared" si="37"/>
        <v>1.4789257131077846</v>
      </c>
      <c r="P430" s="6">
        <f t="shared" si="38"/>
        <v>0.15380827416320958</v>
      </c>
      <c r="Q430" s="10">
        <f t="shared" si="39"/>
        <v>3.204339045066867E-3</v>
      </c>
      <c r="R430" s="10">
        <f t="shared" si="40"/>
        <v>2.1323421621601071E-2</v>
      </c>
      <c r="S430" s="10">
        <f t="shared" si="41"/>
        <v>2.4527760666667939E-2</v>
      </c>
    </row>
    <row r="431" spans="1:19" x14ac:dyDescent="0.25">
      <c r="A431" s="5" t="s">
        <v>22</v>
      </c>
      <c r="B431" s="5" t="s">
        <v>26</v>
      </c>
      <c r="C431" s="5" t="s">
        <v>27</v>
      </c>
      <c r="D431" s="5" t="s">
        <v>385</v>
      </c>
      <c r="E431" s="5" t="s">
        <v>384</v>
      </c>
      <c r="F431" s="5" t="s">
        <v>45</v>
      </c>
      <c r="G431" s="5" t="s">
        <v>390</v>
      </c>
      <c r="H431" s="5" t="s">
        <v>46</v>
      </c>
      <c r="I431" s="5" t="s">
        <v>16</v>
      </c>
      <c r="J431" s="5">
        <v>1400</v>
      </c>
      <c r="K431" s="5">
        <v>39</v>
      </c>
      <c r="L431" s="7">
        <f t="shared" si="36"/>
        <v>35.897435897435898</v>
      </c>
      <c r="M431" s="5" t="s">
        <v>10</v>
      </c>
      <c r="N431" s="5">
        <v>4</v>
      </c>
      <c r="O431" s="6">
        <f t="shared" si="37"/>
        <v>1.1275476660092045</v>
      </c>
      <c r="P431" s="6">
        <f t="shared" si="38"/>
        <v>0.11726495726495727</v>
      </c>
      <c r="Q431" s="10">
        <f t="shared" si="39"/>
        <v>2.4430199430199432E-3</v>
      </c>
      <c r="R431" s="10">
        <f t="shared" si="40"/>
        <v>1.7397959160789959E-2</v>
      </c>
      <c r="S431" s="10">
        <f t="shared" si="41"/>
        <v>1.9840979103809903E-2</v>
      </c>
    </row>
    <row r="432" spans="1:19" x14ac:dyDescent="0.25">
      <c r="A432" s="5" t="s">
        <v>22</v>
      </c>
      <c r="B432" s="5" t="s">
        <v>26</v>
      </c>
      <c r="C432" s="5" t="s">
        <v>27</v>
      </c>
      <c r="D432" s="5" t="s">
        <v>385</v>
      </c>
      <c r="E432" s="5" t="s">
        <v>384</v>
      </c>
      <c r="F432" s="5" t="s">
        <v>45</v>
      </c>
      <c r="G432" s="5" t="s">
        <v>390</v>
      </c>
      <c r="H432" s="5" t="s">
        <v>46</v>
      </c>
      <c r="I432" s="5" t="s">
        <v>16</v>
      </c>
      <c r="J432" s="5">
        <v>1350</v>
      </c>
      <c r="K432" s="5">
        <v>35</v>
      </c>
      <c r="L432" s="7">
        <f t="shared" si="36"/>
        <v>38.571428571428569</v>
      </c>
      <c r="M432" s="5" t="s">
        <v>9</v>
      </c>
      <c r="N432" s="5">
        <v>4</v>
      </c>
      <c r="O432" s="6">
        <f t="shared" si="37"/>
        <v>1.2552933673469386</v>
      </c>
      <c r="P432" s="6">
        <f t="shared" si="38"/>
        <v>0.13055051020408162</v>
      </c>
      <c r="Q432" s="10">
        <f t="shared" si="39"/>
        <v>2.719802295918367E-3</v>
      </c>
      <c r="R432" s="10">
        <f t="shared" si="40"/>
        <v>1.8856281365180333E-2</v>
      </c>
      <c r="S432" s="10">
        <f t="shared" si="41"/>
        <v>2.1576083661098699E-2</v>
      </c>
    </row>
    <row r="433" spans="1:19" x14ac:dyDescent="0.25">
      <c r="A433" s="5" t="s">
        <v>8</v>
      </c>
      <c r="B433" s="5" t="s">
        <v>322</v>
      </c>
      <c r="C433" s="5" t="s">
        <v>27</v>
      </c>
      <c r="D433" s="5" t="s">
        <v>385</v>
      </c>
      <c r="E433" s="5" t="s">
        <v>384</v>
      </c>
      <c r="F433" s="5" t="s">
        <v>45</v>
      </c>
      <c r="G433" s="5" t="s">
        <v>390</v>
      </c>
      <c r="H433" s="5" t="s">
        <v>46</v>
      </c>
      <c r="I433" s="5" t="s">
        <v>323</v>
      </c>
      <c r="J433" s="5">
        <v>810</v>
      </c>
      <c r="K433" s="5">
        <v>29</v>
      </c>
      <c r="L433" s="7">
        <f t="shared" si="36"/>
        <v>27.931034482758619</v>
      </c>
      <c r="M433" s="5" t="s">
        <v>10</v>
      </c>
      <c r="N433" s="5">
        <v>4</v>
      </c>
      <c r="O433" s="6">
        <f t="shared" si="37"/>
        <v>0.39494723543400712</v>
      </c>
      <c r="P433" s="6">
        <f t="shared" si="38"/>
        <v>4.1074512485136737E-2</v>
      </c>
      <c r="Q433" s="10">
        <f t="shared" si="39"/>
        <v>8.5571901010701539E-4</v>
      </c>
      <c r="R433" s="10">
        <f t="shared" si="40"/>
        <v>7.9213906781575756E-3</v>
      </c>
      <c r="S433" s="10">
        <f t="shared" si="41"/>
        <v>8.7771096882645911E-3</v>
      </c>
    </row>
    <row r="434" spans="1:19" x14ac:dyDescent="0.25">
      <c r="A434" s="5" t="s">
        <v>22</v>
      </c>
      <c r="B434" s="5" t="s">
        <v>26</v>
      </c>
      <c r="C434" s="5" t="s">
        <v>27</v>
      </c>
      <c r="D434" s="5" t="s">
        <v>385</v>
      </c>
      <c r="E434" s="5" t="s">
        <v>384</v>
      </c>
      <c r="F434" s="5" t="s">
        <v>45</v>
      </c>
      <c r="G434" s="5" t="s">
        <v>390</v>
      </c>
      <c r="H434" s="5" t="s">
        <v>46</v>
      </c>
      <c r="I434" s="5" t="s">
        <v>47</v>
      </c>
      <c r="J434" s="5">
        <v>1200</v>
      </c>
      <c r="K434" s="5">
        <v>28</v>
      </c>
      <c r="L434" s="7">
        <f t="shared" si="36"/>
        <v>42.857142857142854</v>
      </c>
      <c r="M434" s="5" t="s">
        <v>10</v>
      </c>
      <c r="N434" s="5">
        <v>4</v>
      </c>
      <c r="O434" s="6">
        <f t="shared" si="37"/>
        <v>1.3775510204081631</v>
      </c>
      <c r="P434" s="6">
        <f t="shared" si="38"/>
        <v>0.14326530612244898</v>
      </c>
      <c r="Q434" s="10">
        <f t="shared" si="39"/>
        <v>2.9846938775510198E-3</v>
      </c>
      <c r="R434" s="10">
        <f t="shared" si="40"/>
        <v>2.0217520582724226E-2</v>
      </c>
      <c r="S434" s="10">
        <f t="shared" si="41"/>
        <v>2.3202214460275247E-2</v>
      </c>
    </row>
    <row r="435" spans="1:19" x14ac:dyDescent="0.25">
      <c r="A435" s="5" t="s">
        <v>22</v>
      </c>
      <c r="B435" s="5" t="s">
        <v>26</v>
      </c>
      <c r="C435" s="5" t="s">
        <v>27</v>
      </c>
      <c r="D435" s="5" t="s">
        <v>385</v>
      </c>
      <c r="E435" s="5" t="s">
        <v>384</v>
      </c>
      <c r="F435" s="5" t="s">
        <v>45</v>
      </c>
      <c r="G435" s="5" t="s">
        <v>390</v>
      </c>
      <c r="H435" s="5" t="s">
        <v>46</v>
      </c>
      <c r="I435" s="5" t="s">
        <v>47</v>
      </c>
      <c r="J435" s="5">
        <v>1150</v>
      </c>
      <c r="K435" s="5">
        <v>30</v>
      </c>
      <c r="L435" s="7">
        <f t="shared" si="36"/>
        <v>38.333333333333336</v>
      </c>
      <c r="M435" s="5" t="s">
        <v>9</v>
      </c>
      <c r="N435" s="5">
        <v>4</v>
      </c>
      <c r="O435" s="6">
        <f t="shared" si="37"/>
        <v>1.0561631944444445</v>
      </c>
      <c r="P435" s="6">
        <f t="shared" si="38"/>
        <v>0.10984097222222222</v>
      </c>
      <c r="Q435" s="10">
        <f t="shared" si="39"/>
        <v>2.288353587962963E-3</v>
      </c>
      <c r="R435" s="10">
        <f t="shared" si="40"/>
        <v>1.6565150885101746E-2</v>
      </c>
      <c r="S435" s="10">
        <f t="shared" si="41"/>
        <v>1.8853504473064709E-2</v>
      </c>
    </row>
    <row r="436" spans="1:19" x14ac:dyDescent="0.25">
      <c r="A436" s="5" t="s">
        <v>8</v>
      </c>
      <c r="B436" s="5" t="s">
        <v>300</v>
      </c>
      <c r="C436" s="5" t="s">
        <v>27</v>
      </c>
      <c r="D436" s="5" t="s">
        <v>385</v>
      </c>
      <c r="E436" s="5" t="s">
        <v>384</v>
      </c>
      <c r="F436" s="5" t="s">
        <v>45</v>
      </c>
      <c r="G436" s="5" t="s">
        <v>390</v>
      </c>
      <c r="H436" s="5" t="s">
        <v>46</v>
      </c>
      <c r="I436" s="5" t="s">
        <v>47</v>
      </c>
      <c r="J436" s="5">
        <v>1198</v>
      </c>
      <c r="K436" s="5">
        <v>28.2</v>
      </c>
      <c r="L436" s="7">
        <f t="shared" si="36"/>
        <v>42.4822695035461</v>
      </c>
      <c r="M436" s="5" t="s">
        <v>10</v>
      </c>
      <c r="N436" s="5">
        <v>4</v>
      </c>
      <c r="O436" s="6">
        <f t="shared" si="37"/>
        <v>1.3513014876012275</v>
      </c>
      <c r="P436" s="6">
        <f t="shared" si="38"/>
        <v>0.14053535471052764</v>
      </c>
      <c r="Q436" s="10">
        <f t="shared" si="39"/>
        <v>2.927819889802659E-3</v>
      </c>
      <c r="R436" s="10">
        <f t="shared" si="40"/>
        <v>1.9927889917281474E-2</v>
      </c>
      <c r="S436" s="10">
        <f t="shared" si="41"/>
        <v>2.2855709807084134E-2</v>
      </c>
    </row>
    <row r="437" spans="1:19" x14ac:dyDescent="0.25">
      <c r="A437" s="5" t="s">
        <v>8</v>
      </c>
      <c r="B437" s="5" t="s">
        <v>202</v>
      </c>
      <c r="C437" s="5" t="s">
        <v>27</v>
      </c>
      <c r="D437" s="5" t="s">
        <v>385</v>
      </c>
      <c r="E437" s="5" t="s">
        <v>384</v>
      </c>
      <c r="F437" s="5" t="s">
        <v>45</v>
      </c>
      <c r="G437" s="5" t="s">
        <v>390</v>
      </c>
      <c r="H437" s="5" t="s">
        <v>46</v>
      </c>
      <c r="I437" s="5" t="s">
        <v>203</v>
      </c>
      <c r="J437" s="5">
        <v>1230</v>
      </c>
      <c r="K437" s="5">
        <v>25.5</v>
      </c>
      <c r="L437" s="7">
        <f t="shared" si="36"/>
        <v>48.235294117647058</v>
      </c>
      <c r="M437" s="5" t="s">
        <v>10</v>
      </c>
      <c r="N437" s="5">
        <v>4</v>
      </c>
      <c r="O437" s="6">
        <f t="shared" si="37"/>
        <v>1.788607266435986</v>
      </c>
      <c r="P437" s="6">
        <f t="shared" si="38"/>
        <v>0.18601515570934254</v>
      </c>
      <c r="Q437" s="10">
        <f t="shared" si="39"/>
        <v>3.8753157439446362E-3</v>
      </c>
      <c r="R437" s="10">
        <f t="shared" si="40"/>
        <v>2.4591406420233046E-2</v>
      </c>
      <c r="S437" s="10">
        <f t="shared" si="41"/>
        <v>2.8466722164177682E-2</v>
      </c>
    </row>
    <row r="438" spans="1:19" x14ac:dyDescent="0.25">
      <c r="A438" s="5" t="s">
        <v>8</v>
      </c>
      <c r="B438" s="5" t="s">
        <v>202</v>
      </c>
      <c r="C438" s="5" t="s">
        <v>27</v>
      </c>
      <c r="D438" s="5" t="s">
        <v>385</v>
      </c>
      <c r="E438" s="5" t="s">
        <v>384</v>
      </c>
      <c r="F438" s="5" t="s">
        <v>45</v>
      </c>
      <c r="G438" s="5" t="s">
        <v>390</v>
      </c>
      <c r="H438" s="5" t="s">
        <v>46</v>
      </c>
      <c r="I438" s="5" t="s">
        <v>203</v>
      </c>
      <c r="J438" s="5">
        <v>1220</v>
      </c>
      <c r="K438" s="5">
        <v>29.6</v>
      </c>
      <c r="L438" s="7">
        <f t="shared" si="36"/>
        <v>41.216216216216218</v>
      </c>
      <c r="M438" s="5" t="s">
        <v>9</v>
      </c>
      <c r="N438" s="5">
        <v>4</v>
      </c>
      <c r="O438" s="6">
        <f t="shared" si="37"/>
        <v>1.2953170653761872</v>
      </c>
      <c r="P438" s="6">
        <f t="shared" si="38"/>
        <v>0.13471297479912345</v>
      </c>
      <c r="Q438" s="10">
        <f t="shared" si="39"/>
        <v>2.8065203083150717E-3</v>
      </c>
      <c r="R438" s="10">
        <f t="shared" si="40"/>
        <v>1.930541712752341E-2</v>
      </c>
      <c r="S438" s="10">
        <f t="shared" si="41"/>
        <v>2.2111937435838482E-2</v>
      </c>
    </row>
    <row r="439" spans="1:19" x14ac:dyDescent="0.25">
      <c r="A439" s="5" t="s">
        <v>8</v>
      </c>
      <c r="B439" s="5" t="s">
        <v>204</v>
      </c>
      <c r="C439" s="5" t="s">
        <v>27</v>
      </c>
      <c r="D439" s="5" t="s">
        <v>385</v>
      </c>
      <c r="E439" s="5" t="s">
        <v>384</v>
      </c>
      <c r="F439" s="5" t="s">
        <v>45</v>
      </c>
      <c r="G439" s="5" t="s">
        <v>390</v>
      </c>
      <c r="H439" s="5" t="s">
        <v>46</v>
      </c>
      <c r="I439" s="5" t="s">
        <v>203</v>
      </c>
      <c r="J439" s="5">
        <v>900</v>
      </c>
      <c r="K439" s="5">
        <v>26</v>
      </c>
      <c r="L439" s="7">
        <f t="shared" si="36"/>
        <v>34.615384615384613</v>
      </c>
      <c r="M439" s="5" t="s">
        <v>10</v>
      </c>
      <c r="N439" s="5">
        <v>4</v>
      </c>
      <c r="O439" s="6">
        <f t="shared" si="37"/>
        <v>0.67400147928994081</v>
      </c>
      <c r="P439" s="6">
        <f t="shared" si="38"/>
        <v>7.0096153846153836E-2</v>
      </c>
      <c r="Q439" s="10">
        <f t="shared" si="39"/>
        <v>1.4603365384615382E-3</v>
      </c>
      <c r="R439" s="10">
        <f t="shared" si="40"/>
        <v>1.1827494686413892E-2</v>
      </c>
      <c r="S439" s="10">
        <f t="shared" si="41"/>
        <v>1.3287831224875431E-2</v>
      </c>
    </row>
    <row r="440" spans="1:19" x14ac:dyDescent="0.25">
      <c r="A440" s="5" t="s">
        <v>8</v>
      </c>
      <c r="B440" s="5" t="s">
        <v>204</v>
      </c>
      <c r="C440" s="5" t="s">
        <v>27</v>
      </c>
      <c r="D440" s="5" t="s">
        <v>385</v>
      </c>
      <c r="E440" s="5" t="s">
        <v>384</v>
      </c>
      <c r="F440" s="5" t="s">
        <v>45</v>
      </c>
      <c r="G440" s="5" t="s">
        <v>390</v>
      </c>
      <c r="H440" s="5" t="s">
        <v>46</v>
      </c>
      <c r="I440" s="5" t="s">
        <v>203</v>
      </c>
      <c r="J440" s="5">
        <v>850</v>
      </c>
      <c r="K440" s="5">
        <v>32</v>
      </c>
      <c r="L440" s="7">
        <f t="shared" si="36"/>
        <v>26.5625</v>
      </c>
      <c r="M440" s="5" t="s">
        <v>9</v>
      </c>
      <c r="N440" s="5">
        <v>4</v>
      </c>
      <c r="O440" s="6">
        <f t="shared" si="37"/>
        <v>0.3748321533203125</v>
      </c>
      <c r="P440" s="6">
        <f t="shared" si="38"/>
        <v>3.8982543945312496E-2</v>
      </c>
      <c r="Q440" s="10">
        <f t="shared" si="39"/>
        <v>8.1213633219401034E-4</v>
      </c>
      <c r="R440" s="10">
        <f t="shared" si="40"/>
        <v>7.6168385941915153E-3</v>
      </c>
      <c r="S440" s="10">
        <f t="shared" si="41"/>
        <v>8.4289749263855261E-3</v>
      </c>
    </row>
    <row r="441" spans="1:19" x14ac:dyDescent="0.25">
      <c r="A441" s="5" t="s">
        <v>8</v>
      </c>
      <c r="B441" s="5" t="s">
        <v>205</v>
      </c>
      <c r="C441" s="5" t="s">
        <v>27</v>
      </c>
      <c r="D441" s="5" t="s">
        <v>385</v>
      </c>
      <c r="E441" s="5" t="s">
        <v>384</v>
      </c>
      <c r="F441" s="5" t="s">
        <v>45</v>
      </c>
      <c r="G441" s="5" t="s">
        <v>390</v>
      </c>
      <c r="H441" s="5" t="s">
        <v>46</v>
      </c>
      <c r="I441" s="5" t="s">
        <v>203</v>
      </c>
      <c r="J441" s="5">
        <v>1100</v>
      </c>
      <c r="K441" s="5">
        <v>30</v>
      </c>
      <c r="L441" s="7">
        <f t="shared" si="36"/>
        <v>36.666666666666664</v>
      </c>
      <c r="M441" s="5" t="s">
        <v>10</v>
      </c>
      <c r="N441" s="5">
        <v>4</v>
      </c>
      <c r="O441" s="6">
        <f t="shared" si="37"/>
        <v>0.92430555555555549</v>
      </c>
      <c r="P441" s="6">
        <f t="shared" si="38"/>
        <v>9.6127777777777756E-2</v>
      </c>
      <c r="Q441" s="10">
        <f t="shared" si="39"/>
        <v>2.0026620370370367E-3</v>
      </c>
      <c r="R441" s="10">
        <f t="shared" si="40"/>
        <v>1.4988521556455617E-2</v>
      </c>
      <c r="S441" s="10">
        <f t="shared" si="41"/>
        <v>1.6991183593492654E-2</v>
      </c>
    </row>
    <row r="442" spans="1:19" x14ac:dyDescent="0.25">
      <c r="A442" s="5" t="s">
        <v>8</v>
      </c>
      <c r="B442" s="5" t="s">
        <v>201</v>
      </c>
      <c r="C442" s="5" t="s">
        <v>27</v>
      </c>
      <c r="D442" s="5" t="s">
        <v>385</v>
      </c>
      <c r="E442" s="5" t="s">
        <v>384</v>
      </c>
      <c r="F442" s="5" t="s">
        <v>45</v>
      </c>
      <c r="G442" s="5" t="s">
        <v>390</v>
      </c>
      <c r="H442" s="5" t="s">
        <v>46</v>
      </c>
      <c r="I442" s="5" t="s">
        <v>203</v>
      </c>
      <c r="J442" s="5">
        <v>1060</v>
      </c>
      <c r="K442" s="5">
        <v>29.5</v>
      </c>
      <c r="L442" s="7">
        <f t="shared" si="36"/>
        <v>35.932203389830505</v>
      </c>
      <c r="M442" s="5" t="s">
        <v>10</v>
      </c>
      <c r="N442" s="5">
        <v>4</v>
      </c>
      <c r="O442" s="6">
        <f t="shared" si="37"/>
        <v>0.85536914679689724</v>
      </c>
      <c r="P442" s="6">
        <f t="shared" si="38"/>
        <v>8.895839126687731E-2</v>
      </c>
      <c r="Q442" s="10">
        <f t="shared" si="39"/>
        <v>1.8532998180599439E-3</v>
      </c>
      <c r="R442" s="10">
        <f t="shared" si="40"/>
        <v>1.414204810560408E-2</v>
      </c>
      <c r="S442" s="10">
        <f t="shared" si="41"/>
        <v>1.5995347923664024E-2</v>
      </c>
    </row>
    <row r="443" spans="1:19" x14ac:dyDescent="0.25">
      <c r="A443" s="5" t="s">
        <v>8</v>
      </c>
      <c r="B443" s="5" t="s">
        <v>201</v>
      </c>
      <c r="C443" s="5" t="s">
        <v>27</v>
      </c>
      <c r="D443" s="5" t="s">
        <v>385</v>
      </c>
      <c r="E443" s="5" t="s">
        <v>384</v>
      </c>
      <c r="F443" s="5" t="s">
        <v>45</v>
      </c>
      <c r="G443" s="5" t="s">
        <v>390</v>
      </c>
      <c r="H443" s="5" t="s">
        <v>46</v>
      </c>
      <c r="I443" s="5" t="s">
        <v>203</v>
      </c>
      <c r="J443" s="5">
        <v>965</v>
      </c>
      <c r="K443" s="5">
        <v>26.5</v>
      </c>
      <c r="L443" s="7">
        <f t="shared" si="36"/>
        <v>36.415094339622641</v>
      </c>
      <c r="M443" s="5" t="s">
        <v>9</v>
      </c>
      <c r="N443" s="5">
        <v>4</v>
      </c>
      <c r="O443" s="6">
        <f t="shared" si="37"/>
        <v>0.79977939213243143</v>
      </c>
      <c r="P443" s="6">
        <f t="shared" si="38"/>
        <v>8.3177056781772868E-2</v>
      </c>
      <c r="Q443" s="10">
        <f t="shared" si="39"/>
        <v>1.732855349620268E-3</v>
      </c>
      <c r="R443" s="10">
        <f t="shared" si="40"/>
        <v>1.3446980696864171E-2</v>
      </c>
      <c r="S443" s="10">
        <f t="shared" si="41"/>
        <v>1.517983604648444E-2</v>
      </c>
    </row>
    <row r="444" spans="1:19" x14ac:dyDescent="0.25">
      <c r="A444" s="5" t="s">
        <v>8</v>
      </c>
      <c r="B444" s="5" t="s">
        <v>219</v>
      </c>
      <c r="C444" s="5" t="s">
        <v>27</v>
      </c>
      <c r="D444" s="5" t="s">
        <v>385</v>
      </c>
      <c r="E444" s="5" t="s">
        <v>384</v>
      </c>
      <c r="F444" s="5" t="s">
        <v>45</v>
      </c>
      <c r="G444" s="5" t="s">
        <v>390</v>
      </c>
      <c r="H444" s="5" t="s">
        <v>46</v>
      </c>
      <c r="I444" s="5" t="s">
        <v>203</v>
      </c>
      <c r="J444" s="5">
        <v>900</v>
      </c>
      <c r="K444" s="5">
        <v>26.9</v>
      </c>
      <c r="L444" s="7">
        <f t="shared" si="36"/>
        <v>33.457249070631974</v>
      </c>
      <c r="M444" s="5" t="s">
        <v>10</v>
      </c>
      <c r="N444" s="5">
        <v>4</v>
      </c>
      <c r="O444" s="6">
        <f t="shared" si="37"/>
        <v>0.62965547739804595</v>
      </c>
      <c r="P444" s="6">
        <f t="shared" si="38"/>
        <v>6.5484169649396781E-2</v>
      </c>
      <c r="Q444" s="10">
        <f t="shared" si="39"/>
        <v>1.3642535343624329E-3</v>
      </c>
      <c r="R444" s="10">
        <f t="shared" si="40"/>
        <v>1.1238914402422381E-2</v>
      </c>
      <c r="S444" s="10">
        <f t="shared" si="41"/>
        <v>1.2603167936784815E-2</v>
      </c>
    </row>
    <row r="445" spans="1:19" x14ac:dyDescent="0.25">
      <c r="A445" s="5" t="s">
        <v>8</v>
      </c>
      <c r="B445" s="5" t="s">
        <v>291</v>
      </c>
      <c r="C445" s="5" t="s">
        <v>27</v>
      </c>
      <c r="D445" s="5" t="s">
        <v>385</v>
      </c>
      <c r="E445" s="5" t="s">
        <v>384</v>
      </c>
      <c r="F445" s="5" t="s">
        <v>45</v>
      </c>
      <c r="G445" s="5" t="s">
        <v>390</v>
      </c>
      <c r="H445" s="5" t="s">
        <v>46</v>
      </c>
      <c r="I445" s="5" t="s">
        <v>203</v>
      </c>
      <c r="J445" s="5">
        <v>1221</v>
      </c>
      <c r="K445" s="5">
        <v>34.799999999999997</v>
      </c>
      <c r="L445" s="7">
        <f t="shared" si="36"/>
        <v>35.08620689655173</v>
      </c>
      <c r="M445" s="5" t="s">
        <v>10</v>
      </c>
      <c r="N445" s="5">
        <v>4</v>
      </c>
      <c r="O445" s="6">
        <f t="shared" si="37"/>
        <v>0.9394388609170633</v>
      </c>
      <c r="P445" s="6">
        <f t="shared" si="38"/>
        <v>9.770164153537457E-2</v>
      </c>
      <c r="Q445" s="10">
        <f t="shared" si="39"/>
        <v>2.035450865320304E-3</v>
      </c>
      <c r="R445" s="10">
        <f t="shared" si="40"/>
        <v>1.5172198474885332E-2</v>
      </c>
      <c r="S445" s="10">
        <f t="shared" si="41"/>
        <v>1.7207649340205636E-2</v>
      </c>
    </row>
    <row r="446" spans="1:19" x14ac:dyDescent="0.25">
      <c r="A446" s="5" t="s">
        <v>8</v>
      </c>
      <c r="B446" s="5" t="s">
        <v>291</v>
      </c>
      <c r="C446" s="5" t="s">
        <v>27</v>
      </c>
      <c r="D446" s="5" t="s">
        <v>385</v>
      </c>
      <c r="E446" s="5" t="s">
        <v>384</v>
      </c>
      <c r="F446" s="5" t="s">
        <v>45</v>
      </c>
      <c r="G446" s="5" t="s">
        <v>390</v>
      </c>
      <c r="H446" s="5" t="s">
        <v>46</v>
      </c>
      <c r="I446" s="5" t="s">
        <v>203</v>
      </c>
      <c r="J446" s="5">
        <v>1180</v>
      </c>
      <c r="K446" s="5">
        <v>28.1</v>
      </c>
      <c r="L446" s="7">
        <f t="shared" ref="L446:L509" si="42">J446/K446</f>
        <v>41.992882562277579</v>
      </c>
      <c r="M446" s="5" t="s">
        <v>10</v>
      </c>
      <c r="N446" s="5">
        <v>4</v>
      </c>
      <c r="O446" s="6">
        <f t="shared" ref="O446:O509" si="43">(J446*L446^2)/(1.6*10^6)</f>
        <v>1.3005091120933117</v>
      </c>
      <c r="P446" s="6">
        <f t="shared" ref="P446:P509" si="44">(0.104*J446*L446^2)/(1.6*10^6)</f>
        <v>0.13525294765770443</v>
      </c>
      <c r="Q446" s="10">
        <f t="shared" ref="Q446:Q509" si="45">(0.104*O446)/(12*N446)</f>
        <v>2.8177697428688419E-3</v>
      </c>
      <c r="R446" s="10">
        <f t="shared" ref="R446:R509" si="46">0.0159*O446^0.75</f>
        <v>1.9363424830278701E-2</v>
      </c>
      <c r="S446" s="10">
        <f t="shared" ref="S446:S509" si="47">Q446+R446</f>
        <v>2.2181194573147541E-2</v>
      </c>
    </row>
    <row r="447" spans="1:19" x14ac:dyDescent="0.25">
      <c r="A447" s="5" t="s">
        <v>8</v>
      </c>
      <c r="B447" s="5" t="s">
        <v>291</v>
      </c>
      <c r="C447" s="5" t="s">
        <v>27</v>
      </c>
      <c r="D447" s="5" t="s">
        <v>385</v>
      </c>
      <c r="E447" s="5" t="s">
        <v>384</v>
      </c>
      <c r="F447" s="5" t="s">
        <v>45</v>
      </c>
      <c r="G447" s="5" t="s">
        <v>390</v>
      </c>
      <c r="H447" s="5" t="s">
        <v>46</v>
      </c>
      <c r="I447" s="5" t="s">
        <v>203</v>
      </c>
      <c r="J447" s="5">
        <v>1358</v>
      </c>
      <c r="K447" s="5">
        <v>27.2</v>
      </c>
      <c r="L447" s="7">
        <f t="shared" si="42"/>
        <v>49.926470588235297</v>
      </c>
      <c r="M447" s="5" t="s">
        <v>10</v>
      </c>
      <c r="N447" s="5">
        <v>4</v>
      </c>
      <c r="O447" s="6">
        <f t="shared" si="43"/>
        <v>2.115638780006488</v>
      </c>
      <c r="P447" s="6">
        <f t="shared" si="44"/>
        <v>0.22002643312067477</v>
      </c>
      <c r="Q447" s="10">
        <f t="shared" si="45"/>
        <v>4.5838840233473907E-3</v>
      </c>
      <c r="R447" s="10">
        <f t="shared" si="46"/>
        <v>2.7891910544193911E-2</v>
      </c>
      <c r="S447" s="10">
        <f t="shared" si="47"/>
        <v>3.2475794567541301E-2</v>
      </c>
    </row>
    <row r="448" spans="1:19" x14ac:dyDescent="0.25">
      <c r="A448" s="5" t="s">
        <v>8</v>
      </c>
      <c r="B448" s="5" t="s">
        <v>291</v>
      </c>
      <c r="C448" s="5" t="s">
        <v>27</v>
      </c>
      <c r="D448" s="5" t="s">
        <v>385</v>
      </c>
      <c r="E448" s="5" t="s">
        <v>384</v>
      </c>
      <c r="F448" s="5" t="s">
        <v>45</v>
      </c>
      <c r="G448" s="5" t="s">
        <v>390</v>
      </c>
      <c r="H448" s="5" t="s">
        <v>46</v>
      </c>
      <c r="I448" s="5" t="s">
        <v>203</v>
      </c>
      <c r="J448" s="5">
        <v>1194</v>
      </c>
      <c r="K448" s="5">
        <v>25.9</v>
      </c>
      <c r="L448" s="7">
        <f t="shared" si="42"/>
        <v>46.100386100386103</v>
      </c>
      <c r="M448" s="5" t="s">
        <v>10</v>
      </c>
      <c r="N448" s="5">
        <v>4</v>
      </c>
      <c r="O448" s="6">
        <f t="shared" si="43"/>
        <v>1.5859645279587367</v>
      </c>
      <c r="P448" s="6">
        <f t="shared" si="44"/>
        <v>0.16494031090770858</v>
      </c>
      <c r="Q448" s="10">
        <f t="shared" si="45"/>
        <v>3.4362564772439292E-3</v>
      </c>
      <c r="R448" s="10">
        <f t="shared" si="46"/>
        <v>2.2470732330724698E-2</v>
      </c>
      <c r="S448" s="10">
        <f t="shared" si="47"/>
        <v>2.5906988807968628E-2</v>
      </c>
    </row>
    <row r="449" spans="1:19" x14ac:dyDescent="0.25">
      <c r="A449" s="5" t="s">
        <v>8</v>
      </c>
      <c r="B449" s="5" t="s">
        <v>291</v>
      </c>
      <c r="C449" s="5" t="s">
        <v>27</v>
      </c>
      <c r="D449" s="5" t="s">
        <v>385</v>
      </c>
      <c r="E449" s="5" t="s">
        <v>384</v>
      </c>
      <c r="F449" s="5" t="s">
        <v>45</v>
      </c>
      <c r="G449" s="5" t="s">
        <v>390</v>
      </c>
      <c r="H449" s="5" t="s">
        <v>46</v>
      </c>
      <c r="I449" s="5" t="s">
        <v>203</v>
      </c>
      <c r="J449" s="5">
        <v>1038</v>
      </c>
      <c r="K449" s="5">
        <v>25.2</v>
      </c>
      <c r="L449" s="7">
        <f t="shared" si="42"/>
        <v>41.19047619047619</v>
      </c>
      <c r="M449" s="5" t="s">
        <v>10</v>
      </c>
      <c r="N449" s="5">
        <v>4</v>
      </c>
      <c r="O449" s="6">
        <f t="shared" si="43"/>
        <v>1.1007051445578231</v>
      </c>
      <c r="P449" s="6">
        <f t="shared" si="44"/>
        <v>0.11447333503401359</v>
      </c>
      <c r="Q449" s="10">
        <f t="shared" si="45"/>
        <v>2.3848611465419499E-3</v>
      </c>
      <c r="R449" s="10">
        <f t="shared" si="46"/>
        <v>1.7086392225529067E-2</v>
      </c>
      <c r="S449" s="10">
        <f t="shared" si="47"/>
        <v>1.9471253372071017E-2</v>
      </c>
    </row>
    <row r="450" spans="1:19" x14ac:dyDescent="0.25">
      <c r="A450" s="5" t="s">
        <v>8</v>
      </c>
      <c r="B450" s="5" t="s">
        <v>322</v>
      </c>
      <c r="C450" s="5" t="s">
        <v>27</v>
      </c>
      <c r="D450" s="5" t="s">
        <v>385</v>
      </c>
      <c r="E450" s="5" t="s">
        <v>384</v>
      </c>
      <c r="F450" s="5" t="s">
        <v>45</v>
      </c>
      <c r="G450" s="5" t="s">
        <v>390</v>
      </c>
      <c r="H450" s="5" t="s">
        <v>46</v>
      </c>
      <c r="I450" s="5" t="s">
        <v>203</v>
      </c>
      <c r="J450" s="5">
        <v>1000</v>
      </c>
      <c r="K450" s="5">
        <v>22</v>
      </c>
      <c r="L450" s="7">
        <f t="shared" si="42"/>
        <v>45.454545454545453</v>
      </c>
      <c r="M450" s="5" t="s">
        <v>10</v>
      </c>
      <c r="N450" s="5">
        <v>4</v>
      </c>
      <c r="O450" s="6">
        <f t="shared" si="43"/>
        <v>1.2913223140495866</v>
      </c>
      <c r="P450" s="6">
        <f t="shared" si="44"/>
        <v>0.13429752066115702</v>
      </c>
      <c r="Q450" s="10">
        <f t="shared" si="45"/>
        <v>2.7978650137741039E-3</v>
      </c>
      <c r="R450" s="10">
        <f t="shared" si="46"/>
        <v>1.9260746534398895E-2</v>
      </c>
      <c r="S450" s="10">
        <f t="shared" si="47"/>
        <v>2.2058611548172999E-2</v>
      </c>
    </row>
    <row r="451" spans="1:19" x14ac:dyDescent="0.25">
      <c r="A451" s="5" t="s">
        <v>22</v>
      </c>
      <c r="B451" s="5" t="s">
        <v>26</v>
      </c>
      <c r="C451" s="5" t="s">
        <v>27</v>
      </c>
      <c r="D451" s="5" t="s">
        <v>385</v>
      </c>
      <c r="E451" s="5" t="s">
        <v>384</v>
      </c>
      <c r="F451" s="5" t="s">
        <v>45</v>
      </c>
      <c r="G451" s="5" t="s">
        <v>390</v>
      </c>
      <c r="H451" s="5" t="s">
        <v>46</v>
      </c>
      <c r="I451" s="5" t="s">
        <v>11</v>
      </c>
      <c r="J451" s="5">
        <v>1450</v>
      </c>
      <c r="K451" s="5">
        <v>27</v>
      </c>
      <c r="L451" s="7">
        <f t="shared" si="42"/>
        <v>53.703703703703702</v>
      </c>
      <c r="M451" s="5" t="s">
        <v>10</v>
      </c>
      <c r="N451" s="5">
        <v>4</v>
      </c>
      <c r="O451" s="6">
        <f t="shared" si="43"/>
        <v>2.6137045610425238</v>
      </c>
      <c r="P451" s="6">
        <f t="shared" si="44"/>
        <v>0.27182527434842246</v>
      </c>
      <c r="Q451" s="10">
        <f t="shared" si="45"/>
        <v>5.6630265489254683E-3</v>
      </c>
      <c r="R451" s="10">
        <f t="shared" si="46"/>
        <v>3.2684323180094878E-2</v>
      </c>
      <c r="S451" s="10">
        <f t="shared" si="47"/>
        <v>3.8347349729020347E-2</v>
      </c>
    </row>
    <row r="452" spans="1:19" x14ac:dyDescent="0.25">
      <c r="A452" s="5" t="s">
        <v>22</v>
      </c>
      <c r="B452" s="5" t="s">
        <v>26</v>
      </c>
      <c r="C452" s="5" t="s">
        <v>27</v>
      </c>
      <c r="D452" s="5" t="s">
        <v>385</v>
      </c>
      <c r="E452" s="5" t="s">
        <v>384</v>
      </c>
      <c r="F452" s="5" t="s">
        <v>45</v>
      </c>
      <c r="G452" s="5" t="s">
        <v>390</v>
      </c>
      <c r="H452" s="5" t="s">
        <v>46</v>
      </c>
      <c r="I452" s="5" t="s">
        <v>11</v>
      </c>
      <c r="J452" s="5">
        <v>1450</v>
      </c>
      <c r="K452" s="5">
        <v>29</v>
      </c>
      <c r="L452" s="7">
        <f t="shared" si="42"/>
        <v>50</v>
      </c>
      <c r="M452" s="5" t="s">
        <v>9</v>
      </c>
      <c r="N452" s="5">
        <v>4</v>
      </c>
      <c r="O452" s="6">
        <f t="shared" si="43"/>
        <v>2.265625</v>
      </c>
      <c r="P452" s="6">
        <f t="shared" si="44"/>
        <v>0.23562499999999997</v>
      </c>
      <c r="Q452" s="10">
        <f t="shared" si="45"/>
        <v>4.9088541666666664E-3</v>
      </c>
      <c r="R452" s="10">
        <f t="shared" si="46"/>
        <v>2.9362169777582138E-2</v>
      </c>
      <c r="S452" s="10">
        <f t="shared" si="47"/>
        <v>3.4271023944248802E-2</v>
      </c>
    </row>
    <row r="453" spans="1:19" x14ac:dyDescent="0.25">
      <c r="A453" s="5" t="s">
        <v>8</v>
      </c>
      <c r="B453" s="5" t="s">
        <v>192</v>
      </c>
      <c r="C453" s="5" t="s">
        <v>27</v>
      </c>
      <c r="D453" s="5" t="s">
        <v>385</v>
      </c>
      <c r="E453" s="5" t="s">
        <v>384</v>
      </c>
      <c r="F453" s="5" t="s">
        <v>45</v>
      </c>
      <c r="G453" s="5" t="s">
        <v>390</v>
      </c>
      <c r="H453" s="5" t="s">
        <v>46</v>
      </c>
      <c r="I453" s="5" t="s">
        <v>11</v>
      </c>
      <c r="J453" s="5">
        <v>1050</v>
      </c>
      <c r="K453" s="5">
        <v>32</v>
      </c>
      <c r="L453" s="7">
        <f t="shared" si="42"/>
        <v>32.8125</v>
      </c>
      <c r="M453" s="5" t="s">
        <v>10</v>
      </c>
      <c r="N453" s="5">
        <v>4</v>
      </c>
      <c r="O453" s="6">
        <f t="shared" si="43"/>
        <v>0.7065582275390625</v>
      </c>
      <c r="P453" s="6">
        <f t="shared" si="44"/>
        <v>7.348205566406249E-2</v>
      </c>
      <c r="Q453" s="10">
        <f t="shared" si="45"/>
        <v>1.5308761596679685E-3</v>
      </c>
      <c r="R453" s="10">
        <f t="shared" si="46"/>
        <v>1.2253441811234738E-2</v>
      </c>
      <c r="S453" s="10">
        <f t="shared" si="47"/>
        <v>1.3784317970902706E-2</v>
      </c>
    </row>
    <row r="454" spans="1:19" x14ac:dyDescent="0.25">
      <c r="A454" s="5" t="s">
        <v>8</v>
      </c>
      <c r="B454" s="5" t="s">
        <v>214</v>
      </c>
      <c r="C454" s="5" t="s">
        <v>27</v>
      </c>
      <c r="D454" s="5" t="s">
        <v>385</v>
      </c>
      <c r="E454" s="5" t="s">
        <v>384</v>
      </c>
      <c r="F454" s="5" t="s">
        <v>45</v>
      </c>
      <c r="G454" s="5" t="s">
        <v>390</v>
      </c>
      <c r="H454" s="5" t="s">
        <v>46</v>
      </c>
      <c r="I454" s="5" t="s">
        <v>216</v>
      </c>
      <c r="J454" s="5">
        <v>910</v>
      </c>
      <c r="K454" s="5">
        <v>31</v>
      </c>
      <c r="L454" s="7">
        <f t="shared" si="42"/>
        <v>29.35483870967742</v>
      </c>
      <c r="M454" s="5" t="s">
        <v>10</v>
      </c>
      <c r="N454" s="5">
        <v>4</v>
      </c>
      <c r="O454" s="6">
        <f t="shared" si="43"/>
        <v>0.49009560353798132</v>
      </c>
      <c r="P454" s="6">
        <f t="shared" si="44"/>
        <v>5.0969942767950062E-2</v>
      </c>
      <c r="Q454" s="10">
        <f t="shared" si="45"/>
        <v>1.0618738076656261E-3</v>
      </c>
      <c r="R454" s="10">
        <f t="shared" si="46"/>
        <v>9.3133887089925389E-3</v>
      </c>
      <c r="S454" s="10">
        <f t="shared" si="47"/>
        <v>1.0375262516658166E-2</v>
      </c>
    </row>
    <row r="455" spans="1:19" x14ac:dyDescent="0.25">
      <c r="A455" s="5" t="s">
        <v>8</v>
      </c>
      <c r="B455" s="5" t="s">
        <v>281</v>
      </c>
      <c r="C455" s="5" t="s">
        <v>27</v>
      </c>
      <c r="D455" s="5" t="s">
        <v>385</v>
      </c>
      <c r="E455" s="5" t="s">
        <v>384</v>
      </c>
      <c r="F455" s="5" t="s">
        <v>45</v>
      </c>
      <c r="G455" s="5" t="s">
        <v>390</v>
      </c>
      <c r="H455" s="5" t="s">
        <v>46</v>
      </c>
      <c r="I455" s="5" t="s">
        <v>216</v>
      </c>
      <c r="J455" s="5">
        <v>990</v>
      </c>
      <c r="K455" s="5">
        <v>25.5</v>
      </c>
      <c r="L455" s="7">
        <f t="shared" si="42"/>
        <v>38.823529411764703</v>
      </c>
      <c r="M455" s="5" t="s">
        <v>10</v>
      </c>
      <c r="N455" s="5">
        <v>4</v>
      </c>
      <c r="O455" s="6">
        <f t="shared" si="43"/>
        <v>0.93262110726643588</v>
      </c>
      <c r="P455" s="6">
        <f t="shared" si="44"/>
        <v>9.6992595155709335E-2</v>
      </c>
      <c r="Q455" s="10">
        <f t="shared" si="45"/>
        <v>2.0206790657439442E-3</v>
      </c>
      <c r="R455" s="10">
        <f t="shared" si="46"/>
        <v>1.5089541872016023E-2</v>
      </c>
      <c r="S455" s="10">
        <f t="shared" si="47"/>
        <v>1.7110220937759969E-2</v>
      </c>
    </row>
    <row r="456" spans="1:19" x14ac:dyDescent="0.25">
      <c r="A456" s="5" t="s">
        <v>8</v>
      </c>
      <c r="B456" s="5" t="s">
        <v>307</v>
      </c>
      <c r="C456" s="5" t="s">
        <v>27</v>
      </c>
      <c r="D456" s="5" t="s">
        <v>385</v>
      </c>
      <c r="E456" s="5" t="s">
        <v>384</v>
      </c>
      <c r="F456" s="5" t="s">
        <v>45</v>
      </c>
      <c r="G456" s="5" t="s">
        <v>390</v>
      </c>
      <c r="H456" s="5" t="s">
        <v>46</v>
      </c>
      <c r="I456" s="5" t="s">
        <v>216</v>
      </c>
      <c r="J456" s="5">
        <v>820</v>
      </c>
      <c r="K456" s="5">
        <v>31</v>
      </c>
      <c r="L456" s="7">
        <f t="shared" si="42"/>
        <v>26.451612903225808</v>
      </c>
      <c r="M456" s="5" t="s">
        <v>10</v>
      </c>
      <c r="N456" s="5">
        <v>4</v>
      </c>
      <c r="O456" s="6">
        <f t="shared" si="43"/>
        <v>0.35859001040582733</v>
      </c>
      <c r="P456" s="6">
        <f t="shared" si="44"/>
        <v>3.7293361082206045E-2</v>
      </c>
      <c r="Q456" s="10">
        <f t="shared" si="45"/>
        <v>7.7694502254595915E-4</v>
      </c>
      <c r="R456" s="10">
        <f t="shared" si="46"/>
        <v>7.3679346366924492E-3</v>
      </c>
      <c r="S456" s="10">
        <f t="shared" si="47"/>
        <v>8.1448796592384076E-3</v>
      </c>
    </row>
    <row r="457" spans="1:19" x14ac:dyDescent="0.25">
      <c r="A457" s="5" t="s">
        <v>8</v>
      </c>
      <c r="B457" s="5" t="s">
        <v>339</v>
      </c>
      <c r="C457" s="5" t="s">
        <v>27</v>
      </c>
      <c r="D457" s="5" t="s">
        <v>385</v>
      </c>
      <c r="E457" s="5" t="s">
        <v>384</v>
      </c>
      <c r="F457" s="5" t="s">
        <v>45</v>
      </c>
      <c r="G457" s="5" t="s">
        <v>390</v>
      </c>
      <c r="H457" s="5" t="s">
        <v>46</v>
      </c>
      <c r="I457" s="5" t="s">
        <v>216</v>
      </c>
      <c r="J457" s="5">
        <v>763</v>
      </c>
      <c r="K457" s="5">
        <v>24.1</v>
      </c>
      <c r="L457" s="7">
        <f t="shared" si="42"/>
        <v>31.659751037344396</v>
      </c>
      <c r="M457" s="5" t="s">
        <v>10</v>
      </c>
      <c r="N457" s="5">
        <v>4</v>
      </c>
      <c r="O457" s="6">
        <f t="shared" si="43"/>
        <v>0.47799080917167397</v>
      </c>
      <c r="P457" s="6">
        <f t="shared" si="44"/>
        <v>4.9711044153854085E-2</v>
      </c>
      <c r="Q457" s="10">
        <f t="shared" si="45"/>
        <v>1.0356467532052936E-3</v>
      </c>
      <c r="R457" s="10">
        <f t="shared" si="46"/>
        <v>9.1403280678869249E-3</v>
      </c>
      <c r="S457" s="10">
        <f t="shared" si="47"/>
        <v>1.0175974821092219E-2</v>
      </c>
    </row>
    <row r="458" spans="1:19" x14ac:dyDescent="0.25">
      <c r="A458" s="5" t="s">
        <v>8</v>
      </c>
      <c r="B458" s="5" t="s">
        <v>339</v>
      </c>
      <c r="C458" s="5" t="s">
        <v>27</v>
      </c>
      <c r="D458" s="5" t="s">
        <v>385</v>
      </c>
      <c r="E458" s="5" t="s">
        <v>384</v>
      </c>
      <c r="F458" s="5" t="s">
        <v>45</v>
      </c>
      <c r="G458" s="5" t="s">
        <v>390</v>
      </c>
      <c r="H458" s="5" t="s">
        <v>46</v>
      </c>
      <c r="I458" s="5" t="s">
        <v>216</v>
      </c>
      <c r="J458" s="5">
        <v>801</v>
      </c>
      <c r="K458" s="5">
        <v>28.6</v>
      </c>
      <c r="L458" s="7">
        <f t="shared" si="42"/>
        <v>28.006993006993007</v>
      </c>
      <c r="M458" s="5" t="s">
        <v>9</v>
      </c>
      <c r="N458" s="5">
        <v>4</v>
      </c>
      <c r="O458" s="6">
        <f t="shared" si="43"/>
        <v>0.39268607343268619</v>
      </c>
      <c r="P458" s="6">
        <f t="shared" si="44"/>
        <v>4.0839351636999366E-2</v>
      </c>
      <c r="Q458" s="10">
        <f t="shared" si="45"/>
        <v>8.5081982577081994E-4</v>
      </c>
      <c r="R458" s="10">
        <f t="shared" si="46"/>
        <v>7.8873524666107624E-3</v>
      </c>
      <c r="S458" s="10">
        <f t="shared" si="47"/>
        <v>8.7381722923815831E-3</v>
      </c>
    </row>
    <row r="459" spans="1:19" x14ac:dyDescent="0.25">
      <c r="A459" s="5" t="s">
        <v>8</v>
      </c>
      <c r="B459" s="5" t="s">
        <v>214</v>
      </c>
      <c r="C459" s="5" t="s">
        <v>27</v>
      </c>
      <c r="D459" s="5" t="s">
        <v>385</v>
      </c>
      <c r="E459" s="5" t="s">
        <v>384</v>
      </c>
      <c r="F459" s="5" t="s">
        <v>45</v>
      </c>
      <c r="G459" s="5" t="s">
        <v>390</v>
      </c>
      <c r="H459" s="5" t="s">
        <v>46</v>
      </c>
      <c r="I459" s="5" t="s">
        <v>62</v>
      </c>
      <c r="J459" s="5">
        <v>1000</v>
      </c>
      <c r="K459" s="5">
        <v>29</v>
      </c>
      <c r="L459" s="7">
        <f t="shared" si="42"/>
        <v>34.482758620689658</v>
      </c>
      <c r="M459" s="5" t="s">
        <v>10</v>
      </c>
      <c r="N459" s="5">
        <v>4</v>
      </c>
      <c r="O459" s="6">
        <f t="shared" si="43"/>
        <v>0.74316290130796681</v>
      </c>
      <c r="P459" s="6">
        <f t="shared" si="44"/>
        <v>7.7288941736028557E-2</v>
      </c>
      <c r="Q459" s="10">
        <f t="shared" si="45"/>
        <v>1.6101862861672613E-3</v>
      </c>
      <c r="R459" s="10">
        <f t="shared" si="46"/>
        <v>1.27265339526514E-2</v>
      </c>
      <c r="S459" s="10">
        <f t="shared" si="47"/>
        <v>1.4336720238818662E-2</v>
      </c>
    </row>
    <row r="460" spans="1:19" x14ac:dyDescent="0.25">
      <c r="A460" s="5" t="s">
        <v>8</v>
      </c>
      <c r="B460" s="5" t="s">
        <v>197</v>
      </c>
      <c r="C460" s="5" t="s">
        <v>27</v>
      </c>
      <c r="D460" s="5" t="s">
        <v>385</v>
      </c>
      <c r="E460" s="5" t="s">
        <v>384</v>
      </c>
      <c r="F460" s="5" t="s">
        <v>45</v>
      </c>
      <c r="G460" s="5" t="s">
        <v>390</v>
      </c>
      <c r="H460" s="5" t="s">
        <v>46</v>
      </c>
      <c r="I460" s="5" t="s">
        <v>196</v>
      </c>
      <c r="J460" s="5">
        <v>1150</v>
      </c>
      <c r="K460" s="5">
        <v>24.5</v>
      </c>
      <c r="L460" s="7">
        <f t="shared" si="42"/>
        <v>46.938775510204081</v>
      </c>
      <c r="M460" s="5" t="s">
        <v>10</v>
      </c>
      <c r="N460" s="5">
        <v>4</v>
      </c>
      <c r="O460" s="6">
        <f t="shared" si="43"/>
        <v>1.5835849645980844</v>
      </c>
      <c r="P460" s="6">
        <f t="shared" si="44"/>
        <v>0.16469283631820075</v>
      </c>
      <c r="Q460" s="10">
        <f t="shared" si="45"/>
        <v>3.4311007566291828E-3</v>
      </c>
      <c r="R460" s="10">
        <f t="shared" si="46"/>
        <v>2.2445441459619402E-2</v>
      </c>
      <c r="S460" s="10">
        <f t="shared" si="47"/>
        <v>2.5876542216248584E-2</v>
      </c>
    </row>
    <row r="461" spans="1:19" x14ac:dyDescent="0.25">
      <c r="A461" s="5" t="s">
        <v>8</v>
      </c>
      <c r="B461" s="5" t="s">
        <v>191</v>
      </c>
      <c r="C461" s="5" t="s">
        <v>27</v>
      </c>
      <c r="D461" s="5" t="s">
        <v>385</v>
      </c>
      <c r="E461" s="5" t="s">
        <v>384</v>
      </c>
      <c r="F461" s="5" t="s">
        <v>45</v>
      </c>
      <c r="G461" s="5" t="s">
        <v>390</v>
      </c>
      <c r="H461" s="5" t="s">
        <v>46</v>
      </c>
      <c r="I461" s="5" t="s">
        <v>196</v>
      </c>
      <c r="J461" s="5">
        <v>1100</v>
      </c>
      <c r="K461" s="5">
        <v>26</v>
      </c>
      <c r="L461" s="7">
        <f t="shared" si="42"/>
        <v>42.307692307692307</v>
      </c>
      <c r="M461" s="5" t="s">
        <v>10</v>
      </c>
      <c r="N461" s="5">
        <v>4</v>
      </c>
      <c r="O461" s="6">
        <f t="shared" si="43"/>
        <v>1.2305843195266273</v>
      </c>
      <c r="P461" s="6">
        <f t="shared" si="44"/>
        <v>0.12798076923076923</v>
      </c>
      <c r="Q461" s="10">
        <f t="shared" si="45"/>
        <v>2.6662660256410258E-3</v>
      </c>
      <c r="R461" s="10">
        <f t="shared" si="46"/>
        <v>1.8577217122682087E-2</v>
      </c>
      <c r="S461" s="10">
        <f t="shared" si="47"/>
        <v>2.1243483148323111E-2</v>
      </c>
    </row>
    <row r="462" spans="1:19" x14ac:dyDescent="0.25">
      <c r="A462" s="5" t="s">
        <v>8</v>
      </c>
      <c r="B462" s="5" t="s">
        <v>193</v>
      </c>
      <c r="C462" s="5" t="s">
        <v>27</v>
      </c>
      <c r="D462" s="5" t="s">
        <v>385</v>
      </c>
      <c r="E462" s="5" t="s">
        <v>384</v>
      </c>
      <c r="F462" s="5" t="s">
        <v>45</v>
      </c>
      <c r="G462" s="5" t="s">
        <v>390</v>
      </c>
      <c r="H462" s="5" t="s">
        <v>46</v>
      </c>
      <c r="I462" s="5" t="s">
        <v>196</v>
      </c>
      <c r="J462" s="5">
        <v>925</v>
      </c>
      <c r="K462" s="5">
        <v>24</v>
      </c>
      <c r="L462" s="7">
        <f t="shared" si="42"/>
        <v>38.541666666666664</v>
      </c>
      <c r="M462" s="5" t="s">
        <v>10</v>
      </c>
      <c r="N462" s="5">
        <v>4</v>
      </c>
      <c r="O462" s="6">
        <f t="shared" si="43"/>
        <v>0.85878160264756942</v>
      </c>
      <c r="P462" s="6">
        <f t="shared" si="44"/>
        <v>8.9313286675347214E-2</v>
      </c>
      <c r="Q462" s="10">
        <f t="shared" si="45"/>
        <v>1.860693472403067E-3</v>
      </c>
      <c r="R462" s="10">
        <f t="shared" si="46"/>
        <v>1.4184341326858875E-2</v>
      </c>
      <c r="S462" s="10">
        <f t="shared" si="47"/>
        <v>1.6045034799261941E-2</v>
      </c>
    </row>
    <row r="463" spans="1:19" x14ac:dyDescent="0.25">
      <c r="A463" s="5" t="s">
        <v>8</v>
      </c>
      <c r="B463" s="5" t="s">
        <v>198</v>
      </c>
      <c r="C463" s="5" t="s">
        <v>27</v>
      </c>
      <c r="D463" s="5" t="s">
        <v>385</v>
      </c>
      <c r="E463" s="5" t="s">
        <v>384</v>
      </c>
      <c r="F463" s="5" t="s">
        <v>45</v>
      </c>
      <c r="G463" s="5" t="s">
        <v>390</v>
      </c>
      <c r="H463" s="5" t="s">
        <v>46</v>
      </c>
      <c r="I463" s="5" t="s">
        <v>196</v>
      </c>
      <c r="J463" s="5">
        <v>720</v>
      </c>
      <c r="K463" s="5">
        <v>19.5</v>
      </c>
      <c r="L463" s="7">
        <f t="shared" si="42"/>
        <v>36.92307692307692</v>
      </c>
      <c r="M463" s="5" t="s">
        <v>10</v>
      </c>
      <c r="N463" s="5">
        <v>4</v>
      </c>
      <c r="O463" s="6">
        <f t="shared" si="43"/>
        <v>0.6134911242603549</v>
      </c>
      <c r="P463" s="6">
        <f t="shared" si="44"/>
        <v>6.3803076923076907E-2</v>
      </c>
      <c r="Q463" s="10">
        <f t="shared" si="45"/>
        <v>1.329230769230769E-3</v>
      </c>
      <c r="R463" s="10">
        <f t="shared" si="46"/>
        <v>1.1021820585628738E-2</v>
      </c>
      <c r="S463" s="10">
        <f t="shared" si="47"/>
        <v>1.2351051354859506E-2</v>
      </c>
    </row>
    <row r="464" spans="1:19" x14ac:dyDescent="0.25">
      <c r="A464" s="5" t="s">
        <v>8</v>
      </c>
      <c r="B464" s="5" t="s">
        <v>199</v>
      </c>
      <c r="C464" s="5" t="s">
        <v>27</v>
      </c>
      <c r="D464" s="5" t="s">
        <v>385</v>
      </c>
      <c r="E464" s="5" t="s">
        <v>384</v>
      </c>
      <c r="F464" s="5" t="s">
        <v>45</v>
      </c>
      <c r="G464" s="5" t="s">
        <v>390</v>
      </c>
      <c r="H464" s="5" t="s">
        <v>46</v>
      </c>
      <c r="I464" s="5" t="s">
        <v>196</v>
      </c>
      <c r="J464" s="5">
        <v>1090</v>
      </c>
      <c r="K464" s="5">
        <v>25</v>
      </c>
      <c r="L464" s="7">
        <f t="shared" si="42"/>
        <v>43.6</v>
      </c>
      <c r="M464" s="5" t="s">
        <v>10</v>
      </c>
      <c r="N464" s="5">
        <v>4</v>
      </c>
      <c r="O464" s="6">
        <f t="shared" si="43"/>
        <v>1.295029</v>
      </c>
      <c r="P464" s="6">
        <f t="shared" si="44"/>
        <v>0.13468301600000002</v>
      </c>
      <c r="Q464" s="10">
        <f t="shared" si="45"/>
        <v>2.8058961666666666E-3</v>
      </c>
      <c r="R464" s="10">
        <f t="shared" si="46"/>
        <v>1.9302197041295953E-2</v>
      </c>
      <c r="S464" s="10">
        <f t="shared" si="47"/>
        <v>2.2108093207962618E-2</v>
      </c>
    </row>
    <row r="465" spans="1:19" x14ac:dyDescent="0.25">
      <c r="A465" s="5" t="s">
        <v>8</v>
      </c>
      <c r="B465" s="5" t="s">
        <v>200</v>
      </c>
      <c r="C465" s="5" t="s">
        <v>27</v>
      </c>
      <c r="D465" s="5" t="s">
        <v>385</v>
      </c>
      <c r="E465" s="5" t="s">
        <v>384</v>
      </c>
      <c r="F465" s="5" t="s">
        <v>45</v>
      </c>
      <c r="G465" s="5" t="s">
        <v>390</v>
      </c>
      <c r="H465" s="5" t="s">
        <v>46</v>
      </c>
      <c r="I465" s="5" t="s">
        <v>196</v>
      </c>
      <c r="J465" s="5">
        <v>1040</v>
      </c>
      <c r="K465" s="5">
        <v>25.5</v>
      </c>
      <c r="L465" s="7">
        <f t="shared" si="42"/>
        <v>40.784313725490193</v>
      </c>
      <c r="M465" s="5" t="s">
        <v>10</v>
      </c>
      <c r="N465" s="5">
        <v>4</v>
      </c>
      <c r="O465" s="6">
        <f t="shared" si="43"/>
        <v>1.081184159938485</v>
      </c>
      <c r="P465" s="6">
        <f t="shared" si="44"/>
        <v>0.11244315263360244</v>
      </c>
      <c r="Q465" s="10">
        <f t="shared" si="45"/>
        <v>2.3425656798667176E-3</v>
      </c>
      <c r="R465" s="10">
        <f t="shared" si="46"/>
        <v>1.685861450724056E-2</v>
      </c>
      <c r="S465" s="10">
        <f t="shared" si="47"/>
        <v>1.9201180187107276E-2</v>
      </c>
    </row>
    <row r="466" spans="1:19" x14ac:dyDescent="0.25">
      <c r="A466" s="5" t="s">
        <v>8</v>
      </c>
      <c r="B466" s="5" t="s">
        <v>201</v>
      </c>
      <c r="C466" s="5" t="s">
        <v>27</v>
      </c>
      <c r="D466" s="5" t="s">
        <v>385</v>
      </c>
      <c r="E466" s="5" t="s">
        <v>384</v>
      </c>
      <c r="F466" s="5" t="s">
        <v>45</v>
      </c>
      <c r="G466" s="5" t="s">
        <v>390</v>
      </c>
      <c r="H466" s="5" t="s">
        <v>46</v>
      </c>
      <c r="I466" s="5" t="s">
        <v>196</v>
      </c>
      <c r="J466" s="5">
        <v>1020</v>
      </c>
      <c r="K466" s="5">
        <v>23.5</v>
      </c>
      <c r="L466" s="7">
        <f t="shared" si="42"/>
        <v>43.404255319148938</v>
      </c>
      <c r="M466" s="5" t="s">
        <v>10</v>
      </c>
      <c r="N466" s="5">
        <v>4</v>
      </c>
      <c r="O466" s="6">
        <f t="shared" si="43"/>
        <v>1.2010049796287914</v>
      </c>
      <c r="P466" s="6">
        <f t="shared" si="44"/>
        <v>0.1249045178813943</v>
      </c>
      <c r="Q466" s="10">
        <f t="shared" si="45"/>
        <v>2.6021774558623811E-3</v>
      </c>
      <c r="R466" s="10">
        <f t="shared" si="46"/>
        <v>1.824129766845984E-2</v>
      </c>
      <c r="S466" s="10">
        <f t="shared" si="47"/>
        <v>2.0843475124322219E-2</v>
      </c>
    </row>
    <row r="467" spans="1:19" x14ac:dyDescent="0.25">
      <c r="A467" s="5" t="s">
        <v>8</v>
      </c>
      <c r="B467" s="5" t="s">
        <v>300</v>
      </c>
      <c r="C467" s="5" t="s">
        <v>27</v>
      </c>
      <c r="D467" s="5" t="s">
        <v>385</v>
      </c>
      <c r="E467" s="5" t="s">
        <v>384</v>
      </c>
      <c r="F467" s="5" t="s">
        <v>45</v>
      </c>
      <c r="G467" s="5" t="s">
        <v>390</v>
      </c>
      <c r="H467" s="5" t="s">
        <v>46</v>
      </c>
      <c r="I467" s="5" t="s">
        <v>196</v>
      </c>
      <c r="J467" s="5">
        <v>1195</v>
      </c>
      <c r="K467" s="5">
        <v>24</v>
      </c>
      <c r="L467" s="7">
        <f t="shared" si="42"/>
        <v>49.791666666666664</v>
      </c>
      <c r="M467" s="5" t="s">
        <v>10</v>
      </c>
      <c r="N467" s="5">
        <v>4</v>
      </c>
      <c r="O467" s="6">
        <f t="shared" si="43"/>
        <v>1.8516600206163194</v>
      </c>
      <c r="P467" s="6">
        <f t="shared" si="44"/>
        <v>0.19257264214409722</v>
      </c>
      <c r="Q467" s="10">
        <f t="shared" si="45"/>
        <v>4.0119300446686918E-3</v>
      </c>
      <c r="R467" s="10">
        <f t="shared" si="46"/>
        <v>2.5238762776790758E-2</v>
      </c>
      <c r="S467" s="10">
        <f t="shared" si="47"/>
        <v>2.9250692821459451E-2</v>
      </c>
    </row>
    <row r="468" spans="1:19" x14ac:dyDescent="0.25">
      <c r="A468" s="5" t="s">
        <v>8</v>
      </c>
      <c r="B468" s="5" t="s">
        <v>322</v>
      </c>
      <c r="C468" s="5" t="s">
        <v>27</v>
      </c>
      <c r="D468" s="5" t="s">
        <v>385</v>
      </c>
      <c r="E468" s="5" t="s">
        <v>384</v>
      </c>
      <c r="F468" s="5" t="s">
        <v>45</v>
      </c>
      <c r="G468" s="5" t="s">
        <v>390</v>
      </c>
      <c r="H468" s="5" t="s">
        <v>46</v>
      </c>
      <c r="I468" s="5" t="s">
        <v>196</v>
      </c>
      <c r="J468" s="5">
        <v>840</v>
      </c>
      <c r="K468" s="5">
        <v>25</v>
      </c>
      <c r="L468" s="7">
        <f t="shared" si="42"/>
        <v>33.6</v>
      </c>
      <c r="M468" s="5" t="s">
        <v>10</v>
      </c>
      <c r="N468" s="5">
        <v>4</v>
      </c>
      <c r="O468" s="6">
        <f t="shared" si="43"/>
        <v>0.59270400000000001</v>
      </c>
      <c r="P468" s="6">
        <f t="shared" si="44"/>
        <v>6.1641216000000006E-2</v>
      </c>
      <c r="Q468" s="10">
        <f t="shared" si="45"/>
        <v>1.284192E-3</v>
      </c>
      <c r="R468" s="10">
        <f t="shared" si="46"/>
        <v>1.0740525188849282E-2</v>
      </c>
      <c r="S468" s="10">
        <f t="shared" si="47"/>
        <v>1.2024717188849282E-2</v>
      </c>
    </row>
    <row r="469" spans="1:19" x14ac:dyDescent="0.25">
      <c r="A469" s="5" t="s">
        <v>8</v>
      </c>
      <c r="B469" s="5" t="s">
        <v>328</v>
      </c>
      <c r="C469" s="5" t="s">
        <v>27</v>
      </c>
      <c r="D469" s="5" t="s">
        <v>385</v>
      </c>
      <c r="E469" s="5" t="s">
        <v>384</v>
      </c>
      <c r="F469" s="5" t="s">
        <v>45</v>
      </c>
      <c r="G469" s="5" t="s">
        <v>390</v>
      </c>
      <c r="H469" s="5" t="s">
        <v>46</v>
      </c>
      <c r="I469" s="5" t="s">
        <v>196</v>
      </c>
      <c r="J469" s="5">
        <v>1022</v>
      </c>
      <c r="K469" s="5">
        <v>24.8</v>
      </c>
      <c r="L469" s="7">
        <f t="shared" si="42"/>
        <v>41.20967741935484</v>
      </c>
      <c r="M469" s="5" t="s">
        <v>10</v>
      </c>
      <c r="N469" s="5">
        <v>4</v>
      </c>
      <c r="O469" s="6">
        <f t="shared" si="43"/>
        <v>1.0847492114334027</v>
      </c>
      <c r="P469" s="6">
        <f t="shared" si="44"/>
        <v>0.11281391798907389</v>
      </c>
      <c r="Q469" s="10">
        <f t="shared" si="45"/>
        <v>2.3502899581057056E-3</v>
      </c>
      <c r="R469" s="10">
        <f t="shared" si="46"/>
        <v>1.6900289015310911E-2</v>
      </c>
      <c r="S469" s="10">
        <f t="shared" si="47"/>
        <v>1.9250578973416616E-2</v>
      </c>
    </row>
    <row r="470" spans="1:19" x14ac:dyDescent="0.25">
      <c r="A470" s="5" t="s">
        <v>8</v>
      </c>
      <c r="B470" s="5" t="s">
        <v>339</v>
      </c>
      <c r="C470" s="5" t="s">
        <v>27</v>
      </c>
      <c r="D470" s="5" t="s">
        <v>385</v>
      </c>
      <c r="E470" s="5" t="s">
        <v>384</v>
      </c>
      <c r="F470" s="5" t="s">
        <v>45</v>
      </c>
      <c r="G470" s="5" t="s">
        <v>390</v>
      </c>
      <c r="H470" s="5" t="s">
        <v>46</v>
      </c>
      <c r="I470" s="5" t="s">
        <v>196</v>
      </c>
      <c r="J470" s="5">
        <v>880</v>
      </c>
      <c r="K470" s="5">
        <v>22.6</v>
      </c>
      <c r="L470" s="7">
        <f t="shared" si="42"/>
        <v>38.938053097345133</v>
      </c>
      <c r="M470" s="5" t="s">
        <v>10</v>
      </c>
      <c r="N470" s="5">
        <v>4</v>
      </c>
      <c r="O470" s="6">
        <f t="shared" si="43"/>
        <v>0.83389458845641784</v>
      </c>
      <c r="P470" s="6">
        <f t="shared" si="44"/>
        <v>8.6725037199467447E-2</v>
      </c>
      <c r="Q470" s="10">
        <f t="shared" si="45"/>
        <v>1.8067716083222385E-3</v>
      </c>
      <c r="R470" s="10">
        <f t="shared" si="46"/>
        <v>1.3874920102171794E-2</v>
      </c>
      <c r="S470" s="10">
        <f t="shared" si="47"/>
        <v>1.5681691710494033E-2</v>
      </c>
    </row>
    <row r="471" spans="1:19" x14ac:dyDescent="0.25">
      <c r="A471" s="5" t="s">
        <v>8</v>
      </c>
      <c r="B471" s="5" t="s">
        <v>339</v>
      </c>
      <c r="C471" s="5" t="s">
        <v>27</v>
      </c>
      <c r="D471" s="5" t="s">
        <v>385</v>
      </c>
      <c r="E471" s="5" t="s">
        <v>384</v>
      </c>
      <c r="F471" s="5" t="s">
        <v>45</v>
      </c>
      <c r="G471" s="5" t="s">
        <v>390</v>
      </c>
      <c r="H471" s="5" t="s">
        <v>46</v>
      </c>
      <c r="I471" s="5" t="s">
        <v>196</v>
      </c>
      <c r="J471" s="5">
        <v>820</v>
      </c>
      <c r="K471" s="5">
        <v>21.8</v>
      </c>
      <c r="L471" s="7">
        <f t="shared" si="42"/>
        <v>37.61467889908257</v>
      </c>
      <c r="M471" s="5" t="s">
        <v>10</v>
      </c>
      <c r="N471" s="5">
        <v>4</v>
      </c>
      <c r="O471" s="6">
        <f t="shared" si="43"/>
        <v>0.72511783519905726</v>
      </c>
      <c r="P471" s="6">
        <f t="shared" si="44"/>
        <v>7.5412254860701966E-2</v>
      </c>
      <c r="Q471" s="10">
        <f t="shared" si="45"/>
        <v>1.5710886429312907E-3</v>
      </c>
      <c r="R471" s="10">
        <f t="shared" si="46"/>
        <v>1.2494059354586017E-2</v>
      </c>
      <c r="S471" s="10">
        <f t="shared" si="47"/>
        <v>1.4065147997517308E-2</v>
      </c>
    </row>
    <row r="472" spans="1:19" x14ac:dyDescent="0.25">
      <c r="A472" s="5" t="s">
        <v>8</v>
      </c>
      <c r="B472" s="5" t="s">
        <v>192</v>
      </c>
      <c r="C472" s="5" t="s">
        <v>27</v>
      </c>
      <c r="D472" s="5" t="s">
        <v>385</v>
      </c>
      <c r="E472" s="5" t="s">
        <v>384</v>
      </c>
      <c r="F472" s="5" t="s">
        <v>45</v>
      </c>
      <c r="G472" s="5" t="s">
        <v>390</v>
      </c>
      <c r="H472" s="5" t="s">
        <v>46</v>
      </c>
      <c r="I472" s="5" t="s">
        <v>212</v>
      </c>
      <c r="J472" s="5">
        <v>730</v>
      </c>
      <c r="K472" s="5">
        <v>24.3</v>
      </c>
      <c r="L472" s="7">
        <f t="shared" si="42"/>
        <v>30.041152263374485</v>
      </c>
      <c r="M472" s="5" t="s">
        <v>10</v>
      </c>
      <c r="N472" s="5">
        <v>4</v>
      </c>
      <c r="O472" s="6">
        <f t="shared" si="43"/>
        <v>0.41175231587325783</v>
      </c>
      <c r="P472" s="6">
        <f t="shared" si="44"/>
        <v>4.2822240850818816E-2</v>
      </c>
      <c r="Q472" s="10">
        <f t="shared" si="45"/>
        <v>8.9213001772539199E-4</v>
      </c>
      <c r="R472" s="10">
        <f t="shared" si="46"/>
        <v>8.1728619312888239E-3</v>
      </c>
      <c r="S472" s="10">
        <f t="shared" si="47"/>
        <v>9.0649919490142158E-3</v>
      </c>
    </row>
    <row r="473" spans="1:19" x14ac:dyDescent="0.25">
      <c r="A473" s="5" t="s">
        <v>22</v>
      </c>
      <c r="B473" s="5" t="s">
        <v>63</v>
      </c>
      <c r="C473" s="5" t="s">
        <v>27</v>
      </c>
      <c r="D473" s="5" t="s">
        <v>385</v>
      </c>
      <c r="E473" s="5" t="s">
        <v>384</v>
      </c>
      <c r="F473" s="5" t="s">
        <v>45</v>
      </c>
      <c r="G473" s="5" t="s">
        <v>390</v>
      </c>
      <c r="H473" s="5" t="s">
        <v>46</v>
      </c>
      <c r="I473" s="5" t="s">
        <v>152</v>
      </c>
      <c r="J473" s="5">
        <v>2050</v>
      </c>
      <c r="K473" s="5">
        <v>48</v>
      </c>
      <c r="L473" s="7">
        <f t="shared" si="42"/>
        <v>42.708333333333336</v>
      </c>
      <c r="M473" s="5" t="s">
        <v>10</v>
      </c>
      <c r="N473" s="5">
        <v>4</v>
      </c>
      <c r="O473" s="6">
        <f t="shared" si="43"/>
        <v>2.3370022243923612</v>
      </c>
      <c r="P473" s="6">
        <f t="shared" si="44"/>
        <v>0.24304823133680559</v>
      </c>
      <c r="Q473" s="10">
        <f t="shared" si="45"/>
        <v>5.0635048195167825E-3</v>
      </c>
      <c r="R473" s="10">
        <f t="shared" si="46"/>
        <v>3.0053251699317985E-2</v>
      </c>
      <c r="S473" s="10">
        <f t="shared" si="47"/>
        <v>3.5116756518834766E-2</v>
      </c>
    </row>
    <row r="474" spans="1:19" x14ac:dyDescent="0.25">
      <c r="A474" s="5" t="s">
        <v>22</v>
      </c>
      <c r="B474" s="5" t="s">
        <v>63</v>
      </c>
      <c r="C474" s="5" t="s">
        <v>27</v>
      </c>
      <c r="D474" s="5" t="s">
        <v>385</v>
      </c>
      <c r="E474" s="5" t="s">
        <v>384</v>
      </c>
      <c r="F474" s="5" t="s">
        <v>45</v>
      </c>
      <c r="G474" s="5" t="s">
        <v>390</v>
      </c>
      <c r="H474" s="5" t="s">
        <v>46</v>
      </c>
      <c r="I474" s="5" t="s">
        <v>152</v>
      </c>
      <c r="J474" s="5">
        <v>1900</v>
      </c>
      <c r="K474" s="5">
        <v>49.5</v>
      </c>
      <c r="L474" s="7">
        <f t="shared" si="42"/>
        <v>38.383838383838381</v>
      </c>
      <c r="M474" s="5" t="s">
        <v>9</v>
      </c>
      <c r="N474" s="5">
        <v>4</v>
      </c>
      <c r="O474" s="6">
        <f t="shared" si="43"/>
        <v>1.7495663707784919</v>
      </c>
      <c r="P474" s="6">
        <f t="shared" si="44"/>
        <v>0.18195490256096314</v>
      </c>
      <c r="Q474" s="10">
        <f t="shared" si="45"/>
        <v>3.7907271366867321E-3</v>
      </c>
      <c r="R474" s="10">
        <f t="shared" si="46"/>
        <v>2.4187720476462712E-2</v>
      </c>
      <c r="S474" s="10">
        <f t="shared" si="47"/>
        <v>2.7978447613149444E-2</v>
      </c>
    </row>
    <row r="475" spans="1:19" x14ac:dyDescent="0.25">
      <c r="A475" s="5" t="s">
        <v>8</v>
      </c>
      <c r="B475" s="5" t="s">
        <v>375</v>
      </c>
      <c r="C475" s="5" t="s">
        <v>27</v>
      </c>
      <c r="D475" s="5" t="s">
        <v>385</v>
      </c>
      <c r="E475" s="5" t="s">
        <v>384</v>
      </c>
      <c r="F475" s="5" t="s">
        <v>45</v>
      </c>
      <c r="G475" s="5" t="s">
        <v>390</v>
      </c>
      <c r="H475" s="5" t="s">
        <v>46</v>
      </c>
      <c r="I475" s="5" t="s">
        <v>152</v>
      </c>
      <c r="J475" s="5">
        <v>2000</v>
      </c>
      <c r="K475" s="5">
        <v>47</v>
      </c>
      <c r="L475" s="7">
        <f t="shared" si="42"/>
        <v>42.553191489361701</v>
      </c>
      <c r="M475" s="5" t="s">
        <v>10</v>
      </c>
      <c r="N475" s="5">
        <v>4</v>
      </c>
      <c r="O475" s="6">
        <f t="shared" si="43"/>
        <v>2.2634676324128562</v>
      </c>
      <c r="P475" s="6">
        <f t="shared" si="44"/>
        <v>0.23540063377093706</v>
      </c>
      <c r="Q475" s="10">
        <f t="shared" si="45"/>
        <v>4.9041798702278549E-3</v>
      </c>
      <c r="R475" s="10">
        <f t="shared" si="46"/>
        <v>2.9341197903551185E-2</v>
      </c>
      <c r="S475" s="10">
        <f t="shared" si="47"/>
        <v>3.4245377773779041E-2</v>
      </c>
    </row>
    <row r="476" spans="1:19" x14ac:dyDescent="0.25">
      <c r="A476" s="5" t="s">
        <v>8</v>
      </c>
      <c r="B476" s="5" t="s">
        <v>375</v>
      </c>
      <c r="C476" s="5" t="s">
        <v>27</v>
      </c>
      <c r="D476" s="5" t="s">
        <v>385</v>
      </c>
      <c r="E476" s="5" t="s">
        <v>384</v>
      </c>
      <c r="F476" s="5" t="s">
        <v>45</v>
      </c>
      <c r="G476" s="5" t="s">
        <v>390</v>
      </c>
      <c r="H476" s="5" t="s">
        <v>46</v>
      </c>
      <c r="I476" s="5" t="s">
        <v>152</v>
      </c>
      <c r="J476" s="5">
        <v>1900</v>
      </c>
      <c r="K476" s="5">
        <v>50</v>
      </c>
      <c r="L476" s="7">
        <f t="shared" si="42"/>
        <v>38</v>
      </c>
      <c r="M476" s="5" t="s">
        <v>9</v>
      </c>
      <c r="N476" s="5">
        <v>4</v>
      </c>
      <c r="O476" s="6">
        <f t="shared" si="43"/>
        <v>1.71475</v>
      </c>
      <c r="P476" s="6">
        <f t="shared" si="44"/>
        <v>0.17833399999999996</v>
      </c>
      <c r="Q476" s="10">
        <f t="shared" si="45"/>
        <v>3.7152916666666667E-3</v>
      </c>
      <c r="R476" s="10">
        <f t="shared" si="46"/>
        <v>2.3825813226263679E-2</v>
      </c>
      <c r="S476" s="10">
        <f t="shared" si="47"/>
        <v>2.7541104892930345E-2</v>
      </c>
    </row>
    <row r="477" spans="1:19" x14ac:dyDescent="0.25">
      <c r="A477" s="5" t="s">
        <v>8</v>
      </c>
      <c r="B477" s="5" t="s">
        <v>300</v>
      </c>
      <c r="C477" s="5" t="s">
        <v>27</v>
      </c>
      <c r="D477" s="5" t="s">
        <v>385</v>
      </c>
      <c r="E477" s="5" t="s">
        <v>384</v>
      </c>
      <c r="F477" s="5" t="s">
        <v>45</v>
      </c>
      <c r="G477" s="5" t="s">
        <v>390</v>
      </c>
      <c r="H477" s="5" t="s">
        <v>46</v>
      </c>
      <c r="I477" s="5" t="s">
        <v>302</v>
      </c>
      <c r="J477" s="5">
        <v>1357</v>
      </c>
      <c r="K477" s="5">
        <v>29</v>
      </c>
      <c r="L477" s="7">
        <f t="shared" si="42"/>
        <v>46.793103448275865</v>
      </c>
      <c r="M477" s="5" t="s">
        <v>10</v>
      </c>
      <c r="N477" s="5">
        <v>4</v>
      </c>
      <c r="O477" s="6">
        <f t="shared" si="43"/>
        <v>1.8570498610285375</v>
      </c>
      <c r="P477" s="6">
        <f t="shared" si="44"/>
        <v>0.19313318554696787</v>
      </c>
      <c r="Q477" s="10">
        <f t="shared" si="45"/>
        <v>4.0236080322284982E-3</v>
      </c>
      <c r="R477" s="10">
        <f t="shared" si="46"/>
        <v>2.5293841786768613E-2</v>
      </c>
      <c r="S477" s="10">
        <f t="shared" si="47"/>
        <v>2.9317449818997112E-2</v>
      </c>
    </row>
    <row r="478" spans="1:19" x14ac:dyDescent="0.25">
      <c r="A478" s="5" t="s">
        <v>8</v>
      </c>
      <c r="B478" s="5" t="s">
        <v>328</v>
      </c>
      <c r="C478" s="5" t="s">
        <v>27</v>
      </c>
      <c r="D478" s="5" t="s">
        <v>385</v>
      </c>
      <c r="E478" s="5" t="s">
        <v>384</v>
      </c>
      <c r="F478" s="5" t="s">
        <v>45</v>
      </c>
      <c r="G478" s="5" t="s">
        <v>390</v>
      </c>
      <c r="H478" s="5" t="s">
        <v>46</v>
      </c>
      <c r="I478" s="5" t="s">
        <v>302</v>
      </c>
      <c r="J478" s="5">
        <v>1363</v>
      </c>
      <c r="K478" s="5">
        <v>28.2</v>
      </c>
      <c r="L478" s="7">
        <f t="shared" si="42"/>
        <v>48.333333333333336</v>
      </c>
      <c r="M478" s="5" t="s">
        <v>10</v>
      </c>
      <c r="N478" s="5">
        <v>4</v>
      </c>
      <c r="O478" s="6">
        <f t="shared" si="43"/>
        <v>1.9900746527777777</v>
      </c>
      <c r="P478" s="6">
        <f t="shared" si="44"/>
        <v>0.20696776388888888</v>
      </c>
      <c r="Q478" s="10">
        <f t="shared" si="45"/>
        <v>4.3118284143518516E-3</v>
      </c>
      <c r="R478" s="10">
        <f t="shared" si="46"/>
        <v>2.6640915833609679E-2</v>
      </c>
      <c r="S478" s="10">
        <f t="shared" si="47"/>
        <v>3.0952744247961531E-2</v>
      </c>
    </row>
    <row r="479" spans="1:19" x14ac:dyDescent="0.25">
      <c r="A479" s="5" t="s">
        <v>8</v>
      </c>
      <c r="B479" s="5" t="s">
        <v>354</v>
      </c>
      <c r="C479" s="5" t="s">
        <v>27</v>
      </c>
      <c r="D479" s="5" t="s">
        <v>385</v>
      </c>
      <c r="E479" s="5" t="s">
        <v>384</v>
      </c>
      <c r="F479" s="5" t="s">
        <v>45</v>
      </c>
      <c r="G479" s="5" t="s">
        <v>390</v>
      </c>
      <c r="H479" s="5" t="s">
        <v>46</v>
      </c>
      <c r="I479" s="5" t="s">
        <v>302</v>
      </c>
      <c r="J479" s="5">
        <v>1350</v>
      </c>
      <c r="K479" s="5">
        <v>32.5</v>
      </c>
      <c r="L479" s="7">
        <f t="shared" si="42"/>
        <v>41.53846153846154</v>
      </c>
      <c r="M479" s="5" t="s">
        <v>10</v>
      </c>
      <c r="N479" s="5">
        <v>4</v>
      </c>
      <c r="O479" s="6">
        <f t="shared" si="43"/>
        <v>1.4558431952662723</v>
      </c>
      <c r="P479" s="6">
        <f t="shared" si="44"/>
        <v>0.15140769230769233</v>
      </c>
      <c r="Q479" s="10">
        <f t="shared" si="45"/>
        <v>3.1543269230769229E-3</v>
      </c>
      <c r="R479" s="10">
        <f t="shared" si="46"/>
        <v>2.107332548180799E-2</v>
      </c>
      <c r="S479" s="10">
        <f t="shared" si="47"/>
        <v>2.4227652404884913E-2</v>
      </c>
    </row>
    <row r="480" spans="1:19" x14ac:dyDescent="0.25">
      <c r="A480" s="5" t="s">
        <v>22</v>
      </c>
      <c r="B480" s="5" t="s">
        <v>26</v>
      </c>
      <c r="C480" s="5" t="s">
        <v>27</v>
      </c>
      <c r="D480" s="5" t="s">
        <v>385</v>
      </c>
      <c r="E480" s="5" t="s">
        <v>384</v>
      </c>
      <c r="F480" s="5" t="s">
        <v>45</v>
      </c>
      <c r="G480" s="5" t="s">
        <v>390</v>
      </c>
      <c r="H480" s="5" t="s">
        <v>46</v>
      </c>
      <c r="I480" s="5" t="s">
        <v>48</v>
      </c>
      <c r="J480" s="5">
        <v>1300</v>
      </c>
      <c r="K480" s="5">
        <v>31.5</v>
      </c>
      <c r="L480" s="7">
        <f t="shared" si="42"/>
        <v>41.269841269841272</v>
      </c>
      <c r="M480" s="5" t="s">
        <v>10</v>
      </c>
      <c r="N480" s="5">
        <v>4</v>
      </c>
      <c r="O480" s="6">
        <f t="shared" si="43"/>
        <v>1.3838498362307887</v>
      </c>
      <c r="P480" s="6">
        <f t="shared" si="44"/>
        <v>0.14392038296800203</v>
      </c>
      <c r="Q480" s="10">
        <f t="shared" si="45"/>
        <v>2.9983413118333754E-3</v>
      </c>
      <c r="R480" s="10">
        <f t="shared" si="46"/>
        <v>2.0286814091063157E-2</v>
      </c>
      <c r="S480" s="10">
        <f t="shared" si="47"/>
        <v>2.3285155402896534E-2</v>
      </c>
    </row>
    <row r="481" spans="1:19" x14ac:dyDescent="0.25">
      <c r="A481" s="5" t="s">
        <v>22</v>
      </c>
      <c r="B481" s="5" t="s">
        <v>26</v>
      </c>
      <c r="C481" s="5" t="s">
        <v>27</v>
      </c>
      <c r="D481" s="5" t="s">
        <v>385</v>
      </c>
      <c r="E481" s="5" t="s">
        <v>384</v>
      </c>
      <c r="F481" s="5" t="s">
        <v>45</v>
      </c>
      <c r="G481" s="5" t="s">
        <v>390</v>
      </c>
      <c r="H481" s="5" t="s">
        <v>46</v>
      </c>
      <c r="I481" s="5" t="s">
        <v>48</v>
      </c>
      <c r="J481" s="5">
        <v>1150</v>
      </c>
      <c r="K481" s="5">
        <v>34</v>
      </c>
      <c r="L481" s="7">
        <f t="shared" si="42"/>
        <v>33.823529411764703</v>
      </c>
      <c r="M481" s="5" t="s">
        <v>9</v>
      </c>
      <c r="N481" s="5">
        <v>4</v>
      </c>
      <c r="O481" s="6">
        <f t="shared" si="43"/>
        <v>0.8222723832179929</v>
      </c>
      <c r="P481" s="6">
        <f t="shared" si="44"/>
        <v>8.5516327854671254E-2</v>
      </c>
      <c r="Q481" s="10">
        <f t="shared" si="45"/>
        <v>1.7815901636389845E-3</v>
      </c>
      <c r="R481" s="10">
        <f t="shared" si="46"/>
        <v>1.3729632180540055E-2</v>
      </c>
      <c r="S481" s="10">
        <f t="shared" si="47"/>
        <v>1.5511222344179039E-2</v>
      </c>
    </row>
    <row r="482" spans="1:19" x14ac:dyDescent="0.25">
      <c r="A482" s="5" t="s">
        <v>8</v>
      </c>
      <c r="B482" s="5" t="s">
        <v>191</v>
      </c>
      <c r="C482" s="5" t="s">
        <v>27</v>
      </c>
      <c r="D482" s="5" t="s">
        <v>385</v>
      </c>
      <c r="E482" s="5" t="s">
        <v>384</v>
      </c>
      <c r="F482" s="5" t="s">
        <v>45</v>
      </c>
      <c r="G482" s="5" t="s">
        <v>390</v>
      </c>
      <c r="H482" s="5" t="s">
        <v>46</v>
      </c>
      <c r="I482" s="5" t="s">
        <v>48</v>
      </c>
      <c r="J482" s="5">
        <v>1700</v>
      </c>
      <c r="K482" s="5">
        <v>30</v>
      </c>
      <c r="L482" s="7">
        <f t="shared" si="42"/>
        <v>56.666666666666664</v>
      </c>
      <c r="M482" s="5" t="s">
        <v>10</v>
      </c>
      <c r="N482" s="5">
        <v>4</v>
      </c>
      <c r="O482" s="6">
        <f t="shared" si="43"/>
        <v>3.4118055555555551</v>
      </c>
      <c r="P482" s="6">
        <f t="shared" si="44"/>
        <v>0.35482777777777774</v>
      </c>
      <c r="Q482" s="10">
        <f t="shared" si="45"/>
        <v>7.3922453703703685E-3</v>
      </c>
      <c r="R482" s="10">
        <f t="shared" si="46"/>
        <v>3.9914925990768291E-2</v>
      </c>
      <c r="S482" s="10">
        <f t="shared" si="47"/>
        <v>4.7307171361138656E-2</v>
      </c>
    </row>
    <row r="483" spans="1:19" x14ac:dyDescent="0.25">
      <c r="A483" s="5" t="s">
        <v>8</v>
      </c>
      <c r="B483" s="5" t="s">
        <v>192</v>
      </c>
      <c r="C483" s="5" t="s">
        <v>27</v>
      </c>
      <c r="D483" s="5" t="s">
        <v>385</v>
      </c>
      <c r="E483" s="5" t="s">
        <v>384</v>
      </c>
      <c r="F483" s="5" t="s">
        <v>45</v>
      </c>
      <c r="G483" s="5" t="s">
        <v>390</v>
      </c>
      <c r="H483" s="5" t="s">
        <v>46</v>
      </c>
      <c r="I483" s="5" t="s">
        <v>48</v>
      </c>
      <c r="J483" s="5">
        <v>1590</v>
      </c>
      <c r="K483" s="5">
        <v>29.6</v>
      </c>
      <c r="L483" s="7">
        <f t="shared" si="42"/>
        <v>53.71621621621621</v>
      </c>
      <c r="M483" s="5" t="s">
        <v>10</v>
      </c>
      <c r="N483" s="5">
        <v>4</v>
      </c>
      <c r="O483" s="6">
        <f t="shared" si="43"/>
        <v>2.867397935308619</v>
      </c>
      <c r="P483" s="6">
        <f t="shared" si="44"/>
        <v>0.29820938527209634</v>
      </c>
      <c r="Q483" s="10">
        <f t="shared" si="45"/>
        <v>6.2126955265020068E-3</v>
      </c>
      <c r="R483" s="10">
        <f t="shared" si="46"/>
        <v>3.5035885669132544E-2</v>
      </c>
      <c r="S483" s="10">
        <f t="shared" si="47"/>
        <v>4.124858119563455E-2</v>
      </c>
    </row>
    <row r="484" spans="1:19" x14ac:dyDescent="0.25">
      <c r="A484" s="5" t="s">
        <v>8</v>
      </c>
      <c r="B484" s="5" t="s">
        <v>214</v>
      </c>
      <c r="C484" s="5" t="s">
        <v>27</v>
      </c>
      <c r="D484" s="5" t="s">
        <v>385</v>
      </c>
      <c r="E484" s="5" t="s">
        <v>384</v>
      </c>
      <c r="F484" s="5" t="s">
        <v>45</v>
      </c>
      <c r="G484" s="5" t="s">
        <v>390</v>
      </c>
      <c r="H484" s="5" t="s">
        <v>46</v>
      </c>
      <c r="I484" s="5" t="s">
        <v>48</v>
      </c>
      <c r="J484" s="5">
        <v>1100</v>
      </c>
      <c r="K484" s="5">
        <v>27</v>
      </c>
      <c r="L484" s="7">
        <f t="shared" si="42"/>
        <v>40.74074074074074</v>
      </c>
      <c r="M484" s="5" t="s">
        <v>10</v>
      </c>
      <c r="N484" s="5">
        <v>4</v>
      </c>
      <c r="O484" s="6">
        <f t="shared" si="43"/>
        <v>1.1411179698216736</v>
      </c>
      <c r="P484" s="6">
        <f t="shared" si="44"/>
        <v>0.11867626886145402</v>
      </c>
      <c r="Q484" s="10">
        <f t="shared" si="45"/>
        <v>2.4724222679469595E-3</v>
      </c>
      <c r="R484" s="10">
        <f t="shared" si="46"/>
        <v>1.7554765509974736E-2</v>
      </c>
      <c r="S484" s="10">
        <f t="shared" si="47"/>
        <v>2.0027187777921694E-2</v>
      </c>
    </row>
    <row r="485" spans="1:19" x14ac:dyDescent="0.25">
      <c r="A485" s="5" t="s">
        <v>8</v>
      </c>
      <c r="B485" s="5" t="s">
        <v>291</v>
      </c>
      <c r="C485" s="5" t="s">
        <v>27</v>
      </c>
      <c r="D485" s="5" t="s">
        <v>385</v>
      </c>
      <c r="E485" s="5" t="s">
        <v>384</v>
      </c>
      <c r="F485" s="5" t="s">
        <v>45</v>
      </c>
      <c r="G485" s="5" t="s">
        <v>390</v>
      </c>
      <c r="H485" s="5" t="s">
        <v>46</v>
      </c>
      <c r="I485" s="5" t="s">
        <v>48</v>
      </c>
      <c r="J485" s="5">
        <v>980</v>
      </c>
      <c r="K485" s="5">
        <v>26</v>
      </c>
      <c r="L485" s="7">
        <f t="shared" si="42"/>
        <v>37.692307692307693</v>
      </c>
      <c r="M485" s="5" t="s">
        <v>10</v>
      </c>
      <c r="N485" s="5">
        <v>4</v>
      </c>
      <c r="O485" s="6">
        <f t="shared" si="43"/>
        <v>0.87018491124260366</v>
      </c>
      <c r="P485" s="6">
        <f t="shared" si="44"/>
        <v>9.0499230769230776E-2</v>
      </c>
      <c r="Q485" s="10">
        <f t="shared" si="45"/>
        <v>1.8854006410256412E-3</v>
      </c>
      <c r="R485" s="10">
        <f t="shared" si="46"/>
        <v>1.4325367948525116E-2</v>
      </c>
      <c r="S485" s="10">
        <f t="shared" si="47"/>
        <v>1.6210768589550756E-2</v>
      </c>
    </row>
    <row r="486" spans="1:19" x14ac:dyDescent="0.25">
      <c r="A486" s="5" t="s">
        <v>8</v>
      </c>
      <c r="B486" s="5" t="s">
        <v>300</v>
      </c>
      <c r="C486" s="5" t="s">
        <v>27</v>
      </c>
      <c r="D486" s="5" t="s">
        <v>385</v>
      </c>
      <c r="E486" s="5" t="s">
        <v>384</v>
      </c>
      <c r="F486" s="5" t="s">
        <v>45</v>
      </c>
      <c r="G486" s="5" t="s">
        <v>390</v>
      </c>
      <c r="H486" s="5" t="s">
        <v>46</v>
      </c>
      <c r="I486" s="5" t="s">
        <v>48</v>
      </c>
      <c r="J486" s="5">
        <v>980</v>
      </c>
      <c r="K486" s="5">
        <v>26</v>
      </c>
      <c r="L486" s="7">
        <f t="shared" si="42"/>
        <v>37.692307692307693</v>
      </c>
      <c r="M486" s="5" t="s">
        <v>10</v>
      </c>
      <c r="N486" s="5">
        <v>4</v>
      </c>
      <c r="O486" s="6">
        <f t="shared" si="43"/>
        <v>0.87018491124260366</v>
      </c>
      <c r="P486" s="6">
        <f t="shared" si="44"/>
        <v>9.0499230769230776E-2</v>
      </c>
      <c r="Q486" s="10">
        <f t="shared" si="45"/>
        <v>1.8854006410256412E-3</v>
      </c>
      <c r="R486" s="10">
        <f t="shared" si="46"/>
        <v>1.4325367948525116E-2</v>
      </c>
      <c r="S486" s="10">
        <f t="shared" si="47"/>
        <v>1.6210768589550756E-2</v>
      </c>
    </row>
    <row r="487" spans="1:19" x14ac:dyDescent="0.25">
      <c r="A487" s="5" t="s">
        <v>8</v>
      </c>
      <c r="B487" s="5" t="s">
        <v>307</v>
      </c>
      <c r="C487" s="5" t="s">
        <v>27</v>
      </c>
      <c r="D487" s="5" t="s">
        <v>385</v>
      </c>
      <c r="E487" s="5" t="s">
        <v>384</v>
      </c>
      <c r="F487" s="5" t="s">
        <v>45</v>
      </c>
      <c r="G487" s="5" t="s">
        <v>390</v>
      </c>
      <c r="H487" s="5" t="s">
        <v>46</v>
      </c>
      <c r="I487" s="5" t="s">
        <v>48</v>
      </c>
      <c r="J487" s="5">
        <v>1600</v>
      </c>
      <c r="K487" s="5">
        <v>31.2</v>
      </c>
      <c r="L487" s="7">
        <f t="shared" si="42"/>
        <v>51.282051282051285</v>
      </c>
      <c r="M487" s="5" t="s">
        <v>10</v>
      </c>
      <c r="N487" s="5">
        <v>4</v>
      </c>
      <c r="O487" s="6">
        <f t="shared" si="43"/>
        <v>2.6298487836949382</v>
      </c>
      <c r="P487" s="6">
        <f t="shared" si="44"/>
        <v>0.27350427350427353</v>
      </c>
      <c r="Q487" s="10">
        <f t="shared" si="45"/>
        <v>5.6980056980057E-3</v>
      </c>
      <c r="R487" s="10">
        <f t="shared" si="46"/>
        <v>3.2835618960862005E-2</v>
      </c>
      <c r="S487" s="10">
        <f t="shared" si="47"/>
        <v>3.8533624658867706E-2</v>
      </c>
    </row>
    <row r="488" spans="1:19" x14ac:dyDescent="0.25">
      <c r="A488" s="5" t="s">
        <v>8</v>
      </c>
      <c r="B488" s="5" t="s">
        <v>339</v>
      </c>
      <c r="C488" s="5" t="s">
        <v>27</v>
      </c>
      <c r="D488" s="5" t="s">
        <v>385</v>
      </c>
      <c r="E488" s="5" t="s">
        <v>384</v>
      </c>
      <c r="F488" s="5" t="s">
        <v>45</v>
      </c>
      <c r="G488" s="5" t="s">
        <v>390</v>
      </c>
      <c r="H488" s="5" t="s">
        <v>46</v>
      </c>
      <c r="I488" s="5" t="s">
        <v>48</v>
      </c>
      <c r="J488" s="5">
        <v>1080</v>
      </c>
      <c r="K488" s="5">
        <v>28.5</v>
      </c>
      <c r="L488" s="7">
        <f t="shared" si="42"/>
        <v>37.89473684210526</v>
      </c>
      <c r="M488" s="5" t="s">
        <v>10</v>
      </c>
      <c r="N488" s="5">
        <v>4</v>
      </c>
      <c r="O488" s="6">
        <f t="shared" si="43"/>
        <v>0.96930747922437654</v>
      </c>
      <c r="P488" s="6">
        <f t="shared" si="44"/>
        <v>0.10080797783933516</v>
      </c>
      <c r="Q488" s="10">
        <f t="shared" si="45"/>
        <v>2.1001662049861488E-3</v>
      </c>
      <c r="R488" s="10">
        <f t="shared" si="46"/>
        <v>1.5532569200814635E-2</v>
      </c>
      <c r="S488" s="10">
        <f t="shared" si="47"/>
        <v>1.7632735405800785E-2</v>
      </c>
    </row>
    <row r="489" spans="1:19" x14ac:dyDescent="0.25">
      <c r="A489" s="5" t="s">
        <v>8</v>
      </c>
      <c r="B489" s="5" t="s">
        <v>339</v>
      </c>
      <c r="C489" s="5" t="s">
        <v>27</v>
      </c>
      <c r="D489" s="5" t="s">
        <v>385</v>
      </c>
      <c r="E489" s="5" t="s">
        <v>384</v>
      </c>
      <c r="F489" s="5" t="s">
        <v>45</v>
      </c>
      <c r="G489" s="5" t="s">
        <v>390</v>
      </c>
      <c r="H489" s="5" t="s">
        <v>46</v>
      </c>
      <c r="I489" s="5" t="s">
        <v>48</v>
      </c>
      <c r="J489" s="5">
        <v>962</v>
      </c>
      <c r="K489" s="5">
        <v>25</v>
      </c>
      <c r="L489" s="7">
        <f t="shared" si="42"/>
        <v>38.479999999999997</v>
      </c>
      <c r="M489" s="5" t="s">
        <v>10</v>
      </c>
      <c r="N489" s="5">
        <v>4</v>
      </c>
      <c r="O489" s="6">
        <f t="shared" si="43"/>
        <v>0.89027712799999981</v>
      </c>
      <c r="P489" s="6">
        <f t="shared" si="44"/>
        <v>9.2588821311999983E-2</v>
      </c>
      <c r="Q489" s="10">
        <f t="shared" si="45"/>
        <v>1.9289337773333328E-3</v>
      </c>
      <c r="R489" s="10">
        <f t="shared" si="46"/>
        <v>1.4572733957196257E-2</v>
      </c>
      <c r="S489" s="10">
        <f t="shared" si="47"/>
        <v>1.6501667734529591E-2</v>
      </c>
    </row>
    <row r="490" spans="1:19" x14ac:dyDescent="0.25">
      <c r="A490" s="5" t="s">
        <v>8</v>
      </c>
      <c r="B490" s="5" t="s">
        <v>339</v>
      </c>
      <c r="C490" s="5" t="s">
        <v>27</v>
      </c>
      <c r="D490" s="5" t="s">
        <v>385</v>
      </c>
      <c r="E490" s="5" t="s">
        <v>384</v>
      </c>
      <c r="F490" s="5" t="s">
        <v>45</v>
      </c>
      <c r="G490" s="5" t="s">
        <v>390</v>
      </c>
      <c r="H490" s="5" t="s">
        <v>46</v>
      </c>
      <c r="I490" s="5" t="s">
        <v>48</v>
      </c>
      <c r="J490" s="5">
        <v>970</v>
      </c>
      <c r="K490" s="5">
        <v>24.4</v>
      </c>
      <c r="L490" s="7">
        <f t="shared" si="42"/>
        <v>39.754098360655739</v>
      </c>
      <c r="M490" s="5" t="s">
        <v>10</v>
      </c>
      <c r="N490" s="5">
        <v>4</v>
      </c>
      <c r="O490" s="6">
        <f t="shared" si="43"/>
        <v>0.95811042898414411</v>
      </c>
      <c r="P490" s="6">
        <f t="shared" si="44"/>
        <v>9.9643484614350977E-2</v>
      </c>
      <c r="Q490" s="10">
        <f t="shared" si="45"/>
        <v>2.0759059294656454E-3</v>
      </c>
      <c r="R490" s="10">
        <f t="shared" si="46"/>
        <v>1.5397804452543755E-2</v>
      </c>
      <c r="S490" s="10">
        <f t="shared" si="47"/>
        <v>1.74737103820094E-2</v>
      </c>
    </row>
    <row r="491" spans="1:19" x14ac:dyDescent="0.25">
      <c r="A491" s="5" t="s">
        <v>22</v>
      </c>
      <c r="B491" s="5" t="s">
        <v>63</v>
      </c>
      <c r="C491" s="5" t="s">
        <v>27</v>
      </c>
      <c r="D491" s="5" t="s">
        <v>385</v>
      </c>
      <c r="E491" s="5" t="s">
        <v>384</v>
      </c>
      <c r="F491" s="5" t="s">
        <v>45</v>
      </c>
      <c r="G491" s="5" t="s">
        <v>390</v>
      </c>
      <c r="H491" s="5" t="s">
        <v>46</v>
      </c>
      <c r="I491" s="5" t="s">
        <v>14</v>
      </c>
      <c r="J491" s="5">
        <v>1110</v>
      </c>
      <c r="K491" s="5">
        <v>25</v>
      </c>
      <c r="L491" s="7">
        <f t="shared" si="42"/>
        <v>44.4</v>
      </c>
      <c r="M491" s="5" t="s">
        <v>10</v>
      </c>
      <c r="N491" s="5">
        <v>4</v>
      </c>
      <c r="O491" s="6">
        <f t="shared" si="43"/>
        <v>1.367631</v>
      </c>
      <c r="P491" s="6">
        <f t="shared" si="44"/>
        <v>0.14223362399999998</v>
      </c>
      <c r="Q491" s="10">
        <f t="shared" si="45"/>
        <v>2.9632005000000002E-3</v>
      </c>
      <c r="R491" s="10">
        <f t="shared" si="46"/>
        <v>2.0108229189784745E-2</v>
      </c>
      <c r="S491" s="10">
        <f t="shared" si="47"/>
        <v>2.3071429689784744E-2</v>
      </c>
    </row>
    <row r="492" spans="1:19" x14ac:dyDescent="0.25">
      <c r="A492" s="5" t="s">
        <v>8</v>
      </c>
      <c r="B492" s="5" t="s">
        <v>192</v>
      </c>
      <c r="C492" s="5" t="s">
        <v>27</v>
      </c>
      <c r="D492" s="5" t="s">
        <v>385</v>
      </c>
      <c r="E492" s="5" t="s">
        <v>384</v>
      </c>
      <c r="F492" s="5" t="s">
        <v>45</v>
      </c>
      <c r="G492" s="5" t="s">
        <v>390</v>
      </c>
      <c r="H492" s="5" t="s">
        <v>46</v>
      </c>
      <c r="I492" s="5" t="s">
        <v>14</v>
      </c>
      <c r="J492" s="5">
        <v>1090</v>
      </c>
      <c r="K492" s="5">
        <v>27.3</v>
      </c>
      <c r="L492" s="7">
        <f t="shared" si="42"/>
        <v>39.926739926739927</v>
      </c>
      <c r="M492" s="5" t="s">
        <v>10</v>
      </c>
      <c r="N492" s="5">
        <v>4</v>
      </c>
      <c r="O492" s="6">
        <f t="shared" si="43"/>
        <v>1.0860109823021911</v>
      </c>
      <c r="P492" s="6">
        <f t="shared" si="44"/>
        <v>0.11294514215942787</v>
      </c>
      <c r="Q492" s="10">
        <f t="shared" si="45"/>
        <v>2.3530237949880807E-3</v>
      </c>
      <c r="R492" s="10">
        <f t="shared" si="46"/>
        <v>1.6915030574766531E-2</v>
      </c>
      <c r="S492" s="10">
        <f t="shared" si="47"/>
        <v>1.9268054369754612E-2</v>
      </c>
    </row>
    <row r="493" spans="1:19" x14ac:dyDescent="0.25">
      <c r="A493" s="5" t="s">
        <v>8</v>
      </c>
      <c r="B493" s="5" t="s">
        <v>191</v>
      </c>
      <c r="C493" s="5" t="s">
        <v>27</v>
      </c>
      <c r="D493" s="5" t="s">
        <v>385</v>
      </c>
      <c r="E493" s="5" t="s">
        <v>384</v>
      </c>
      <c r="F493" s="5" t="s">
        <v>45</v>
      </c>
      <c r="G493" s="5" t="s">
        <v>390</v>
      </c>
      <c r="H493" s="5" t="s">
        <v>46</v>
      </c>
      <c r="I493" s="5" t="s">
        <v>14</v>
      </c>
      <c r="J493" s="5">
        <v>1200</v>
      </c>
      <c r="K493" s="5">
        <v>25</v>
      </c>
      <c r="L493" s="7">
        <f t="shared" si="42"/>
        <v>48</v>
      </c>
      <c r="M493" s="5" t="s">
        <v>10</v>
      </c>
      <c r="N493" s="5">
        <v>4</v>
      </c>
      <c r="O493" s="6">
        <f t="shared" si="43"/>
        <v>1.728</v>
      </c>
      <c r="P493" s="6">
        <f t="shared" si="44"/>
        <v>0.17971200000000001</v>
      </c>
      <c r="Q493" s="10">
        <f t="shared" si="45"/>
        <v>3.7439999999999995E-3</v>
      </c>
      <c r="R493" s="10">
        <f t="shared" si="46"/>
        <v>2.3963758151521651E-2</v>
      </c>
      <c r="S493" s="10">
        <f t="shared" si="47"/>
        <v>2.7707758151521652E-2</v>
      </c>
    </row>
    <row r="494" spans="1:19" x14ac:dyDescent="0.25">
      <c r="A494" s="5" t="s">
        <v>8</v>
      </c>
      <c r="B494" s="5" t="s">
        <v>193</v>
      </c>
      <c r="C494" s="5" t="s">
        <v>27</v>
      </c>
      <c r="D494" s="5" t="s">
        <v>385</v>
      </c>
      <c r="E494" s="5" t="s">
        <v>384</v>
      </c>
      <c r="F494" s="5" t="s">
        <v>45</v>
      </c>
      <c r="G494" s="5" t="s">
        <v>390</v>
      </c>
      <c r="H494" s="5" t="s">
        <v>46</v>
      </c>
      <c r="I494" s="5" t="s">
        <v>14</v>
      </c>
      <c r="J494" s="5">
        <v>1110</v>
      </c>
      <c r="K494" s="5">
        <v>24.5</v>
      </c>
      <c r="L494" s="7">
        <f t="shared" si="42"/>
        <v>45.306122448979593</v>
      </c>
      <c r="M494" s="5" t="s">
        <v>10</v>
      </c>
      <c r="N494" s="5">
        <v>4</v>
      </c>
      <c r="O494" s="6">
        <f t="shared" si="43"/>
        <v>1.424022282382341</v>
      </c>
      <c r="P494" s="6">
        <f t="shared" si="44"/>
        <v>0.14809831736776344</v>
      </c>
      <c r="Q494" s="10">
        <f t="shared" si="45"/>
        <v>3.0853816118284055E-3</v>
      </c>
      <c r="R494" s="10">
        <f t="shared" si="46"/>
        <v>2.0726917227040922E-2</v>
      </c>
      <c r="S494" s="10">
        <f t="shared" si="47"/>
        <v>2.3812298838869327E-2</v>
      </c>
    </row>
    <row r="495" spans="1:19" x14ac:dyDescent="0.25">
      <c r="A495" s="5" t="s">
        <v>8</v>
      </c>
      <c r="B495" s="5" t="s">
        <v>194</v>
      </c>
      <c r="C495" s="5" t="s">
        <v>27</v>
      </c>
      <c r="D495" s="5" t="s">
        <v>385</v>
      </c>
      <c r="E495" s="5" t="s">
        <v>384</v>
      </c>
      <c r="F495" s="5" t="s">
        <v>45</v>
      </c>
      <c r="G495" s="5" t="s">
        <v>390</v>
      </c>
      <c r="H495" s="5" t="s">
        <v>46</v>
      </c>
      <c r="I495" s="5" t="s">
        <v>14</v>
      </c>
      <c r="J495" s="5">
        <v>1070</v>
      </c>
      <c r="K495" s="5">
        <v>24.5</v>
      </c>
      <c r="L495" s="7">
        <f t="shared" si="42"/>
        <v>43.673469387755105</v>
      </c>
      <c r="M495" s="5" t="s">
        <v>10</v>
      </c>
      <c r="N495" s="5">
        <v>4</v>
      </c>
      <c r="O495" s="6">
        <f t="shared" si="43"/>
        <v>1.275554977092878</v>
      </c>
      <c r="P495" s="6">
        <f t="shared" si="44"/>
        <v>0.13265771761765932</v>
      </c>
      <c r="Q495" s="10">
        <f t="shared" si="45"/>
        <v>2.7637024503679025E-3</v>
      </c>
      <c r="R495" s="10">
        <f t="shared" si="46"/>
        <v>1.9084092397598378E-2</v>
      </c>
      <c r="S495" s="10">
        <f t="shared" si="47"/>
        <v>2.1847794847966281E-2</v>
      </c>
    </row>
    <row r="496" spans="1:19" x14ac:dyDescent="0.25">
      <c r="A496" s="5" t="s">
        <v>8</v>
      </c>
      <c r="B496" s="5" t="s">
        <v>195</v>
      </c>
      <c r="C496" s="5" t="s">
        <v>27</v>
      </c>
      <c r="D496" s="5" t="s">
        <v>385</v>
      </c>
      <c r="E496" s="5" t="s">
        <v>384</v>
      </c>
      <c r="F496" s="5" t="s">
        <v>45</v>
      </c>
      <c r="G496" s="5" t="s">
        <v>390</v>
      </c>
      <c r="H496" s="5" t="s">
        <v>46</v>
      </c>
      <c r="I496" s="5" t="s">
        <v>14</v>
      </c>
      <c r="J496" s="5">
        <v>1160</v>
      </c>
      <c r="K496" s="5">
        <v>31.9</v>
      </c>
      <c r="L496" s="7">
        <f t="shared" si="42"/>
        <v>36.363636363636367</v>
      </c>
      <c r="M496" s="5" t="s">
        <v>10</v>
      </c>
      <c r="N496" s="5">
        <v>4</v>
      </c>
      <c r="O496" s="6">
        <f t="shared" si="43"/>
        <v>0.95867768595041347</v>
      </c>
      <c r="P496" s="6">
        <f t="shared" si="44"/>
        <v>9.9702479338843006E-2</v>
      </c>
      <c r="Q496" s="10">
        <f t="shared" si="45"/>
        <v>2.0771349862258957E-3</v>
      </c>
      <c r="R496" s="10">
        <f t="shared" si="46"/>
        <v>1.5404641241904566E-2</v>
      </c>
      <c r="S496" s="10">
        <f t="shared" si="47"/>
        <v>1.7481776228130463E-2</v>
      </c>
    </row>
    <row r="497" spans="1:19" x14ac:dyDescent="0.25">
      <c r="A497" s="5" t="s">
        <v>8</v>
      </c>
      <c r="B497" s="5" t="s">
        <v>214</v>
      </c>
      <c r="C497" s="5" t="s">
        <v>27</v>
      </c>
      <c r="D497" s="5" t="s">
        <v>385</v>
      </c>
      <c r="E497" s="5" t="s">
        <v>384</v>
      </c>
      <c r="F497" s="5" t="s">
        <v>45</v>
      </c>
      <c r="G497" s="5" t="s">
        <v>390</v>
      </c>
      <c r="H497" s="5" t="s">
        <v>46</v>
      </c>
      <c r="I497" s="5" t="s">
        <v>14</v>
      </c>
      <c r="J497" s="5">
        <v>1100</v>
      </c>
      <c r="K497" s="5">
        <v>32</v>
      </c>
      <c r="L497" s="7">
        <f t="shared" si="42"/>
        <v>34.375</v>
      </c>
      <c r="M497" s="5" t="s">
        <v>10</v>
      </c>
      <c r="N497" s="5">
        <v>4</v>
      </c>
      <c r="O497" s="6">
        <f t="shared" si="43"/>
        <v>0.8123779296875</v>
      </c>
      <c r="P497" s="6">
        <f t="shared" si="44"/>
        <v>8.4487304687500001E-2</v>
      </c>
      <c r="Q497" s="10">
        <f t="shared" si="45"/>
        <v>1.7601521809895834E-3</v>
      </c>
      <c r="R497" s="10">
        <f t="shared" si="46"/>
        <v>1.3605537743536752E-2</v>
      </c>
      <c r="S497" s="10">
        <f t="shared" si="47"/>
        <v>1.5365689924526336E-2</v>
      </c>
    </row>
    <row r="498" spans="1:19" x14ac:dyDescent="0.25">
      <c r="A498" s="5" t="s">
        <v>8</v>
      </c>
      <c r="B498" s="5" t="s">
        <v>329</v>
      </c>
      <c r="C498" s="5" t="s">
        <v>27</v>
      </c>
      <c r="D498" s="5" t="s">
        <v>385</v>
      </c>
      <c r="E498" s="5" t="s">
        <v>384</v>
      </c>
      <c r="F498" s="5" t="s">
        <v>45</v>
      </c>
      <c r="G498" s="5" t="s">
        <v>390</v>
      </c>
      <c r="H498" s="5" t="s">
        <v>46</v>
      </c>
      <c r="I498" s="5" t="s">
        <v>14</v>
      </c>
      <c r="J498" s="5">
        <v>1120</v>
      </c>
      <c r="K498" s="5">
        <v>36.5</v>
      </c>
      <c r="L498" s="7">
        <f t="shared" si="42"/>
        <v>30.684931506849313</v>
      </c>
      <c r="M498" s="5" t="s">
        <v>10</v>
      </c>
      <c r="N498" s="5">
        <v>4</v>
      </c>
      <c r="O498" s="6">
        <f t="shared" si="43"/>
        <v>0.65909551510602349</v>
      </c>
      <c r="P498" s="6">
        <f t="shared" si="44"/>
        <v>6.8545933571026438E-2</v>
      </c>
      <c r="Q498" s="10">
        <f t="shared" si="45"/>
        <v>1.4280402827297175E-3</v>
      </c>
      <c r="R498" s="10">
        <f t="shared" si="46"/>
        <v>1.1630767966535846E-2</v>
      </c>
      <c r="S498" s="10">
        <f t="shared" si="47"/>
        <v>1.3058808249265565E-2</v>
      </c>
    </row>
    <row r="499" spans="1:19" x14ac:dyDescent="0.25">
      <c r="A499" s="5" t="s">
        <v>8</v>
      </c>
      <c r="B499" s="5" t="s">
        <v>339</v>
      </c>
      <c r="C499" s="5" t="s">
        <v>27</v>
      </c>
      <c r="D499" s="5" t="s">
        <v>385</v>
      </c>
      <c r="E499" s="5" t="s">
        <v>384</v>
      </c>
      <c r="F499" s="5" t="s">
        <v>45</v>
      </c>
      <c r="G499" s="5" t="s">
        <v>390</v>
      </c>
      <c r="H499" s="5" t="s">
        <v>46</v>
      </c>
      <c r="I499" s="5" t="s">
        <v>14</v>
      </c>
      <c r="J499" s="5">
        <v>1010</v>
      </c>
      <c r="K499" s="5">
        <v>21.1</v>
      </c>
      <c r="L499" s="7">
        <f t="shared" si="42"/>
        <v>47.867298578199048</v>
      </c>
      <c r="M499" s="5" t="s">
        <v>10</v>
      </c>
      <c r="N499" s="5">
        <v>4</v>
      </c>
      <c r="O499" s="6">
        <f t="shared" si="43"/>
        <v>1.4463694099413755</v>
      </c>
      <c r="P499" s="6">
        <f t="shared" si="44"/>
        <v>0.15042241863390304</v>
      </c>
      <c r="Q499" s="10">
        <f t="shared" si="45"/>
        <v>3.1338003882063134E-3</v>
      </c>
      <c r="R499" s="10">
        <f t="shared" si="46"/>
        <v>2.0970391834637787E-2</v>
      </c>
      <c r="S499" s="10">
        <f t="shared" si="47"/>
        <v>2.4104192222844101E-2</v>
      </c>
    </row>
    <row r="500" spans="1:19" x14ac:dyDescent="0.25">
      <c r="A500" s="5" t="s">
        <v>8</v>
      </c>
      <c r="B500" s="5" t="s">
        <v>308</v>
      </c>
      <c r="C500" s="5" t="s">
        <v>27</v>
      </c>
      <c r="D500" s="5" t="s">
        <v>385</v>
      </c>
      <c r="E500" s="5" t="s">
        <v>384</v>
      </c>
      <c r="F500" s="5" t="s">
        <v>45</v>
      </c>
      <c r="G500" s="5" t="s">
        <v>390</v>
      </c>
      <c r="H500" s="5" t="s">
        <v>46</v>
      </c>
      <c r="I500" s="5" t="s">
        <v>71</v>
      </c>
      <c r="J500" s="5">
        <v>924</v>
      </c>
      <c r="K500" s="5">
        <v>33</v>
      </c>
      <c r="L500" s="7">
        <f t="shared" si="42"/>
        <v>28</v>
      </c>
      <c r="M500" s="5" t="s">
        <v>10</v>
      </c>
      <c r="N500" s="5">
        <v>4</v>
      </c>
      <c r="O500" s="6">
        <f t="shared" si="43"/>
        <v>0.45276</v>
      </c>
      <c r="P500" s="6">
        <f t="shared" si="44"/>
        <v>4.7087039999999997E-2</v>
      </c>
      <c r="Q500" s="10">
        <f t="shared" si="45"/>
        <v>9.8098E-4</v>
      </c>
      <c r="R500" s="10">
        <f t="shared" si="46"/>
        <v>8.7760312850900107E-3</v>
      </c>
      <c r="S500" s="10">
        <f t="shared" si="47"/>
        <v>9.7570112850900101E-3</v>
      </c>
    </row>
    <row r="501" spans="1:19" x14ac:dyDescent="0.25">
      <c r="A501" s="5" t="s">
        <v>8</v>
      </c>
      <c r="B501" s="5" t="s">
        <v>214</v>
      </c>
      <c r="C501" s="5" t="s">
        <v>27</v>
      </c>
      <c r="D501" s="5" t="s">
        <v>385</v>
      </c>
      <c r="E501" s="5" t="s">
        <v>384</v>
      </c>
      <c r="F501" s="5" t="s">
        <v>45</v>
      </c>
      <c r="G501" s="5" t="s">
        <v>390</v>
      </c>
      <c r="H501" s="5" t="s">
        <v>46</v>
      </c>
      <c r="I501" s="5" t="s">
        <v>215</v>
      </c>
      <c r="J501" s="5">
        <v>1100</v>
      </c>
      <c r="K501" s="5">
        <v>25</v>
      </c>
      <c r="L501" s="7">
        <f t="shared" si="42"/>
        <v>44</v>
      </c>
      <c r="M501" s="5" t="s">
        <v>10</v>
      </c>
      <c r="N501" s="5">
        <v>4</v>
      </c>
      <c r="O501" s="6">
        <f t="shared" si="43"/>
        <v>1.331</v>
      </c>
      <c r="P501" s="6">
        <f t="shared" si="44"/>
        <v>0.13842399999999999</v>
      </c>
      <c r="Q501" s="10">
        <f t="shared" si="45"/>
        <v>2.8838333333333333E-3</v>
      </c>
      <c r="R501" s="10">
        <f t="shared" si="46"/>
        <v>1.9702923264295638E-2</v>
      </c>
      <c r="S501" s="10">
        <f t="shared" si="47"/>
        <v>2.258675659762897E-2</v>
      </c>
    </row>
    <row r="502" spans="1:19" x14ac:dyDescent="0.25">
      <c r="A502" s="5" t="s">
        <v>8</v>
      </c>
      <c r="B502" s="5" t="s">
        <v>311</v>
      </c>
      <c r="C502" s="5" t="s">
        <v>27</v>
      </c>
      <c r="D502" s="5" t="s">
        <v>385</v>
      </c>
      <c r="E502" s="5" t="s">
        <v>384</v>
      </c>
      <c r="F502" s="5" t="s">
        <v>45</v>
      </c>
      <c r="G502" s="5" t="s">
        <v>390</v>
      </c>
      <c r="H502" s="5" t="s">
        <v>46</v>
      </c>
      <c r="I502" s="5" t="s">
        <v>215</v>
      </c>
      <c r="J502" s="5">
        <v>1200</v>
      </c>
      <c r="K502" s="5">
        <v>28</v>
      </c>
      <c r="L502" s="7">
        <f t="shared" si="42"/>
        <v>42.857142857142854</v>
      </c>
      <c r="M502" s="5" t="s">
        <v>10</v>
      </c>
      <c r="N502" s="5">
        <v>4</v>
      </c>
      <c r="O502" s="6">
        <f t="shared" si="43"/>
        <v>1.3775510204081631</v>
      </c>
      <c r="P502" s="6">
        <f t="shared" si="44"/>
        <v>0.14326530612244898</v>
      </c>
      <c r="Q502" s="10">
        <f t="shared" si="45"/>
        <v>2.9846938775510198E-3</v>
      </c>
      <c r="R502" s="10">
        <f t="shared" si="46"/>
        <v>2.0217520582724226E-2</v>
      </c>
      <c r="S502" s="10">
        <f t="shared" si="47"/>
        <v>2.3202214460275247E-2</v>
      </c>
    </row>
    <row r="503" spans="1:19" x14ac:dyDescent="0.25">
      <c r="A503" s="5" t="s">
        <v>8</v>
      </c>
      <c r="B503" s="5" t="s">
        <v>339</v>
      </c>
      <c r="C503" s="5" t="s">
        <v>27</v>
      </c>
      <c r="D503" s="5" t="s">
        <v>385</v>
      </c>
      <c r="E503" s="5" t="s">
        <v>384</v>
      </c>
      <c r="F503" s="5" t="s">
        <v>45</v>
      </c>
      <c r="G503" s="5" t="s">
        <v>390</v>
      </c>
      <c r="H503" s="5" t="s">
        <v>46</v>
      </c>
      <c r="I503" s="5" t="s">
        <v>342</v>
      </c>
      <c r="J503" s="5">
        <v>1400</v>
      </c>
      <c r="K503" s="5">
        <v>25.1</v>
      </c>
      <c r="L503" s="7">
        <f t="shared" si="42"/>
        <v>55.776892430278885</v>
      </c>
      <c r="M503" s="5" t="s">
        <v>10</v>
      </c>
      <c r="N503" s="5">
        <v>4</v>
      </c>
      <c r="O503" s="6">
        <f t="shared" si="43"/>
        <v>2.7221790130315395</v>
      </c>
      <c r="P503" s="6">
        <f t="shared" si="44"/>
        <v>0.28310661735528009</v>
      </c>
      <c r="Q503" s="10">
        <f t="shared" si="45"/>
        <v>5.8980545282350015E-3</v>
      </c>
      <c r="R503" s="10">
        <f t="shared" si="46"/>
        <v>3.3696487711617512E-2</v>
      </c>
      <c r="S503" s="10">
        <f t="shared" si="47"/>
        <v>3.9594542239852516E-2</v>
      </c>
    </row>
    <row r="504" spans="1:19" x14ac:dyDescent="0.25">
      <c r="A504" s="5" t="s">
        <v>8</v>
      </c>
      <c r="B504" s="5" t="s">
        <v>356</v>
      </c>
      <c r="C504" s="5" t="s">
        <v>27</v>
      </c>
      <c r="D504" s="5" t="s">
        <v>385</v>
      </c>
      <c r="E504" s="5" t="s">
        <v>384</v>
      </c>
      <c r="F504" s="5" t="s">
        <v>45</v>
      </c>
      <c r="G504" s="5" t="s">
        <v>390</v>
      </c>
      <c r="H504" s="5" t="s">
        <v>46</v>
      </c>
      <c r="I504" s="5" t="s">
        <v>355</v>
      </c>
      <c r="J504" s="5">
        <v>1145</v>
      </c>
      <c r="K504" s="5">
        <v>25</v>
      </c>
      <c r="L504" s="7">
        <f t="shared" si="42"/>
        <v>45.8</v>
      </c>
      <c r="M504" s="5" t="s">
        <v>10</v>
      </c>
      <c r="N504" s="5">
        <v>4</v>
      </c>
      <c r="O504" s="6">
        <f t="shared" si="43"/>
        <v>1.501123625</v>
      </c>
      <c r="P504" s="6">
        <f t="shared" si="44"/>
        <v>0.15611685699999997</v>
      </c>
      <c r="Q504" s="10">
        <f t="shared" si="45"/>
        <v>3.2524345208333333E-3</v>
      </c>
      <c r="R504" s="10">
        <f t="shared" si="46"/>
        <v>2.156301422213177E-2</v>
      </c>
      <c r="S504" s="10">
        <f t="shared" si="47"/>
        <v>2.4815448742965103E-2</v>
      </c>
    </row>
    <row r="505" spans="1:19" x14ac:dyDescent="0.25">
      <c r="A505" s="5" t="s">
        <v>8</v>
      </c>
      <c r="B505" s="5" t="s">
        <v>354</v>
      </c>
      <c r="C505" s="5" t="s">
        <v>27</v>
      </c>
      <c r="D505" s="5" t="s">
        <v>385</v>
      </c>
      <c r="E505" s="5" t="s">
        <v>384</v>
      </c>
      <c r="F505" s="5" t="s">
        <v>45</v>
      </c>
      <c r="G505" s="5" t="s">
        <v>390</v>
      </c>
      <c r="H505" s="5" t="s">
        <v>46</v>
      </c>
      <c r="I505" s="5" t="s">
        <v>355</v>
      </c>
      <c r="J505" s="5">
        <v>1110</v>
      </c>
      <c r="K505" s="5">
        <v>23.5</v>
      </c>
      <c r="L505" s="7">
        <f t="shared" si="42"/>
        <v>47.234042553191486</v>
      </c>
      <c r="M505" s="5" t="s">
        <v>10</v>
      </c>
      <c r="N505" s="5">
        <v>4</v>
      </c>
      <c r="O505" s="6">
        <f t="shared" si="43"/>
        <v>1.5477942507922133</v>
      </c>
      <c r="P505" s="6">
        <f t="shared" si="44"/>
        <v>0.16097060208239017</v>
      </c>
      <c r="Q505" s="10">
        <f t="shared" si="45"/>
        <v>3.3535542100497952E-3</v>
      </c>
      <c r="R505" s="10">
        <f t="shared" si="46"/>
        <v>2.2063888096792793E-2</v>
      </c>
      <c r="S505" s="10">
        <f t="shared" si="47"/>
        <v>2.5417442306842588E-2</v>
      </c>
    </row>
    <row r="506" spans="1:19" x14ac:dyDescent="0.25">
      <c r="A506" s="5" t="s">
        <v>22</v>
      </c>
      <c r="B506" s="5" t="s">
        <v>26</v>
      </c>
      <c r="C506" s="5" t="s">
        <v>27</v>
      </c>
      <c r="D506" s="5" t="s">
        <v>385</v>
      </c>
      <c r="E506" s="5" t="s">
        <v>384</v>
      </c>
      <c r="F506" s="5" t="s">
        <v>45</v>
      </c>
      <c r="G506" s="5" t="s">
        <v>390</v>
      </c>
      <c r="H506" s="5" t="s">
        <v>46</v>
      </c>
      <c r="I506" s="5" t="s">
        <v>49</v>
      </c>
      <c r="J506" s="5">
        <v>1350</v>
      </c>
      <c r="K506" s="5">
        <v>27</v>
      </c>
      <c r="L506" s="7">
        <f t="shared" si="42"/>
        <v>50</v>
      </c>
      <c r="M506" s="5" t="s">
        <v>10</v>
      </c>
      <c r="N506" s="5">
        <v>4</v>
      </c>
      <c r="O506" s="6">
        <f t="shared" si="43"/>
        <v>2.109375</v>
      </c>
      <c r="P506" s="6">
        <f t="shared" si="44"/>
        <v>0.21937499999999999</v>
      </c>
      <c r="Q506" s="10">
        <f t="shared" si="45"/>
        <v>4.5703124999999997E-3</v>
      </c>
      <c r="R506" s="10">
        <f t="shared" si="46"/>
        <v>2.7829952828119141E-2</v>
      </c>
      <c r="S506" s="10">
        <f t="shared" si="47"/>
        <v>3.2400265328119141E-2</v>
      </c>
    </row>
    <row r="507" spans="1:19" x14ac:dyDescent="0.25">
      <c r="A507" s="5" t="s">
        <v>22</v>
      </c>
      <c r="B507" s="5" t="s">
        <v>26</v>
      </c>
      <c r="C507" s="5" t="s">
        <v>27</v>
      </c>
      <c r="D507" s="5" t="s">
        <v>385</v>
      </c>
      <c r="E507" s="5" t="s">
        <v>384</v>
      </c>
      <c r="F507" s="5" t="s">
        <v>45</v>
      </c>
      <c r="G507" s="5" t="s">
        <v>390</v>
      </c>
      <c r="H507" s="5" t="s">
        <v>46</v>
      </c>
      <c r="I507" s="5" t="s">
        <v>49</v>
      </c>
      <c r="J507" s="5">
        <v>1400</v>
      </c>
      <c r="K507" s="5">
        <v>37.5</v>
      </c>
      <c r="L507" s="7">
        <f t="shared" si="42"/>
        <v>37.333333333333336</v>
      </c>
      <c r="M507" s="5" t="s">
        <v>9</v>
      </c>
      <c r="N507" s="5">
        <v>4</v>
      </c>
      <c r="O507" s="6">
        <f t="shared" si="43"/>
        <v>1.2195555555555557</v>
      </c>
      <c r="P507" s="6">
        <f t="shared" si="44"/>
        <v>0.1268337777777778</v>
      </c>
      <c r="Q507" s="10">
        <f t="shared" si="45"/>
        <v>2.6423703703703709E-3</v>
      </c>
      <c r="R507" s="10">
        <f t="shared" si="46"/>
        <v>1.8452206917572135E-2</v>
      </c>
      <c r="S507" s="10">
        <f t="shared" si="47"/>
        <v>2.1094577287942506E-2</v>
      </c>
    </row>
    <row r="508" spans="1:19" x14ac:dyDescent="0.25">
      <c r="A508" s="5" t="s">
        <v>8</v>
      </c>
      <c r="B508" s="5" t="s">
        <v>161</v>
      </c>
      <c r="C508" s="5" t="s">
        <v>27</v>
      </c>
      <c r="D508" s="5" t="s">
        <v>385</v>
      </c>
      <c r="E508" s="5" t="s">
        <v>384</v>
      </c>
      <c r="F508" s="5" t="s">
        <v>45</v>
      </c>
      <c r="G508" s="5" t="s">
        <v>390</v>
      </c>
      <c r="H508" s="5" t="s">
        <v>46</v>
      </c>
      <c r="I508" s="5" t="s">
        <v>49</v>
      </c>
      <c r="J508" s="5">
        <v>1280</v>
      </c>
      <c r="K508" s="5">
        <v>22</v>
      </c>
      <c r="L508" s="7">
        <f t="shared" si="42"/>
        <v>58.18181818181818</v>
      </c>
      <c r="M508" s="5" t="s">
        <v>10</v>
      </c>
      <c r="N508" s="5">
        <v>4</v>
      </c>
      <c r="O508" s="6">
        <f t="shared" si="43"/>
        <v>2.7080991735537188</v>
      </c>
      <c r="P508" s="6">
        <f t="shared" si="44"/>
        <v>0.28164231404958673</v>
      </c>
      <c r="Q508" s="10">
        <f t="shared" si="45"/>
        <v>5.8675482093663899E-3</v>
      </c>
      <c r="R508" s="10">
        <f t="shared" si="46"/>
        <v>3.3565687567479949E-2</v>
      </c>
      <c r="S508" s="10">
        <f t="shared" si="47"/>
        <v>3.9433235776846341E-2</v>
      </c>
    </row>
    <row r="509" spans="1:19" x14ac:dyDescent="0.25">
      <c r="A509" s="5" t="s">
        <v>8</v>
      </c>
      <c r="B509" s="5" t="s">
        <v>300</v>
      </c>
      <c r="C509" s="5" t="s">
        <v>27</v>
      </c>
      <c r="D509" s="5" t="s">
        <v>385</v>
      </c>
      <c r="E509" s="5" t="s">
        <v>384</v>
      </c>
      <c r="F509" s="5" t="s">
        <v>45</v>
      </c>
      <c r="G509" s="5" t="s">
        <v>390</v>
      </c>
      <c r="H509" s="5" t="s">
        <v>46</v>
      </c>
      <c r="I509" s="5" t="s">
        <v>301</v>
      </c>
      <c r="J509" s="5">
        <v>1165</v>
      </c>
      <c r="K509" s="5">
        <v>30</v>
      </c>
      <c r="L509" s="7">
        <f t="shared" si="42"/>
        <v>38.833333333333336</v>
      </c>
      <c r="M509" s="5" t="s">
        <v>10</v>
      </c>
      <c r="N509" s="5">
        <v>4</v>
      </c>
      <c r="O509" s="6">
        <f t="shared" si="43"/>
        <v>1.0980327256944447</v>
      </c>
      <c r="P509" s="6">
        <f t="shared" si="44"/>
        <v>0.11419540347222225</v>
      </c>
      <c r="Q509" s="10">
        <f t="shared" si="45"/>
        <v>2.3790709056712967E-3</v>
      </c>
      <c r="R509" s="10">
        <f t="shared" si="46"/>
        <v>1.7055269538571984E-2</v>
      </c>
      <c r="S509" s="10">
        <f t="shared" si="47"/>
        <v>1.9434340444243279E-2</v>
      </c>
    </row>
    <row r="510" spans="1:19" x14ac:dyDescent="0.25">
      <c r="A510" s="5" t="s">
        <v>8</v>
      </c>
      <c r="B510" s="5" t="s">
        <v>156</v>
      </c>
      <c r="C510" s="5" t="s">
        <v>27</v>
      </c>
      <c r="D510" s="5" t="s">
        <v>385</v>
      </c>
      <c r="E510" s="5" t="s">
        <v>384</v>
      </c>
      <c r="F510" s="5" t="s">
        <v>45</v>
      </c>
      <c r="G510" s="5" t="s">
        <v>390</v>
      </c>
      <c r="H510" s="5" t="s">
        <v>46</v>
      </c>
      <c r="I510" s="5" t="s">
        <v>159</v>
      </c>
      <c r="J510" s="5">
        <v>850</v>
      </c>
      <c r="K510" s="5">
        <v>30</v>
      </c>
      <c r="L510" s="7">
        <f t="shared" ref="L510:L573" si="48">J510/K510</f>
        <v>28.333333333333332</v>
      </c>
      <c r="M510" s="5" t="s">
        <v>10</v>
      </c>
      <c r="N510" s="5">
        <v>4</v>
      </c>
      <c r="O510" s="6">
        <f t="shared" ref="O510:O573" si="49">(J510*L510^2)/(1.6*10^6)</f>
        <v>0.42647569444444439</v>
      </c>
      <c r="P510" s="6">
        <f t="shared" ref="P510:P573" si="50">(0.104*J510*L510^2)/(1.6*10^6)</f>
        <v>4.4353472222222218E-2</v>
      </c>
      <c r="Q510" s="10">
        <f t="shared" ref="Q510:Q573" si="51">(0.104*O510)/(12*N510)</f>
        <v>9.2403067129629606E-4</v>
      </c>
      <c r="R510" s="10">
        <f t="shared" ref="R510:R573" si="52">0.0159*O510^0.75</f>
        <v>8.3910795451885949E-3</v>
      </c>
      <c r="S510" s="10">
        <f t="shared" ref="S510:S573" si="53">Q510+R510</f>
        <v>9.3151102164848905E-3</v>
      </c>
    </row>
    <row r="511" spans="1:19" x14ac:dyDescent="0.25">
      <c r="A511" s="5" t="s">
        <v>8</v>
      </c>
      <c r="B511" s="5" t="s">
        <v>308</v>
      </c>
      <c r="C511" s="5" t="s">
        <v>27</v>
      </c>
      <c r="D511" s="5" t="s">
        <v>385</v>
      </c>
      <c r="E511" s="5" t="s">
        <v>384</v>
      </c>
      <c r="F511" s="5" t="s">
        <v>45</v>
      </c>
      <c r="G511" s="5" t="s">
        <v>390</v>
      </c>
      <c r="H511" s="5" t="s">
        <v>46</v>
      </c>
      <c r="I511" s="5" t="s">
        <v>159</v>
      </c>
      <c r="J511" s="5">
        <v>886</v>
      </c>
      <c r="K511" s="5">
        <v>27.7</v>
      </c>
      <c r="L511" s="7">
        <f t="shared" si="48"/>
        <v>31.985559566787003</v>
      </c>
      <c r="M511" s="5" t="s">
        <v>10</v>
      </c>
      <c r="N511" s="5">
        <v>4</v>
      </c>
      <c r="O511" s="6">
        <f t="shared" si="49"/>
        <v>0.56652834651826556</v>
      </c>
      <c r="P511" s="6">
        <f t="shared" si="50"/>
        <v>5.8918948037899606E-2</v>
      </c>
      <c r="Q511" s="10">
        <f t="shared" si="51"/>
        <v>1.2274780841229087E-3</v>
      </c>
      <c r="R511" s="10">
        <f t="shared" si="52"/>
        <v>1.0382772973710441E-2</v>
      </c>
      <c r="S511" s="10">
        <f t="shared" si="53"/>
        <v>1.1610251057833349E-2</v>
      </c>
    </row>
    <row r="512" spans="1:19" x14ac:dyDescent="0.25">
      <c r="A512" s="5" t="s">
        <v>22</v>
      </c>
      <c r="B512" s="5" t="s">
        <v>26</v>
      </c>
      <c r="C512" s="5" t="s">
        <v>27</v>
      </c>
      <c r="D512" s="5" t="s">
        <v>385</v>
      </c>
      <c r="E512" s="5" t="s">
        <v>384</v>
      </c>
      <c r="F512" s="5" t="s">
        <v>45</v>
      </c>
      <c r="G512" s="5" t="s">
        <v>390</v>
      </c>
      <c r="H512" s="5" t="s">
        <v>46</v>
      </c>
      <c r="I512" s="5" t="s">
        <v>50</v>
      </c>
      <c r="J512" s="5">
        <v>2050</v>
      </c>
      <c r="K512" s="5">
        <v>33</v>
      </c>
      <c r="L512" s="7">
        <f t="shared" si="48"/>
        <v>62.121212121212125</v>
      </c>
      <c r="M512" s="5" t="s">
        <v>10</v>
      </c>
      <c r="N512" s="5">
        <v>4</v>
      </c>
      <c r="O512" s="6">
        <f t="shared" si="49"/>
        <v>4.94440140036731</v>
      </c>
      <c r="P512" s="6">
        <f t="shared" si="50"/>
        <v>0.51421774563820022</v>
      </c>
      <c r="Q512" s="10">
        <f t="shared" si="51"/>
        <v>1.0712869700795838E-2</v>
      </c>
      <c r="R512" s="10">
        <f t="shared" si="52"/>
        <v>5.2720851367536438E-2</v>
      </c>
      <c r="S512" s="10">
        <f t="shared" si="53"/>
        <v>6.3433721068332283E-2</v>
      </c>
    </row>
    <row r="513" spans="1:19" x14ac:dyDescent="0.25">
      <c r="A513" s="5" t="s">
        <v>22</v>
      </c>
      <c r="B513" s="5" t="s">
        <v>26</v>
      </c>
      <c r="C513" s="5" t="s">
        <v>27</v>
      </c>
      <c r="D513" s="5" t="s">
        <v>385</v>
      </c>
      <c r="E513" s="5" t="s">
        <v>384</v>
      </c>
      <c r="F513" s="5" t="s">
        <v>45</v>
      </c>
      <c r="G513" s="5" t="s">
        <v>390</v>
      </c>
      <c r="H513" s="5" t="s">
        <v>46</v>
      </c>
      <c r="I513" s="5" t="s">
        <v>50</v>
      </c>
      <c r="J513" s="5">
        <v>1650</v>
      </c>
      <c r="K513" s="5">
        <v>30</v>
      </c>
      <c r="L513" s="7">
        <f t="shared" si="48"/>
        <v>55</v>
      </c>
      <c r="M513" s="5" t="s">
        <v>9</v>
      </c>
      <c r="N513" s="5">
        <v>4</v>
      </c>
      <c r="O513" s="6">
        <f t="shared" si="49"/>
        <v>3.1195312500000001</v>
      </c>
      <c r="P513" s="6">
        <f t="shared" si="50"/>
        <v>0.32443125</v>
      </c>
      <c r="Q513" s="10">
        <f t="shared" si="51"/>
        <v>6.7589843749999998E-3</v>
      </c>
      <c r="R513" s="10">
        <f t="shared" si="52"/>
        <v>3.7321933071527903E-2</v>
      </c>
      <c r="S513" s="10">
        <f t="shared" si="53"/>
        <v>4.4080917446527902E-2</v>
      </c>
    </row>
    <row r="514" spans="1:19" x14ac:dyDescent="0.25">
      <c r="A514" s="5" t="s">
        <v>8</v>
      </c>
      <c r="B514" s="5" t="s">
        <v>284</v>
      </c>
      <c r="C514" s="5" t="s">
        <v>27</v>
      </c>
      <c r="D514" s="5" t="s">
        <v>385</v>
      </c>
      <c r="E514" s="5" t="s">
        <v>384</v>
      </c>
      <c r="F514" s="5" t="s">
        <v>45</v>
      </c>
      <c r="G514" s="5" t="s">
        <v>390</v>
      </c>
      <c r="H514" s="5" t="s">
        <v>46</v>
      </c>
      <c r="I514" s="5" t="s">
        <v>50</v>
      </c>
      <c r="J514" s="5">
        <v>1800</v>
      </c>
      <c r="K514" s="5">
        <v>36.700000000000003</v>
      </c>
      <c r="L514" s="7">
        <f t="shared" si="48"/>
        <v>49.046321525885553</v>
      </c>
      <c r="M514" s="5" t="s">
        <v>10</v>
      </c>
      <c r="N514" s="5">
        <v>4</v>
      </c>
      <c r="O514" s="6">
        <f t="shared" si="49"/>
        <v>2.7062343621231126</v>
      </c>
      <c r="P514" s="6">
        <f t="shared" si="50"/>
        <v>0.28144837366080372</v>
      </c>
      <c r="Q514" s="10">
        <f t="shared" si="51"/>
        <v>5.8635077846000772E-3</v>
      </c>
      <c r="R514" s="10">
        <f t="shared" si="52"/>
        <v>3.3548350942273784E-2</v>
      </c>
      <c r="S514" s="10">
        <f t="shared" si="53"/>
        <v>3.9411858726873861E-2</v>
      </c>
    </row>
    <row r="515" spans="1:19" x14ac:dyDescent="0.25">
      <c r="A515" s="5" t="s">
        <v>8</v>
      </c>
      <c r="B515" s="5" t="s">
        <v>233</v>
      </c>
      <c r="C515" s="5" t="s">
        <v>27</v>
      </c>
      <c r="D515" s="5" t="s">
        <v>385</v>
      </c>
      <c r="E515" s="5" t="s">
        <v>384</v>
      </c>
      <c r="F515" s="5" t="s">
        <v>45</v>
      </c>
      <c r="G515" s="5" t="s">
        <v>390</v>
      </c>
      <c r="H515" s="5" t="s">
        <v>46</v>
      </c>
      <c r="I515" s="5" t="s">
        <v>234</v>
      </c>
      <c r="J515" s="5">
        <v>1465</v>
      </c>
      <c r="K515" s="5">
        <v>35</v>
      </c>
      <c r="L515" s="7">
        <f t="shared" si="48"/>
        <v>41.857142857142854</v>
      </c>
      <c r="M515" s="5" t="s">
        <v>10</v>
      </c>
      <c r="N515" s="5">
        <v>4</v>
      </c>
      <c r="O515" s="6">
        <f t="shared" si="49"/>
        <v>1.6041936862244897</v>
      </c>
      <c r="P515" s="6">
        <f t="shared" si="50"/>
        <v>0.1668361433673469</v>
      </c>
      <c r="Q515" s="10">
        <f t="shared" si="51"/>
        <v>3.4757529868197274E-3</v>
      </c>
      <c r="R515" s="10">
        <f t="shared" si="52"/>
        <v>2.2664165160455583E-2</v>
      </c>
      <c r="S515" s="10">
        <f t="shared" si="53"/>
        <v>2.6139918147275312E-2</v>
      </c>
    </row>
    <row r="516" spans="1:19" x14ac:dyDescent="0.25">
      <c r="A516" s="5" t="s">
        <v>8</v>
      </c>
      <c r="B516" s="5" t="s">
        <v>233</v>
      </c>
      <c r="C516" s="5" t="s">
        <v>27</v>
      </c>
      <c r="D516" s="5" t="s">
        <v>385</v>
      </c>
      <c r="E516" s="5" t="s">
        <v>384</v>
      </c>
      <c r="F516" s="5" t="s">
        <v>45</v>
      </c>
      <c r="G516" s="5" t="s">
        <v>390</v>
      </c>
      <c r="H516" s="5" t="s">
        <v>46</v>
      </c>
      <c r="I516" s="5" t="s">
        <v>234</v>
      </c>
      <c r="J516" s="5">
        <v>1150</v>
      </c>
      <c r="K516" s="5">
        <v>38</v>
      </c>
      <c r="L516" s="7">
        <f t="shared" si="48"/>
        <v>30.263157894736842</v>
      </c>
      <c r="M516" s="5" t="s">
        <v>235</v>
      </c>
      <c r="N516" s="5">
        <v>4</v>
      </c>
      <c r="O516" s="6">
        <f t="shared" si="49"/>
        <v>0.65827345914127422</v>
      </c>
      <c r="P516" s="6">
        <f t="shared" si="50"/>
        <v>6.846043975069252E-2</v>
      </c>
      <c r="Q516" s="10">
        <f t="shared" si="51"/>
        <v>1.4262591614727608E-3</v>
      </c>
      <c r="R516" s="10">
        <f t="shared" si="52"/>
        <v>1.1619886425039538E-2</v>
      </c>
      <c r="S516" s="10">
        <f t="shared" si="53"/>
        <v>1.3046145586512299E-2</v>
      </c>
    </row>
    <row r="517" spans="1:19" x14ac:dyDescent="0.25">
      <c r="A517" s="5" t="s">
        <v>8</v>
      </c>
      <c r="B517" s="5" t="s">
        <v>233</v>
      </c>
      <c r="C517" s="5" t="s">
        <v>27</v>
      </c>
      <c r="D517" s="5" t="s">
        <v>385</v>
      </c>
      <c r="E517" s="5" t="s">
        <v>384</v>
      </c>
      <c r="F517" s="5" t="s">
        <v>45</v>
      </c>
      <c r="G517" s="5" t="s">
        <v>390</v>
      </c>
      <c r="H517" s="5" t="s">
        <v>46</v>
      </c>
      <c r="I517" s="5" t="s">
        <v>234</v>
      </c>
      <c r="J517" s="5">
        <v>1350</v>
      </c>
      <c r="K517" s="5">
        <v>40</v>
      </c>
      <c r="L517" s="7">
        <f t="shared" si="48"/>
        <v>33.75</v>
      </c>
      <c r="M517" s="5" t="s">
        <v>9</v>
      </c>
      <c r="N517" s="5">
        <v>4</v>
      </c>
      <c r="O517" s="6">
        <f t="shared" si="49"/>
        <v>0.96108398437499998</v>
      </c>
      <c r="P517" s="6">
        <f t="shared" si="50"/>
        <v>9.9952734375000005E-2</v>
      </c>
      <c r="Q517" s="10">
        <f t="shared" si="51"/>
        <v>2.0823486328124998E-3</v>
      </c>
      <c r="R517" s="10">
        <f t="shared" si="52"/>
        <v>1.5433631599993865E-2</v>
      </c>
      <c r="S517" s="10">
        <f t="shared" si="53"/>
        <v>1.7515980232806365E-2</v>
      </c>
    </row>
    <row r="518" spans="1:19" x14ac:dyDescent="0.25">
      <c r="A518" s="5" t="s">
        <v>22</v>
      </c>
      <c r="B518" s="5" t="s">
        <v>26</v>
      </c>
      <c r="C518" s="5" t="s">
        <v>27</v>
      </c>
      <c r="D518" s="5" t="s">
        <v>385</v>
      </c>
      <c r="E518" s="5" t="s">
        <v>384</v>
      </c>
      <c r="F518" s="5" t="s">
        <v>45</v>
      </c>
      <c r="G518" s="5" t="s">
        <v>390</v>
      </c>
      <c r="H518" s="5" t="s">
        <v>46</v>
      </c>
      <c r="I518" s="5" t="s">
        <v>51</v>
      </c>
      <c r="J518" s="5">
        <v>1400</v>
      </c>
      <c r="K518" s="5">
        <v>30.5</v>
      </c>
      <c r="L518" s="7">
        <f t="shared" si="48"/>
        <v>45.901639344262293</v>
      </c>
      <c r="M518" s="5" t="s">
        <v>10</v>
      </c>
      <c r="N518" s="5">
        <v>4</v>
      </c>
      <c r="O518" s="6">
        <f t="shared" si="49"/>
        <v>1.843590432679387</v>
      </c>
      <c r="P518" s="6">
        <f t="shared" si="50"/>
        <v>0.19173340499865626</v>
      </c>
      <c r="Q518" s="10">
        <f t="shared" si="51"/>
        <v>3.9944459374720047E-3</v>
      </c>
      <c r="R518" s="10">
        <f t="shared" si="52"/>
        <v>2.5156224312647517E-2</v>
      </c>
      <c r="S518" s="10">
        <f t="shared" si="53"/>
        <v>2.9150670250119522E-2</v>
      </c>
    </row>
    <row r="519" spans="1:19" x14ac:dyDescent="0.25">
      <c r="A519" s="5" t="s">
        <v>22</v>
      </c>
      <c r="B519" s="5" t="s">
        <v>26</v>
      </c>
      <c r="C519" s="5" t="s">
        <v>27</v>
      </c>
      <c r="D519" s="5" t="s">
        <v>385</v>
      </c>
      <c r="E519" s="5" t="s">
        <v>384</v>
      </c>
      <c r="F519" s="5" t="s">
        <v>45</v>
      </c>
      <c r="G519" s="5" t="s">
        <v>390</v>
      </c>
      <c r="H519" s="5" t="s">
        <v>46</v>
      </c>
      <c r="I519" s="5" t="s">
        <v>51</v>
      </c>
      <c r="J519" s="5">
        <v>1400</v>
      </c>
      <c r="K519" s="5">
        <v>40</v>
      </c>
      <c r="L519" s="7">
        <f t="shared" si="48"/>
        <v>35</v>
      </c>
      <c r="M519" s="5" t="s">
        <v>9</v>
      </c>
      <c r="N519" s="5">
        <v>4</v>
      </c>
      <c r="O519" s="6">
        <f t="shared" si="49"/>
        <v>1.0718749999999999</v>
      </c>
      <c r="P519" s="6">
        <f t="shared" si="50"/>
        <v>0.111475</v>
      </c>
      <c r="Q519" s="10">
        <f t="shared" si="51"/>
        <v>2.322395833333333E-3</v>
      </c>
      <c r="R519" s="10">
        <f t="shared" si="52"/>
        <v>1.6749630490436755E-2</v>
      </c>
      <c r="S519" s="10">
        <f t="shared" si="53"/>
        <v>1.9072026323770089E-2</v>
      </c>
    </row>
    <row r="520" spans="1:19" x14ac:dyDescent="0.25">
      <c r="A520" s="5" t="s">
        <v>8</v>
      </c>
      <c r="B520" s="5" t="s">
        <v>192</v>
      </c>
      <c r="C520" s="5" t="s">
        <v>27</v>
      </c>
      <c r="D520" s="5" t="s">
        <v>385</v>
      </c>
      <c r="E520" s="5" t="s">
        <v>384</v>
      </c>
      <c r="F520" s="5" t="s">
        <v>45</v>
      </c>
      <c r="G520" s="5" t="s">
        <v>390</v>
      </c>
      <c r="H520" s="5" t="s">
        <v>46</v>
      </c>
      <c r="I520" s="5" t="s">
        <v>51</v>
      </c>
      <c r="J520" s="5">
        <v>1100</v>
      </c>
      <c r="K520" s="5">
        <v>31</v>
      </c>
      <c r="L520" s="7">
        <f t="shared" si="48"/>
        <v>35.483870967741936</v>
      </c>
      <c r="M520" s="5" t="s">
        <v>10</v>
      </c>
      <c r="N520" s="5">
        <v>4</v>
      </c>
      <c r="O520" s="6">
        <f t="shared" si="49"/>
        <v>0.86563475546305946</v>
      </c>
      <c r="P520" s="6">
        <f t="shared" si="50"/>
        <v>9.0026014568158175E-2</v>
      </c>
      <c r="Q520" s="10">
        <f t="shared" si="51"/>
        <v>1.875541970169962E-3</v>
      </c>
      <c r="R520" s="10">
        <f t="shared" si="52"/>
        <v>1.4269151143928181E-2</v>
      </c>
      <c r="S520" s="10">
        <f t="shared" si="53"/>
        <v>1.6144693114098142E-2</v>
      </c>
    </row>
    <row r="521" spans="1:19" x14ac:dyDescent="0.25">
      <c r="A521" s="5" t="s">
        <v>8</v>
      </c>
      <c r="B521" s="5" t="s">
        <v>291</v>
      </c>
      <c r="C521" s="5" t="s">
        <v>27</v>
      </c>
      <c r="D521" s="5" t="s">
        <v>385</v>
      </c>
      <c r="E521" s="5" t="s">
        <v>384</v>
      </c>
      <c r="F521" s="5" t="s">
        <v>45</v>
      </c>
      <c r="G521" s="5" t="s">
        <v>390</v>
      </c>
      <c r="H521" s="5" t="s">
        <v>46</v>
      </c>
      <c r="I521" s="5" t="s">
        <v>51</v>
      </c>
      <c r="J521" s="5">
        <v>1294</v>
      </c>
      <c r="K521" s="5">
        <v>31.7</v>
      </c>
      <c r="L521" s="7">
        <f t="shared" si="48"/>
        <v>40.820189274447948</v>
      </c>
      <c r="M521" s="5" t="s">
        <v>10</v>
      </c>
      <c r="N521" s="5">
        <v>4</v>
      </c>
      <c r="O521" s="6">
        <f t="shared" si="49"/>
        <v>1.3476103006299196</v>
      </c>
      <c r="P521" s="6">
        <f t="shared" si="50"/>
        <v>0.14015147126551164</v>
      </c>
      <c r="Q521" s="10">
        <f t="shared" si="51"/>
        <v>2.9198223180314925E-3</v>
      </c>
      <c r="R521" s="10">
        <f t="shared" si="52"/>
        <v>1.9887050004996944E-2</v>
      </c>
      <c r="S521" s="10">
        <f t="shared" si="53"/>
        <v>2.2806872323028436E-2</v>
      </c>
    </row>
    <row r="522" spans="1:19" x14ac:dyDescent="0.25">
      <c r="A522" s="5" t="s">
        <v>8</v>
      </c>
      <c r="B522" s="5" t="s">
        <v>291</v>
      </c>
      <c r="C522" s="5" t="s">
        <v>27</v>
      </c>
      <c r="D522" s="5" t="s">
        <v>385</v>
      </c>
      <c r="E522" s="5" t="s">
        <v>384</v>
      </c>
      <c r="F522" s="5" t="s">
        <v>45</v>
      </c>
      <c r="G522" s="5" t="s">
        <v>390</v>
      </c>
      <c r="H522" s="5" t="s">
        <v>46</v>
      </c>
      <c r="I522" s="5" t="s">
        <v>51</v>
      </c>
      <c r="J522" s="5">
        <v>1309</v>
      </c>
      <c r="K522" s="5">
        <v>33.4</v>
      </c>
      <c r="L522" s="7">
        <f t="shared" si="48"/>
        <v>39.191616766467071</v>
      </c>
      <c r="M522" s="5" t="s">
        <v>10</v>
      </c>
      <c r="N522" s="5">
        <v>4</v>
      </c>
      <c r="O522" s="6">
        <f t="shared" si="49"/>
        <v>1.2566259485146476</v>
      </c>
      <c r="P522" s="6">
        <f t="shared" si="50"/>
        <v>0.13068909864552336</v>
      </c>
      <c r="Q522" s="10">
        <f t="shared" si="51"/>
        <v>2.7226895551150693E-3</v>
      </c>
      <c r="R522" s="10">
        <f t="shared" si="52"/>
        <v>1.8871292313959852E-2</v>
      </c>
      <c r="S522" s="10">
        <f t="shared" si="53"/>
        <v>2.1593981869074921E-2</v>
      </c>
    </row>
    <row r="523" spans="1:19" x14ac:dyDescent="0.25">
      <c r="A523" s="5" t="s">
        <v>8</v>
      </c>
      <c r="B523" s="5" t="s">
        <v>291</v>
      </c>
      <c r="C523" s="5" t="s">
        <v>27</v>
      </c>
      <c r="D523" s="5" t="s">
        <v>385</v>
      </c>
      <c r="E523" s="5" t="s">
        <v>384</v>
      </c>
      <c r="F523" s="5" t="s">
        <v>45</v>
      </c>
      <c r="G523" s="5" t="s">
        <v>390</v>
      </c>
      <c r="H523" s="5" t="s">
        <v>46</v>
      </c>
      <c r="I523" s="5" t="s">
        <v>51</v>
      </c>
      <c r="J523" s="5">
        <v>1245</v>
      </c>
      <c r="K523" s="5">
        <v>35.700000000000003</v>
      </c>
      <c r="L523" s="7">
        <f t="shared" si="48"/>
        <v>34.87394957983193</v>
      </c>
      <c r="M523" s="5" t="s">
        <v>10</v>
      </c>
      <c r="N523" s="5">
        <v>4</v>
      </c>
      <c r="O523" s="6">
        <f t="shared" si="49"/>
        <v>0.94634967957771321</v>
      </c>
      <c r="P523" s="6">
        <f t="shared" si="50"/>
        <v>9.8420366676082172E-2</v>
      </c>
      <c r="Q523" s="10">
        <f t="shared" si="51"/>
        <v>2.0504243057517121E-3</v>
      </c>
      <c r="R523" s="10">
        <f t="shared" si="52"/>
        <v>1.5255830466574619E-2</v>
      </c>
      <c r="S523" s="10">
        <f t="shared" si="53"/>
        <v>1.7306254772326331E-2</v>
      </c>
    </row>
    <row r="524" spans="1:19" x14ac:dyDescent="0.25">
      <c r="A524" s="5" t="s">
        <v>8</v>
      </c>
      <c r="B524" s="5" t="s">
        <v>291</v>
      </c>
      <c r="C524" s="5" t="s">
        <v>27</v>
      </c>
      <c r="D524" s="5" t="s">
        <v>385</v>
      </c>
      <c r="E524" s="5" t="s">
        <v>384</v>
      </c>
      <c r="F524" s="5" t="s">
        <v>45</v>
      </c>
      <c r="G524" s="5" t="s">
        <v>390</v>
      </c>
      <c r="H524" s="5" t="s">
        <v>46</v>
      </c>
      <c r="I524" s="5" t="s">
        <v>51</v>
      </c>
      <c r="J524" s="5">
        <v>1263</v>
      </c>
      <c r="K524" s="5">
        <v>27.6</v>
      </c>
      <c r="L524" s="7">
        <f t="shared" si="48"/>
        <v>45.760869565217391</v>
      </c>
      <c r="M524" s="5" t="s">
        <v>10</v>
      </c>
      <c r="N524" s="5">
        <v>4</v>
      </c>
      <c r="O524" s="6">
        <f t="shared" si="49"/>
        <v>1.6529963891186199</v>
      </c>
      <c r="P524" s="6">
        <f t="shared" si="50"/>
        <v>0.17191162446833649</v>
      </c>
      <c r="Q524" s="10">
        <f t="shared" si="51"/>
        <v>3.5814921764236764E-3</v>
      </c>
      <c r="R524" s="10">
        <f t="shared" si="52"/>
        <v>2.3179339312449272E-2</v>
      </c>
      <c r="S524" s="10">
        <f t="shared" si="53"/>
        <v>2.6760831488872948E-2</v>
      </c>
    </row>
    <row r="525" spans="1:19" x14ac:dyDescent="0.25">
      <c r="A525" s="5" t="s">
        <v>8</v>
      </c>
      <c r="B525" s="5" t="s">
        <v>291</v>
      </c>
      <c r="C525" s="5" t="s">
        <v>27</v>
      </c>
      <c r="D525" s="5" t="s">
        <v>385</v>
      </c>
      <c r="E525" s="5" t="s">
        <v>384</v>
      </c>
      <c r="F525" s="5" t="s">
        <v>45</v>
      </c>
      <c r="G525" s="5" t="s">
        <v>390</v>
      </c>
      <c r="H525" s="5" t="s">
        <v>46</v>
      </c>
      <c r="I525" s="5" t="s">
        <v>51</v>
      </c>
      <c r="J525" s="5">
        <v>1284</v>
      </c>
      <c r="K525" s="5">
        <v>30</v>
      </c>
      <c r="L525" s="7">
        <f t="shared" si="48"/>
        <v>42.8</v>
      </c>
      <c r="M525" s="5" t="s">
        <v>10</v>
      </c>
      <c r="N525" s="5">
        <v>4</v>
      </c>
      <c r="O525" s="6">
        <f t="shared" si="49"/>
        <v>1.4700515999999997</v>
      </c>
      <c r="P525" s="6">
        <f t="shared" si="50"/>
        <v>0.15288536639999997</v>
      </c>
      <c r="Q525" s="10">
        <f t="shared" si="51"/>
        <v>3.1851117999999994E-3</v>
      </c>
      <c r="R525" s="10">
        <f t="shared" si="52"/>
        <v>2.122738802515543E-2</v>
      </c>
      <c r="S525" s="10">
        <f t="shared" si="53"/>
        <v>2.4412499825155427E-2</v>
      </c>
    </row>
    <row r="526" spans="1:19" x14ac:dyDescent="0.25">
      <c r="A526" s="5" t="s">
        <v>8</v>
      </c>
      <c r="B526" s="5" t="s">
        <v>291</v>
      </c>
      <c r="C526" s="5" t="s">
        <v>27</v>
      </c>
      <c r="D526" s="5" t="s">
        <v>385</v>
      </c>
      <c r="E526" s="5" t="s">
        <v>384</v>
      </c>
      <c r="F526" s="5" t="s">
        <v>45</v>
      </c>
      <c r="G526" s="5" t="s">
        <v>390</v>
      </c>
      <c r="H526" s="5" t="s">
        <v>46</v>
      </c>
      <c r="I526" s="5" t="s">
        <v>51</v>
      </c>
      <c r="J526" s="5">
        <v>1251</v>
      </c>
      <c r="K526" s="5">
        <v>32.700000000000003</v>
      </c>
      <c r="L526" s="7">
        <f t="shared" si="48"/>
        <v>38.256880733944953</v>
      </c>
      <c r="M526" s="5" t="s">
        <v>10</v>
      </c>
      <c r="N526" s="5">
        <v>4</v>
      </c>
      <c r="O526" s="6">
        <f t="shared" si="49"/>
        <v>1.1443435895547511</v>
      </c>
      <c r="P526" s="6">
        <f t="shared" si="50"/>
        <v>0.11901173331369411</v>
      </c>
      <c r="Q526" s="10">
        <f t="shared" si="51"/>
        <v>2.4794111107019606E-3</v>
      </c>
      <c r="R526" s="10">
        <f t="shared" si="52"/>
        <v>1.759196916585937E-2</v>
      </c>
      <c r="S526" s="10">
        <f t="shared" si="53"/>
        <v>2.0071380276561329E-2</v>
      </c>
    </row>
    <row r="527" spans="1:19" x14ac:dyDescent="0.25">
      <c r="A527" s="5" t="s">
        <v>8</v>
      </c>
      <c r="B527" s="5" t="s">
        <v>291</v>
      </c>
      <c r="C527" s="5" t="s">
        <v>27</v>
      </c>
      <c r="D527" s="5" t="s">
        <v>385</v>
      </c>
      <c r="E527" s="5" t="s">
        <v>384</v>
      </c>
      <c r="F527" s="5" t="s">
        <v>45</v>
      </c>
      <c r="G527" s="5" t="s">
        <v>390</v>
      </c>
      <c r="H527" s="5" t="s">
        <v>46</v>
      </c>
      <c r="I527" s="5" t="s">
        <v>51</v>
      </c>
      <c r="J527" s="5">
        <v>1135</v>
      </c>
      <c r="K527" s="5">
        <v>29.2</v>
      </c>
      <c r="L527" s="7">
        <f t="shared" si="48"/>
        <v>38.869863013698634</v>
      </c>
      <c r="M527" s="5" t="s">
        <v>10</v>
      </c>
      <c r="N527" s="5">
        <v>4</v>
      </c>
      <c r="O527" s="6">
        <f t="shared" si="49"/>
        <v>1.0717707465929349</v>
      </c>
      <c r="P527" s="6">
        <f t="shared" si="50"/>
        <v>0.11146415764566524</v>
      </c>
      <c r="Q527" s="10">
        <f t="shared" si="51"/>
        <v>2.3221699509513587E-3</v>
      </c>
      <c r="R527" s="10">
        <f t="shared" si="52"/>
        <v>1.6748408640447264E-2</v>
      </c>
      <c r="S527" s="10">
        <f t="shared" si="53"/>
        <v>1.9070578591398622E-2</v>
      </c>
    </row>
    <row r="528" spans="1:19" x14ac:dyDescent="0.25">
      <c r="A528" s="5" t="s">
        <v>8</v>
      </c>
      <c r="B528" s="5" t="s">
        <v>291</v>
      </c>
      <c r="C528" s="5" t="s">
        <v>27</v>
      </c>
      <c r="D528" s="5" t="s">
        <v>385</v>
      </c>
      <c r="E528" s="5" t="s">
        <v>384</v>
      </c>
      <c r="F528" s="5" t="s">
        <v>45</v>
      </c>
      <c r="G528" s="5" t="s">
        <v>390</v>
      </c>
      <c r="H528" s="5" t="s">
        <v>46</v>
      </c>
      <c r="I528" s="5" t="s">
        <v>51</v>
      </c>
      <c r="J528" s="5">
        <v>1203</v>
      </c>
      <c r="K528" s="5">
        <v>26.7</v>
      </c>
      <c r="L528" s="7">
        <f t="shared" si="48"/>
        <v>45.056179775280903</v>
      </c>
      <c r="M528" s="5" t="s">
        <v>10</v>
      </c>
      <c r="N528" s="5">
        <v>4</v>
      </c>
      <c r="O528" s="6">
        <f t="shared" si="49"/>
        <v>1.526350863211716</v>
      </c>
      <c r="P528" s="6">
        <f t="shared" si="50"/>
        <v>0.15874048977401847</v>
      </c>
      <c r="Q528" s="10">
        <f t="shared" si="51"/>
        <v>3.3070935369587176E-3</v>
      </c>
      <c r="R528" s="10">
        <f t="shared" si="52"/>
        <v>2.1834231306130446E-2</v>
      </c>
      <c r="S528" s="10">
        <f t="shared" si="53"/>
        <v>2.5141324843089164E-2</v>
      </c>
    </row>
    <row r="529" spans="1:19" x14ac:dyDescent="0.25">
      <c r="A529" s="5" t="s">
        <v>8</v>
      </c>
      <c r="B529" s="5" t="s">
        <v>300</v>
      </c>
      <c r="C529" s="5" t="s">
        <v>27</v>
      </c>
      <c r="D529" s="5" t="s">
        <v>385</v>
      </c>
      <c r="E529" s="5" t="s">
        <v>384</v>
      </c>
      <c r="F529" s="5" t="s">
        <v>45</v>
      </c>
      <c r="G529" s="5" t="s">
        <v>390</v>
      </c>
      <c r="H529" s="5" t="s">
        <v>46</v>
      </c>
      <c r="I529" s="5" t="s">
        <v>51</v>
      </c>
      <c r="J529" s="5">
        <v>1263</v>
      </c>
      <c r="K529" s="5">
        <v>31.9</v>
      </c>
      <c r="L529" s="7">
        <f t="shared" si="48"/>
        <v>39.592476489028215</v>
      </c>
      <c r="M529" s="5" t="s">
        <v>10</v>
      </c>
      <c r="N529" s="5">
        <v>4</v>
      </c>
      <c r="O529" s="6">
        <f t="shared" si="49"/>
        <v>1.2373959860604751</v>
      </c>
      <c r="P529" s="6">
        <f t="shared" si="50"/>
        <v>0.12868918255028944</v>
      </c>
      <c r="Q529" s="10">
        <f t="shared" si="51"/>
        <v>2.6810246364643627E-3</v>
      </c>
      <c r="R529" s="10">
        <f t="shared" si="52"/>
        <v>1.8654286884243587E-2</v>
      </c>
      <c r="S529" s="10">
        <f t="shared" si="53"/>
        <v>2.1335311520707952E-2</v>
      </c>
    </row>
    <row r="530" spans="1:19" x14ac:dyDescent="0.25">
      <c r="A530" s="5" t="s">
        <v>8</v>
      </c>
      <c r="B530" s="5" t="s">
        <v>378</v>
      </c>
      <c r="C530" s="5" t="s">
        <v>27</v>
      </c>
      <c r="D530" s="5" t="s">
        <v>385</v>
      </c>
      <c r="E530" s="5" t="s">
        <v>384</v>
      </c>
      <c r="F530" s="5" t="s">
        <v>45</v>
      </c>
      <c r="G530" s="5" t="s">
        <v>390</v>
      </c>
      <c r="H530" s="5" t="s">
        <v>46</v>
      </c>
      <c r="I530" s="5" t="s">
        <v>183</v>
      </c>
      <c r="J530" s="5">
        <v>1470</v>
      </c>
      <c r="K530" s="5">
        <v>38.1</v>
      </c>
      <c r="L530" s="7">
        <f t="shared" si="48"/>
        <v>38.582677165354326</v>
      </c>
      <c r="M530" s="5" t="s">
        <v>10</v>
      </c>
      <c r="N530" s="5">
        <v>4</v>
      </c>
      <c r="O530" s="6">
        <f t="shared" si="49"/>
        <v>1.3676723603447203</v>
      </c>
      <c r="P530" s="6">
        <f t="shared" si="50"/>
        <v>0.14223792547585093</v>
      </c>
      <c r="Q530" s="10">
        <f t="shared" si="51"/>
        <v>2.963290114080227E-3</v>
      </c>
      <c r="R530" s="10">
        <f t="shared" si="52"/>
        <v>2.010868527780138E-2</v>
      </c>
      <c r="S530" s="10">
        <f t="shared" si="53"/>
        <v>2.3071975391881609E-2</v>
      </c>
    </row>
    <row r="531" spans="1:19" x14ac:dyDescent="0.25">
      <c r="A531" s="5" t="s">
        <v>8</v>
      </c>
      <c r="B531" s="5" t="s">
        <v>192</v>
      </c>
      <c r="C531" s="5" t="s">
        <v>27</v>
      </c>
      <c r="D531" s="5" t="s">
        <v>385</v>
      </c>
      <c r="E531" s="5" t="s">
        <v>384</v>
      </c>
      <c r="F531" s="5" t="s">
        <v>45</v>
      </c>
      <c r="G531" s="5" t="s">
        <v>390</v>
      </c>
      <c r="H531" s="5" t="s">
        <v>46</v>
      </c>
      <c r="I531" s="5" t="s">
        <v>213</v>
      </c>
      <c r="J531" s="5">
        <v>960</v>
      </c>
      <c r="K531" s="5">
        <v>25.9</v>
      </c>
      <c r="L531" s="7">
        <f t="shared" si="48"/>
        <v>37.06563706563707</v>
      </c>
      <c r="M531" s="5" t="s">
        <v>9</v>
      </c>
      <c r="N531" s="5">
        <v>4</v>
      </c>
      <c r="O531" s="6">
        <f t="shared" si="49"/>
        <v>0.82431687064891723</v>
      </c>
      <c r="P531" s="6">
        <f t="shared" si="50"/>
        <v>8.5728954547487371E-2</v>
      </c>
      <c r="Q531" s="10">
        <f t="shared" si="51"/>
        <v>1.7860198864059873E-3</v>
      </c>
      <c r="R531" s="10">
        <f t="shared" si="52"/>
        <v>1.3755227116500256E-2</v>
      </c>
      <c r="S531" s="10">
        <f t="shared" si="53"/>
        <v>1.5541247002906242E-2</v>
      </c>
    </row>
    <row r="532" spans="1:19" x14ac:dyDescent="0.25">
      <c r="A532" s="5" t="s">
        <v>22</v>
      </c>
      <c r="B532" s="5" t="s">
        <v>63</v>
      </c>
      <c r="C532" s="5" t="s">
        <v>27</v>
      </c>
      <c r="D532" s="5" t="s">
        <v>385</v>
      </c>
      <c r="E532" s="5" t="s">
        <v>384</v>
      </c>
      <c r="F532" s="5" t="s">
        <v>45</v>
      </c>
      <c r="G532" s="5" t="s">
        <v>390</v>
      </c>
      <c r="H532" s="5" t="s">
        <v>46</v>
      </c>
      <c r="I532" s="5" t="s">
        <v>153</v>
      </c>
      <c r="J532" s="5">
        <v>1510</v>
      </c>
      <c r="K532" s="5">
        <v>39</v>
      </c>
      <c r="L532" s="7">
        <f t="shared" si="48"/>
        <v>38.717948717948715</v>
      </c>
      <c r="M532" s="5" t="s">
        <v>10</v>
      </c>
      <c r="N532" s="5">
        <v>4</v>
      </c>
      <c r="O532" s="6">
        <f t="shared" si="49"/>
        <v>1.4147563280736355</v>
      </c>
      <c r="P532" s="6">
        <f t="shared" si="50"/>
        <v>0.14713465811965809</v>
      </c>
      <c r="Q532" s="10">
        <f t="shared" si="51"/>
        <v>3.0653053774928767E-3</v>
      </c>
      <c r="R532" s="10">
        <f t="shared" si="52"/>
        <v>2.0625683925483206E-2</v>
      </c>
      <c r="S532" s="10">
        <f t="shared" si="53"/>
        <v>2.3690989302976084E-2</v>
      </c>
    </row>
    <row r="533" spans="1:19" x14ac:dyDescent="0.25">
      <c r="A533" s="5" t="s">
        <v>22</v>
      </c>
      <c r="B533" s="5" t="s">
        <v>63</v>
      </c>
      <c r="C533" s="5" t="s">
        <v>27</v>
      </c>
      <c r="D533" s="5" t="s">
        <v>385</v>
      </c>
      <c r="E533" s="5" t="s">
        <v>384</v>
      </c>
      <c r="F533" s="5" t="s">
        <v>45</v>
      </c>
      <c r="G533" s="5" t="s">
        <v>390</v>
      </c>
      <c r="H533" s="5" t="s">
        <v>46</v>
      </c>
      <c r="I533" s="5" t="s">
        <v>153</v>
      </c>
      <c r="J533" s="5">
        <v>1620</v>
      </c>
      <c r="K533" s="5">
        <v>41</v>
      </c>
      <c r="L533" s="7">
        <f t="shared" si="48"/>
        <v>39.512195121951223</v>
      </c>
      <c r="M533" s="5" t="s">
        <v>9</v>
      </c>
      <c r="N533" s="5">
        <v>4</v>
      </c>
      <c r="O533" s="6">
        <f t="shared" si="49"/>
        <v>1.5807287328970852</v>
      </c>
      <c r="P533" s="6">
        <f t="shared" si="50"/>
        <v>0.16439578822129686</v>
      </c>
      <c r="Q533" s="10">
        <f t="shared" si="51"/>
        <v>3.424912254610351E-3</v>
      </c>
      <c r="R533" s="10">
        <f t="shared" si="52"/>
        <v>2.241507183266496E-2</v>
      </c>
      <c r="S533" s="10">
        <f t="shared" si="53"/>
        <v>2.5839984087275312E-2</v>
      </c>
    </row>
    <row r="534" spans="1:19" x14ac:dyDescent="0.25">
      <c r="A534" s="5" t="s">
        <v>8</v>
      </c>
      <c r="B534" s="5" t="s">
        <v>375</v>
      </c>
      <c r="C534" s="5" t="s">
        <v>27</v>
      </c>
      <c r="D534" s="5" t="s">
        <v>385</v>
      </c>
      <c r="E534" s="5" t="s">
        <v>384</v>
      </c>
      <c r="F534" s="5" t="s">
        <v>45</v>
      </c>
      <c r="G534" s="5" t="s">
        <v>390</v>
      </c>
      <c r="H534" s="5" t="s">
        <v>46</v>
      </c>
      <c r="I534" s="5" t="s">
        <v>153</v>
      </c>
      <c r="J534" s="5">
        <v>1510</v>
      </c>
      <c r="K534" s="5">
        <v>39</v>
      </c>
      <c r="L534" s="7">
        <f t="shared" si="48"/>
        <v>38.717948717948715</v>
      </c>
      <c r="M534" s="5" t="s">
        <v>10</v>
      </c>
      <c r="N534" s="5">
        <v>4</v>
      </c>
      <c r="O534" s="6">
        <f t="shared" si="49"/>
        <v>1.4147563280736355</v>
      </c>
      <c r="P534" s="6">
        <f t="shared" si="50"/>
        <v>0.14713465811965809</v>
      </c>
      <c r="Q534" s="10">
        <f t="shared" si="51"/>
        <v>3.0653053774928767E-3</v>
      </c>
      <c r="R534" s="10">
        <f t="shared" si="52"/>
        <v>2.0625683925483206E-2</v>
      </c>
      <c r="S534" s="10">
        <f t="shared" si="53"/>
        <v>2.3690989302976084E-2</v>
      </c>
    </row>
    <row r="535" spans="1:19" x14ac:dyDescent="0.25">
      <c r="A535" s="5" t="s">
        <v>8</v>
      </c>
      <c r="B535" s="5" t="s">
        <v>375</v>
      </c>
      <c r="C535" s="5" t="s">
        <v>27</v>
      </c>
      <c r="D535" s="5" t="s">
        <v>385</v>
      </c>
      <c r="E535" s="5" t="s">
        <v>384</v>
      </c>
      <c r="F535" s="5" t="s">
        <v>45</v>
      </c>
      <c r="G535" s="5" t="s">
        <v>390</v>
      </c>
      <c r="H535" s="5" t="s">
        <v>46</v>
      </c>
      <c r="I535" s="5" t="s">
        <v>153</v>
      </c>
      <c r="J535" s="5">
        <v>1570</v>
      </c>
      <c r="K535" s="5">
        <v>41.7</v>
      </c>
      <c r="L535" s="7">
        <f t="shared" si="48"/>
        <v>37.649880095923258</v>
      </c>
      <c r="M535" s="5" t="s">
        <v>9</v>
      </c>
      <c r="N535" s="5">
        <v>4</v>
      </c>
      <c r="O535" s="6">
        <f t="shared" si="49"/>
        <v>1.3909350936516971</v>
      </c>
      <c r="P535" s="6">
        <f t="shared" si="50"/>
        <v>0.14465724973977651</v>
      </c>
      <c r="Q535" s="10">
        <f t="shared" si="51"/>
        <v>3.01369270291201E-3</v>
      </c>
      <c r="R535" s="10">
        <f t="shared" si="52"/>
        <v>2.0364665116242991E-2</v>
      </c>
      <c r="S535" s="10">
        <f t="shared" si="53"/>
        <v>2.3378357819155003E-2</v>
      </c>
    </row>
    <row r="536" spans="1:19" x14ac:dyDescent="0.25">
      <c r="A536" s="5" t="s">
        <v>8</v>
      </c>
      <c r="B536" s="5" t="s">
        <v>328</v>
      </c>
      <c r="C536" s="5" t="s">
        <v>27</v>
      </c>
      <c r="D536" s="5" t="s">
        <v>385</v>
      </c>
      <c r="E536" s="5" t="s">
        <v>384</v>
      </c>
      <c r="F536" s="5" t="s">
        <v>45</v>
      </c>
      <c r="G536" s="5" t="s">
        <v>390</v>
      </c>
      <c r="H536" s="5" t="s">
        <v>46</v>
      </c>
      <c r="I536" s="5" t="s">
        <v>39</v>
      </c>
      <c r="J536" s="5">
        <v>1735</v>
      </c>
      <c r="K536" s="5">
        <v>27</v>
      </c>
      <c r="L536" s="7">
        <f t="shared" si="48"/>
        <v>64.259259259259252</v>
      </c>
      <c r="M536" s="5" t="s">
        <v>10</v>
      </c>
      <c r="N536" s="5">
        <v>4</v>
      </c>
      <c r="O536" s="6">
        <f t="shared" si="49"/>
        <v>4.4776580718449912</v>
      </c>
      <c r="P536" s="6">
        <f t="shared" si="50"/>
        <v>0.46567643947187914</v>
      </c>
      <c r="Q536" s="10">
        <f t="shared" si="51"/>
        <v>9.7015924889974816E-3</v>
      </c>
      <c r="R536" s="10">
        <f t="shared" si="52"/>
        <v>4.8942406422067777E-2</v>
      </c>
      <c r="S536" s="10">
        <f t="shared" si="53"/>
        <v>5.8643998911065261E-2</v>
      </c>
    </row>
    <row r="537" spans="1:19" x14ac:dyDescent="0.25">
      <c r="A537" s="5" t="s">
        <v>8</v>
      </c>
      <c r="B537" s="5" t="s">
        <v>378</v>
      </c>
      <c r="C537" s="5" t="s">
        <v>27</v>
      </c>
      <c r="D537" s="5" t="s">
        <v>385</v>
      </c>
      <c r="E537" s="5" t="s">
        <v>384</v>
      </c>
      <c r="F537" s="5" t="s">
        <v>45</v>
      </c>
      <c r="G537" s="5" t="s">
        <v>390</v>
      </c>
      <c r="H537" s="5" t="s">
        <v>46</v>
      </c>
      <c r="I537" s="5" t="s">
        <v>379</v>
      </c>
      <c r="J537" s="5">
        <v>1160</v>
      </c>
      <c r="K537" s="5">
        <v>39</v>
      </c>
      <c r="L537" s="7">
        <f t="shared" si="48"/>
        <v>29.743589743589745</v>
      </c>
      <c r="M537" s="5" t="s">
        <v>10</v>
      </c>
      <c r="N537" s="5">
        <v>4</v>
      </c>
      <c r="O537" s="6">
        <f t="shared" si="49"/>
        <v>0.64139381985535826</v>
      </c>
      <c r="P537" s="6">
        <f t="shared" si="50"/>
        <v>6.670495726495726E-2</v>
      </c>
      <c r="Q537" s="10">
        <f t="shared" si="51"/>
        <v>1.3896866096866096E-3</v>
      </c>
      <c r="R537" s="10">
        <f t="shared" si="52"/>
        <v>1.1395691995518462E-2</v>
      </c>
      <c r="S537" s="10">
        <f t="shared" si="53"/>
        <v>1.2785378605205072E-2</v>
      </c>
    </row>
    <row r="538" spans="1:19" x14ac:dyDescent="0.25">
      <c r="A538" s="5" t="s">
        <v>8</v>
      </c>
      <c r="B538" s="5" t="s">
        <v>339</v>
      </c>
      <c r="C538" s="5" t="s">
        <v>27</v>
      </c>
      <c r="D538" s="5" t="s">
        <v>385</v>
      </c>
      <c r="E538" s="5" t="s">
        <v>384</v>
      </c>
      <c r="F538" s="5" t="s">
        <v>45</v>
      </c>
      <c r="G538" s="5" t="s">
        <v>390</v>
      </c>
      <c r="H538" s="5" t="s">
        <v>46</v>
      </c>
      <c r="I538" s="5" t="s">
        <v>343</v>
      </c>
      <c r="J538" s="5">
        <v>917</v>
      </c>
      <c r="K538" s="5">
        <v>21.1</v>
      </c>
      <c r="L538" s="7">
        <f t="shared" si="48"/>
        <v>43.459715639810426</v>
      </c>
      <c r="M538" s="5" t="s">
        <v>10</v>
      </c>
      <c r="N538" s="5">
        <v>4</v>
      </c>
      <c r="O538" s="6">
        <f t="shared" si="49"/>
        <v>1.0824880576020304</v>
      </c>
      <c r="P538" s="6">
        <f t="shared" si="50"/>
        <v>0.11257875799061115</v>
      </c>
      <c r="Q538" s="10">
        <f t="shared" si="51"/>
        <v>2.3453907914710655E-3</v>
      </c>
      <c r="R538" s="10">
        <f t="shared" si="52"/>
        <v>1.6873860704511252E-2</v>
      </c>
      <c r="S538" s="10">
        <f t="shared" si="53"/>
        <v>1.9219251495982317E-2</v>
      </c>
    </row>
    <row r="539" spans="1:19" x14ac:dyDescent="0.25">
      <c r="A539" s="5" t="s">
        <v>8</v>
      </c>
      <c r="B539" s="5" t="s">
        <v>161</v>
      </c>
      <c r="C539" s="5" t="s">
        <v>27</v>
      </c>
      <c r="D539" s="5" t="s">
        <v>385</v>
      </c>
      <c r="E539" s="5" t="s">
        <v>384</v>
      </c>
      <c r="F539" s="5" t="s">
        <v>45</v>
      </c>
      <c r="G539" s="5" t="s">
        <v>390</v>
      </c>
      <c r="H539" s="5" t="s">
        <v>46</v>
      </c>
      <c r="I539" s="5" t="s">
        <v>163</v>
      </c>
      <c r="J539" s="5">
        <v>1320</v>
      </c>
      <c r="K539" s="5">
        <v>31</v>
      </c>
      <c r="L539" s="7">
        <f t="shared" si="48"/>
        <v>42.58064516129032</v>
      </c>
      <c r="M539" s="5" t="s">
        <v>10</v>
      </c>
      <c r="N539" s="5">
        <v>4</v>
      </c>
      <c r="O539" s="6">
        <f t="shared" si="49"/>
        <v>1.4958168574401665</v>
      </c>
      <c r="P539" s="6">
        <f t="shared" si="50"/>
        <v>0.1555649531737773</v>
      </c>
      <c r="Q539" s="10">
        <f t="shared" si="51"/>
        <v>3.2409365244536938E-3</v>
      </c>
      <c r="R539" s="10">
        <f t="shared" si="52"/>
        <v>2.1505816795006499E-2</v>
      </c>
      <c r="S539" s="10">
        <f t="shared" si="53"/>
        <v>2.4746753319460191E-2</v>
      </c>
    </row>
    <row r="540" spans="1:19" x14ac:dyDescent="0.25">
      <c r="A540" s="5" t="s">
        <v>22</v>
      </c>
      <c r="B540" s="5" t="s">
        <v>63</v>
      </c>
      <c r="C540" s="5" t="s">
        <v>27</v>
      </c>
      <c r="D540" s="5" t="s">
        <v>385</v>
      </c>
      <c r="E540" s="5" t="s">
        <v>384</v>
      </c>
      <c r="F540" s="5" t="s">
        <v>45</v>
      </c>
      <c r="G540" s="5" t="s">
        <v>390</v>
      </c>
      <c r="H540" s="5" t="s">
        <v>72</v>
      </c>
      <c r="I540" s="5" t="s">
        <v>73</v>
      </c>
      <c r="J540" s="5">
        <v>1100</v>
      </c>
      <c r="K540" s="5">
        <v>29</v>
      </c>
      <c r="L540" s="7">
        <f t="shared" si="48"/>
        <v>37.931034482758619</v>
      </c>
      <c r="M540" s="5" t="s">
        <v>10</v>
      </c>
      <c r="N540" s="5">
        <v>4</v>
      </c>
      <c r="O540" s="6">
        <f t="shared" si="49"/>
        <v>0.9891498216409037</v>
      </c>
      <c r="P540" s="6">
        <f t="shared" si="50"/>
        <v>0.10287158145065398</v>
      </c>
      <c r="Q540" s="10">
        <f t="shared" si="51"/>
        <v>2.1431579468886245E-3</v>
      </c>
      <c r="R540" s="10">
        <f t="shared" si="52"/>
        <v>1.5770435338965008E-2</v>
      </c>
      <c r="S540" s="10">
        <f t="shared" si="53"/>
        <v>1.7913593285853631E-2</v>
      </c>
    </row>
    <row r="541" spans="1:19" x14ac:dyDescent="0.25">
      <c r="A541" s="5" t="s">
        <v>22</v>
      </c>
      <c r="B541" s="5" t="s">
        <v>63</v>
      </c>
      <c r="C541" s="5" t="s">
        <v>27</v>
      </c>
      <c r="D541" s="5" t="s">
        <v>385</v>
      </c>
      <c r="E541" s="5" t="s">
        <v>384</v>
      </c>
      <c r="F541" s="5" t="s">
        <v>45</v>
      </c>
      <c r="G541" s="5" t="s">
        <v>390</v>
      </c>
      <c r="H541" s="5" t="s">
        <v>77</v>
      </c>
      <c r="I541" s="5" t="s">
        <v>78</v>
      </c>
      <c r="J541" s="5">
        <v>750</v>
      </c>
      <c r="K541" s="5">
        <v>25.5</v>
      </c>
      <c r="L541" s="7">
        <f t="shared" si="48"/>
        <v>29.411764705882351</v>
      </c>
      <c r="M541" s="5" t="s">
        <v>10</v>
      </c>
      <c r="N541" s="5">
        <v>4</v>
      </c>
      <c r="O541" s="6">
        <f t="shared" si="49"/>
        <v>0.40549307958477504</v>
      </c>
      <c r="P541" s="6">
        <f t="shared" si="50"/>
        <v>4.2171280276816603E-2</v>
      </c>
      <c r="Q541" s="10">
        <f t="shared" si="51"/>
        <v>8.7856833910034593E-4</v>
      </c>
      <c r="R541" s="10">
        <f t="shared" si="52"/>
        <v>8.0795041676919276E-3</v>
      </c>
      <c r="S541" s="10">
        <f t="shared" si="53"/>
        <v>8.958072506792274E-3</v>
      </c>
    </row>
    <row r="542" spans="1:19" x14ac:dyDescent="0.25">
      <c r="A542" s="5" t="s">
        <v>8</v>
      </c>
      <c r="B542" s="5" t="s">
        <v>296</v>
      </c>
      <c r="C542" s="5" t="s">
        <v>27</v>
      </c>
      <c r="D542" s="5" t="s">
        <v>385</v>
      </c>
      <c r="E542" s="5" t="s">
        <v>384</v>
      </c>
      <c r="F542" s="5" t="s">
        <v>45</v>
      </c>
      <c r="G542" s="5" t="s">
        <v>390</v>
      </c>
      <c r="H542" s="5" t="s">
        <v>77</v>
      </c>
      <c r="I542" s="5" t="s">
        <v>297</v>
      </c>
      <c r="J542" s="5">
        <v>740</v>
      </c>
      <c r="K542" s="5">
        <v>26</v>
      </c>
      <c r="L542" s="7">
        <f t="shared" si="48"/>
        <v>28.46153846153846</v>
      </c>
      <c r="M542" s="5" t="s">
        <v>10</v>
      </c>
      <c r="N542" s="5">
        <v>4</v>
      </c>
      <c r="O542" s="6">
        <f t="shared" si="49"/>
        <v>0.37465236686390524</v>
      </c>
      <c r="P542" s="6">
        <f t="shared" si="50"/>
        <v>3.8963846153846148E-2</v>
      </c>
      <c r="Q542" s="10">
        <f t="shared" si="51"/>
        <v>8.117467948717946E-4</v>
      </c>
      <c r="R542" s="10">
        <f t="shared" si="52"/>
        <v>7.6140983946227968E-3</v>
      </c>
      <c r="S542" s="10">
        <f t="shared" si="53"/>
        <v>8.4258451894945914E-3</v>
      </c>
    </row>
    <row r="543" spans="1:19" x14ac:dyDescent="0.25">
      <c r="A543" s="5" t="s">
        <v>8</v>
      </c>
      <c r="B543" s="5" t="s">
        <v>322</v>
      </c>
      <c r="C543" s="5" t="s">
        <v>27</v>
      </c>
      <c r="D543" s="5" t="s">
        <v>385</v>
      </c>
      <c r="E543" s="5" t="s">
        <v>384</v>
      </c>
      <c r="F543" s="5" t="s">
        <v>45</v>
      </c>
      <c r="G543" s="5" t="s">
        <v>390</v>
      </c>
      <c r="H543" s="5" t="s">
        <v>77</v>
      </c>
      <c r="I543" s="5" t="s">
        <v>324</v>
      </c>
      <c r="J543" s="5">
        <v>1100</v>
      </c>
      <c r="K543" s="5">
        <v>37</v>
      </c>
      <c r="L543" s="7">
        <f t="shared" si="48"/>
        <v>29.72972972972973</v>
      </c>
      <c r="M543" s="5" t="s">
        <v>10</v>
      </c>
      <c r="N543" s="5">
        <v>4</v>
      </c>
      <c r="O543" s="6">
        <f t="shared" si="49"/>
        <v>0.60765157048940832</v>
      </c>
      <c r="P543" s="6">
        <f t="shared" si="50"/>
        <v>6.3195763330898463E-2</v>
      </c>
      <c r="Q543" s="10">
        <f t="shared" si="51"/>
        <v>1.3165784027270512E-3</v>
      </c>
      <c r="R543" s="10">
        <f t="shared" si="52"/>
        <v>1.0943042674342459E-2</v>
      </c>
      <c r="S543" s="10">
        <f t="shared" si="53"/>
        <v>1.2259621077069511E-2</v>
      </c>
    </row>
    <row r="544" spans="1:19" x14ac:dyDescent="0.25">
      <c r="A544" s="5" t="s">
        <v>8</v>
      </c>
      <c r="B544" s="5" t="s">
        <v>322</v>
      </c>
      <c r="C544" s="5" t="s">
        <v>27</v>
      </c>
      <c r="D544" s="5" t="s">
        <v>385</v>
      </c>
      <c r="E544" s="5" t="s">
        <v>384</v>
      </c>
      <c r="F544" s="5" t="s">
        <v>45</v>
      </c>
      <c r="G544" s="5" t="s">
        <v>390</v>
      </c>
      <c r="H544" s="5" t="s">
        <v>77</v>
      </c>
      <c r="I544" s="5" t="s">
        <v>71</v>
      </c>
      <c r="J544" s="5">
        <v>1000</v>
      </c>
      <c r="K544" s="5">
        <v>34</v>
      </c>
      <c r="L544" s="7">
        <f t="shared" si="48"/>
        <v>29.411764705882351</v>
      </c>
      <c r="M544" s="5" t="s">
        <v>10</v>
      </c>
      <c r="N544" s="5">
        <v>4</v>
      </c>
      <c r="O544" s="6">
        <f t="shared" si="49"/>
        <v>0.54065743944636668</v>
      </c>
      <c r="P544" s="6">
        <f t="shared" si="50"/>
        <v>5.6228373702422139E-2</v>
      </c>
      <c r="Q544" s="10">
        <f t="shared" si="51"/>
        <v>1.1714244521337945E-3</v>
      </c>
      <c r="R544" s="10">
        <f t="shared" si="52"/>
        <v>1.0025101116786362E-2</v>
      </c>
      <c r="S544" s="10">
        <f t="shared" si="53"/>
        <v>1.1196525568920156E-2</v>
      </c>
    </row>
    <row r="545" spans="1:19" x14ac:dyDescent="0.25">
      <c r="A545" s="5" t="s">
        <v>22</v>
      </c>
      <c r="B545" s="5" t="s">
        <v>63</v>
      </c>
      <c r="C545" s="5" t="s">
        <v>27</v>
      </c>
      <c r="D545" s="5" t="s">
        <v>385</v>
      </c>
      <c r="E545" s="5" t="s">
        <v>384</v>
      </c>
      <c r="F545" s="5" t="s">
        <v>45</v>
      </c>
      <c r="G545" s="5" t="s">
        <v>390</v>
      </c>
      <c r="H545" s="5" t="s">
        <v>74</v>
      </c>
      <c r="I545" s="5" t="s">
        <v>24</v>
      </c>
      <c r="J545" s="5">
        <v>1000</v>
      </c>
      <c r="K545" s="5">
        <v>30</v>
      </c>
      <c r="L545" s="7">
        <f t="shared" si="48"/>
        <v>33.333333333333336</v>
      </c>
      <c r="M545" s="5" t="s">
        <v>10</v>
      </c>
      <c r="N545" s="5">
        <v>4</v>
      </c>
      <c r="O545" s="6">
        <f t="shared" si="49"/>
        <v>0.69444444444444453</v>
      </c>
      <c r="P545" s="6">
        <f t="shared" si="50"/>
        <v>7.2222222222222229E-2</v>
      </c>
      <c r="Q545" s="10">
        <f t="shared" si="51"/>
        <v>1.5046296296296298E-3</v>
      </c>
      <c r="R545" s="10">
        <f t="shared" si="52"/>
        <v>1.2095539811572421E-2</v>
      </c>
      <c r="S545" s="10">
        <f t="shared" si="53"/>
        <v>1.3600169441202051E-2</v>
      </c>
    </row>
    <row r="546" spans="1:19" x14ac:dyDescent="0.25">
      <c r="A546" s="5" t="s">
        <v>22</v>
      </c>
      <c r="B546" s="5" t="s">
        <v>63</v>
      </c>
      <c r="C546" s="5" t="s">
        <v>27</v>
      </c>
      <c r="D546" s="5" t="s">
        <v>385</v>
      </c>
      <c r="E546" s="5" t="s">
        <v>384</v>
      </c>
      <c r="F546" s="5" t="s">
        <v>45</v>
      </c>
      <c r="G546" s="5" t="s">
        <v>390</v>
      </c>
      <c r="H546" s="5" t="s">
        <v>74</v>
      </c>
      <c r="I546" s="5" t="s">
        <v>24</v>
      </c>
      <c r="J546" s="5">
        <v>1200</v>
      </c>
      <c r="K546" s="5">
        <v>33</v>
      </c>
      <c r="L546" s="7">
        <f t="shared" si="48"/>
        <v>36.363636363636367</v>
      </c>
      <c r="M546" s="5" t="s">
        <v>9</v>
      </c>
      <c r="N546" s="5">
        <v>4</v>
      </c>
      <c r="O546" s="6">
        <f t="shared" si="49"/>
        <v>0.99173553719008278</v>
      </c>
      <c r="P546" s="6">
        <f t="shared" si="50"/>
        <v>0.10314049586776862</v>
      </c>
      <c r="Q546" s="10">
        <f t="shared" si="51"/>
        <v>2.1487603305785125E-3</v>
      </c>
      <c r="R546" s="10">
        <f t="shared" si="52"/>
        <v>1.5801344117068697E-2</v>
      </c>
      <c r="S546" s="10">
        <f t="shared" si="53"/>
        <v>1.7950104447647209E-2</v>
      </c>
    </row>
    <row r="547" spans="1:19" x14ac:dyDescent="0.25">
      <c r="A547" s="5" t="s">
        <v>8</v>
      </c>
      <c r="B547" s="5" t="s">
        <v>264</v>
      </c>
      <c r="C547" s="5" t="s">
        <v>27</v>
      </c>
      <c r="D547" s="5" t="s">
        <v>385</v>
      </c>
      <c r="E547" s="5" t="s">
        <v>384</v>
      </c>
      <c r="F547" s="5" t="s">
        <v>45</v>
      </c>
      <c r="G547" s="5" t="s">
        <v>383</v>
      </c>
      <c r="H547" s="5" t="s">
        <v>89</v>
      </c>
      <c r="I547" s="5" t="s">
        <v>266</v>
      </c>
      <c r="J547" s="5">
        <v>1120</v>
      </c>
      <c r="K547" s="5">
        <v>29.2</v>
      </c>
      <c r="L547" s="7">
        <f t="shared" si="48"/>
        <v>38.356164383561648</v>
      </c>
      <c r="M547" s="5" t="s">
        <v>10</v>
      </c>
      <c r="N547" s="5">
        <v>4</v>
      </c>
      <c r="O547" s="6">
        <f t="shared" si="49"/>
        <v>1.029836742353162</v>
      </c>
      <c r="P547" s="6">
        <f t="shared" si="50"/>
        <v>0.10710302120472885</v>
      </c>
      <c r="Q547" s="10">
        <f t="shared" si="51"/>
        <v>2.2313129417651846E-3</v>
      </c>
      <c r="R547" s="10">
        <f t="shared" si="52"/>
        <v>1.6254492377313225E-2</v>
      </c>
      <c r="S547" s="10">
        <f t="shared" si="53"/>
        <v>1.8485805319078411E-2</v>
      </c>
    </row>
    <row r="548" spans="1:19" x14ac:dyDescent="0.25">
      <c r="A548" s="5" t="s">
        <v>8</v>
      </c>
      <c r="B548" s="5" t="s">
        <v>358</v>
      </c>
      <c r="C548" s="5" t="s">
        <v>27</v>
      </c>
      <c r="D548" s="5" t="s">
        <v>385</v>
      </c>
      <c r="E548" s="5" t="s">
        <v>384</v>
      </c>
      <c r="F548" s="5" t="s">
        <v>45</v>
      </c>
      <c r="G548" s="5" t="s">
        <v>383</v>
      </c>
      <c r="H548" s="5" t="s">
        <v>89</v>
      </c>
      <c r="I548" s="5" t="s">
        <v>267</v>
      </c>
      <c r="J548" s="5">
        <v>1425</v>
      </c>
      <c r="K548" s="5">
        <v>33.5</v>
      </c>
      <c r="L548" s="7">
        <f t="shared" si="48"/>
        <v>42.537313432835823</v>
      </c>
      <c r="M548" s="5" t="s">
        <v>10</v>
      </c>
      <c r="N548" s="5">
        <v>4</v>
      </c>
      <c r="O548" s="6">
        <f t="shared" si="49"/>
        <v>1.6115173897304527</v>
      </c>
      <c r="P548" s="6">
        <f t="shared" si="50"/>
        <v>0.16759780853196707</v>
      </c>
      <c r="Q548" s="10">
        <f t="shared" si="51"/>
        <v>3.4916210110826473E-3</v>
      </c>
      <c r="R548" s="10">
        <f t="shared" si="52"/>
        <v>2.2741723321392279E-2</v>
      </c>
      <c r="S548" s="10">
        <f t="shared" si="53"/>
        <v>2.6233344332474928E-2</v>
      </c>
    </row>
    <row r="549" spans="1:19" x14ac:dyDescent="0.25">
      <c r="A549" s="5" t="s">
        <v>8</v>
      </c>
      <c r="B549" s="5" t="s">
        <v>264</v>
      </c>
      <c r="C549" s="5" t="s">
        <v>27</v>
      </c>
      <c r="D549" s="5" t="s">
        <v>385</v>
      </c>
      <c r="E549" s="5" t="s">
        <v>384</v>
      </c>
      <c r="F549" s="5" t="s">
        <v>45</v>
      </c>
      <c r="G549" s="5" t="s">
        <v>383</v>
      </c>
      <c r="H549" s="5" t="s">
        <v>89</v>
      </c>
      <c r="I549" s="5" t="s">
        <v>267</v>
      </c>
      <c r="J549" s="5">
        <v>1300</v>
      </c>
      <c r="K549" s="5">
        <v>33.5</v>
      </c>
      <c r="L549" s="7">
        <f t="shared" si="48"/>
        <v>38.805970149253731</v>
      </c>
      <c r="M549" s="5" t="s">
        <v>10</v>
      </c>
      <c r="N549" s="5">
        <v>4</v>
      </c>
      <c r="O549" s="6">
        <f t="shared" si="49"/>
        <v>1.2235464468701269</v>
      </c>
      <c r="P549" s="6">
        <f t="shared" si="50"/>
        <v>0.1272488304744932</v>
      </c>
      <c r="Q549" s="10">
        <f t="shared" si="51"/>
        <v>2.6510173015519417E-3</v>
      </c>
      <c r="R549" s="10">
        <f t="shared" si="52"/>
        <v>1.8497475870327421E-2</v>
      </c>
      <c r="S549" s="10">
        <f t="shared" si="53"/>
        <v>2.1148493171879362E-2</v>
      </c>
    </row>
    <row r="550" spans="1:19" x14ac:dyDescent="0.25">
      <c r="A550" s="5" t="s">
        <v>22</v>
      </c>
      <c r="B550" s="5" t="s">
        <v>63</v>
      </c>
      <c r="C550" s="5" t="s">
        <v>27</v>
      </c>
      <c r="D550" s="5" t="s">
        <v>385</v>
      </c>
      <c r="E550" s="5" t="s">
        <v>384</v>
      </c>
      <c r="F550" s="5" t="s">
        <v>45</v>
      </c>
      <c r="G550" s="5" t="s">
        <v>383</v>
      </c>
      <c r="H550" s="5" t="s">
        <v>89</v>
      </c>
      <c r="I550" s="5" t="s">
        <v>90</v>
      </c>
      <c r="J550" s="5">
        <v>840</v>
      </c>
      <c r="K550" s="5">
        <v>21.5</v>
      </c>
      <c r="L550" s="7">
        <f t="shared" si="48"/>
        <v>39.069767441860463</v>
      </c>
      <c r="M550" s="5" t="s">
        <v>10</v>
      </c>
      <c r="N550" s="5">
        <v>4</v>
      </c>
      <c r="O550" s="6">
        <f t="shared" si="49"/>
        <v>0.80138453217955641</v>
      </c>
      <c r="P550" s="6">
        <f t="shared" si="50"/>
        <v>8.3343991346673862E-2</v>
      </c>
      <c r="Q550" s="10">
        <f t="shared" si="51"/>
        <v>1.7363331530557055E-3</v>
      </c>
      <c r="R550" s="10">
        <f t="shared" si="52"/>
        <v>1.3467216474127932E-2</v>
      </c>
      <c r="S550" s="10">
        <f t="shared" si="53"/>
        <v>1.5203549627183637E-2</v>
      </c>
    </row>
    <row r="551" spans="1:19" x14ac:dyDescent="0.25">
      <c r="A551" s="5" t="s">
        <v>8</v>
      </c>
      <c r="B551" s="5" t="s">
        <v>359</v>
      </c>
      <c r="C551" s="5" t="s">
        <v>27</v>
      </c>
      <c r="D551" s="5" t="s">
        <v>385</v>
      </c>
      <c r="E551" s="5" t="s">
        <v>384</v>
      </c>
      <c r="F551" s="5" t="s">
        <v>45</v>
      </c>
      <c r="G551" s="5" t="s">
        <v>383</v>
      </c>
      <c r="H551" s="5" t="s">
        <v>89</v>
      </c>
      <c r="I551" s="5" t="s">
        <v>90</v>
      </c>
      <c r="J551" s="5">
        <v>840</v>
      </c>
      <c r="K551" s="5">
        <v>21.5</v>
      </c>
      <c r="L551" s="7">
        <f t="shared" si="48"/>
        <v>39.069767441860463</v>
      </c>
      <c r="M551" s="5" t="s">
        <v>10</v>
      </c>
      <c r="N551" s="5">
        <v>4</v>
      </c>
      <c r="O551" s="6">
        <f t="shared" si="49"/>
        <v>0.80138453217955641</v>
      </c>
      <c r="P551" s="6">
        <f t="shared" si="50"/>
        <v>8.3343991346673862E-2</v>
      </c>
      <c r="Q551" s="10">
        <f t="shared" si="51"/>
        <v>1.7363331530557055E-3</v>
      </c>
      <c r="R551" s="10">
        <f t="shared" si="52"/>
        <v>1.3467216474127932E-2</v>
      </c>
      <c r="S551" s="10">
        <f t="shared" si="53"/>
        <v>1.5203549627183637E-2</v>
      </c>
    </row>
    <row r="552" spans="1:19" x14ac:dyDescent="0.25">
      <c r="A552" s="5" t="s">
        <v>8</v>
      </c>
      <c r="B552" s="5" t="s">
        <v>360</v>
      </c>
      <c r="C552" s="5" t="s">
        <v>27</v>
      </c>
      <c r="D552" s="5" t="s">
        <v>385</v>
      </c>
      <c r="E552" s="5" t="s">
        <v>384</v>
      </c>
      <c r="F552" s="5" t="s">
        <v>45</v>
      </c>
      <c r="G552" s="5" t="s">
        <v>383</v>
      </c>
      <c r="H552" s="5" t="s">
        <v>89</v>
      </c>
      <c r="I552" s="5" t="s">
        <v>90</v>
      </c>
      <c r="J552" s="5">
        <v>1190</v>
      </c>
      <c r="K552" s="5">
        <v>22.5</v>
      </c>
      <c r="L552" s="7">
        <f t="shared" si="48"/>
        <v>52.888888888888886</v>
      </c>
      <c r="M552" s="5" t="s">
        <v>10</v>
      </c>
      <c r="N552" s="5">
        <v>4</v>
      </c>
      <c r="O552" s="6">
        <f t="shared" si="49"/>
        <v>2.0804432098765431</v>
      </c>
      <c r="P552" s="6">
        <f t="shared" si="50"/>
        <v>0.21636609382716043</v>
      </c>
      <c r="Q552" s="10">
        <f t="shared" si="51"/>
        <v>4.5076269547325099E-3</v>
      </c>
      <c r="R552" s="10">
        <f t="shared" si="52"/>
        <v>2.7543176383485118E-2</v>
      </c>
      <c r="S552" s="10">
        <f t="shared" si="53"/>
        <v>3.205080333821763E-2</v>
      </c>
    </row>
    <row r="553" spans="1:19" x14ac:dyDescent="0.25">
      <c r="A553" s="5" t="s">
        <v>8</v>
      </c>
      <c r="B553" s="5" t="s">
        <v>264</v>
      </c>
      <c r="C553" s="5" t="s">
        <v>27</v>
      </c>
      <c r="D553" s="5" t="s">
        <v>385</v>
      </c>
      <c r="E553" s="5" t="s">
        <v>384</v>
      </c>
      <c r="F553" s="5" t="s">
        <v>45</v>
      </c>
      <c r="G553" s="5" t="s">
        <v>383</v>
      </c>
      <c r="H553" s="5" t="s">
        <v>89</v>
      </c>
      <c r="I553" s="5" t="s">
        <v>90</v>
      </c>
      <c r="J553" s="5">
        <v>1000</v>
      </c>
      <c r="K553" s="5">
        <v>22</v>
      </c>
      <c r="L553" s="7">
        <f t="shared" si="48"/>
        <v>45.454545454545453</v>
      </c>
      <c r="M553" s="5" t="s">
        <v>10</v>
      </c>
      <c r="N553" s="5">
        <v>4</v>
      </c>
      <c r="O553" s="6">
        <f t="shared" si="49"/>
        <v>1.2913223140495866</v>
      </c>
      <c r="P553" s="6">
        <f t="shared" si="50"/>
        <v>0.13429752066115702</v>
      </c>
      <c r="Q553" s="10">
        <f t="shared" si="51"/>
        <v>2.7978650137741039E-3</v>
      </c>
      <c r="R553" s="10">
        <f t="shared" si="52"/>
        <v>1.9260746534398895E-2</v>
      </c>
      <c r="S553" s="10">
        <f t="shared" si="53"/>
        <v>2.2058611548172999E-2</v>
      </c>
    </row>
    <row r="554" spans="1:19" x14ac:dyDescent="0.25">
      <c r="A554" s="5" t="s">
        <v>8</v>
      </c>
      <c r="B554" s="5" t="s">
        <v>264</v>
      </c>
      <c r="C554" s="5" t="s">
        <v>27</v>
      </c>
      <c r="D554" s="5" t="s">
        <v>385</v>
      </c>
      <c r="E554" s="5" t="s">
        <v>384</v>
      </c>
      <c r="F554" s="5" t="s">
        <v>45</v>
      </c>
      <c r="G554" s="5" t="s">
        <v>383</v>
      </c>
      <c r="H554" s="5" t="s">
        <v>89</v>
      </c>
      <c r="I554" s="5" t="s">
        <v>265</v>
      </c>
      <c r="J554" s="5">
        <v>1000</v>
      </c>
      <c r="K554" s="5">
        <v>25</v>
      </c>
      <c r="L554" s="7">
        <f t="shared" si="48"/>
        <v>40</v>
      </c>
      <c r="M554" s="5" t="s">
        <v>10</v>
      </c>
      <c r="N554" s="5">
        <v>4</v>
      </c>
      <c r="O554" s="6">
        <f t="shared" si="49"/>
        <v>1</v>
      </c>
      <c r="P554" s="6">
        <f t="shared" si="50"/>
        <v>0.104</v>
      </c>
      <c r="Q554" s="10">
        <f t="shared" si="51"/>
        <v>2.1666666666666666E-3</v>
      </c>
      <c r="R554" s="10">
        <f t="shared" si="52"/>
        <v>1.5900000000000001E-2</v>
      </c>
      <c r="S554" s="10">
        <f t="shared" si="53"/>
        <v>1.8066666666666668E-2</v>
      </c>
    </row>
    <row r="555" spans="1:19" x14ac:dyDescent="0.25">
      <c r="A555" s="5" t="s">
        <v>8</v>
      </c>
      <c r="B555" s="5" t="s">
        <v>264</v>
      </c>
      <c r="C555" s="5" t="s">
        <v>27</v>
      </c>
      <c r="D555" s="5" t="s">
        <v>385</v>
      </c>
      <c r="E555" s="5" t="s">
        <v>384</v>
      </c>
      <c r="F555" s="5" t="s">
        <v>45</v>
      </c>
      <c r="G555" s="5" t="s">
        <v>383</v>
      </c>
      <c r="H555" s="5" t="s">
        <v>89</v>
      </c>
      <c r="I555" s="5" t="s">
        <v>268</v>
      </c>
      <c r="J555" s="5">
        <v>1300</v>
      </c>
      <c r="K555" s="5">
        <v>27.5</v>
      </c>
      <c r="L555" s="7">
        <f t="shared" si="48"/>
        <v>47.272727272727273</v>
      </c>
      <c r="M555" s="5" t="s">
        <v>10</v>
      </c>
      <c r="N555" s="5">
        <v>4</v>
      </c>
      <c r="O555" s="6">
        <f t="shared" si="49"/>
        <v>1.815702479338843</v>
      </c>
      <c r="P555" s="6">
        <f t="shared" si="50"/>
        <v>0.18883305785123963</v>
      </c>
      <c r="Q555" s="10">
        <f t="shared" si="51"/>
        <v>3.9340220385674926E-3</v>
      </c>
      <c r="R555" s="10">
        <f t="shared" si="52"/>
        <v>2.4870277967481078E-2</v>
      </c>
      <c r="S555" s="10">
        <f t="shared" si="53"/>
        <v>2.8804300006048569E-2</v>
      </c>
    </row>
    <row r="556" spans="1:19" x14ac:dyDescent="0.25">
      <c r="A556" s="5" t="s">
        <v>8</v>
      </c>
      <c r="B556" s="5" t="s">
        <v>358</v>
      </c>
      <c r="C556" s="5" t="s">
        <v>27</v>
      </c>
      <c r="D556" s="5" t="s">
        <v>385</v>
      </c>
      <c r="E556" s="5" t="s">
        <v>384</v>
      </c>
      <c r="F556" s="5" t="s">
        <v>45</v>
      </c>
      <c r="G556" s="5" t="s">
        <v>383</v>
      </c>
      <c r="H556" s="5" t="s">
        <v>89</v>
      </c>
      <c r="I556" s="5" t="s">
        <v>269</v>
      </c>
      <c r="J556" s="5">
        <v>1150</v>
      </c>
      <c r="K556" s="5">
        <v>25.8</v>
      </c>
      <c r="L556" s="7">
        <f t="shared" si="48"/>
        <v>44.573643410852711</v>
      </c>
      <c r="M556" s="5" t="s">
        <v>10</v>
      </c>
      <c r="N556" s="5">
        <v>4</v>
      </c>
      <c r="O556" s="6">
        <f t="shared" si="49"/>
        <v>1.4280194624722071</v>
      </c>
      <c r="P556" s="6">
        <f t="shared" si="50"/>
        <v>0.14851402409710951</v>
      </c>
      <c r="Q556" s="10">
        <f t="shared" si="51"/>
        <v>3.0940421686897822E-3</v>
      </c>
      <c r="R556" s="10">
        <f t="shared" si="52"/>
        <v>2.0770536726440858E-2</v>
      </c>
      <c r="S556" s="10">
        <f t="shared" si="53"/>
        <v>2.3864578895130641E-2</v>
      </c>
    </row>
    <row r="557" spans="1:19" x14ac:dyDescent="0.25">
      <c r="A557" s="5" t="s">
        <v>8</v>
      </c>
      <c r="B557" s="5" t="s">
        <v>264</v>
      </c>
      <c r="C557" s="5" t="s">
        <v>27</v>
      </c>
      <c r="D557" s="5" t="s">
        <v>385</v>
      </c>
      <c r="E557" s="5" t="s">
        <v>384</v>
      </c>
      <c r="F557" s="5" t="s">
        <v>45</v>
      </c>
      <c r="G557" s="5" t="s">
        <v>383</v>
      </c>
      <c r="H557" s="5" t="s">
        <v>89</v>
      </c>
      <c r="I557" s="5" t="s">
        <v>269</v>
      </c>
      <c r="J557" s="5">
        <v>1060</v>
      </c>
      <c r="K557" s="5">
        <v>23.5</v>
      </c>
      <c r="L557" s="7">
        <f t="shared" si="48"/>
        <v>45.106382978723403</v>
      </c>
      <c r="M557" s="5" t="s">
        <v>10</v>
      </c>
      <c r="N557" s="5">
        <v>4</v>
      </c>
      <c r="O557" s="6">
        <f t="shared" si="49"/>
        <v>1.3479130828429153</v>
      </c>
      <c r="P557" s="6">
        <f t="shared" si="50"/>
        <v>0.14018296061566318</v>
      </c>
      <c r="Q557" s="10">
        <f t="shared" si="51"/>
        <v>2.9204783461596498E-3</v>
      </c>
      <c r="R557" s="10">
        <f t="shared" si="52"/>
        <v>1.9890401090197855E-2</v>
      </c>
      <c r="S557" s="10">
        <f t="shared" si="53"/>
        <v>2.2810879436357505E-2</v>
      </c>
    </row>
    <row r="558" spans="1:19" x14ac:dyDescent="0.25">
      <c r="A558" s="5" t="s">
        <v>8</v>
      </c>
      <c r="B558" s="5" t="s">
        <v>312</v>
      </c>
      <c r="C558" s="5" t="s">
        <v>27</v>
      </c>
      <c r="D558" s="5" t="s">
        <v>385</v>
      </c>
      <c r="E558" s="5" t="s">
        <v>384</v>
      </c>
      <c r="F558" s="5" t="s">
        <v>45</v>
      </c>
      <c r="G558" s="5" t="s">
        <v>383</v>
      </c>
      <c r="H558" s="5" t="s">
        <v>89</v>
      </c>
      <c r="I558" s="5" t="s">
        <v>269</v>
      </c>
      <c r="J558" s="5">
        <v>1040</v>
      </c>
      <c r="K558" s="5">
        <v>22</v>
      </c>
      <c r="L558" s="7">
        <f t="shared" si="48"/>
        <v>47.272727272727273</v>
      </c>
      <c r="M558" s="5" t="s">
        <v>10</v>
      </c>
      <c r="N558" s="5">
        <v>4</v>
      </c>
      <c r="O558" s="6">
        <f t="shared" si="49"/>
        <v>1.4525619834710741</v>
      </c>
      <c r="P558" s="6">
        <f t="shared" si="50"/>
        <v>0.15106644628099172</v>
      </c>
      <c r="Q558" s="10">
        <f t="shared" si="51"/>
        <v>3.1472176308539935E-3</v>
      </c>
      <c r="R558" s="10">
        <f t="shared" si="52"/>
        <v>2.1037693789274791E-2</v>
      </c>
      <c r="S558" s="10">
        <f t="shared" si="53"/>
        <v>2.4184911420128786E-2</v>
      </c>
    </row>
    <row r="559" spans="1:19" x14ac:dyDescent="0.25">
      <c r="A559" s="5" t="s">
        <v>8</v>
      </c>
      <c r="B559" s="5" t="s">
        <v>312</v>
      </c>
      <c r="C559" s="5" t="s">
        <v>27</v>
      </c>
      <c r="D559" s="5" t="s">
        <v>385</v>
      </c>
      <c r="E559" s="5" t="s">
        <v>384</v>
      </c>
      <c r="F559" s="5" t="s">
        <v>45</v>
      </c>
      <c r="G559" s="5" t="s">
        <v>383</v>
      </c>
      <c r="H559" s="5" t="s">
        <v>89</v>
      </c>
      <c r="I559" s="5" t="s">
        <v>269</v>
      </c>
      <c r="J559" s="5">
        <v>1215</v>
      </c>
      <c r="K559" s="5">
        <v>26.3</v>
      </c>
      <c r="L559" s="7">
        <f t="shared" si="48"/>
        <v>46.197718631178709</v>
      </c>
      <c r="M559" s="5" t="s">
        <v>10</v>
      </c>
      <c r="N559" s="5">
        <v>4</v>
      </c>
      <c r="O559" s="6">
        <f t="shared" si="49"/>
        <v>1.6206803038572197</v>
      </c>
      <c r="P559" s="6">
        <f t="shared" si="50"/>
        <v>0.16855075160115085</v>
      </c>
      <c r="Q559" s="10">
        <f t="shared" si="51"/>
        <v>3.5114739916906426E-3</v>
      </c>
      <c r="R559" s="10">
        <f t="shared" si="52"/>
        <v>2.2838634796892455E-2</v>
      </c>
      <c r="S559" s="10">
        <f t="shared" si="53"/>
        <v>2.6350108788583099E-2</v>
      </c>
    </row>
    <row r="560" spans="1:19" x14ac:dyDescent="0.25">
      <c r="A560" s="5" t="s">
        <v>8</v>
      </c>
      <c r="B560" s="5" t="s">
        <v>264</v>
      </c>
      <c r="C560" s="5" t="s">
        <v>27</v>
      </c>
      <c r="D560" s="5" t="s">
        <v>385</v>
      </c>
      <c r="E560" s="5" t="s">
        <v>384</v>
      </c>
      <c r="F560" s="5" t="s">
        <v>45</v>
      </c>
      <c r="G560" s="5" t="s">
        <v>383</v>
      </c>
      <c r="H560" s="5" t="s">
        <v>89</v>
      </c>
      <c r="I560" s="5" t="s">
        <v>130</v>
      </c>
      <c r="J560" s="5">
        <v>1385</v>
      </c>
      <c r="K560" s="5">
        <v>26.4</v>
      </c>
      <c r="L560" s="7">
        <f t="shared" si="48"/>
        <v>52.462121212121218</v>
      </c>
      <c r="M560" s="5" t="s">
        <v>10</v>
      </c>
      <c r="N560" s="5">
        <v>4</v>
      </c>
      <c r="O560" s="6">
        <f t="shared" si="49"/>
        <v>2.3824373215464307</v>
      </c>
      <c r="P560" s="6">
        <f t="shared" si="50"/>
        <v>0.24777348144082881</v>
      </c>
      <c r="Q560" s="10">
        <f t="shared" si="51"/>
        <v>5.1619475300172663E-3</v>
      </c>
      <c r="R560" s="10">
        <f t="shared" si="52"/>
        <v>3.0490408095780776E-2</v>
      </c>
      <c r="S560" s="10">
        <f t="shared" si="53"/>
        <v>3.5652355625798042E-2</v>
      </c>
    </row>
    <row r="561" spans="1:19" x14ac:dyDescent="0.25">
      <c r="A561" s="5" t="s">
        <v>22</v>
      </c>
      <c r="B561" s="5" t="s">
        <v>63</v>
      </c>
      <c r="C561" s="5" t="s">
        <v>27</v>
      </c>
      <c r="D561" s="5" t="s">
        <v>385</v>
      </c>
      <c r="E561" s="5" t="s">
        <v>384</v>
      </c>
      <c r="F561" s="5" t="s">
        <v>45</v>
      </c>
      <c r="G561" s="5" t="s">
        <v>383</v>
      </c>
      <c r="H561" s="5" t="s">
        <v>84</v>
      </c>
      <c r="I561" s="5" t="s">
        <v>85</v>
      </c>
      <c r="J561" s="5">
        <v>1150</v>
      </c>
      <c r="K561" s="5">
        <v>26</v>
      </c>
      <c r="L561" s="7">
        <f t="shared" si="48"/>
        <v>44.230769230769234</v>
      </c>
      <c r="M561" s="5" t="s">
        <v>10</v>
      </c>
      <c r="N561" s="5">
        <v>4</v>
      </c>
      <c r="O561" s="6">
        <f t="shared" si="49"/>
        <v>1.4061344304733729</v>
      </c>
      <c r="P561" s="6">
        <f t="shared" si="50"/>
        <v>0.14623798076923078</v>
      </c>
      <c r="Q561" s="10">
        <f t="shared" si="51"/>
        <v>3.0466245993589747E-3</v>
      </c>
      <c r="R561" s="10">
        <f t="shared" si="52"/>
        <v>2.0531338164569143E-2</v>
      </c>
      <c r="S561" s="10">
        <f t="shared" si="53"/>
        <v>2.3577962763928116E-2</v>
      </c>
    </row>
    <row r="562" spans="1:19" x14ac:dyDescent="0.25">
      <c r="A562" s="5" t="s">
        <v>8</v>
      </c>
      <c r="B562" s="5" t="s">
        <v>326</v>
      </c>
      <c r="C562" s="5" t="s">
        <v>27</v>
      </c>
      <c r="D562" s="5" t="s">
        <v>385</v>
      </c>
      <c r="E562" s="5" t="s">
        <v>384</v>
      </c>
      <c r="F562" s="5" t="s">
        <v>45</v>
      </c>
      <c r="G562" s="5" t="s">
        <v>383</v>
      </c>
      <c r="H562" s="5" t="s">
        <v>84</v>
      </c>
      <c r="I562" s="5" t="s">
        <v>327</v>
      </c>
      <c r="J562" s="5">
        <v>1150</v>
      </c>
      <c r="K562" s="5">
        <v>21</v>
      </c>
      <c r="L562" s="7">
        <f t="shared" si="48"/>
        <v>54.761904761904759</v>
      </c>
      <c r="M562" s="5" t="s">
        <v>10</v>
      </c>
      <c r="N562" s="5">
        <v>4</v>
      </c>
      <c r="O562" s="6">
        <f t="shared" si="49"/>
        <v>2.1554350907029476</v>
      </c>
      <c r="P562" s="6">
        <f t="shared" si="50"/>
        <v>0.22416524943310653</v>
      </c>
      <c r="Q562" s="10">
        <f t="shared" si="51"/>
        <v>4.6701093631897192E-3</v>
      </c>
      <c r="R562" s="10">
        <f t="shared" si="52"/>
        <v>2.828448893687794E-2</v>
      </c>
      <c r="S562" s="10">
        <f t="shared" si="53"/>
        <v>3.295459830006766E-2</v>
      </c>
    </row>
    <row r="563" spans="1:19" x14ac:dyDescent="0.25">
      <c r="A563" s="5" t="s">
        <v>8</v>
      </c>
      <c r="B563" s="5" t="s">
        <v>322</v>
      </c>
      <c r="C563" s="5" t="s">
        <v>27</v>
      </c>
      <c r="D563" s="5" t="s">
        <v>385</v>
      </c>
      <c r="E563" s="5" t="s">
        <v>384</v>
      </c>
      <c r="F563" s="5" t="s">
        <v>45</v>
      </c>
      <c r="G563" s="5" t="s">
        <v>383</v>
      </c>
      <c r="H563" s="5" t="s">
        <v>84</v>
      </c>
      <c r="I563" s="5" t="s">
        <v>211</v>
      </c>
      <c r="J563" s="5">
        <v>1350</v>
      </c>
      <c r="K563" s="5">
        <v>35</v>
      </c>
      <c r="L563" s="7">
        <f t="shared" si="48"/>
        <v>38.571428571428569</v>
      </c>
      <c r="M563" s="5" t="s">
        <v>10</v>
      </c>
      <c r="N563" s="5">
        <v>4</v>
      </c>
      <c r="O563" s="6">
        <f t="shared" si="49"/>
        <v>1.2552933673469386</v>
      </c>
      <c r="P563" s="6">
        <f t="shared" si="50"/>
        <v>0.13055051020408162</v>
      </c>
      <c r="Q563" s="10">
        <f t="shared" si="51"/>
        <v>2.719802295918367E-3</v>
      </c>
      <c r="R563" s="10">
        <f t="shared" si="52"/>
        <v>1.8856281365180333E-2</v>
      </c>
      <c r="S563" s="10">
        <f t="shared" si="53"/>
        <v>2.1576083661098699E-2</v>
      </c>
    </row>
    <row r="564" spans="1:19" x14ac:dyDescent="0.25">
      <c r="A564" s="5" t="s">
        <v>8</v>
      </c>
      <c r="B564" s="5" t="s">
        <v>206</v>
      </c>
      <c r="C564" s="5" t="s">
        <v>27</v>
      </c>
      <c r="D564" s="5" t="s">
        <v>385</v>
      </c>
      <c r="E564" s="5" t="s">
        <v>384</v>
      </c>
      <c r="F564" s="5" t="s">
        <v>45</v>
      </c>
      <c r="G564" s="5" t="s">
        <v>383</v>
      </c>
      <c r="H564" s="5" t="s">
        <v>84</v>
      </c>
      <c r="I564" s="5" t="s">
        <v>211</v>
      </c>
      <c r="J564" s="5">
        <v>1050</v>
      </c>
      <c r="K564" s="5">
        <v>20</v>
      </c>
      <c r="L564" s="7">
        <f t="shared" si="48"/>
        <v>52.5</v>
      </c>
      <c r="M564" s="5" t="s">
        <v>10</v>
      </c>
      <c r="N564" s="5">
        <v>4</v>
      </c>
      <c r="O564" s="6">
        <f t="shared" si="49"/>
        <v>1.8087890625</v>
      </c>
      <c r="P564" s="6">
        <f t="shared" si="50"/>
        <v>0.18811406249999996</v>
      </c>
      <c r="Q564" s="10">
        <f t="shared" si="51"/>
        <v>3.9190429687499997E-3</v>
      </c>
      <c r="R564" s="10">
        <f t="shared" si="52"/>
        <v>2.4799222591898096E-2</v>
      </c>
      <c r="S564" s="10">
        <f t="shared" si="53"/>
        <v>2.8718265560648097E-2</v>
      </c>
    </row>
    <row r="565" spans="1:19" x14ac:dyDescent="0.25">
      <c r="A565" s="5" t="s">
        <v>8</v>
      </c>
      <c r="B565" s="5" t="s">
        <v>204</v>
      </c>
      <c r="C565" s="5" t="s">
        <v>27</v>
      </c>
      <c r="D565" s="5" t="s">
        <v>385</v>
      </c>
      <c r="E565" s="5" t="s">
        <v>384</v>
      </c>
      <c r="F565" s="5" t="s">
        <v>45</v>
      </c>
      <c r="G565" s="5" t="s">
        <v>383</v>
      </c>
      <c r="H565" s="5" t="s">
        <v>84</v>
      </c>
      <c r="I565" s="5" t="s">
        <v>211</v>
      </c>
      <c r="J565" s="5">
        <v>1300</v>
      </c>
      <c r="K565" s="5">
        <v>31</v>
      </c>
      <c r="L565" s="7">
        <f t="shared" si="48"/>
        <v>41.935483870967744</v>
      </c>
      <c r="M565" s="5" t="s">
        <v>10</v>
      </c>
      <c r="N565" s="5">
        <v>4</v>
      </c>
      <c r="O565" s="6">
        <f t="shared" si="49"/>
        <v>1.4288501560874092</v>
      </c>
      <c r="P565" s="6">
        <f t="shared" si="50"/>
        <v>0.14860041623309053</v>
      </c>
      <c r="Q565" s="10">
        <f t="shared" si="51"/>
        <v>3.0958420048560532E-3</v>
      </c>
      <c r="R565" s="10">
        <f t="shared" si="52"/>
        <v>2.0779597893882982E-2</v>
      </c>
      <c r="S565" s="10">
        <f t="shared" si="53"/>
        <v>2.3875439898739036E-2</v>
      </c>
    </row>
    <row r="566" spans="1:19" x14ac:dyDescent="0.25">
      <c r="A566" s="5" t="s">
        <v>8</v>
      </c>
      <c r="B566" s="5" t="s">
        <v>192</v>
      </c>
      <c r="C566" s="5" t="s">
        <v>27</v>
      </c>
      <c r="D566" s="5" t="s">
        <v>385</v>
      </c>
      <c r="E566" s="5" t="s">
        <v>384</v>
      </c>
      <c r="F566" s="5" t="s">
        <v>45</v>
      </c>
      <c r="G566" s="5" t="s">
        <v>383</v>
      </c>
      <c r="H566" s="5" t="s">
        <v>84</v>
      </c>
      <c r="I566" s="5" t="s">
        <v>211</v>
      </c>
      <c r="J566" s="5">
        <v>1240</v>
      </c>
      <c r="K566" s="5">
        <v>33</v>
      </c>
      <c r="L566" s="7">
        <f t="shared" si="48"/>
        <v>37.575757575757578</v>
      </c>
      <c r="M566" s="5" t="s">
        <v>10</v>
      </c>
      <c r="N566" s="5">
        <v>4</v>
      </c>
      <c r="O566" s="6">
        <f t="shared" si="49"/>
        <v>1.0942516069788797</v>
      </c>
      <c r="P566" s="6">
        <f t="shared" si="50"/>
        <v>0.1138021671258035</v>
      </c>
      <c r="Q566" s="10">
        <f t="shared" si="51"/>
        <v>2.3708784817875728E-3</v>
      </c>
      <c r="R566" s="10">
        <f t="shared" si="52"/>
        <v>1.7011202684541326E-2</v>
      </c>
      <c r="S566" s="10">
        <f t="shared" si="53"/>
        <v>1.9382081166328897E-2</v>
      </c>
    </row>
    <row r="567" spans="1:19" x14ac:dyDescent="0.25">
      <c r="A567" s="5" t="s">
        <v>22</v>
      </c>
      <c r="B567" s="5" t="s">
        <v>63</v>
      </c>
      <c r="C567" s="5" t="s">
        <v>27</v>
      </c>
      <c r="D567" s="5" t="s">
        <v>385</v>
      </c>
      <c r="E567" s="5" t="s">
        <v>384</v>
      </c>
      <c r="F567" s="5" t="s">
        <v>45</v>
      </c>
      <c r="G567" s="5" t="s">
        <v>383</v>
      </c>
      <c r="H567" s="5" t="s">
        <v>86</v>
      </c>
      <c r="I567" s="5" t="s">
        <v>87</v>
      </c>
      <c r="J567" s="5">
        <v>1500</v>
      </c>
      <c r="K567" s="5">
        <v>36</v>
      </c>
      <c r="L567" s="7">
        <f t="shared" si="48"/>
        <v>41.666666666666664</v>
      </c>
      <c r="M567" s="5" t="s">
        <v>10</v>
      </c>
      <c r="N567" s="5">
        <v>4</v>
      </c>
      <c r="O567" s="6">
        <f t="shared" si="49"/>
        <v>1.6276041666666665</v>
      </c>
      <c r="P567" s="6">
        <f t="shared" si="50"/>
        <v>0.16927083333333331</v>
      </c>
      <c r="Q567" s="10">
        <f t="shared" si="51"/>
        <v>3.5264756944444441E-3</v>
      </c>
      <c r="R567" s="10">
        <f t="shared" si="52"/>
        <v>2.2911774118795719E-2</v>
      </c>
      <c r="S567" s="10">
        <f t="shared" si="53"/>
        <v>2.6438249813240163E-2</v>
      </c>
    </row>
    <row r="568" spans="1:19" x14ac:dyDescent="0.25">
      <c r="A568" s="5" t="s">
        <v>22</v>
      </c>
      <c r="B568" s="5" t="s">
        <v>63</v>
      </c>
      <c r="C568" s="5" t="s">
        <v>27</v>
      </c>
      <c r="D568" s="5" t="s">
        <v>385</v>
      </c>
      <c r="E568" s="5" t="s">
        <v>384</v>
      </c>
      <c r="F568" s="5" t="s">
        <v>45</v>
      </c>
      <c r="G568" s="5" t="s">
        <v>383</v>
      </c>
      <c r="H568" s="5" t="s">
        <v>88</v>
      </c>
      <c r="I568" s="5" t="s">
        <v>15</v>
      </c>
      <c r="J568" s="5">
        <v>1700</v>
      </c>
      <c r="K568" s="5">
        <v>22</v>
      </c>
      <c r="L568" s="7">
        <f t="shared" si="48"/>
        <v>77.272727272727266</v>
      </c>
      <c r="M568" s="5" t="s">
        <v>10</v>
      </c>
      <c r="N568" s="5">
        <v>4</v>
      </c>
      <c r="O568" s="6">
        <f t="shared" si="49"/>
        <v>6.344266528925619</v>
      </c>
      <c r="P568" s="6">
        <f t="shared" si="50"/>
        <v>0.65980371900826429</v>
      </c>
      <c r="Q568" s="10">
        <f t="shared" si="51"/>
        <v>1.3745910812672174E-2</v>
      </c>
      <c r="R568" s="10">
        <f t="shared" si="52"/>
        <v>6.3559897650201369E-2</v>
      </c>
      <c r="S568" s="10">
        <f t="shared" si="53"/>
        <v>7.7305808462873549E-2</v>
      </c>
    </row>
    <row r="569" spans="1:19" x14ac:dyDescent="0.25">
      <c r="A569" s="5" t="s">
        <v>22</v>
      </c>
      <c r="B569" s="5" t="s">
        <v>63</v>
      </c>
      <c r="C569" s="5" t="s">
        <v>27</v>
      </c>
      <c r="D569" s="5" t="s">
        <v>385</v>
      </c>
      <c r="E569" s="5" t="s">
        <v>384</v>
      </c>
      <c r="F569" s="5" t="s">
        <v>45</v>
      </c>
      <c r="G569" s="5" t="s">
        <v>383</v>
      </c>
      <c r="H569" s="5" t="s">
        <v>83</v>
      </c>
      <c r="I569" s="5" t="s">
        <v>62</v>
      </c>
      <c r="J569" s="5">
        <v>1300</v>
      </c>
      <c r="K569" s="5">
        <v>28</v>
      </c>
      <c r="L569" s="7">
        <f t="shared" si="48"/>
        <v>46.428571428571431</v>
      </c>
      <c r="M569" s="5" t="s">
        <v>10</v>
      </c>
      <c r="N569" s="5">
        <v>4</v>
      </c>
      <c r="O569" s="6">
        <f t="shared" si="49"/>
        <v>1.751434948979592</v>
      </c>
      <c r="P569" s="6">
        <f t="shared" si="50"/>
        <v>0.18214923469387756</v>
      </c>
      <c r="Q569" s="10">
        <f t="shared" si="51"/>
        <v>3.7947757227891157E-3</v>
      </c>
      <c r="R569" s="10">
        <f t="shared" si="52"/>
        <v>2.4207092683528889E-2</v>
      </c>
      <c r="S569" s="10">
        <f t="shared" si="53"/>
        <v>2.8001868406318006E-2</v>
      </c>
    </row>
    <row r="570" spans="1:19" x14ac:dyDescent="0.25">
      <c r="A570" s="5" t="s">
        <v>8</v>
      </c>
      <c r="B570" s="5" t="s">
        <v>339</v>
      </c>
      <c r="C570" s="5" t="s">
        <v>27</v>
      </c>
      <c r="D570" s="5" t="s">
        <v>385</v>
      </c>
      <c r="E570" s="5" t="s">
        <v>384</v>
      </c>
      <c r="F570" s="5" t="s">
        <v>45</v>
      </c>
      <c r="G570" s="5" t="s">
        <v>383</v>
      </c>
      <c r="H570" s="5" t="s">
        <v>83</v>
      </c>
      <c r="I570" s="5" t="s">
        <v>341</v>
      </c>
      <c r="J570" s="5">
        <v>1103</v>
      </c>
      <c r="K570" s="5">
        <v>27.5</v>
      </c>
      <c r="L570" s="7">
        <f t="shared" si="48"/>
        <v>40.109090909090909</v>
      </c>
      <c r="M570" s="5" t="s">
        <v>10</v>
      </c>
      <c r="N570" s="5">
        <v>4</v>
      </c>
      <c r="O570" s="6">
        <f t="shared" si="49"/>
        <v>1.109024567768595</v>
      </c>
      <c r="P570" s="6">
        <f t="shared" si="50"/>
        <v>0.11533855504793387</v>
      </c>
      <c r="Q570" s="10">
        <f t="shared" si="51"/>
        <v>2.4028865634986222E-3</v>
      </c>
      <c r="R570" s="10">
        <f t="shared" si="52"/>
        <v>1.7183158637034863E-2</v>
      </c>
      <c r="S570" s="10">
        <f t="shared" si="53"/>
        <v>1.9586045200533485E-2</v>
      </c>
    </row>
    <row r="571" spans="1:19" x14ac:dyDescent="0.25">
      <c r="A571" s="5" t="s">
        <v>8</v>
      </c>
      <c r="B571" s="5" t="s">
        <v>369</v>
      </c>
      <c r="C571" s="5" t="s">
        <v>27</v>
      </c>
      <c r="D571" s="5" t="s">
        <v>385</v>
      </c>
      <c r="E571" s="5" t="s">
        <v>384</v>
      </c>
      <c r="F571" s="5" t="s">
        <v>45</v>
      </c>
      <c r="G571" s="5" t="s">
        <v>383</v>
      </c>
      <c r="H571" s="5" t="s">
        <v>83</v>
      </c>
      <c r="I571" s="5" t="s">
        <v>341</v>
      </c>
      <c r="J571" s="5">
        <v>1260</v>
      </c>
      <c r="K571" s="5">
        <v>29.9</v>
      </c>
      <c r="L571" s="7">
        <f t="shared" si="48"/>
        <v>42.140468227424748</v>
      </c>
      <c r="M571" s="5" t="s">
        <v>10</v>
      </c>
      <c r="N571" s="5">
        <v>4</v>
      </c>
      <c r="O571" s="6">
        <f t="shared" si="49"/>
        <v>1.3984575116609432</v>
      </c>
      <c r="P571" s="6">
        <f t="shared" si="50"/>
        <v>0.14543958121273809</v>
      </c>
      <c r="Q571" s="10">
        <f t="shared" si="51"/>
        <v>3.029991275265377E-3</v>
      </c>
      <c r="R571" s="10">
        <f t="shared" si="52"/>
        <v>2.0447211129455776E-2</v>
      </c>
      <c r="S571" s="10">
        <f t="shared" si="53"/>
        <v>2.3477202404721152E-2</v>
      </c>
    </row>
    <row r="572" spans="1:19" x14ac:dyDescent="0.25">
      <c r="A572" s="5" t="s">
        <v>8</v>
      </c>
      <c r="B572" s="5" t="s">
        <v>339</v>
      </c>
      <c r="C572" s="5" t="s">
        <v>27</v>
      </c>
      <c r="D572" s="5" t="s">
        <v>385</v>
      </c>
      <c r="E572" s="5" t="s">
        <v>384</v>
      </c>
      <c r="F572" s="5" t="s">
        <v>45</v>
      </c>
      <c r="G572" s="5" t="s">
        <v>383</v>
      </c>
      <c r="H572" s="5" t="s">
        <v>83</v>
      </c>
      <c r="I572" s="5" t="s">
        <v>340</v>
      </c>
      <c r="J572" s="5">
        <v>1023</v>
      </c>
      <c r="K572" s="5">
        <v>26.4</v>
      </c>
      <c r="L572" s="7">
        <f t="shared" si="48"/>
        <v>38.75</v>
      </c>
      <c r="M572" s="5" t="s">
        <v>10</v>
      </c>
      <c r="N572" s="5">
        <v>4</v>
      </c>
      <c r="O572" s="6">
        <f t="shared" si="49"/>
        <v>0.96006152343749995</v>
      </c>
      <c r="P572" s="6">
        <f t="shared" si="50"/>
        <v>9.9846398437499997E-2</v>
      </c>
      <c r="Q572" s="10">
        <f t="shared" si="51"/>
        <v>2.0801333007812498E-3</v>
      </c>
      <c r="R572" s="10">
        <f t="shared" si="52"/>
        <v>1.5421315518521045E-2</v>
      </c>
      <c r="S572" s="10">
        <f t="shared" si="53"/>
        <v>1.7501448819302295E-2</v>
      </c>
    </row>
    <row r="573" spans="1:19" x14ac:dyDescent="0.25">
      <c r="A573" s="5" t="s">
        <v>8</v>
      </c>
      <c r="B573" s="5" t="s">
        <v>339</v>
      </c>
      <c r="C573" s="5" t="s">
        <v>27</v>
      </c>
      <c r="D573" s="5" t="s">
        <v>385</v>
      </c>
      <c r="E573" s="5" t="s">
        <v>384</v>
      </c>
      <c r="F573" s="5" t="s">
        <v>45</v>
      </c>
      <c r="G573" s="5" t="s">
        <v>383</v>
      </c>
      <c r="H573" s="5" t="s">
        <v>83</v>
      </c>
      <c r="I573" s="5" t="s">
        <v>340</v>
      </c>
      <c r="J573" s="5">
        <v>1009</v>
      </c>
      <c r="K573" s="5">
        <v>22.1</v>
      </c>
      <c r="L573" s="7">
        <f t="shared" si="48"/>
        <v>45.656108597285062</v>
      </c>
      <c r="M573" s="5" t="s">
        <v>10</v>
      </c>
      <c r="N573" s="5">
        <v>4</v>
      </c>
      <c r="O573" s="6">
        <f t="shared" si="49"/>
        <v>1.314525359073319</v>
      </c>
      <c r="P573" s="6">
        <f t="shared" si="50"/>
        <v>0.13671063734362518</v>
      </c>
      <c r="Q573" s="10">
        <f t="shared" si="51"/>
        <v>2.8481382779921914E-3</v>
      </c>
      <c r="R573" s="10">
        <f t="shared" si="52"/>
        <v>1.9519732008710461E-2</v>
      </c>
      <c r="S573" s="10">
        <f t="shared" si="53"/>
        <v>2.2367870286702653E-2</v>
      </c>
    </row>
    <row r="574" spans="1:19" x14ac:dyDescent="0.25">
      <c r="A574" s="5" t="s">
        <v>8</v>
      </c>
      <c r="B574" s="5" t="s">
        <v>369</v>
      </c>
      <c r="C574" s="5" t="s">
        <v>27</v>
      </c>
      <c r="D574" s="5" t="s">
        <v>385</v>
      </c>
      <c r="E574" s="5" t="s">
        <v>384</v>
      </c>
      <c r="F574" s="5" t="s">
        <v>45</v>
      </c>
      <c r="G574" s="5" t="s">
        <v>383</v>
      </c>
      <c r="H574" s="5" t="s">
        <v>83</v>
      </c>
      <c r="I574" s="5" t="s">
        <v>340</v>
      </c>
      <c r="J574" s="5">
        <v>1340</v>
      </c>
      <c r="K574" s="5">
        <v>36.5</v>
      </c>
      <c r="L574" s="7">
        <f t="shared" ref="L574" si="54">J574/K574</f>
        <v>36.712328767123289</v>
      </c>
      <c r="M574" s="5" t="s">
        <v>10</v>
      </c>
      <c r="N574" s="5">
        <v>4</v>
      </c>
      <c r="O574" s="6">
        <f t="shared" ref="O574" si="55">(J574*L574^2)/(1.6*10^6)</f>
        <v>1.1287783824357291</v>
      </c>
      <c r="P574" s="6">
        <f t="shared" ref="P574" si="56">(0.104*J574*L574^2)/(1.6*10^6)</f>
        <v>0.11739295177331582</v>
      </c>
      <c r="Q574" s="10">
        <f t="shared" ref="Q574" si="57">(0.104*O574)/(12*N574)</f>
        <v>2.4456864952774131E-3</v>
      </c>
      <c r="R574" s="10">
        <f t="shared" ref="R574" si="58">0.0159*O574^0.75</f>
        <v>1.7412199601379269E-2</v>
      </c>
      <c r="S574" s="10">
        <f t="shared" ref="S574" si="59">Q574+R574</f>
        <v>1.9857886096656681E-2</v>
      </c>
    </row>
  </sheetData>
  <sortState ref="A2:N574">
    <sortCondition ref="C2:C574"/>
    <sortCondition ref="D2:D574"/>
    <sortCondition ref="E2:E574"/>
    <sortCondition ref="F2:F574"/>
    <sortCondition ref="G2:G574"/>
    <sortCondition ref="H2:H574"/>
    <sortCondition ref="I2:I574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 index</vt:lpstr>
      <vt:lpstr>Order-males</vt:lpstr>
      <vt:lpstr>Order-females</vt:lpstr>
      <vt:lpstr>Suborder-males</vt:lpstr>
      <vt:lpstr>Suborder-females</vt:lpstr>
      <vt:lpstr>Superfamily-males</vt:lpstr>
      <vt:lpstr>Superfamily-females</vt:lpstr>
      <vt:lpstr>Family-males</vt:lpstr>
      <vt:lpstr>Family-females</vt:lpstr>
      <vt:lpstr>Subfamilty-males</vt:lpstr>
      <vt:lpstr>Subfamily-females</vt:lpstr>
      <vt:lpstr>Genera-males</vt:lpstr>
      <vt:lpstr>Genera-females</vt:lpstr>
      <vt:lpstr>Juveniles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kurdistan</dc:creator>
  <cp:lastModifiedBy>E738334</cp:lastModifiedBy>
  <dcterms:created xsi:type="dcterms:W3CDTF">2009-11-17T20:32:31Z</dcterms:created>
  <dcterms:modified xsi:type="dcterms:W3CDTF">2025-11-09T01:12:44Z</dcterms:modified>
</cp:coreProperties>
</file>